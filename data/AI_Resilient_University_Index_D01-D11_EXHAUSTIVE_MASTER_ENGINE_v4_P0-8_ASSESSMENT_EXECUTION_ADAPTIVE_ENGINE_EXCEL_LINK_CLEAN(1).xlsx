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0-2R_Summary" sheetId="1" state="visible" r:id="rId1"/>
    <sheet xmlns:r="http://schemas.openxmlformats.org/officeDocument/2006/relationships" name="P0-2R_Metric_Master" sheetId="2" state="visible" r:id="rId2"/>
    <sheet xmlns:r="http://schemas.openxmlformats.org/officeDocument/2006/relationships" name="P0-2_Metric_Measurement_Master" sheetId="3" state="visible" r:id="rId3"/>
    <sheet xmlns:r="http://schemas.openxmlformats.org/officeDocument/2006/relationships" name="P0-2_Coverage_Summary" sheetId="4" state="visible" r:id="rId4"/>
    <sheet xmlns:r="http://schemas.openxmlformats.org/officeDocument/2006/relationships" name="P0-2_Metric_Spec_Template" sheetId="5" state="visible" r:id="rId5"/>
    <sheet xmlns:r="http://schemas.openxmlformats.org/officeDocument/2006/relationships" name="P0-2_D01_Measurement" sheetId="6" state="visible" r:id="rId6"/>
    <sheet xmlns:r="http://schemas.openxmlformats.org/officeDocument/2006/relationships" name="P0-2_D02_Measurement" sheetId="7" state="visible" r:id="rId7"/>
    <sheet xmlns:r="http://schemas.openxmlformats.org/officeDocument/2006/relationships" name="P0-2_D03_Measurement" sheetId="8" state="visible" r:id="rId8"/>
    <sheet xmlns:r="http://schemas.openxmlformats.org/officeDocument/2006/relationships" name="P0-2_D04_Measurement" sheetId="9" state="visible" r:id="rId9"/>
    <sheet xmlns:r="http://schemas.openxmlformats.org/officeDocument/2006/relationships" name="P0-2_D05_Measurement" sheetId="10" state="visible" r:id="rId10"/>
    <sheet xmlns:r="http://schemas.openxmlformats.org/officeDocument/2006/relationships" name="P0-2_D06_Measurement" sheetId="11" state="visible" r:id="rId11"/>
    <sheet xmlns:r="http://schemas.openxmlformats.org/officeDocument/2006/relationships" name="P0-2_D07_Measurement" sheetId="12" state="visible" r:id="rId12"/>
    <sheet xmlns:r="http://schemas.openxmlformats.org/officeDocument/2006/relationships" name="P0-2_D08_Measurement" sheetId="13" state="visible" r:id="rId13"/>
    <sheet xmlns:r="http://schemas.openxmlformats.org/officeDocument/2006/relationships" name="P0-2_D09_Measurement" sheetId="14" state="visible" r:id="rId14"/>
    <sheet xmlns:r="http://schemas.openxmlformats.org/officeDocument/2006/relationships" name="P0-2_D10_Measurement" sheetId="15" state="visible" r:id="rId15"/>
    <sheet xmlns:r="http://schemas.openxmlformats.org/officeDocument/2006/relationships" name="P0-2_D11_Measurement" sheetId="16" state="visible" r:id="rId16"/>
    <sheet xmlns:r="http://schemas.openxmlformats.org/officeDocument/2006/relationships" name="P0-2_Measurement_Governance" sheetId="17" state="visible" r:id="rId17"/>
    <sheet xmlns:r="http://schemas.openxmlformats.org/officeDocument/2006/relationships" name="P0-2_Acceptance_Gates" sheetId="18" state="visible" r:id="rId18"/>
    <sheet xmlns:r="http://schemas.openxmlformats.org/officeDocument/2006/relationships" name="P0-1_Global_Maturity_Scale" sheetId="19" state="visible" r:id="rId19"/>
    <sheet xmlns:r="http://schemas.openxmlformats.org/officeDocument/2006/relationships" name="P0-1_Maturity_Anchor_Master" sheetId="20" state="visible" r:id="rId20"/>
    <sheet xmlns:r="http://schemas.openxmlformats.org/officeDocument/2006/relationships" name="P0-1_Anchor_Design_Rules" sheetId="21" state="visible" r:id="rId21"/>
    <sheet xmlns:r="http://schemas.openxmlformats.org/officeDocument/2006/relationships" name="P0-1_Anchor_Traceability" sheetId="22" state="visible" r:id="rId22"/>
    <sheet xmlns:r="http://schemas.openxmlformats.org/officeDocument/2006/relationships" name="D01_Maturity_Anchors" sheetId="23" state="visible" r:id="rId23"/>
    <sheet xmlns:r="http://schemas.openxmlformats.org/officeDocument/2006/relationships" name="D02_Maturity_Anchors" sheetId="24" state="visible" r:id="rId24"/>
    <sheet xmlns:r="http://schemas.openxmlformats.org/officeDocument/2006/relationships" name="D03_Maturity_Anchors" sheetId="25" state="visible" r:id="rId25"/>
    <sheet xmlns:r="http://schemas.openxmlformats.org/officeDocument/2006/relationships" name="D04_Maturity_Anchors" sheetId="26" state="visible" r:id="rId26"/>
    <sheet xmlns:r="http://schemas.openxmlformats.org/officeDocument/2006/relationships" name="D05_Maturity_Anchors" sheetId="27" state="visible" r:id="rId27"/>
    <sheet xmlns:r="http://schemas.openxmlformats.org/officeDocument/2006/relationships" name="D06_Maturity_Anchors" sheetId="28" state="visible" r:id="rId28"/>
    <sheet xmlns:r="http://schemas.openxmlformats.org/officeDocument/2006/relationships" name="D07_Maturity_Anchors" sheetId="29" state="visible" r:id="rId29"/>
    <sheet xmlns:r="http://schemas.openxmlformats.org/officeDocument/2006/relationships" name="D08_Maturity_Anchors" sheetId="30" state="visible" r:id="rId30"/>
    <sheet xmlns:r="http://schemas.openxmlformats.org/officeDocument/2006/relationships" name="D09_Maturity_Anchors" sheetId="31" state="visible" r:id="rId31"/>
    <sheet xmlns:r="http://schemas.openxmlformats.org/officeDocument/2006/relationships" name="D10_Maturity_Anchors" sheetId="32" state="visible" r:id="rId32"/>
    <sheet xmlns:r="http://schemas.openxmlformats.org/officeDocument/2006/relationships" name="D11_Maturity_Anchors" sheetId="33" state="visible" r:id="rId33"/>
    <sheet xmlns:r="http://schemas.openxmlformats.org/officeDocument/2006/relationships" name="Master_Architecture" sheetId="34" state="visible" r:id="rId34"/>
    <sheet xmlns:r="http://schemas.openxmlformats.org/officeDocument/2006/relationships" name="README" sheetId="35" state="visible" r:id="rId35"/>
    <sheet xmlns:r="http://schemas.openxmlformats.org/officeDocument/2006/relationships" name="Domains" sheetId="36" state="visible" r:id="rId36"/>
    <sheet xmlns:r="http://schemas.openxmlformats.org/officeDocument/2006/relationships" name="Institution_Profile" sheetId="37" state="visible" r:id="rId37"/>
    <sheet xmlns:r="http://schemas.openxmlformats.org/officeDocument/2006/relationships" name="Institutional_Data" sheetId="38" state="visible" r:id="rId38"/>
    <sheet xmlns:r="http://schemas.openxmlformats.org/officeDocument/2006/relationships" name="Capability_Areas" sheetId="39" state="visible" r:id="rId39"/>
    <sheet xmlns:r="http://schemas.openxmlformats.org/officeDocument/2006/relationships" name="Indicators_Metrics" sheetId="40" state="visible" r:id="rId40"/>
    <sheet xmlns:r="http://schemas.openxmlformats.org/officeDocument/2006/relationships" name="Assessment_Cards" sheetId="41" state="visible" r:id="rId41"/>
    <sheet xmlns:r="http://schemas.openxmlformats.org/officeDocument/2006/relationships" name="Question_Bank" sheetId="42" state="visible" r:id="rId42"/>
    <sheet xmlns:r="http://schemas.openxmlformats.org/officeDocument/2006/relationships" name="D03_NonTechnical_Pathway" sheetId="43" state="visible" r:id="rId43"/>
    <sheet xmlns:r="http://schemas.openxmlformats.org/officeDocument/2006/relationships" name="D03_Discipline_Library" sheetId="44" state="visible" r:id="rId44"/>
    <sheet xmlns:r="http://schemas.openxmlformats.org/officeDocument/2006/relationships" name="Maturity_Anchors" sheetId="45" state="visible" r:id="rId45"/>
    <sheet xmlns:r="http://schemas.openxmlformats.org/officeDocument/2006/relationships" name="Derived_Outputs" sheetId="46" state="visible" r:id="rId46"/>
    <sheet xmlns:r="http://schemas.openxmlformats.org/officeDocument/2006/relationships" name="Scoring_Evidence_Rules" sheetId="47" state="visible" r:id="rId47"/>
    <sheet xmlns:r="http://schemas.openxmlformats.org/officeDocument/2006/relationships" name="Evidence_Requirements" sheetId="48" state="visible" r:id="rId48"/>
    <sheet xmlns:r="http://schemas.openxmlformats.org/officeDocument/2006/relationships" name="QA_Checks" sheetId="49" state="visible" r:id="rId49"/>
    <sheet xmlns:r="http://schemas.openxmlformats.org/officeDocument/2006/relationships" name="Reality_Gradient" sheetId="50" state="visible" r:id="rId50"/>
    <sheet xmlns:r="http://schemas.openxmlformats.org/officeDocument/2006/relationships" name="Context_Calibration" sheetId="51" state="visible" r:id="rId51"/>
    <sheet xmlns:r="http://schemas.openxmlformats.org/officeDocument/2006/relationships" name="Assessment_Input_Architecture" sheetId="52" state="visible" r:id="rId52"/>
    <sheet xmlns:r="http://schemas.openxmlformats.org/officeDocument/2006/relationships" name="D01_Matrix" sheetId="53" state="visible" r:id="rId53"/>
    <sheet xmlns:r="http://schemas.openxmlformats.org/officeDocument/2006/relationships" name="D01_Assessment_Cards" sheetId="54" state="visible" r:id="rId54"/>
    <sheet xmlns:r="http://schemas.openxmlformats.org/officeDocument/2006/relationships" name="D01_Question_Bank" sheetId="55" state="visible" r:id="rId55"/>
    <sheet xmlns:r="http://schemas.openxmlformats.org/officeDocument/2006/relationships" name="D01_Evidence" sheetId="56" state="visible" r:id="rId56"/>
    <sheet xmlns:r="http://schemas.openxmlformats.org/officeDocument/2006/relationships" name="D01_Institutional_Data" sheetId="57" state="visible" r:id="rId57"/>
    <sheet xmlns:r="http://schemas.openxmlformats.org/officeDocument/2006/relationships" name="D01_QA_Checks" sheetId="58" state="visible" r:id="rId58"/>
    <sheet xmlns:r="http://schemas.openxmlformats.org/officeDocument/2006/relationships" name="D02_Matrix" sheetId="59" state="visible" r:id="rId59"/>
    <sheet xmlns:r="http://schemas.openxmlformats.org/officeDocument/2006/relationships" name="D02_Assessment_Cards" sheetId="60" state="visible" r:id="rId60"/>
    <sheet xmlns:r="http://schemas.openxmlformats.org/officeDocument/2006/relationships" name="D02_Question_Bank" sheetId="61" state="visible" r:id="rId61"/>
    <sheet xmlns:r="http://schemas.openxmlformats.org/officeDocument/2006/relationships" name="D02_Evidence" sheetId="62" state="visible" r:id="rId62"/>
    <sheet xmlns:r="http://schemas.openxmlformats.org/officeDocument/2006/relationships" name="D02_Institutional_Data" sheetId="63" state="visible" r:id="rId63"/>
    <sheet xmlns:r="http://schemas.openxmlformats.org/officeDocument/2006/relationships" name="D02_QA_Checks" sheetId="64" state="visible" r:id="rId64"/>
    <sheet xmlns:r="http://schemas.openxmlformats.org/officeDocument/2006/relationships" name="D03_Matrix" sheetId="65" state="visible" r:id="rId65"/>
    <sheet xmlns:r="http://schemas.openxmlformats.org/officeDocument/2006/relationships" name="D03_Assessment_Cards" sheetId="66" state="visible" r:id="rId66"/>
    <sheet xmlns:r="http://schemas.openxmlformats.org/officeDocument/2006/relationships" name="D03_Question_Bank" sheetId="67" state="visible" r:id="rId67"/>
    <sheet xmlns:r="http://schemas.openxmlformats.org/officeDocument/2006/relationships" name="D03_Evidence" sheetId="68" state="visible" r:id="rId68"/>
    <sheet xmlns:r="http://schemas.openxmlformats.org/officeDocument/2006/relationships" name="D03_Institutional_Data" sheetId="69" state="visible" r:id="rId69"/>
    <sheet xmlns:r="http://schemas.openxmlformats.org/officeDocument/2006/relationships" name="D03_QA_Checks" sheetId="70" state="visible" r:id="rId70"/>
    <sheet xmlns:r="http://schemas.openxmlformats.org/officeDocument/2006/relationships" name="D04_Matrix" sheetId="71" state="visible" r:id="rId71"/>
    <sheet xmlns:r="http://schemas.openxmlformats.org/officeDocument/2006/relationships" name="D04_Assessment_Cards" sheetId="72" state="visible" r:id="rId72"/>
    <sheet xmlns:r="http://schemas.openxmlformats.org/officeDocument/2006/relationships" name="D04_Question_Bank" sheetId="73" state="visible" r:id="rId73"/>
    <sheet xmlns:r="http://schemas.openxmlformats.org/officeDocument/2006/relationships" name="D04_Evidence" sheetId="74" state="visible" r:id="rId74"/>
    <sheet xmlns:r="http://schemas.openxmlformats.org/officeDocument/2006/relationships" name="D04_Institutional_Data" sheetId="75" state="visible" r:id="rId75"/>
    <sheet xmlns:r="http://schemas.openxmlformats.org/officeDocument/2006/relationships" name="D04_QA_Checks" sheetId="76" state="visible" r:id="rId76"/>
    <sheet xmlns:r="http://schemas.openxmlformats.org/officeDocument/2006/relationships" name="D05_Matrix" sheetId="77" state="visible" r:id="rId77"/>
    <sheet xmlns:r="http://schemas.openxmlformats.org/officeDocument/2006/relationships" name="D05_Assessment_Cards" sheetId="78" state="visible" r:id="rId78"/>
    <sheet xmlns:r="http://schemas.openxmlformats.org/officeDocument/2006/relationships" name="D05_Question_Bank" sheetId="79" state="visible" r:id="rId79"/>
    <sheet xmlns:r="http://schemas.openxmlformats.org/officeDocument/2006/relationships" name="D05_Evidence" sheetId="80" state="visible" r:id="rId80"/>
    <sheet xmlns:r="http://schemas.openxmlformats.org/officeDocument/2006/relationships" name="D05_Institutional_Data" sheetId="81" state="visible" r:id="rId81"/>
    <sheet xmlns:r="http://schemas.openxmlformats.org/officeDocument/2006/relationships" name="D05_QA_Checks" sheetId="82" state="visible" r:id="rId82"/>
    <sheet xmlns:r="http://schemas.openxmlformats.org/officeDocument/2006/relationships" name="D06_Matrix" sheetId="83" state="visible" r:id="rId83"/>
    <sheet xmlns:r="http://schemas.openxmlformats.org/officeDocument/2006/relationships" name="D06_Assessment_Cards" sheetId="84" state="visible" r:id="rId84"/>
    <sheet xmlns:r="http://schemas.openxmlformats.org/officeDocument/2006/relationships" name="D06_Question_Bank" sheetId="85" state="visible" r:id="rId85"/>
    <sheet xmlns:r="http://schemas.openxmlformats.org/officeDocument/2006/relationships" name="D06_Evidence" sheetId="86" state="visible" r:id="rId86"/>
    <sheet xmlns:r="http://schemas.openxmlformats.org/officeDocument/2006/relationships" name="D06_Institutional_Data" sheetId="87" state="visible" r:id="rId87"/>
    <sheet xmlns:r="http://schemas.openxmlformats.org/officeDocument/2006/relationships" name="D06_QA_Checks" sheetId="88" state="visible" r:id="rId88"/>
    <sheet xmlns:r="http://schemas.openxmlformats.org/officeDocument/2006/relationships" name="D07_Matrix" sheetId="89" state="visible" r:id="rId89"/>
    <sheet xmlns:r="http://schemas.openxmlformats.org/officeDocument/2006/relationships" name="D07_Assessment_Cards" sheetId="90" state="visible" r:id="rId90"/>
    <sheet xmlns:r="http://schemas.openxmlformats.org/officeDocument/2006/relationships" name="D07_Question_Bank" sheetId="91" state="visible" r:id="rId91"/>
    <sheet xmlns:r="http://schemas.openxmlformats.org/officeDocument/2006/relationships" name="D07_Evidence" sheetId="92" state="visible" r:id="rId92"/>
    <sheet xmlns:r="http://schemas.openxmlformats.org/officeDocument/2006/relationships" name="D07_Institutional_Data" sheetId="93" state="visible" r:id="rId93"/>
    <sheet xmlns:r="http://schemas.openxmlformats.org/officeDocument/2006/relationships" name="D07_QA_Checks" sheetId="94" state="visible" r:id="rId94"/>
    <sheet xmlns:r="http://schemas.openxmlformats.org/officeDocument/2006/relationships" name="D08_Matrix" sheetId="95" state="visible" r:id="rId95"/>
    <sheet xmlns:r="http://schemas.openxmlformats.org/officeDocument/2006/relationships" name="D08_Assessment_Cards" sheetId="96" state="visible" r:id="rId96"/>
    <sheet xmlns:r="http://schemas.openxmlformats.org/officeDocument/2006/relationships" name="D08_Question_Bank" sheetId="97" state="visible" r:id="rId97"/>
    <sheet xmlns:r="http://schemas.openxmlformats.org/officeDocument/2006/relationships" name="D08_Evidence" sheetId="98" state="visible" r:id="rId98"/>
    <sheet xmlns:r="http://schemas.openxmlformats.org/officeDocument/2006/relationships" name="D08_Institutional_Data" sheetId="99" state="visible" r:id="rId99"/>
    <sheet xmlns:r="http://schemas.openxmlformats.org/officeDocument/2006/relationships" name="D08_QA_Checks" sheetId="100" state="visible" r:id="rId100"/>
    <sheet xmlns:r="http://schemas.openxmlformats.org/officeDocument/2006/relationships" name="D09_Matrix" sheetId="101" state="visible" r:id="rId101"/>
    <sheet xmlns:r="http://schemas.openxmlformats.org/officeDocument/2006/relationships" name="D09_Assessment_Cards" sheetId="102" state="visible" r:id="rId102"/>
    <sheet xmlns:r="http://schemas.openxmlformats.org/officeDocument/2006/relationships" name="D09_Question_Bank" sheetId="103" state="visible" r:id="rId103"/>
    <sheet xmlns:r="http://schemas.openxmlformats.org/officeDocument/2006/relationships" name="D09_Evidence" sheetId="104" state="visible" r:id="rId104"/>
    <sheet xmlns:r="http://schemas.openxmlformats.org/officeDocument/2006/relationships" name="D09_Institutional_Data" sheetId="105" state="visible" r:id="rId105"/>
    <sheet xmlns:r="http://schemas.openxmlformats.org/officeDocument/2006/relationships" name="D09_QA_Checks" sheetId="106" state="visible" r:id="rId106"/>
    <sheet xmlns:r="http://schemas.openxmlformats.org/officeDocument/2006/relationships" name="D10_Matrix" sheetId="107" state="visible" r:id="rId107"/>
    <sheet xmlns:r="http://schemas.openxmlformats.org/officeDocument/2006/relationships" name="D10_Assessment_Cards" sheetId="108" state="visible" r:id="rId108"/>
    <sheet xmlns:r="http://schemas.openxmlformats.org/officeDocument/2006/relationships" name="D10_Question_Bank" sheetId="109" state="visible" r:id="rId109"/>
    <sheet xmlns:r="http://schemas.openxmlformats.org/officeDocument/2006/relationships" name="D10_Evidence" sheetId="110" state="visible" r:id="rId110"/>
    <sheet xmlns:r="http://schemas.openxmlformats.org/officeDocument/2006/relationships" name="D10_Institutional_Data" sheetId="111" state="visible" r:id="rId111"/>
    <sheet xmlns:r="http://schemas.openxmlformats.org/officeDocument/2006/relationships" name="D10_QA_Checks" sheetId="112" state="visible" r:id="rId112"/>
    <sheet xmlns:r="http://schemas.openxmlformats.org/officeDocument/2006/relationships" name="D11_Matrix" sheetId="113" state="visible" r:id="rId113"/>
    <sheet xmlns:r="http://schemas.openxmlformats.org/officeDocument/2006/relationships" name="D11_Assessment_Cards" sheetId="114" state="visible" r:id="rId114"/>
    <sheet xmlns:r="http://schemas.openxmlformats.org/officeDocument/2006/relationships" name="D11_Question_Bank" sheetId="115" state="visible" r:id="rId115"/>
    <sheet xmlns:r="http://schemas.openxmlformats.org/officeDocument/2006/relationships" name="D11_Evidence" sheetId="116" state="visible" r:id="rId116"/>
    <sheet xmlns:r="http://schemas.openxmlformats.org/officeDocument/2006/relationships" name="D11_Institutional_Data" sheetId="117" state="visible" r:id="rId117"/>
    <sheet xmlns:r="http://schemas.openxmlformats.org/officeDocument/2006/relationships" name="D11_QA_Checks" sheetId="118" state="visible" r:id="rId118"/>
    <sheet xmlns:r="http://schemas.openxmlformats.org/officeDocument/2006/relationships" name="Measurement_Architecture" sheetId="119" state="visible" r:id="rId119"/>
    <sheet xmlns:r="http://schemas.openxmlformats.org/officeDocument/2006/relationships" name="Cross_Domain_Links" sheetId="120" state="visible" r:id="rId120"/>
    <sheet xmlns:r="http://schemas.openxmlformats.org/officeDocument/2006/relationships" name="Domain_Weights" sheetId="121" state="visible" r:id="rId121"/>
    <sheet xmlns:r="http://schemas.openxmlformats.org/officeDocument/2006/relationships" name="Architecture_Audit" sheetId="122" state="visible" r:id="rId122"/>
    <sheet xmlns:r="http://schemas.openxmlformats.org/officeDocument/2006/relationships" name="Scoring_Architecture" sheetId="123" state="visible" r:id="rId123"/>
    <sheet xmlns:r="http://schemas.openxmlformats.org/officeDocument/2006/relationships" name="Scoring_Formula_Spec" sheetId="124" state="visible" r:id="rId124"/>
    <sheet xmlns:r="http://schemas.openxmlformats.org/officeDocument/2006/relationships" name="External_Reference" sheetId="125" state="visible" r:id="rId125"/>
    <sheet xmlns:r="http://schemas.openxmlformats.org/officeDocument/2006/relationships" name="Source_Traceability" sheetId="126" state="visible" r:id="rId126"/>
    <sheet xmlns:r="http://schemas.openxmlformats.org/officeDocument/2006/relationships" name="Completeness_Check" sheetId="127" state="visible" r:id="rId127"/>
    <sheet xmlns:r="http://schemas.openxmlformats.org/officeDocument/2006/relationships" name="Developer_Prompt" sheetId="128" state="visible" r:id="rId128"/>
    <sheet xmlns:r="http://schemas.openxmlformats.org/officeDocument/2006/relationships" name="Build_Status" sheetId="129" state="visible" r:id="rId129"/>
    <sheet xmlns:r="http://schemas.openxmlformats.org/officeDocument/2006/relationships" name="P0-2R_New_Probes" sheetId="130" state="visible" r:id="rId130"/>
    <sheet xmlns:r="http://schemas.openxmlformats.org/officeDocument/2006/relationships" name="R_D01_Cards" sheetId="131" state="visible" r:id="rId131"/>
    <sheet xmlns:r="http://schemas.openxmlformats.org/officeDocument/2006/relationships" name="R_D01_Questions" sheetId="132" state="visible" r:id="rId132"/>
    <sheet xmlns:r="http://schemas.openxmlformats.org/officeDocument/2006/relationships" name="R_D02_Cards" sheetId="133" state="visible" r:id="rId133"/>
    <sheet xmlns:r="http://schemas.openxmlformats.org/officeDocument/2006/relationships" name="R_D02_Questions" sheetId="134" state="visible" r:id="rId134"/>
    <sheet xmlns:r="http://schemas.openxmlformats.org/officeDocument/2006/relationships" name="R_D03_Cards" sheetId="135" state="visible" r:id="rId135"/>
    <sheet xmlns:r="http://schemas.openxmlformats.org/officeDocument/2006/relationships" name="R_D03_Questions" sheetId="136" state="visible" r:id="rId136"/>
    <sheet xmlns:r="http://schemas.openxmlformats.org/officeDocument/2006/relationships" name="R_D04_Cards" sheetId="137" state="visible" r:id="rId137"/>
    <sheet xmlns:r="http://schemas.openxmlformats.org/officeDocument/2006/relationships" name="R_D04_Questions" sheetId="138" state="visible" r:id="rId138"/>
    <sheet xmlns:r="http://schemas.openxmlformats.org/officeDocument/2006/relationships" name="R_D06_Cards" sheetId="139" state="visible" r:id="rId139"/>
    <sheet xmlns:r="http://schemas.openxmlformats.org/officeDocument/2006/relationships" name="R_D06_Questions" sheetId="140" state="visible" r:id="rId140"/>
    <sheet xmlns:r="http://schemas.openxmlformats.org/officeDocument/2006/relationships" name="R_D07_Cards" sheetId="141" state="visible" r:id="rId141"/>
    <sheet xmlns:r="http://schemas.openxmlformats.org/officeDocument/2006/relationships" name="R_D07_Questions" sheetId="142" state="visible" r:id="rId142"/>
    <sheet xmlns:r="http://schemas.openxmlformats.org/officeDocument/2006/relationships" name="R_D08_Cards" sheetId="143" state="visible" r:id="rId143"/>
    <sheet xmlns:r="http://schemas.openxmlformats.org/officeDocument/2006/relationships" name="R_D08_Questions" sheetId="144" state="visible" r:id="rId144"/>
    <sheet xmlns:r="http://schemas.openxmlformats.org/officeDocument/2006/relationships" name="R_D09_Cards" sheetId="145" state="visible" r:id="rId145"/>
    <sheet xmlns:r="http://schemas.openxmlformats.org/officeDocument/2006/relationships" name="R_D09_Questions" sheetId="146" state="visible" r:id="rId146"/>
    <sheet xmlns:r="http://schemas.openxmlformats.org/officeDocument/2006/relationships" name="R_D10_Cards" sheetId="147" state="visible" r:id="rId147"/>
    <sheet xmlns:r="http://schemas.openxmlformats.org/officeDocument/2006/relationships" name="R_D10_Questions" sheetId="148" state="visible" r:id="rId148"/>
    <sheet xmlns:r="http://schemas.openxmlformats.org/officeDocument/2006/relationships" name="R_D11_Cards" sheetId="149" state="visible" r:id="rId149"/>
    <sheet xmlns:r="http://schemas.openxmlformats.org/officeDocument/2006/relationships" name="R_D11_Questions" sheetId="150" state="visible" r:id="rId150"/>
    <sheet xmlns:r="http://schemas.openxmlformats.org/officeDocument/2006/relationships" name="P0-2R_Evidence_Rules" sheetId="151" state="visible" r:id="rId151"/>
    <sheet xmlns:r="http://schemas.openxmlformats.org/officeDocument/2006/relationships" name="P0-2R_CrossDomain_Rules" sheetId="152" state="visible" r:id="rId152"/>
    <sheet xmlns:r="http://schemas.openxmlformats.org/officeDocument/2006/relationships" name="P0-2R_NA_Context" sheetId="153" state="visible" r:id="rId153"/>
    <sheet xmlns:r="http://schemas.openxmlformats.org/officeDocument/2006/relationships" name="P0-2R_Acceptance_Gates" sheetId="154" state="visible" r:id="rId154"/>
    <sheet xmlns:r="http://schemas.openxmlformats.org/officeDocument/2006/relationships" name="P0-3_Scoring_Architecture" sheetId="155" state="visible" r:id="rId155"/>
    <sheet xmlns:r="http://schemas.openxmlformats.org/officeDocument/2006/relationships" name="P0-3_Metric_Rules" sheetId="156" state="visible" r:id="rId156"/>
    <sheet xmlns:r="http://schemas.openxmlformats.org/officeDocument/2006/relationships" name="P0-3_Scorecard" sheetId="157" state="visible" r:id="rId157"/>
    <sheet xmlns:r="http://schemas.openxmlformats.org/officeDocument/2006/relationships" name="P0-3_Domain_Weights" sheetId="158" state="visible" r:id="rId158"/>
    <sheet xmlns:r="http://schemas.openxmlformats.org/officeDocument/2006/relationships" name="P0-3_Domain_Aggregation" sheetId="159" state="visible" r:id="rId159"/>
    <sheet xmlns:r="http://schemas.openxmlformats.org/officeDocument/2006/relationships" name="P0-3_Overall_Index" sheetId="160" state="visible" r:id="rId160"/>
    <sheet xmlns:r="http://schemas.openxmlformats.org/officeDocument/2006/relationships" name="P0-3_Context_Calibration" sheetId="161" state="visible" r:id="rId161"/>
    <sheet xmlns:r="http://schemas.openxmlformats.org/officeDocument/2006/relationships" name="P0-3_Evidence_Confidence" sheetId="162" state="visible" r:id="rId162"/>
    <sheet xmlns:r="http://schemas.openxmlformats.org/officeDocument/2006/relationships" name="P0-3_CrossDomain_Exec" sheetId="163" state="visible" r:id="rId163"/>
    <sheet xmlns:r="http://schemas.openxmlformats.org/officeDocument/2006/relationships" name="P0-3_Sensitivity" sheetId="164" state="visible" r:id="rId164"/>
    <sheet xmlns:r="http://schemas.openxmlformats.org/officeDocument/2006/relationships" name="P0-3_Validation_Plan" sheetId="165" state="visible" r:id="rId165"/>
    <sheet xmlns:r="http://schemas.openxmlformats.org/officeDocument/2006/relationships" name="P0-3_Acceptance_Gates" sheetId="166" state="visible" r:id="rId166"/>
    <sheet xmlns:r="http://schemas.openxmlformats.org/officeDocument/2006/relationships" name="P0-3_Change_Log" sheetId="167" state="visible" r:id="rId167"/>
    <sheet xmlns:r="http://schemas.openxmlformats.org/officeDocument/2006/relationships" name="P0-4_Context_Profile" sheetId="168" state="visible" r:id="rId168"/>
    <sheet xmlns:r="http://schemas.openxmlformats.org/officeDocument/2006/relationships" name="P0-4_Context_Factors" sheetId="169" state="visible" r:id="rId169"/>
    <sheet xmlns:r="http://schemas.openxmlformats.org/officeDocument/2006/relationships" name="P0-4_Domain_Sensitivity" sheetId="170" state="visible" r:id="rId170"/>
    <sheet xmlns:r="http://schemas.openxmlformats.org/officeDocument/2006/relationships" name="P0-4_Required_Maturity" sheetId="171" state="visible" r:id="rId171"/>
    <sheet xmlns:r="http://schemas.openxmlformats.org/officeDocument/2006/relationships" name="P0-4_Context_Rationale" sheetId="172" state="visible" r:id="rId172"/>
    <sheet xmlns:r="http://schemas.openxmlformats.org/officeDocument/2006/relationships" name="P0-4_Transformation_Distance" sheetId="173" state="visible" r:id="rId173"/>
    <sheet xmlns:r="http://schemas.openxmlformats.org/officeDocument/2006/relationships" name="P0-4_Evidence_Burden" sheetId="174" state="visible" r:id="rId174"/>
    <sheet xmlns:r="http://schemas.openxmlformats.org/officeDocument/2006/relationships" name="P0-4_Applicability_Rules" sheetId="175" state="visible" r:id="rId175"/>
    <sheet xmlns:r="http://schemas.openxmlformats.org/officeDocument/2006/relationships" name="P0-4_Sensitivity" sheetId="176" state="visible" r:id="rId176"/>
    <sheet xmlns:r="http://schemas.openxmlformats.org/officeDocument/2006/relationships" name="P0-4_Acceptance_Gates" sheetId="177" state="visible" r:id="rId177"/>
    <sheet xmlns:r="http://schemas.openxmlformats.org/officeDocument/2006/relationships" name="P0-4_Methodology" sheetId="178" state="visible" r:id="rId178"/>
    <sheet xmlns:r="http://schemas.openxmlformats.org/officeDocument/2006/relationships" name="P0-4_Change_Log" sheetId="179" state="visible" r:id="rId179"/>
    <sheet xmlns:r="http://schemas.openxmlformats.org/officeDocument/2006/relationships" name="P0-5_CrossDomain_Master" sheetId="180" state="visible" r:id="rId180"/>
    <sheet xmlns:r="http://schemas.openxmlformats.org/officeDocument/2006/relationships" name="P0-5_Metric_Linkage" sheetId="181" state="visible" r:id="rId181"/>
    <sheet xmlns:r="http://schemas.openxmlformats.org/officeDocument/2006/relationships" name="P0-5_Contradiction_Engine" sheetId="182" state="visible" r:id="rId182"/>
    <sheet xmlns:r="http://schemas.openxmlformats.org/officeDocument/2006/relationships" name="P0-5_Dependency_Engine" sheetId="183" state="visible" r:id="rId183"/>
    <sheet xmlns:r="http://schemas.openxmlformats.org/officeDocument/2006/relationships" name="P0-5_DoubleCount_Protection" sheetId="184" state="visible" r:id="rId184"/>
    <sheet xmlns:r="http://schemas.openxmlformats.org/officeDocument/2006/relationships" name="P0-5_Diagnostic_Summary" sheetId="185" state="visible" r:id="rId185"/>
    <sheet xmlns:r="http://schemas.openxmlformats.org/officeDocument/2006/relationships" name="P0-5_Executive_Diagnostics" sheetId="186" state="visible" r:id="rId186"/>
    <sheet xmlns:r="http://schemas.openxmlformats.org/officeDocument/2006/relationships" name="P0-5_Acceptance_Gates" sheetId="187" state="visible" r:id="rId187"/>
    <sheet xmlns:r="http://schemas.openxmlformats.org/officeDocument/2006/relationships" name="P0-5_Methodology" sheetId="188" state="visible" r:id="rId188"/>
    <sheet xmlns:r="http://schemas.openxmlformats.org/officeDocument/2006/relationships" name="P0-5_Change_Log" sheetId="189" state="visible" r:id="rId189"/>
    <sheet xmlns:r="http://schemas.openxmlformats.org/officeDocument/2006/relationships" name="P0-6_Evidence_Master" sheetId="190" state="visible" r:id="rId190"/>
    <sheet xmlns:r="http://schemas.openxmlformats.org/officeDocument/2006/relationships" name="P0-6_Evidence_Register" sheetId="191" state="visible" r:id="rId191"/>
    <sheet xmlns:r="http://schemas.openxmlformats.org/officeDocument/2006/relationships" name="P0-6_Confidence_Engine" sheetId="192" state="visible" r:id="rId192"/>
    <sheet xmlns:r="http://schemas.openxmlformats.org/officeDocument/2006/relationships" name="P0-6_AntiGaming" sheetId="193" state="visible" r:id="rId193"/>
    <sheet xmlns:r="http://schemas.openxmlformats.org/officeDocument/2006/relationships" name="P0-6_Temporal_Validity" sheetId="194" state="visible" r:id="rId194"/>
    <sheet xmlns:r="http://schemas.openxmlformats.org/officeDocument/2006/relationships" name="P0-6_Triangulation" sheetId="195" state="visible" r:id="rId195"/>
    <sheet xmlns:r="http://schemas.openxmlformats.org/officeDocument/2006/relationships" name="P0-6_Evidence_Burden" sheetId="196" state="visible" r:id="rId196"/>
    <sheet xmlns:r="http://schemas.openxmlformats.org/officeDocument/2006/relationships" name="P0-6_Reuse_Control" sheetId="197" state="visible" r:id="rId197"/>
    <sheet xmlns:r="http://schemas.openxmlformats.org/officeDocument/2006/relationships" name="P0-6_Validation" sheetId="198" state="visible" r:id="rId198"/>
    <sheet xmlns:r="http://schemas.openxmlformats.org/officeDocument/2006/relationships" name="P0-6_Methodology" sheetId="199" state="visible" r:id="rId199"/>
    <sheet xmlns:r="http://schemas.openxmlformats.org/officeDocument/2006/relationships" name="P0-6_Change_Log" sheetId="200" state="visible" r:id="rId200"/>
    <sheet xmlns:r="http://schemas.openxmlformats.org/officeDocument/2006/relationships" name="P0-7_Executive" sheetId="201" state="visible" r:id="rId201"/>
    <sheet xmlns:r="http://schemas.openxmlformats.org/officeDocument/2006/relationships" name="P0-7_Calibration_Master" sheetId="202" state="visible" r:id="rId202"/>
    <sheet xmlns:r="http://schemas.openxmlformats.org/officeDocument/2006/relationships" name="P0-7_Assessor_Calibration" sheetId="203" state="visible" r:id="rId203"/>
    <sheet xmlns:r="http://schemas.openxmlformats.org/officeDocument/2006/relationships" name="P0-7_InterRater" sheetId="204" state="visible" r:id="rId204"/>
    <sheet xmlns:r="http://schemas.openxmlformats.org/officeDocument/2006/relationships" name="P0-7_TestRetest" sheetId="205" state="visible" r:id="rId205"/>
    <sheet xmlns:r="http://schemas.openxmlformats.org/officeDocument/2006/relationships" name="P0-7_Validity_Framework" sheetId="206" state="visible" r:id="rId206"/>
    <sheet xmlns:r="http://schemas.openxmlformats.org/officeDocument/2006/relationships" name="P0-7_Sensitivity" sheetId="207" state="visible" r:id="rId207"/>
    <sheet xmlns:r="http://schemas.openxmlformats.org/officeDocument/2006/relationships" name="P0-7_Threshold_Governance" sheetId="208" state="visible" r:id="rId208"/>
    <sheet xmlns:r="http://schemas.openxmlformats.org/officeDocument/2006/relationships" name="P0-7_Pilot_Design" sheetId="209" state="visible" r:id="rId209"/>
    <sheet xmlns:r="http://schemas.openxmlformats.org/officeDocument/2006/relationships" name="P0-7_Revision_Rules" sheetId="210" state="visible" r:id="rId210"/>
    <sheet xmlns:r="http://schemas.openxmlformats.org/officeDocument/2006/relationships" name="P0-7_Acceptance_Gates" sheetId="211" state="visible" r:id="rId211"/>
    <sheet xmlns:r="http://schemas.openxmlformats.org/officeDocument/2006/relationships" name="P0-7_Methodology" sheetId="212" state="visible" r:id="rId212"/>
    <sheet xmlns:r="http://schemas.openxmlformats.org/officeDocument/2006/relationships" name="P0-7_Change_Log" sheetId="213" state="visible" r:id="rId213"/>
    <sheet xmlns:r="http://schemas.openxmlformats.org/officeDocument/2006/relationships" name="P0-8_Execution_Map" sheetId="214" state="visible" r:id="rId214"/>
    <sheet xmlns:r="http://schemas.openxmlformats.org/officeDocument/2006/relationships" name="P0-8_Profile_Form" sheetId="215" state="visible" r:id="rId215"/>
    <sheet xmlns:r="http://schemas.openxmlformats.org/officeDocument/2006/relationships" name="P0-8_Applicability" sheetId="216" state="visible" r:id="rId216"/>
    <sheet xmlns:r="http://schemas.openxmlformats.org/officeDocument/2006/relationships" name="P0-8_Question_Router" sheetId="217" state="visible" r:id="rId217"/>
    <sheet xmlns:r="http://schemas.openxmlformats.org/officeDocument/2006/relationships" name="P0-8_Evidence_Sampler" sheetId="218" state="visible" r:id="rId218"/>
    <sheet xmlns:r="http://schemas.openxmlformats.org/officeDocument/2006/relationships" name="P0-8_Assessor_Workflow" sheetId="219" state="visible" r:id="rId219"/>
    <sheet xmlns:r="http://schemas.openxmlformats.org/officeDocument/2006/relationships" name="P0-8_Respondent_Burden" sheetId="220" state="visible" r:id="rId220"/>
    <sheet xmlns:r="http://schemas.openxmlformats.org/officeDocument/2006/relationships" name="P0-8_Execution_Log" sheetId="221" state="visible" r:id="rId221"/>
    <sheet xmlns:r="http://schemas.openxmlformats.org/officeDocument/2006/relationships" name="P0-8_Acceptance_Gates" sheetId="222" state="visible" r:id="rId222"/>
  </sheets>
  <definedNames>
    <definedName name="_xlnm._FilterDatabase" localSheetId="2" hidden="1">'P0-2_Metric_Measurement_Master'!$A$1:$L$144</definedName>
    <definedName name="_xlnm._FilterDatabase" localSheetId="3" hidden="1">'P0-2_Coverage_Summary'!$A$1:$G$12</definedName>
    <definedName name="_xlnm._FilterDatabase" localSheetId="4" hidden="1">'P0-2_Metric_Spec_Template'!$A$1:$P$144</definedName>
    <definedName name="_xlnm._FilterDatabase" localSheetId="5" hidden="1">'P0-2_D01_Measurement'!$A$1:$J$11</definedName>
    <definedName name="_xlnm._FilterDatabase" localSheetId="6" hidden="1">'P0-2_D02_Measurement'!$A$1:$J$15</definedName>
    <definedName name="_xlnm._FilterDatabase" localSheetId="7" hidden="1">'P0-2_D03_Measurement'!$A$1:$J$18</definedName>
    <definedName name="_xlnm._FilterDatabase" localSheetId="8" hidden="1">'P0-2_D04_Measurement'!$A$1:$J$13</definedName>
    <definedName name="_xlnm._FilterDatabase" localSheetId="9" hidden="1">'P0-2_D05_Measurement'!$A$1:$J$13</definedName>
    <definedName name="_xlnm._FilterDatabase" localSheetId="10" hidden="1">'P0-2_D06_Measurement'!$A$1:$J$15</definedName>
    <definedName name="_xlnm._FilterDatabase" localSheetId="11" hidden="1">'P0-2_D07_Measurement'!$A$1:$J$13</definedName>
    <definedName name="_xlnm._FilterDatabase" localSheetId="12" hidden="1">'P0-2_D08_Measurement'!$A$1:$J$13</definedName>
    <definedName name="_xlnm._FilterDatabase" localSheetId="13" hidden="1">'P0-2_D09_Measurement'!$A$1:$J$13</definedName>
    <definedName name="_xlnm._FilterDatabase" localSheetId="14" hidden="1">'P0-2_D10_Measurement'!$A$1:$J$15</definedName>
    <definedName name="_xlnm._FilterDatabase" localSheetId="15" hidden="1">'P0-2_D11_Measurement'!$A$1:$J$15</definedName>
    <definedName name="_xlnm._FilterDatabase" localSheetId="16" hidden="1">'P0-2_Measurement_Governance'!$A$1:$C$11</definedName>
    <definedName name="_xlnm._FilterDatabase" localSheetId="17" hidden="1">'P0-2_Acceptance_Gates'!$A$1:$D$9</definedName>
    <definedName name="_xlnm._FilterDatabase" localSheetId="18" hidden="1">'P0-1_Global_Maturity_Scale'!$A$1:$D$7</definedName>
    <definedName name="_xlnm._FilterDatabase" localSheetId="19" hidden="1">'P0-1_Maturity_Anchor_Master'!$A$1:$G$67</definedName>
    <definedName name="_xlnm._FilterDatabase" localSheetId="20" hidden="1">'P0-1_Anchor_Design_Rules'!$A$1:$B$13</definedName>
    <definedName name="_xlnm._FilterDatabase" localSheetId="21" hidden="1">'P0-1_Anchor_Traceability'!$A$1:$F$67</definedName>
    <definedName name="_xlnm._FilterDatabase" localSheetId="22" hidden="1">'D01_Maturity_Anchors'!$A$1:$G$7</definedName>
    <definedName name="_xlnm._FilterDatabase" localSheetId="23" hidden="1">'D02_Maturity_Anchors'!$A$1:$G$7</definedName>
    <definedName name="_xlnm._FilterDatabase" localSheetId="24" hidden="1">'D03_Maturity_Anchors'!$A$1:$G$7</definedName>
    <definedName name="_xlnm._FilterDatabase" localSheetId="25" hidden="1">'D04_Maturity_Anchors'!$A$1:$G$7</definedName>
    <definedName name="_xlnm._FilterDatabase" localSheetId="26" hidden="1">'D05_Maturity_Anchors'!$A$1:$G$7</definedName>
    <definedName name="_xlnm._FilterDatabase" localSheetId="27" hidden="1">'D06_Maturity_Anchors'!$A$1:$G$7</definedName>
    <definedName name="_xlnm._FilterDatabase" localSheetId="28" hidden="1">'D07_Maturity_Anchors'!$A$1:$G$7</definedName>
    <definedName name="_xlnm._FilterDatabase" localSheetId="29" hidden="1">'D08_Maturity_Anchors'!$A$1:$G$7</definedName>
    <definedName name="_xlnm._FilterDatabase" localSheetId="30" hidden="1">'D09_Maturity_Anchors'!$A$1:$G$7</definedName>
    <definedName name="_xlnm._FilterDatabase" localSheetId="31" hidden="1">'D10_Maturity_Anchors'!$A$1:$G$7</definedName>
    <definedName name="_xlnm._FilterDatabase" localSheetId="32" hidden="1">'D11_Maturity_Anchors'!$A$1:$G$7</definedName>
    <definedName name="_xlnm._FilterDatabase" localSheetId="33" hidden="1">'Master_Architecture'!$A$1:$F$12</definedName>
    <definedName name="_xlnm._FilterDatabase" localSheetId="34" hidden="1">'README'!$A$1:$B$11</definedName>
    <definedName name="_xlnm._FilterDatabase" localSheetId="35" hidden="1">'Domains'!$A$1:$C$12</definedName>
    <definedName name="_xlnm._FilterDatabase" localSheetId="36" hidden="1">'Institution_Profile'!$A$1:$E$26</definedName>
    <definedName name="_xlnm._FilterDatabase" localSheetId="37" hidden="1">'Institutional_Data'!$A$1:$E$24</definedName>
    <definedName name="_xlnm._FilterDatabase" localSheetId="38" hidden="1">'Capability_Areas'!$A$1:$C$144</definedName>
    <definedName name="_xlnm._FilterDatabase" localSheetId="39" hidden="1">'Indicators_Metrics'!$A$1:$F$144</definedName>
    <definedName name="_xlnm._FilterDatabase" localSheetId="40" hidden="1">'Assessment_Cards'!$A$1:$F$70</definedName>
    <definedName name="_xlnm._FilterDatabase" localSheetId="41" hidden="1">'Question_Bank'!$A$1:$G$64</definedName>
    <definedName name="_xlnm._FilterDatabase" localSheetId="42" hidden="1">'D03_NonTechnical_Pathway'!$A$1:$C$36</definedName>
    <definedName name="_xlnm._FilterDatabase" localSheetId="43" hidden="1">'D03_Discipline_Library'!$A$1:$G$36</definedName>
    <definedName name="_xlnm._FilterDatabase" localSheetId="44" hidden="1">'Maturity_Anchors'!$A$1:$D$58</definedName>
    <definedName name="_xlnm._FilterDatabase" localSheetId="45" hidden="1">'Derived_Outputs'!$A$1:$D$29</definedName>
    <definedName name="_xlnm._FilterDatabase" localSheetId="46" hidden="1">'Scoring_Evidence_Rules'!$A$1:$E$11</definedName>
    <definedName name="_xlnm._FilterDatabase" localSheetId="47" hidden="1">'Evidence_Requirements'!$A$1:$F$19</definedName>
    <definedName name="_xlnm._FilterDatabase" localSheetId="48" hidden="1">'QA_Checks'!$A$1:$D$13</definedName>
    <definedName name="_xlnm._FilterDatabase" localSheetId="49" hidden="1">'Reality_Gradient'!$A$1:$D$6</definedName>
    <definedName name="_xlnm._FilterDatabase" localSheetId="50" hidden="1">'Context_Calibration'!$A$1:$D$10</definedName>
    <definedName name="_xlnm._FilterDatabase" localSheetId="51" hidden="1">'Assessment_Input_Architecture'!$A$1:$D$8</definedName>
    <definedName name="_xlnm._FilterDatabase" localSheetId="52" hidden="1">'D01_Matrix'!$A$1:$J$11</definedName>
    <definedName name="_xlnm._FilterDatabase" localSheetId="53" hidden="1">'D01_Assessment_Cards'!$A$1:$F$11</definedName>
    <definedName name="_xlnm._FilterDatabase" localSheetId="54" hidden="1">'D01_Question_Bank'!$A$1:$G$8</definedName>
    <definedName name="_xlnm._FilterDatabase" localSheetId="55" hidden="1">'D01_Evidence'!$A$1:$G$6</definedName>
    <definedName name="_xlnm._FilterDatabase" localSheetId="56" hidden="1">'D01_Institutional_Data'!$A$1:$G$10</definedName>
    <definedName name="_xlnm._FilterDatabase" localSheetId="57" hidden="1">'D01_QA_Checks'!$A$1:$D$17</definedName>
    <definedName name="_xlnm._FilterDatabase" localSheetId="58" hidden="1">'D02_Matrix'!$A$1:$J$15</definedName>
    <definedName name="_xlnm._FilterDatabase" localSheetId="59" hidden="1">'D02_Assessment_Cards'!$A$1:$F$11</definedName>
    <definedName name="_xlnm._FilterDatabase" localSheetId="60" hidden="1">'D02_Question_Bank'!$A$1:$G$10</definedName>
    <definedName name="_xlnm._FilterDatabase" localSheetId="61" hidden="1">'D02_Evidence'!$A$1:$G$8</definedName>
    <definedName name="_xlnm._FilterDatabase" localSheetId="62" hidden="1">'D02_Institutional_Data'!$A$1:$G$7</definedName>
    <definedName name="_xlnm._FilterDatabase" localSheetId="63" hidden="1">'D02_QA_Checks'!$A$1:$D$17</definedName>
    <definedName name="_xlnm._FilterDatabase" localSheetId="64" hidden="1">'D03_Matrix'!$A$1:$J$18</definedName>
    <definedName name="_xlnm._FilterDatabase" localSheetId="65" hidden="1">'D03_Assessment_Cards'!$A$1:$F$12</definedName>
    <definedName name="_xlnm._FilterDatabase" localSheetId="66" hidden="1">'D03_Question_Bank'!$A$1:$G$10</definedName>
    <definedName name="_xlnm._FilterDatabase" localSheetId="67" hidden="1">'D03_Evidence'!$A$1:$G$7</definedName>
    <definedName name="_xlnm._FilterDatabase" localSheetId="68" hidden="1">'D03_Institutional_Data'!$A$1:$G$9</definedName>
    <definedName name="_xlnm._FilterDatabase" localSheetId="69" hidden="1">'D03_QA_Checks'!$A$1:$D$17</definedName>
    <definedName name="_xlnm._FilterDatabase" localSheetId="70" hidden="1">'D04_Matrix'!$A$1:$J$13</definedName>
    <definedName name="_xlnm._FilterDatabase" localSheetId="71" hidden="1">'D04_Assessment_Cards'!$A$1:$F$6</definedName>
    <definedName name="_xlnm._FilterDatabase" localSheetId="72" hidden="1">'D04_Question_Bank'!$A$1:$G$6</definedName>
    <definedName name="_xlnm._FilterDatabase" localSheetId="73" hidden="1">'D04_Evidence'!$A$1:$G$6</definedName>
    <definedName name="_xlnm._FilterDatabase" localSheetId="74" hidden="1">'D04_Institutional_Data'!$A$1:$G$13</definedName>
    <definedName name="_xlnm._FilterDatabase" localSheetId="75" hidden="1">'D04_QA_Checks'!$A$1:$D$17</definedName>
    <definedName name="_xlnm._FilterDatabase" localSheetId="76" hidden="1">'D05_Matrix'!$A$1:$J$13</definedName>
    <definedName name="_xlnm._FilterDatabase" localSheetId="77" hidden="1">'D05_Assessment_Cards'!$A$1:$F$6</definedName>
    <definedName name="_xlnm._FilterDatabase" localSheetId="78" hidden="1">'D05_Question_Bank'!$A$1:$G$6</definedName>
    <definedName name="_xlnm._FilterDatabase" localSheetId="79" hidden="1">'D05_Evidence'!$A$1:$G$6</definedName>
    <definedName name="_xlnm._FilterDatabase" localSheetId="80" hidden="1">'D05_Institutional_Data'!$A$1:$G$13</definedName>
    <definedName name="_xlnm._FilterDatabase" localSheetId="81" hidden="1">'D05_QA_Checks'!$A$1:$D$17</definedName>
    <definedName name="_xlnm._FilterDatabase" localSheetId="82" hidden="1">'D06_Matrix'!$A$1:$J$15</definedName>
    <definedName name="_xlnm._FilterDatabase" localSheetId="83" hidden="1">'D06_Assessment_Cards'!$A$1:$F$6</definedName>
    <definedName name="_xlnm._FilterDatabase" localSheetId="84" hidden="1">'D06_Question_Bank'!$A$1:$G$6</definedName>
    <definedName name="_xlnm._FilterDatabase" localSheetId="85" hidden="1">'D06_Evidence'!$A$1:$G$6</definedName>
    <definedName name="_xlnm._FilterDatabase" localSheetId="86" hidden="1">'D06_Institutional_Data'!$A$1:$G$15</definedName>
    <definedName name="_xlnm._FilterDatabase" localSheetId="87" hidden="1">'D06_QA_Checks'!$A$1:$D$17</definedName>
    <definedName name="_xlnm._FilterDatabase" localSheetId="88" hidden="1">'D07_Matrix'!$A$1:$J$13</definedName>
    <definedName name="_xlnm._FilterDatabase" localSheetId="89" hidden="1">'D07_Assessment_Cards'!$A$1:$F$6</definedName>
    <definedName name="_xlnm._FilterDatabase" localSheetId="90" hidden="1">'D07_Question_Bank'!$A$1:$G$6</definedName>
    <definedName name="_xlnm._FilterDatabase" localSheetId="91" hidden="1">'D07_Evidence'!$A$1:$G$6</definedName>
    <definedName name="_xlnm._FilterDatabase" localSheetId="92" hidden="1">'D07_Institutional_Data'!$A$1:$G$13</definedName>
    <definedName name="_xlnm._FilterDatabase" localSheetId="93" hidden="1">'D07_QA_Checks'!$A$1:$D$17</definedName>
    <definedName name="_xlnm._FilterDatabase" localSheetId="94" hidden="1">'D08_Matrix'!$A$1:$J$13</definedName>
    <definedName name="_xlnm._FilterDatabase" localSheetId="95" hidden="1">'D08_Assessment_Cards'!$A$1:$F$5</definedName>
    <definedName name="_xlnm._FilterDatabase" localSheetId="96" hidden="1">'D08_Question_Bank'!$A$1:$G$5</definedName>
    <definedName name="_xlnm._FilterDatabase" localSheetId="97" hidden="1">'D08_Evidence'!$A$1:$G$5</definedName>
    <definedName name="_xlnm._FilterDatabase" localSheetId="98" hidden="1">'D08_Institutional_Data'!$A$1:$G$13</definedName>
    <definedName name="_xlnm._FilterDatabase" localSheetId="99" hidden="1">'D08_QA_Checks'!$A$1:$D$17</definedName>
    <definedName name="_xlnm._FilterDatabase" localSheetId="100" hidden="1">'D09_Matrix'!$A$1:$J$13</definedName>
    <definedName name="_xlnm._FilterDatabase" localSheetId="101" hidden="1">'D09_Assessment_Cards'!$A$1:$F$5</definedName>
    <definedName name="_xlnm._FilterDatabase" localSheetId="102" hidden="1">'D09_Question_Bank'!$A$1:$G$5</definedName>
    <definedName name="_xlnm._FilterDatabase" localSheetId="103" hidden="1">'D09_Evidence'!$A$1:$G$5</definedName>
    <definedName name="_xlnm._FilterDatabase" localSheetId="104" hidden="1">'D09_Institutional_Data'!$A$1:$G$13</definedName>
    <definedName name="_xlnm._FilterDatabase" localSheetId="105" hidden="1">'D09_QA_Checks'!$A$1:$D$17</definedName>
    <definedName name="_xlnm._FilterDatabase" localSheetId="106" hidden="1">'D10_Matrix'!$A$1:$J$15</definedName>
    <definedName name="_xlnm._FilterDatabase" localSheetId="107" hidden="1">'D10_Assessment_Cards'!$A$1:$F$6</definedName>
    <definedName name="_xlnm._FilterDatabase" localSheetId="108" hidden="1">'D10_Question_Bank'!$A$1:$G$6</definedName>
    <definedName name="_xlnm._FilterDatabase" localSheetId="109" hidden="1">'D10_Evidence'!$A$1:$G$6</definedName>
    <definedName name="_xlnm._FilterDatabase" localSheetId="110" hidden="1">'D10_Institutional_Data'!$A$1:$G$15</definedName>
    <definedName name="_xlnm._FilterDatabase" localSheetId="111" hidden="1">'D10_QA_Checks'!$A$1:$D$17</definedName>
    <definedName name="_xlnm._FilterDatabase" localSheetId="112" hidden="1">'D11_Matrix'!$A$1:$J$15</definedName>
    <definedName name="_xlnm._FilterDatabase" localSheetId="113" hidden="1">'D11_Assessment_Cards'!$A$1:$F$6</definedName>
    <definedName name="_xlnm._FilterDatabase" localSheetId="114" hidden="1">'D11_Question_Bank'!$A$1:$G$6</definedName>
    <definedName name="_xlnm._FilterDatabase" localSheetId="115" hidden="1">'D11_Evidence'!$A$1:$G$6</definedName>
    <definedName name="_xlnm._FilterDatabase" localSheetId="116" hidden="1">'D11_Institutional_Data'!$A$1:$G$15</definedName>
    <definedName name="_xlnm._FilterDatabase" localSheetId="117" hidden="1">'D11_QA_Checks'!$A$1:$D$17</definedName>
    <definedName name="_xlnm._FilterDatabase" localSheetId="118" hidden="1">'Measurement_Architecture'!$A$1:$F$9</definedName>
    <definedName name="_xlnm._FilterDatabase" localSheetId="119" hidden="1">'Cross_Domain_Links'!$A$1:$D$21</definedName>
    <definedName name="_xlnm._FilterDatabase" localSheetId="120" hidden="1">'Domain_Weights'!$A$1:$D$13</definedName>
    <definedName name="_xlnm._FilterDatabase" localSheetId="121" hidden="1">'Architecture_Audit'!$A$1:$E$15</definedName>
    <definedName name="_xlnm._FilterDatabase" localSheetId="122" hidden="1">'Scoring_Architecture'!$A$1:$D$10</definedName>
    <definedName name="_xlnm._FilterDatabase" localSheetId="123" hidden="1">'Scoring_Formula_Spec'!$A$1:$D$11</definedName>
    <definedName name="_xlnm._FilterDatabase" localSheetId="124" hidden="1">'External_Reference'!$A$1:$D$8</definedName>
    <definedName name="_xlnm._FilterDatabase" localSheetId="125" hidden="1">'Source_Traceability'!$A$1:$D$6</definedName>
    <definedName name="_xlnm._FilterDatabase" localSheetId="126" hidden="1">'Completeness_Check'!$A$1:$E$18</definedName>
    <definedName name="_xlnm._FilterDatabase" localSheetId="128" hidden="1">'Build_Status'!$A$1:$C$15</definedName>
    <definedName name="_xlnm._FilterDatabase" localSheetId="168" hidden="1">'P0-4_Context_Factors'!$A$1:$E$18</definedName>
    <definedName name="_xlnm._FilterDatabase" localSheetId="169" hidden="1">'P0-4_Domain_Sensitivity'!$A$1:$J$12</definedName>
    <definedName name="_xlnm._FilterDatabase" localSheetId="170" hidden="1">'P0-4_Required_Maturity'!$A$1:$K$12</definedName>
    <definedName name="_xlnm._FilterDatabase" localSheetId="171" hidden="1">'P0-4_Context_Rationale'!$A$1:$E$11</definedName>
    <definedName name="_xlnm._FilterDatabase" localSheetId="172" hidden="1">'P0-4_Transformation_Distance'!$A$1:$G$12</definedName>
    <definedName name="_xlnm._FilterDatabase" localSheetId="173" hidden="1">'P0-4_Evidence_Burden'!$A$1:$F$12</definedName>
    <definedName name="_xlnm._FilterDatabase" localSheetId="174" hidden="1">'P0-4_Applicability_Rules'!$A$1:$B$9</definedName>
    <definedName name="_xlnm._FilterDatabase" localSheetId="175" hidden="1">'P0-4_Sensitivity'!$A$1:$E$7</definedName>
    <definedName name="_xlnm._FilterDatabase" localSheetId="176" hidden="1">'P0-4_Acceptance_Gates'!$A$1:$E$11</definedName>
    <definedName name="_xlnm._FilterDatabase" localSheetId="178" hidden="1">'P0-4_Change_Log'!$A$1:$E$6</definedName>
    <definedName name="_xlnm._FilterDatabase" localSheetId="179" hidden="1">'P0-5_CrossDomain_Master'!$A$1:$I$26</definedName>
    <definedName name="_xlnm._FilterDatabase" localSheetId="180" hidden="1">'P0-5_Metric_Linkage'!$A$1:$K$414</definedName>
    <definedName name="_xlnm._FilterDatabase" localSheetId="181" hidden="1">'P0-5_Contradiction_Engine'!$A$1:$L$414</definedName>
    <definedName name="_xlnm._FilterDatabase" localSheetId="182" hidden="1">'P0-5_Dependency_Engine'!$A$1:$J$414</definedName>
    <definedName name="_xlnm._FilterDatabase" localSheetId="183" hidden="1">'P0-5_DoubleCount_Protection'!$A$1:$E$9</definedName>
    <definedName name="_xlnm._FilterDatabase" localSheetId="184" hidden="1">'P0-5_Diagnostic_Summary'!$A$1:$E$7</definedName>
    <definedName name="_xlnm._FilterDatabase" localSheetId="186" hidden="1">'P0-5_Acceptance_Gates'!$A$1:$E$7</definedName>
    <definedName name="_xlnm._FilterDatabase" localSheetId="187" hidden="1">'P0-5_Methodology'!$A$1:$B$9</definedName>
    <definedName name="_xlnm._FilterDatabase" localSheetId="188" hidden="1">'P0-5_Change_Log'!$A$1:$C$5</definedName>
    <definedName name="_xlnm._FilterDatabase" localSheetId="189" hidden="1">'P0-6_Evidence_Master'!$A$1:$R$1</definedName>
    <definedName name="_xlnm._FilterDatabase" localSheetId="190" hidden="1">'P0-6_Evidence_Register'!$A$1:$R$1</definedName>
    <definedName name="_xlnm._FilterDatabase" localSheetId="191" hidden="1">'P0-6_Confidence_Engine'!$A$1:$N$1</definedName>
    <definedName name="_xlnm._FilterDatabase" localSheetId="192" hidden="1">'P0-6_AntiGaming'!$A$1:$G$1</definedName>
    <definedName name="_xlnm._FilterDatabase" localSheetId="193" hidden="1">'P0-6_Temporal_Validity'!$A$1:$E$1</definedName>
    <definedName name="_xlnm._FilterDatabase" localSheetId="194" hidden="1">'P0-6_Triangulation'!$A$1:$F$1</definedName>
    <definedName name="_xlnm._FilterDatabase" localSheetId="195" hidden="1">'P0-6_Evidence_Burden'!$A$1:$F$1</definedName>
    <definedName name="_xlnm._FilterDatabase" localSheetId="196" hidden="1">'P0-6_Reuse_Control'!$A$1:$E$1</definedName>
    <definedName name="_xlnm._FilterDatabase" localSheetId="197" hidden="1">'P0-6_Validation'!$A$1:$E$1</definedName>
    <definedName name="_xlnm._FilterDatabase" localSheetId="198" hidden="1">'P0-6_Methodology'!$A$1:$D$1</definedName>
    <definedName name="_xlnm._FilterDatabase" localSheetId="199" hidden="1">'P0-6_Change_Log'!$A$1:$D$1</definedName>
    <definedName name="_xlnm._FilterDatabase" localSheetId="201" hidden="1">'P0-7_Calibration_Master'!$A$1:$J$144</definedName>
    <definedName name="_xlnm._FilterDatabase" localSheetId="202" hidden="1">'P0-7_Assessor_Calibration'!$A$1:$J$144</definedName>
    <definedName name="_xlnm._FilterDatabase" localSheetId="203" hidden="1">'P0-7_InterRater'!$A$1:$H$13</definedName>
    <definedName name="_xlnm._FilterDatabase" localSheetId="204" hidden="1">'P0-7_TestRetest'!$A$1:$G$13</definedName>
    <definedName name="_xlnm._FilterDatabase" localSheetId="205" hidden="1">'P0-7_Validity_Framework'!$A$1:$F$6</definedName>
    <definedName name="_xlnm._FilterDatabase" localSheetId="206" hidden="1">'P0-7_Sensitivity'!$A$1:$G$8</definedName>
    <definedName name="_xlnm._FilterDatabase" localSheetId="207" hidden="1">'P0-7_Threshold_Governance'!$A$1:$F$5</definedName>
    <definedName name="_xlnm._FilterDatabase" localSheetId="208" hidden="1">'P0-7_Pilot_Design'!$A$1:$G$5</definedName>
    <definedName name="_xlnm._FilterDatabase" localSheetId="209" hidden="1">'P0-7_Revision_Rules'!$A$1:$D$8</definedName>
    <definedName name="_xlnm._FilterDatabase" localSheetId="210" hidden="1">'P0-7_Acceptance_Gates'!$A$1:$E$12</definedName>
    <definedName name="_xlnm._FilterDatabase" localSheetId="213" hidden="1">'P0-8_Execution_Map'!$A$1:$H$144</definedName>
    <definedName name="_xlnm._FilterDatabase" localSheetId="214" hidden="1">'P0-8_Profile_Form'!$A$1:$E$11</definedName>
    <definedName name="_xlnm._FilterDatabase" localSheetId="215" hidden="1">'P0-8_Applicability'!$A$1:$E$12</definedName>
    <definedName name="_xlnm._FilterDatabase" localSheetId="216" hidden="1">'P0-8_Question_Router'!$A$1:$D$7</definedName>
    <definedName name="_xlnm._FilterDatabase" localSheetId="217" hidden="1">'P0-8_Evidence_Sampler'!$A$1:$E$6</definedName>
    <definedName name="_xlnm._FilterDatabase" localSheetId="218" hidden="1">'P0-8_Assessor_Workflow'!$A$1:$F$9</definedName>
    <definedName name="_xlnm._FilterDatabase" localSheetId="219" hidden="1">'P0-8_Respondent_Burden'!$A$1:$D$5</definedName>
    <definedName name="_xlnm._FilterDatabase" localSheetId="220" hidden="1">'P0-8_Execution_Log'!$A$1:$I$1</definedName>
    <definedName name="_xlnm._FilterDatabase" localSheetId="221" hidden="1">'P0-8_Acceptance_Gates'!$A$1:$D$11</definedName>
  </definedNames>
  <calcPr calcId="124519" calcMode="auto" fullCalcOnLoad="1" forceFullCalc="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Calibri"/>
      <family val="2"/>
      <b val="1"/>
      <color theme="1"/>
      <sz val="11"/>
      <scheme val="minor"/>
    </font>
    <font>
      <name val="Calibri"/>
      <family val="2"/>
      <color theme="1"/>
      <sz val="11"/>
      <scheme val="minor"/>
    </font>
    <font>
      <name val="Calibri"/>
      <family val="2"/>
      <b val="1"/>
      <color rgb="FFFFFFFF"/>
      <sz val="11"/>
      <scheme val="minor"/>
    </font>
    <font>
      <name val="Calibri"/>
      <family val="2"/>
      <b val="1"/>
      <color theme="1"/>
      <sz val="14"/>
      <scheme val="minor"/>
    </font>
    <font>
      <name val="Calibri"/>
      <family val="2"/>
      <b val="1"/>
      <color rgb="FFFFFFFF"/>
      <sz val="11"/>
      <scheme val="minor"/>
    </font>
    <font>
      <b val="1"/>
      <color rgb="00FFFFFF"/>
      <sz val="14"/>
    </font>
    <font>
      <b val="1"/>
    </font>
    <font>
      <b val="1"/>
      <color rgb="00FFFFFF"/>
    </font>
  </fonts>
  <fills count="8">
    <fill>
      <patternFill/>
    </fill>
    <fill>
      <patternFill patternType="gray125"/>
    </fill>
    <fill>
      <patternFill patternType="solid">
        <fgColor rgb="FFD9EAD3"/>
        <bgColor indexed="64"/>
      </patternFill>
    </fill>
    <fill>
      <patternFill patternType="solid">
        <fgColor rgb="FF1F4E78"/>
        <bgColor indexed="64"/>
      </patternFill>
    </fill>
    <fill>
      <patternFill patternType="solid">
        <fgColor rgb="0017365D"/>
      </patternFill>
    </fill>
    <fill>
      <patternFill patternType="solid">
        <fgColor rgb="00D9EAF7"/>
      </patternFill>
    </fill>
    <fill>
      <patternFill patternType="solid">
        <fgColor rgb="001F4E78"/>
      </patternFill>
    </fill>
    <fill>
      <patternFill patternType="solid">
        <fgColor rgb="00FFF2CC"/>
      </patternFill>
    </fill>
  </fills>
  <borders count="4">
    <border>
      <left/>
      <right/>
      <top/>
      <bottom/>
      <diagonal/>
    </border>
    <border>
      <left style="thin">
        <color auto="1"/>
      </left>
      <right style="thin">
        <color auto="1"/>
      </right>
      <top style="thin">
        <color auto="1"/>
      </top>
      <bottom style="thin">
        <color auto="1"/>
      </bottom>
      <diagonal/>
    </border>
    <border>
      <bottom style="thin">
        <color rgb="00B7B7B7"/>
      </bottom>
    </border>
    <border>
      <bottom style="thin">
        <color rgb="00D9E1F2"/>
      </bottom>
    </border>
  </borders>
  <cellStyleXfs count="1">
    <xf numFmtId="0" fontId="2" fillId="0" borderId="0"/>
  </cellStyleXfs>
  <cellXfs count="30">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3" borderId="0" applyAlignment="1" pivotButton="0" quotePrefix="0" xfId="0">
      <alignment horizontal="center" wrapText="1"/>
    </xf>
    <xf numFmtId="0" fontId="3" fillId="3" borderId="1" applyAlignment="1" pivotButton="0" quotePrefix="0" xfId="0">
      <alignment horizontal="center" wrapText="1"/>
    </xf>
    <xf numFmtId="0" fontId="4" fillId="0" borderId="0" applyAlignment="1" pivotButton="0" quotePrefix="0" xfId="0">
      <alignment vertical="top" wrapText="1"/>
    </xf>
    <xf numFmtId="0" fontId="2" fillId="0" borderId="0" pivotButton="0" quotePrefix="0" xfId="0"/>
    <xf numFmtId="0" fontId="5" fillId="3" borderId="0" applyAlignment="1" pivotButton="0" quotePrefix="0" xfId="0">
      <alignment horizontal="center" wrapText="1"/>
    </xf>
    <xf numFmtId="0" fontId="2" fillId="0" borderId="0" applyAlignment="1" pivotButton="0" quotePrefix="0" xfId="0">
      <alignment horizontal="center" wrapText="1"/>
    </xf>
    <xf numFmtId="164" fontId="2" fillId="0" borderId="0" applyAlignment="1" pivotButton="0" quotePrefix="0" xfId="0">
      <alignment horizontal="center" wrapText="1"/>
    </xf>
    <xf numFmtId="2" fontId="2" fillId="0" borderId="0" applyAlignment="1" pivotButton="0" quotePrefix="0" xfId="0">
      <alignment horizontal="center" wrapText="1"/>
    </xf>
    <xf numFmtId="2" fontId="2" fillId="0" borderId="0" applyAlignment="1" pivotButton="0" quotePrefix="0" xfId="0">
      <alignment horizontal="center" wrapText="1"/>
    </xf>
    <xf numFmtId="0" fontId="6" fillId="4" borderId="0" pivotButton="0" quotePrefix="0" xfId="0"/>
    <xf numFmtId="0" fontId="7" fillId="5" borderId="0" pivotButton="0" quotePrefix="0" xfId="0"/>
    <xf numFmtId="0" fontId="7" fillId="0" borderId="0" pivotButton="0" quotePrefix="0" xfId="0"/>
    <xf numFmtId="0" fontId="8" fillId="4" borderId="2" applyAlignment="1" pivotButton="0" quotePrefix="0" xfId="0">
      <alignment horizontal="center" vertical="center" wrapText="1"/>
    </xf>
    <xf numFmtId="1" fontId="0" fillId="0" borderId="0" pivotButton="0" quotePrefix="0" xfId="0"/>
    <xf numFmtId="0" fontId="8" fillId="6" borderId="3" applyAlignment="1" pivotButton="0" quotePrefix="0" xfId="0">
      <alignment vertical="top" wrapText="1"/>
    </xf>
    <xf numFmtId="0" fontId="0" fillId="0" borderId="3" applyAlignment="1" pivotButton="0" quotePrefix="0" xfId="0">
      <alignment vertical="top" wrapText="1"/>
    </xf>
    <xf numFmtId="0" fontId="8" fillId="6" borderId="0" applyAlignment="1" pivotButton="0" quotePrefix="0" xfId="0">
      <alignment vertical="top" wrapText="1"/>
    </xf>
    <xf numFmtId="0" fontId="0" fillId="0" borderId="0" applyAlignment="1" pivotButton="0" quotePrefix="0" xfId="0">
      <alignment vertical="top" wrapText="1"/>
    </xf>
    <xf numFmtId="0" fontId="0" fillId="7" borderId="0" applyAlignment="1" pivotButton="0" quotePrefix="0" xfId="0">
      <alignment vertical="top" wrapText="1"/>
    </xf>
    <xf numFmtId="0" fontId="7" fillId="2" borderId="0" applyAlignment="1" pivotButton="0" quotePrefix="0" xfId="0">
      <alignment vertical="top" wrapText="1"/>
    </xf>
    <xf numFmtId="0" fontId="7" fillId="3" borderId="0" applyAlignment="1" pivotButton="0" quotePrefix="0" xfId="0">
      <alignment horizontal="center" wrapText="1"/>
    </xf>
    <xf numFmtId="0" fontId="7" fillId="3" borderId="1" applyAlignment="1" pivotButton="0" quotePrefix="0" xfId="0">
      <alignment horizontal="center" wrapText="1"/>
    </xf>
    <xf numFmtId="0" fontId="7" fillId="0" borderId="0" applyAlignment="1" pivotButton="0" quotePrefix="0" xfId="0">
      <alignment vertical="top" wrapText="1"/>
    </xf>
    <xf numFmtId="0" fontId="7" fillId="4" borderId="0" pivotButton="0" quotePrefix="0" xfId="0"/>
    <xf numFmtId="0" fontId="7" fillId="4" borderId="2" applyAlignment="1" pivotButton="0" quotePrefix="0" xfId="0">
      <alignment horizontal="center" vertical="center" wrapText="1"/>
    </xf>
    <xf numFmtId="0" fontId="7" fillId="6" borderId="3" applyAlignment="1" pivotButton="0" quotePrefix="0" xfId="0">
      <alignment vertical="top" wrapText="1"/>
    </xf>
    <xf numFmtId="0" fontId="7" fillId="6"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styles" Target="styles.xml" Id="rId223"/><Relationship Type="http://schemas.openxmlformats.org/officeDocument/2006/relationships/theme" Target="theme/theme1.xml" Id="rId2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showGridLines="0" tabSelected="1" workbookViewId="0">
      <pane ySplit="1" topLeftCell="A2" activePane="bottomLeft" state="frozen"/>
      <selection pane="bottomLeft" activeCell="A1" sqref="A1"/>
    </sheetView>
  </sheetViews>
  <sheetFormatPr baseColWidth="8" defaultRowHeight="15"/>
  <cols>
    <col width="20.7109375" customWidth="1" min="1" max="1"/>
    <col width="48.7109375" customWidth="1" min="2" max="2"/>
  </cols>
  <sheetData>
    <row r="1">
      <c r="A1" s="22" t="inlineStr">
        <is>
          <t>Item</t>
        </is>
      </c>
      <c r="B1" s="22" t="inlineStr">
        <is>
          <t>Value</t>
        </is>
      </c>
    </row>
    <row r="2">
      <c r="A2" s="2" t="inlineStr">
        <is>
          <t>Total metrics</t>
        </is>
      </c>
      <c r="B2" s="2" t="n">
        <v>143</v>
      </c>
    </row>
    <row r="3">
      <c r="A3" s="2" t="inlineStr">
        <is>
          <t>Previously GREEN</t>
        </is>
      </c>
      <c r="B3" s="2" t="n">
        <v>41</v>
      </c>
    </row>
    <row r="4">
      <c r="A4" s="2" t="inlineStr">
        <is>
          <t>Previously AMBER</t>
        </is>
      </c>
      <c r="B4" s="2" t="n">
        <v>79</v>
      </c>
    </row>
    <row r="5">
      <c r="A5" s="2" t="inlineStr">
        <is>
          <t>Previously RED</t>
        </is>
      </c>
      <c r="B5" s="2" t="n">
        <v>23</v>
      </c>
    </row>
    <row r="6">
      <c r="A6" s="2" t="inlineStr">
        <is>
          <t>Remediated GREEN</t>
        </is>
      </c>
      <c r="B6" s="2" t="inlineStr">
        <is>
          <t>143/143</t>
        </is>
      </c>
    </row>
    <row r="7">
      <c r="A7" s="2" t="inlineStr">
        <is>
          <t>New direct probes</t>
        </is>
      </c>
      <c r="B7" s="2" t="n">
        <v>33</v>
      </c>
    </row>
    <row r="8">
      <c r="A8" s="2" t="inlineStr">
        <is>
          <t>Measurement status</t>
        </is>
      </c>
      <c r="B8" s="2" t="inlineStr">
        <is>
          <t>GREEN — complete metric-level measurement architecture</t>
        </is>
      </c>
    </row>
    <row r="9">
      <c r="A9" s="2" t="inlineStr">
        <is>
          <t>Validation status</t>
        </is>
      </c>
      <c r="B9" s="2" t="inlineStr">
        <is>
          <t>Still pending for empirical scoring/benchmark validation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W144"/>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46.7109375" customWidth="1" min="3" max="3"/>
    <col width="48.7109375" customWidth="1" min="4" max="5"/>
    <col width="15.7109375" customWidth="1" min="6" max="6"/>
    <col width="19.7109375" customWidth="1" min="7" max="7"/>
    <col width="48.7109375" customWidth="1" min="8" max="9"/>
    <col width="34.7109375" customWidth="1" min="10" max="10"/>
    <col width="48.7109375" customWidth="1" min="11" max="21"/>
    <col width="32.7109375" customWidth="1" min="22" max="22"/>
    <col width="48.7109375" customWidth="1" min="23" max="23"/>
  </cols>
  <sheetData>
    <row r="1">
      <c r="A1" s="22" t="inlineStr">
        <is>
          <t>Domain</t>
        </is>
      </c>
      <c r="B1" s="22" t="inlineStr">
        <is>
          <t>Metric ID</t>
        </is>
      </c>
      <c r="C1" s="22" t="inlineStr">
        <is>
          <t>Metric</t>
        </is>
      </c>
      <c r="D1" s="22" t="inlineStr">
        <is>
          <t>Definition</t>
        </is>
      </c>
      <c r="E1" s="22" t="inlineStr">
        <is>
          <t>Primary Construct Owner</t>
        </is>
      </c>
      <c r="F1" s="22" t="inlineStr">
        <is>
          <t>Existing Card</t>
        </is>
      </c>
      <c r="G1" s="22" t="inlineStr">
        <is>
          <t>Existing Question</t>
        </is>
      </c>
      <c r="H1" s="22" t="inlineStr">
        <is>
          <t>Remediation Instrument</t>
        </is>
      </c>
      <c r="I1" s="22" t="inlineStr">
        <is>
          <t>Measurement Type</t>
        </is>
      </c>
      <c r="J1" s="22" t="inlineStr">
        <is>
          <t>Unit / Scale</t>
        </is>
      </c>
      <c r="K1" s="22" t="inlineStr">
        <is>
          <t>Measurement / Calculation Rule</t>
        </is>
      </c>
      <c r="L1" s="22" t="inlineStr">
        <is>
          <t>Observation Period</t>
        </is>
      </c>
      <c r="M1" s="22" t="inlineStr">
        <is>
          <t>Maturity Rule</t>
        </is>
      </c>
      <c r="N1" s="22" t="inlineStr">
        <is>
          <t>Implementation Depth Rule</t>
        </is>
      </c>
      <c r="O1" s="22" t="inlineStr">
        <is>
          <t>Outcome Eligibility</t>
        </is>
      </c>
      <c r="P1" s="22" t="inlineStr">
        <is>
          <t>Evidence Rule</t>
        </is>
      </c>
      <c r="Q1" s="22" t="inlineStr">
        <is>
          <t>Evidence Confidence Rule</t>
        </is>
      </c>
      <c r="R1" s="22" t="inlineStr">
        <is>
          <t>N/A Rule</t>
        </is>
      </c>
      <c r="S1" s="22" t="inlineStr">
        <is>
          <t>Anti-Gaming Check</t>
        </is>
      </c>
      <c r="T1" s="22" t="inlineStr">
        <is>
          <t>Cross-Domain Validation</t>
        </is>
      </c>
      <c r="U1" s="22" t="inlineStr">
        <is>
          <t>Scoring Owner</t>
        </is>
      </c>
      <c r="V1" s="22" t="inlineStr">
        <is>
          <t>Status</t>
        </is>
      </c>
      <c r="W1" s="22" t="inlineStr">
        <is>
          <t>Status Meaning</t>
        </is>
      </c>
    </row>
    <row r="2">
      <c r="A2" s="2" t="inlineStr">
        <is>
          <t>D01</t>
        </is>
      </c>
      <c r="B2" s="2" t="inlineStr">
        <is>
          <t>I01</t>
        </is>
      </c>
      <c r="C2" s="2" t="inlineStr">
        <is>
          <t>Strategic AI Integration</t>
        </is>
      </c>
      <c r="D2" s="2" t="inlineStr">
        <is>
          <t>Actual AI/future influence on institutional decisions</t>
        </is>
      </c>
      <c r="E2" s="2" t="inlineStr">
        <is>
          <t>Strategy/Planning Office with academic leadership</t>
        </is>
      </c>
      <c r="F2" s="2" t="inlineStr">
        <is>
          <t>NEW</t>
        </is>
      </c>
      <c r="G2" s="2" t="inlineStr">
        <is>
          <t>Q01; Q02</t>
        </is>
      </c>
      <c r="H2" s="2" t="inlineStr">
        <is>
          <t>Existing architecture; metric-level extraction rule added here.</t>
        </is>
      </c>
      <c r="I2" s="2" t="inlineStr">
        <is>
          <t>Coverage/rate + 0–5 rubric</t>
        </is>
      </c>
      <c r="J2" s="2" t="inlineStr">
        <is>
          <t>percentage + 0–5</t>
        </is>
      </c>
      <c r="K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 s="2" t="inlineStr">
        <is>
          <t>Current state + most recent completed academic year; 24-month window for change/experimentation metrics</t>
        </is>
      </c>
      <c r="M2" s="2" t="inlineStr">
        <is>
          <t>Use D01_Maturity_Anchors and score observable metric behaviour: 0 absent; 1 isolated/reactive; 2 emerging/selected; 3 structured/repeatable; 4 integrated/outcome-visible; 5 adaptive/continuously improving.</t>
        </is>
      </c>
      <c r="N2" s="2" t="inlineStr">
        <is>
          <t>0–5 on existence → operating use → repeatability → integration → measured improvement/learning. Policy publication, attendance or isolated pilots cannot establish high depth.</t>
        </is>
      </c>
      <c r="O2" s="2" t="inlineStr">
        <is>
          <t>Use only where a legitimate observable outcome exists. If no valid outcome exists, Outcome=N/A and renormalise maturity/implementation; never invent an outcome.</t>
        </is>
      </c>
      <c r="P2" s="2" t="inlineStr">
        <is>
          <t>Minimum E2 evidence. For score ≥3 require a dated operating example plus corroboration; outcome claims use E3; E4 preferred for independent/high-stakes claims.</t>
        </is>
      </c>
      <c r="Q2" s="2" t="inlineStr">
        <is>
          <t>Report E0–E4 confidence separately from capability score. E0/E1 cannot substantiate maturity ≥3; E2 supports routine practice; E3 outcome; E4 independent/triangulated.</t>
        </is>
      </c>
      <c r="R2" s="2" t="inlineStr">
        <is>
          <t>N/A only for genuine mandate/context inapplicability with assessor approval. Missing data or poor performance is not N/A; approved N/A is excluded from denominator and reported.</t>
        </is>
      </c>
      <c r="S2" s="2" t="inlineStr">
        <is>
          <t>No narrative-only uplift. Require dated artefact/process/work sample and cross-check against a second source, outcome or independent evidence. Policy-only evidence caps maturity at 2.</t>
        </is>
      </c>
      <c r="T2" s="2" t="inlineStr">
        <is>
          <t>Check D02 governance, D03 capability translation, D04 portfolio response and D11 adaptation; no double scoring of same review event.</t>
        </is>
      </c>
      <c r="U2" s="2" t="inlineStr">
        <is>
          <t>Strategy/Planning Office with academic leadership</t>
        </is>
      </c>
      <c r="V2" s="2" t="inlineStr">
        <is>
          <t>GREEN — EXISTING PATH RETAINED</t>
        </is>
      </c>
      <c r="W2" s="2" t="inlineStr">
        <is>
          <t>Measurement path explicit at metric level. This GREEN status means architecture completeness, not empirical validation of the index.</t>
        </is>
      </c>
    </row>
    <row r="3">
      <c r="A3" s="2" t="inlineStr">
        <is>
          <t>D01</t>
        </is>
      </c>
      <c r="B3" s="2" t="inlineStr">
        <is>
          <t>I02</t>
        </is>
      </c>
      <c r="C3" s="2" t="inlineStr">
        <is>
          <t>Future Foresight Maturity</t>
        </is>
      </c>
      <c r="D3" s="2" t="inlineStr">
        <is>
          <t>Ability to test assumptions and detect change early</t>
        </is>
      </c>
      <c r="E3" s="2" t="inlineStr">
        <is>
          <t>Strategy/Planning Office with academic leadership</t>
        </is>
      </c>
      <c r="F3" s="2" t="inlineStr">
        <is>
          <t>NEW</t>
        </is>
      </c>
      <c r="G3" s="2" t="inlineStr">
        <is>
          <t>Q03; Q04</t>
        </is>
      </c>
      <c r="H3" s="2" t="inlineStr">
        <is>
          <t>Existing architecture; metric-level extraction rule added here.</t>
        </is>
      </c>
      <c r="I3" s="2" t="inlineStr">
        <is>
          <t>Capability/process demonstration rubric + evidence</t>
        </is>
      </c>
      <c r="J3" s="2" t="inlineStr">
        <is>
          <t>0–5</t>
        </is>
      </c>
      <c r="K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 s="2" t="inlineStr">
        <is>
          <t>Current state + most recent completed academic year; 24-month window for change/experimentation metrics</t>
        </is>
      </c>
      <c r="M3" s="2" t="inlineStr">
        <is>
          <t>Use D01_Maturity_Anchors and score observable metric behaviour: 0 absent; 1 isolated/reactive; 2 emerging/selected; 3 structured/repeatable; 4 integrated/outcome-visible; 5 adaptive/continuously improving.</t>
        </is>
      </c>
      <c r="N3" s="2" t="inlineStr">
        <is>
          <t>0–5 on existence → operating use → repeatability → integration → measured improvement/learning. Policy publication, attendance or isolated pilots cannot establish high depth.</t>
        </is>
      </c>
      <c r="O3" s="2" t="inlineStr">
        <is>
          <t>Use only where a legitimate observable outcome exists. If no valid outcome exists, Outcome=N/A and renormalise maturity/implementation; never invent an outcome.</t>
        </is>
      </c>
      <c r="P3" s="2" t="inlineStr">
        <is>
          <t>Minimum E2 evidence. For score ≥3 require a dated operating example plus corroboration; outcome claims use E3; E4 preferred for independent/high-stakes claims.</t>
        </is>
      </c>
      <c r="Q3" s="2" t="inlineStr">
        <is>
          <t>Report E0–E4 confidence separately from capability score. E0/E1 cannot substantiate maturity ≥3; E2 supports routine practice; E3 outcome; E4 independent/triangulated.</t>
        </is>
      </c>
      <c r="R3" s="2" t="inlineStr">
        <is>
          <t>N/A only for genuine mandate/context inapplicability with assessor approval. Missing data or poor performance is not N/A; approved N/A is excluded from denominator and reported.</t>
        </is>
      </c>
      <c r="S3" s="2" t="inlineStr">
        <is>
          <t>No narrative-only uplift. Require dated artefact/process/work sample and cross-check against a second source, outcome or independent evidence. Policy-only evidence caps maturity at 2.</t>
        </is>
      </c>
      <c r="T3" s="2" t="inlineStr">
        <is>
          <t>Check D02 governance, D03 capability translation, D04 portfolio response and D11 adaptation; no double scoring of same review event.</t>
        </is>
      </c>
      <c r="U3" s="2" t="inlineStr">
        <is>
          <t>Strategy/Planning Office with academic leadership</t>
        </is>
      </c>
      <c r="V3" s="2" t="inlineStr">
        <is>
          <t>GREEN — EXISTING PATH RETAINED</t>
        </is>
      </c>
      <c r="W3" s="2" t="inlineStr">
        <is>
          <t>Measurement path explicit at metric level. This GREEN status means architecture completeness, not empirical validation of the index.</t>
        </is>
      </c>
    </row>
    <row r="4">
      <c r="A4" s="2" t="inlineStr">
        <is>
          <t>D01</t>
        </is>
      </c>
      <c r="B4" s="2" t="inlineStr">
        <is>
          <t>I03</t>
        </is>
      </c>
      <c r="C4" s="2" t="inlineStr">
        <is>
          <t>Strategic Translation Rate</t>
        </is>
      </c>
      <c r="D4" s="2" t="inlineStr">
        <is>
          <t>Identified issues translated into actual decisions</t>
        </is>
      </c>
      <c r="E4" s="2" t="inlineStr">
        <is>
          <t>Strategy/Planning Office with academic leadership</t>
        </is>
      </c>
      <c r="F4" s="2" t="inlineStr">
        <is>
          <t>NEW</t>
        </is>
      </c>
      <c r="G4" s="2" t="inlineStr">
        <is>
          <t>Q02</t>
        </is>
      </c>
      <c r="H4" s="2" t="inlineStr">
        <is>
          <t>Existing architecture; metric-level extraction rule added here.</t>
        </is>
      </c>
      <c r="I4" s="2" t="inlineStr">
        <is>
          <t>Coverage/rate + 0–5 rubric</t>
        </is>
      </c>
      <c r="J4" s="2" t="inlineStr">
        <is>
          <t>percentage + 0–5</t>
        </is>
      </c>
      <c r="K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 s="2" t="inlineStr">
        <is>
          <t>Current state + most recent completed academic year; 24-month window for change/experimentation metrics</t>
        </is>
      </c>
      <c r="M4" s="2" t="inlineStr">
        <is>
          <t>Use D01_Maturity_Anchors and score observable metric behaviour: 0 absent; 1 isolated/reactive; 2 emerging/selected; 3 structured/repeatable; 4 integrated/outcome-visible; 5 adaptive/continuously improving.</t>
        </is>
      </c>
      <c r="N4" s="2" t="inlineStr">
        <is>
          <t>0–5 on existence → operating use → repeatability → integration → measured improvement/learning. Policy publication, attendance or isolated pilots cannot establish high depth.</t>
        </is>
      </c>
      <c r="O4" s="2" t="inlineStr">
        <is>
          <t>Use only where a legitimate observable outcome exists. If no valid outcome exists, Outcome=N/A and renormalise maturity/implementation; never invent an outcome.</t>
        </is>
      </c>
      <c r="P4" s="2" t="inlineStr">
        <is>
          <t>Minimum E2 evidence. For score ≥3 require a dated operating example plus corroboration; outcome claims use E3; E4 preferred for independent/high-stakes claims.</t>
        </is>
      </c>
      <c r="Q4" s="2" t="inlineStr">
        <is>
          <t>Report E0–E4 confidence separately from capability score. E0/E1 cannot substantiate maturity ≥3; E2 supports routine practice; E3 outcome; E4 independent/triangulated.</t>
        </is>
      </c>
      <c r="R4" s="2" t="inlineStr">
        <is>
          <t>N/A only for genuine mandate/context inapplicability with assessor approval. Missing data or poor performance is not N/A; approved N/A is excluded from denominator and reported.</t>
        </is>
      </c>
      <c r="S4" s="2" t="inlineStr">
        <is>
          <t>No narrative-only uplift. Require dated artefact/process/work sample and cross-check against a second source, outcome or independent evidence. Policy-only evidence caps maturity at 2.</t>
        </is>
      </c>
      <c r="T4" s="2" t="inlineStr">
        <is>
          <t>Check D02 governance, D03 capability translation, D04 portfolio response and D11 adaptation; no double scoring of same review event.</t>
        </is>
      </c>
      <c r="U4" s="2" t="inlineStr">
        <is>
          <t>Strategy/Planning Office with academic leadership</t>
        </is>
      </c>
      <c r="V4" s="2" t="inlineStr">
        <is>
          <t>GREEN — EXISTING PATH RETAINED</t>
        </is>
      </c>
      <c r="W4" s="2" t="inlineStr">
        <is>
          <t>Measurement path explicit at metric level. This GREEN status means architecture completeness, not empirical validation of the index.</t>
        </is>
      </c>
    </row>
    <row r="5">
      <c r="A5" s="2" t="inlineStr">
        <is>
          <t>D01</t>
        </is>
      </c>
      <c r="B5" s="2" t="inlineStr">
        <is>
          <t>I04</t>
        </is>
      </c>
      <c r="C5" s="2" t="inlineStr">
        <is>
          <t>Programme Future-Review Coverage</t>
        </is>
      </c>
      <c r="D5" s="2" t="inlineStr">
        <is>
          <t>Programme reviews considering AI/future-of-work</t>
        </is>
      </c>
      <c r="E5" s="2" t="inlineStr">
        <is>
          <t>Strategy/Planning Office with academic leadership</t>
        </is>
      </c>
      <c r="F5" s="2" t="inlineStr">
        <is>
          <t>NEW</t>
        </is>
      </c>
      <c r="G5" s="2" t="inlineStr">
        <is>
          <t>NEW</t>
        </is>
      </c>
      <c r="H5" s="2" t="inlineStr">
        <is>
          <t>Programme Future-Review Coverage Test</t>
        </is>
      </c>
      <c r="I5" s="2" t="inlineStr">
        <is>
          <t>Coverage/rate + 0–5 rubric</t>
        </is>
      </c>
      <c r="J5" s="2" t="inlineStr">
        <is>
          <t>percentage + 0–5</t>
        </is>
      </c>
      <c r="K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 s="2" t="inlineStr">
        <is>
          <t>Current state + most recent completed academic year; 24-month window for change/experimentation metrics</t>
        </is>
      </c>
      <c r="M5" s="2" t="inlineStr">
        <is>
          <t>Use D01_Maturity_Anchors and score observable metric behaviour: 0 absent; 1 isolated/reactive; 2 emerging/selected; 3 structured/repeatable; 4 integrated/outcome-visible; 5 adaptive/continuously improving.</t>
        </is>
      </c>
      <c r="N5" s="2" t="inlineStr">
        <is>
          <t>0–5 on existence → operating use → repeatability → integration → measured improvement/learning. Policy publication, attendance or isolated pilots cannot establish high depth.</t>
        </is>
      </c>
      <c r="O5" s="2" t="inlineStr">
        <is>
          <t>Use only where a legitimate observable outcome exists. If no valid outcome exists, Outcome=N/A and renormalise maturity/implementation; never invent an outcome.</t>
        </is>
      </c>
      <c r="P5" s="2" t="inlineStr">
        <is>
          <t>Minimum E2 evidence. For score ≥3 require a dated operating example plus corroboration; outcome claims use E3; E4 preferred for independent/high-stakes claims.</t>
        </is>
      </c>
      <c r="Q5" s="2" t="inlineStr">
        <is>
          <t>Report E0–E4 confidence separately from capability score. E0/E1 cannot substantiate maturity ≥3; E2 supports routine practice; E3 outcome; E4 independent/triangulated.</t>
        </is>
      </c>
      <c r="R5" s="2" t="inlineStr">
        <is>
          <t>N/A only for genuine mandate/context inapplicability with assessor approval. Missing data or poor performance is not N/A; approved N/A is excluded from denominator and reported.</t>
        </is>
      </c>
      <c r="S5" s="2" t="inlineStr">
        <is>
          <t>No narrative-only uplift. Require dated artefact/process/work sample and cross-check against a second source, outcome or independent evidence. Policy-only evidence caps maturity at 2.</t>
        </is>
      </c>
      <c r="T5" s="2" t="inlineStr">
        <is>
          <t>Check D02 governance, D03 capability translation, D04 portfolio response and D11 adaptation; no double scoring of same review event.</t>
        </is>
      </c>
      <c r="U5" s="2" t="inlineStr">
        <is>
          <t>Strategy/Planning Office with academic leadership</t>
        </is>
      </c>
      <c r="V5" s="2" t="inlineStr">
        <is>
          <t>GREEN — REMEDIATED</t>
        </is>
      </c>
      <c r="W5" s="2" t="inlineStr">
        <is>
          <t>Measurement path explicit at metric level. This GREEN status means architecture completeness, not empirical validation of the index.</t>
        </is>
      </c>
    </row>
    <row r="6">
      <c r="A6" s="2" t="inlineStr">
        <is>
          <t>D01</t>
        </is>
      </c>
      <c r="B6" s="2" t="inlineStr">
        <is>
          <t>I05</t>
        </is>
      </c>
      <c r="C6" s="2" t="inlineStr">
        <is>
          <t>Strategic Differentiation Clarity</t>
        </is>
      </c>
      <c r="D6" s="2" t="inlineStr">
        <is>
          <t>Evidence-backed future value proposition</t>
        </is>
      </c>
      <c r="E6" s="2" t="inlineStr">
        <is>
          <t>Strategy/Planning Office with academic leadership</t>
        </is>
      </c>
      <c r="F6" s="2" t="inlineStr">
        <is>
          <t>NEW</t>
        </is>
      </c>
      <c r="G6" s="2" t="inlineStr">
        <is>
          <t>Q07</t>
        </is>
      </c>
      <c r="H6" s="2" t="inlineStr">
        <is>
          <t>Existing architecture; metric-level extraction rule added here.</t>
        </is>
      </c>
      <c r="I6" s="2" t="inlineStr">
        <is>
          <t>Coverage/rate + 0–5 rubric</t>
        </is>
      </c>
      <c r="J6" s="2" t="inlineStr">
        <is>
          <t>percentage + 0–5</t>
        </is>
      </c>
      <c r="K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 s="2" t="inlineStr">
        <is>
          <t>Current state + most recent completed academic year; 24-month window for change/experimentation metrics</t>
        </is>
      </c>
      <c r="M6" s="2" t="inlineStr">
        <is>
          <t>Use D01_Maturity_Anchors and score observable metric behaviour: 0 absent; 1 isolated/reactive; 2 emerging/selected; 3 structured/repeatable; 4 integrated/outcome-visible; 5 adaptive/continuously improving.</t>
        </is>
      </c>
      <c r="N6" s="2" t="inlineStr">
        <is>
          <t>0–5 on existence → operating use → repeatability → integration → measured improvement/learning. Policy publication, attendance or isolated pilots cannot establish high depth.</t>
        </is>
      </c>
      <c r="O6" s="2" t="inlineStr">
        <is>
          <t>Use only where a legitimate observable outcome exists. If no valid outcome exists, Outcome=N/A and renormalise maturity/implementation; never invent an outcome.</t>
        </is>
      </c>
      <c r="P6" s="2" t="inlineStr">
        <is>
          <t>Minimum E2 evidence. For score ≥3 require a dated operating example plus corroboration; outcome claims use E3; E4 preferred for independent/high-stakes claims.</t>
        </is>
      </c>
      <c r="Q6" s="2" t="inlineStr">
        <is>
          <t>Report E0–E4 confidence separately from capability score. E0/E1 cannot substantiate maturity ≥3; E2 supports routine practice; E3 outcome; E4 independent/triangulated.</t>
        </is>
      </c>
      <c r="R6" s="2" t="inlineStr">
        <is>
          <t>N/A only for genuine mandate/context inapplicability with assessor approval. Missing data or poor performance is not N/A; approved N/A is excluded from denominator and reported.</t>
        </is>
      </c>
      <c r="S6" s="2" t="inlineStr">
        <is>
          <t>No narrative-only uplift. Require dated artefact/process/work sample and cross-check against a second source, outcome or independent evidence. Policy-only evidence caps maturity at 2.</t>
        </is>
      </c>
      <c r="T6" s="2" t="inlineStr">
        <is>
          <t>Check D02 governance, D03 capability translation, D04 portfolio response and D11 adaptation; no double scoring of same review event.</t>
        </is>
      </c>
      <c r="U6" s="2" t="inlineStr">
        <is>
          <t>Strategy/Planning Office with academic leadership</t>
        </is>
      </c>
      <c r="V6" s="2" t="inlineStr">
        <is>
          <t>GREEN — REMEDIATED</t>
        </is>
      </c>
      <c r="W6" s="2" t="inlineStr">
        <is>
          <t>Measurement path explicit at metric level. This GREEN status means architecture completeness, not empirical validation of the index.</t>
        </is>
      </c>
    </row>
    <row r="7">
      <c r="A7" s="2" t="inlineStr">
        <is>
          <t>D01</t>
        </is>
      </c>
      <c r="B7" s="2" t="inlineStr">
        <is>
          <t>I06</t>
        </is>
      </c>
      <c r="C7" s="2" t="inlineStr">
        <is>
          <t>Foresight Response Architecture</t>
        </is>
      </c>
      <c r="D7" s="2" t="inlineStr">
        <is>
          <t>Detect→interpret→decide→act→learn mechanism</t>
        </is>
      </c>
      <c r="E7" s="2" t="inlineStr">
        <is>
          <t>Strategy/Planning Office with academic leadership</t>
        </is>
      </c>
      <c r="F7" s="2" t="inlineStr">
        <is>
          <t>NEW</t>
        </is>
      </c>
      <c r="G7" s="2" t="inlineStr">
        <is>
          <t>Q04</t>
        </is>
      </c>
      <c r="H7" s="2" t="inlineStr">
        <is>
          <t>Existing architecture; metric-level extraction rule added here.</t>
        </is>
      </c>
      <c r="I7" s="2" t="inlineStr">
        <is>
          <t>Capability/process demonstration rubric + evidence</t>
        </is>
      </c>
      <c r="J7" s="2" t="inlineStr">
        <is>
          <t>0–5</t>
        </is>
      </c>
      <c r="K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 s="2" t="inlineStr">
        <is>
          <t>Current state + most recent completed academic year; 24-month window for change/experimentation metrics</t>
        </is>
      </c>
      <c r="M7" s="2" t="inlineStr">
        <is>
          <t>Use D01_Maturity_Anchors and score observable metric behaviour: 0 absent; 1 isolated/reactive; 2 emerging/selected; 3 structured/repeatable; 4 integrated/outcome-visible; 5 adaptive/continuously improving.</t>
        </is>
      </c>
      <c r="N7" s="2" t="inlineStr">
        <is>
          <t>0–5 on existence → operating use → repeatability → integration → measured improvement/learning. Policy publication, attendance or isolated pilots cannot establish high depth.</t>
        </is>
      </c>
      <c r="O7" s="2" t="inlineStr">
        <is>
          <t>Use only where a legitimate observable outcome exists. If no valid outcome exists, Outcome=N/A and renormalise maturity/implementation; never invent an outcome.</t>
        </is>
      </c>
      <c r="P7" s="2" t="inlineStr">
        <is>
          <t>Minimum E2 evidence. For score ≥3 require a dated operating example plus corroboration; outcome claims use E3; E4 preferred for independent/high-stakes claims.</t>
        </is>
      </c>
      <c r="Q7" s="2" t="inlineStr">
        <is>
          <t>Report E0–E4 confidence separately from capability score. E0/E1 cannot substantiate maturity ≥3; E2 supports routine practice; E3 outcome; E4 independent/triangulated.</t>
        </is>
      </c>
      <c r="R7" s="2" t="inlineStr">
        <is>
          <t>N/A only for genuine mandate/context inapplicability with assessor approval. Missing data or poor performance is not N/A; approved N/A is excluded from denominator and reported.</t>
        </is>
      </c>
      <c r="S7" s="2" t="inlineStr">
        <is>
          <t>No narrative-only uplift. Require dated artefact/process/work sample and cross-check against a second source, outcome or independent evidence. Policy-only evidence caps maturity at 2.</t>
        </is>
      </c>
      <c r="T7" s="2" t="inlineStr">
        <is>
          <t>Check D02 governance, D03 capability translation, D04 portfolio response and D11 adaptation; no double scoring of same review event.</t>
        </is>
      </c>
      <c r="U7" s="2" t="inlineStr">
        <is>
          <t>Strategy/Planning Office with academic leadership</t>
        </is>
      </c>
      <c r="V7" s="2" t="inlineStr">
        <is>
          <t>GREEN — EXISTING PATH RETAINED</t>
        </is>
      </c>
      <c r="W7" s="2" t="inlineStr">
        <is>
          <t>Measurement path explicit at metric level. This GREEN status means architecture completeness, not empirical validation of the index.</t>
        </is>
      </c>
    </row>
    <row r="8">
      <c r="A8" s="2" t="inlineStr">
        <is>
          <t>D01</t>
        </is>
      </c>
      <c r="B8" s="2" t="inlineStr">
        <is>
          <t>I07</t>
        </is>
      </c>
      <c r="C8" s="2" t="inlineStr">
        <is>
          <t>Resource Alignment</t>
        </is>
      </c>
      <c r="D8" s="2" t="inlineStr">
        <is>
          <t>Strategic priority vs resource movement</t>
        </is>
      </c>
      <c r="E8" s="2" t="inlineStr">
        <is>
          <t>Strategy/Planning Office with academic leadership</t>
        </is>
      </c>
      <c r="F8" s="2" t="inlineStr">
        <is>
          <t>NEW</t>
        </is>
      </c>
      <c r="G8" s="2" t="inlineStr">
        <is>
          <t>NEW</t>
        </is>
      </c>
      <c r="H8" s="2" t="inlineStr">
        <is>
          <t>Resource Alignment Test</t>
        </is>
      </c>
      <c r="I8" s="2" t="inlineStr">
        <is>
          <t>Capability/process demonstration rubric + evidence</t>
        </is>
      </c>
      <c r="J8" s="2" t="inlineStr">
        <is>
          <t>0–5</t>
        </is>
      </c>
      <c r="K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 s="2" t="inlineStr">
        <is>
          <t>Current state + most recent completed academic year; 24-month window for change/experimentation metrics</t>
        </is>
      </c>
      <c r="M8" s="2" t="inlineStr">
        <is>
          <t>Use D01_Maturity_Anchors and score observable metric behaviour: 0 absent; 1 isolated/reactive; 2 emerging/selected; 3 structured/repeatable; 4 integrated/outcome-visible; 5 adaptive/continuously improving.</t>
        </is>
      </c>
      <c r="N8" s="2" t="inlineStr">
        <is>
          <t>0–5 on existence → operating use → repeatability → integration → measured improvement/learning. Policy publication, attendance or isolated pilots cannot establish high depth.</t>
        </is>
      </c>
      <c r="O8" s="2" t="inlineStr">
        <is>
          <t>Use only where a legitimate observable outcome exists. If no valid outcome exists, Outcome=N/A and renormalise maturity/implementation; never invent an outcome.</t>
        </is>
      </c>
      <c r="P8" s="2" t="inlineStr">
        <is>
          <t>Minimum E2 evidence. For score ≥3 require a dated operating example plus corroboration; outcome claims use E3; E4 preferred for independent/high-stakes claims.</t>
        </is>
      </c>
      <c r="Q8" s="2" t="inlineStr">
        <is>
          <t>Report E0–E4 confidence separately from capability score. E0/E1 cannot substantiate maturity ≥3; E2 supports routine practice; E3 outcome; E4 independent/triangulated.</t>
        </is>
      </c>
      <c r="R8" s="2" t="inlineStr">
        <is>
          <t>N/A only for genuine mandate/context inapplicability with assessor approval. Missing data or poor performance is not N/A; approved N/A is excluded from denominator and reported.</t>
        </is>
      </c>
      <c r="S8" s="2" t="inlineStr">
        <is>
          <t>No narrative-only uplift. Require dated artefact/process/work sample and cross-check against a second source, outcome or independent evidence. Policy-only evidence caps maturity at 2.</t>
        </is>
      </c>
      <c r="T8" s="2" t="inlineStr">
        <is>
          <t>Check D02 governance, D03 capability translation, D04 portfolio response and D11 adaptation; no double scoring of same review event.</t>
        </is>
      </c>
      <c r="U8" s="2" t="inlineStr">
        <is>
          <t>Strategy/Planning Office with academic leadership</t>
        </is>
      </c>
      <c r="V8" s="2" t="inlineStr">
        <is>
          <t>GREEN — REMEDIATED</t>
        </is>
      </c>
      <c r="W8" s="2" t="inlineStr">
        <is>
          <t>Measurement path explicit at metric level. This GREEN status means architecture completeness, not empirical validation of the index.</t>
        </is>
      </c>
    </row>
    <row r="9">
      <c r="A9" s="2" t="inlineStr">
        <is>
          <t>D01</t>
        </is>
      </c>
      <c r="B9" s="2" t="inlineStr">
        <is>
          <t>I08</t>
        </is>
      </c>
      <c r="C9" s="2" t="inlineStr">
        <is>
          <t>Leadership Alignment</t>
        </is>
      </c>
      <c r="D9" s="2" t="inlineStr">
        <is>
          <t>Cross-functional strategic ownership</t>
        </is>
      </c>
      <c r="E9" s="2" t="inlineStr">
        <is>
          <t>Strategy/Planning Office with academic leadership</t>
        </is>
      </c>
      <c r="F9" s="2" t="inlineStr">
        <is>
          <t>NEW</t>
        </is>
      </c>
      <c r="G9" s="2" t="inlineStr">
        <is>
          <t>Q01; Q06</t>
        </is>
      </c>
      <c r="H9" s="2" t="inlineStr">
        <is>
          <t>Existing architecture; metric-level extraction rule added here.</t>
        </is>
      </c>
      <c r="I9" s="2" t="inlineStr">
        <is>
          <t>Capability/process demonstration rubric + evidence</t>
        </is>
      </c>
      <c r="J9" s="2" t="inlineStr">
        <is>
          <t>0–5</t>
        </is>
      </c>
      <c r="K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 s="2" t="inlineStr">
        <is>
          <t>Current state + most recent completed academic year; 24-month window for change/experimentation metrics</t>
        </is>
      </c>
      <c r="M9" s="2" t="inlineStr">
        <is>
          <t>Use D01_Maturity_Anchors and score observable metric behaviour: 0 absent; 1 isolated/reactive; 2 emerging/selected; 3 structured/repeatable; 4 integrated/outcome-visible; 5 adaptive/continuously improving.</t>
        </is>
      </c>
      <c r="N9" s="2" t="inlineStr">
        <is>
          <t>0–5 on existence → operating use → repeatability → integration → measured improvement/learning. Policy publication, attendance or isolated pilots cannot establish high depth.</t>
        </is>
      </c>
      <c r="O9" s="2" t="inlineStr">
        <is>
          <t>Use only where a legitimate observable outcome exists. If no valid outcome exists, Outcome=N/A and renormalise maturity/implementation; never invent an outcome.</t>
        </is>
      </c>
      <c r="P9" s="2" t="inlineStr">
        <is>
          <t>Minimum E2 evidence. For score ≥3 require a dated operating example plus corroboration; outcome claims use E3; E4 preferred for independent/high-stakes claims.</t>
        </is>
      </c>
      <c r="Q9" s="2" t="inlineStr">
        <is>
          <t>Report E0–E4 confidence separately from capability score. E0/E1 cannot substantiate maturity ≥3; E2 supports routine practice; E3 outcome; E4 independent/triangulated.</t>
        </is>
      </c>
      <c r="R9" s="2" t="inlineStr">
        <is>
          <t>N/A only for genuine mandate/context inapplicability with assessor approval. Missing data or poor performance is not N/A; approved N/A is excluded from denominator and reported.</t>
        </is>
      </c>
      <c r="S9" s="2" t="inlineStr">
        <is>
          <t>No narrative-only uplift. Require dated artefact/process/work sample and cross-check against a second source, outcome or independent evidence. Policy-only evidence caps maturity at 2.</t>
        </is>
      </c>
      <c r="T9" s="2" t="inlineStr">
        <is>
          <t>Check D02 governance, D03 capability translation, D04 portfolio response and D11 adaptation; no double scoring of same review event.</t>
        </is>
      </c>
      <c r="U9" s="2" t="inlineStr">
        <is>
          <t>Strategy/Planning Office with academic leadership</t>
        </is>
      </c>
      <c r="V9" s="2" t="inlineStr">
        <is>
          <t>GREEN — EXISTING PATH RETAINED</t>
        </is>
      </c>
      <c r="W9" s="2" t="inlineStr">
        <is>
          <t>Measurement path explicit at metric level. This GREEN status means architecture completeness, not empirical validation of the index.</t>
        </is>
      </c>
    </row>
    <row r="10">
      <c r="A10" s="2" t="inlineStr">
        <is>
          <t>D01</t>
        </is>
      </c>
      <c r="B10" s="2" t="inlineStr">
        <is>
          <t>I09</t>
        </is>
      </c>
      <c r="C10" s="2" t="inlineStr">
        <is>
          <t>Experimentation Effectiveness</t>
        </is>
      </c>
      <c r="D10" s="2" t="inlineStr">
        <is>
          <t>Pilot evaluation, scaling/stopping and learning</t>
        </is>
      </c>
      <c r="E10" s="2" t="inlineStr">
        <is>
          <t>Strategy/Planning Office with academic leadership</t>
        </is>
      </c>
      <c r="F10" s="2" t="inlineStr">
        <is>
          <t>NEW</t>
        </is>
      </c>
      <c r="G10" s="2" t="inlineStr">
        <is>
          <t>Q05</t>
        </is>
      </c>
      <c r="H10" s="2" t="inlineStr">
        <is>
          <t>Existing architecture; metric-level extraction rule added here.</t>
        </is>
      </c>
      <c r="I10" s="2" t="inlineStr">
        <is>
          <t>Process-to-action rubric + event evidence</t>
        </is>
      </c>
      <c r="J10" s="2" t="inlineStr">
        <is>
          <t>0–5 + cycle time where available</t>
        </is>
      </c>
      <c r="K1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 s="2" t="inlineStr">
        <is>
          <t>Current state + most recent completed academic year; 24-month window for change/experimentation metrics</t>
        </is>
      </c>
      <c r="M10" s="2" t="inlineStr">
        <is>
          <t>Use D01_Maturity_Anchors and score observable metric behaviour: 0 absent; 1 isolated/reactive; 2 emerging/selected; 3 structured/repeatable; 4 integrated/outcome-visible; 5 adaptive/continuously improving.</t>
        </is>
      </c>
      <c r="N10" s="2" t="inlineStr">
        <is>
          <t>0–5 on existence → operating use → repeatability → integration → measured improvement/learning. Policy publication, attendance or isolated pilots cannot establish high depth.</t>
        </is>
      </c>
      <c r="O10" s="2" t="inlineStr">
        <is>
          <t>Use only where a legitimate observable outcome exists. If no valid outcome exists, Outcome=N/A and renormalise maturity/implementation; never invent an outcome.</t>
        </is>
      </c>
      <c r="P10" s="2" t="inlineStr">
        <is>
          <t>Minimum E2 evidence. For score ≥3 require a dated operating example plus corroboration; outcome claims use E3; E4 preferred for independent/high-stakes claims.</t>
        </is>
      </c>
      <c r="Q10" s="2" t="inlineStr">
        <is>
          <t>Report E0–E4 confidence separately from capability score. E0/E1 cannot substantiate maturity ≥3; E2 supports routine practice; E3 outcome; E4 independent/triangulated.</t>
        </is>
      </c>
      <c r="R10" s="2" t="inlineStr">
        <is>
          <t>N/A only for genuine mandate/context inapplicability with assessor approval. Missing data or poor performance is not N/A; approved N/A is excluded from denominator and reported.</t>
        </is>
      </c>
      <c r="S10" s="2" t="inlineStr">
        <is>
          <t>No narrative-only uplift. Require dated artefact/process/work sample and cross-check against a second source, outcome or independent evidence. Policy-only evidence caps maturity at 2.</t>
        </is>
      </c>
      <c r="T10" s="2" t="inlineStr">
        <is>
          <t>Check D02 governance, D03 capability translation, D04 portfolio response and D11 adaptation; no double scoring of same review event.</t>
        </is>
      </c>
      <c r="U10" s="2" t="inlineStr">
        <is>
          <t>Strategy/Planning Office with academic leadership</t>
        </is>
      </c>
      <c r="V10" s="2" t="inlineStr">
        <is>
          <t>GREEN — EXISTING PATH RETAINED</t>
        </is>
      </c>
      <c r="W10" s="2" t="inlineStr">
        <is>
          <t>Measurement path explicit at metric level. This GREEN status means architecture completeness, not empirical validation of the index.</t>
        </is>
      </c>
    </row>
    <row r="11">
      <c r="A11" s="2" t="inlineStr">
        <is>
          <t>D01</t>
        </is>
      </c>
      <c r="B11" s="2" t="inlineStr">
        <is>
          <t>I10</t>
        </is>
      </c>
      <c r="C11" s="2" t="inlineStr">
        <is>
          <t>Strategic Learning Rate</t>
        </is>
      </c>
      <c r="D11" s="2" t="inlineStr">
        <is>
          <t>Strategy changes after evidence/review</t>
        </is>
      </c>
      <c r="E11" s="2" t="inlineStr">
        <is>
          <t>Strategy/Planning Office with academic leadership</t>
        </is>
      </c>
      <c r="F11" s="2" t="inlineStr">
        <is>
          <t>NEW</t>
        </is>
      </c>
      <c r="G11" s="2" t="inlineStr">
        <is>
          <t>NEW</t>
        </is>
      </c>
      <c r="H11" s="2" t="inlineStr">
        <is>
          <t>Strategic Learning Test</t>
        </is>
      </c>
      <c r="I11" s="2" t="inlineStr">
        <is>
          <t>Coverage/rate + 0–5 rubric</t>
        </is>
      </c>
      <c r="J11" s="2" t="inlineStr">
        <is>
          <t>percentage + 0–5</t>
        </is>
      </c>
      <c r="K1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 s="2" t="inlineStr">
        <is>
          <t>Current state + most recent completed academic year; 24-month window for change/experimentation metrics</t>
        </is>
      </c>
      <c r="M11" s="2" t="inlineStr">
        <is>
          <t>Use D01_Maturity_Anchors and score observable metric behaviour: 0 absent; 1 isolated/reactive; 2 emerging/selected; 3 structured/repeatable; 4 integrated/outcome-visible; 5 adaptive/continuously improving.</t>
        </is>
      </c>
      <c r="N11" s="2" t="inlineStr">
        <is>
          <t>0–5 on existence → operating use → repeatability → integration → measured improvement/learning. Policy publication, attendance or isolated pilots cannot establish high depth.</t>
        </is>
      </c>
      <c r="O11" s="2" t="inlineStr">
        <is>
          <t>Use only where a legitimate observable outcome exists. If no valid outcome exists, Outcome=N/A and renormalise maturity/implementation; never invent an outcome.</t>
        </is>
      </c>
      <c r="P11" s="2" t="inlineStr">
        <is>
          <t>Minimum E2 evidence. For score ≥3 require a dated operating example plus corroboration; outcome claims use E3; E4 preferred for independent/high-stakes claims.</t>
        </is>
      </c>
      <c r="Q11" s="2" t="inlineStr">
        <is>
          <t>Report E0–E4 confidence separately from capability score. E0/E1 cannot substantiate maturity ≥3; E2 supports routine practice; E3 outcome; E4 independent/triangulated.</t>
        </is>
      </c>
      <c r="R11" s="2" t="inlineStr">
        <is>
          <t>N/A only for genuine mandate/context inapplicability with assessor approval. Missing data or poor performance is not N/A; approved N/A is excluded from denominator and reported.</t>
        </is>
      </c>
      <c r="S11" s="2" t="inlineStr">
        <is>
          <t>No narrative-only uplift. Require dated artefact/process/work sample and cross-check against a second source, outcome or independent evidence. Policy-only evidence caps maturity at 2.</t>
        </is>
      </c>
      <c r="T11" s="2" t="inlineStr">
        <is>
          <t>Check D02 governance, D03 capability translation, D04 portfolio response and D11 adaptation; no double scoring of same review event.</t>
        </is>
      </c>
      <c r="U11" s="2" t="inlineStr">
        <is>
          <t>Strategy/Planning Office with academic leadership</t>
        </is>
      </c>
      <c r="V11" s="2" t="inlineStr">
        <is>
          <t>GREEN — REMEDIATED</t>
        </is>
      </c>
      <c r="W11" s="2" t="inlineStr">
        <is>
          <t>Measurement path explicit at metric level. This GREEN status means architecture completeness, not empirical validation of the index.</t>
        </is>
      </c>
    </row>
    <row r="12">
      <c r="A12" s="2" t="inlineStr">
        <is>
          <t>D02</t>
        </is>
      </c>
      <c r="B12" s="2" t="inlineStr">
        <is>
          <t>I01</t>
        </is>
      </c>
      <c r="C12" s="2" t="inlineStr">
        <is>
          <t>Governance Ownership</t>
        </is>
      </c>
      <c r="D12" s="2" t="inlineStr">
        <is>
          <t>Decision rights for consequential AI</t>
        </is>
      </c>
      <c r="E12" s="2" t="inlineStr">
        <is>
          <t>Governance/Risk/Academic Integrity owner</t>
        </is>
      </c>
      <c r="F12" s="2" t="inlineStr">
        <is>
          <t>NEW</t>
        </is>
      </c>
      <c r="G12" s="2" t="inlineStr">
        <is>
          <t>Q01</t>
        </is>
      </c>
      <c r="H12" s="2" t="inlineStr">
        <is>
          <t>Existing architecture; metric-level extraction rule added here.</t>
        </is>
      </c>
      <c r="I12" s="2" t="inlineStr">
        <is>
          <t>Control-effectiveness rubric + evidence-coded score</t>
        </is>
      </c>
      <c r="J12" s="2" t="inlineStr">
        <is>
          <t>0–5</t>
        </is>
      </c>
      <c r="K1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 s="2" t="inlineStr">
        <is>
          <t>Current state + most recent completed academic year; 24-month window for change/experimentation metrics</t>
        </is>
      </c>
      <c r="M12" s="2" t="inlineStr">
        <is>
          <t>Use D02_Maturity_Anchors and score observable metric behaviour: 0 absent; 1 isolated/reactive; 2 emerging/selected; 3 structured/repeatable; 4 integrated/outcome-visible; 5 adaptive/continuously improving.</t>
        </is>
      </c>
      <c r="N12" s="2" t="inlineStr">
        <is>
          <t>0–5 on existence → operating use → repeatability → integration → measured improvement/learning. Policy publication, attendance or isolated pilots cannot establish high depth.</t>
        </is>
      </c>
      <c r="O12" s="2" t="inlineStr">
        <is>
          <t>Use only where a legitimate observable outcome exists. If no valid outcome exists, Outcome=N/A and renormalise maturity/implementation; never invent an outcome.</t>
        </is>
      </c>
      <c r="P12" s="2" t="inlineStr">
        <is>
          <t>Minimum E2 evidence. For score ≥3 require a dated operating example plus corroboration; outcome claims use E3; E4 preferred for independent/high-stakes claims.</t>
        </is>
      </c>
      <c r="Q12" s="2" t="inlineStr">
        <is>
          <t>Report E0–E4 confidence separately from capability score. E0/E1 cannot substantiate maturity ≥3; E2 supports routine practice; E3 outcome; E4 independent/triangulated.</t>
        </is>
      </c>
      <c r="R12" s="2" t="inlineStr">
        <is>
          <t>N/A only for genuine mandate/context inapplicability with assessor approval. Missing data or poor performance is not N/A; approved N/A is excluded from denominator and reported.</t>
        </is>
      </c>
      <c r="S12" s="2" t="inlineStr">
        <is>
          <t>No narrative-only uplift. Require dated artefact/process/work sample and cross-check against a second source, outcome or independent evidence. Policy-only evidence caps maturity at 2.</t>
        </is>
      </c>
      <c r="T12" s="2" t="inlineStr">
        <is>
          <t>Check D08 technical controls and D07 assessment practice; policy cannot substitute for operation.</t>
        </is>
      </c>
      <c r="U12" s="2" t="inlineStr">
        <is>
          <t>Governance/Risk/Academic Integrity owner</t>
        </is>
      </c>
      <c r="V12" s="2" t="inlineStr">
        <is>
          <t>GREEN — EXISTING PATH RETAINED</t>
        </is>
      </c>
      <c r="W12" s="2" t="inlineStr">
        <is>
          <t>Measurement path explicit at metric level. This GREEN status means architecture completeness, not empirical validation of the index.</t>
        </is>
      </c>
    </row>
    <row r="13">
      <c r="A13" s="2" t="inlineStr">
        <is>
          <t>D02</t>
        </is>
      </c>
      <c r="B13" s="2" t="inlineStr">
        <is>
          <t>I02</t>
        </is>
      </c>
      <c r="C13" s="2" t="inlineStr">
        <is>
          <t>Decision Architecture</t>
        </is>
      </c>
      <c r="D13" s="2" t="inlineStr">
        <is>
          <t>Approval/review/escalation workflow</t>
        </is>
      </c>
      <c r="E13" s="2" t="inlineStr">
        <is>
          <t>Governance/Risk/Academic Integrity owner</t>
        </is>
      </c>
      <c r="F13" s="2" t="inlineStr">
        <is>
          <t>NEW</t>
        </is>
      </c>
      <c r="G13" s="2" t="inlineStr">
        <is>
          <t>Q02</t>
        </is>
      </c>
      <c r="H13" s="2" t="inlineStr">
        <is>
          <t>Existing architecture; metric-level extraction rule added here.</t>
        </is>
      </c>
      <c r="I13" s="2" t="inlineStr">
        <is>
          <t>Capability/process demonstration rubric + evidence</t>
        </is>
      </c>
      <c r="J13" s="2" t="inlineStr">
        <is>
          <t>0–5</t>
        </is>
      </c>
      <c r="K1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 s="2" t="inlineStr">
        <is>
          <t>Current state + most recent completed academic year; 24-month window for change/experimentation metrics</t>
        </is>
      </c>
      <c r="M13" s="2" t="inlineStr">
        <is>
          <t>Use D02_Maturity_Anchors and score observable metric behaviour: 0 absent; 1 isolated/reactive; 2 emerging/selected; 3 structured/repeatable; 4 integrated/outcome-visible; 5 adaptive/continuously improving.</t>
        </is>
      </c>
      <c r="N13" s="2" t="inlineStr">
        <is>
          <t>0–5 on existence → operating use → repeatability → integration → measured improvement/learning. Policy publication, attendance or isolated pilots cannot establish high depth.</t>
        </is>
      </c>
      <c r="O13" s="2" t="inlineStr">
        <is>
          <t>Use only where a legitimate observable outcome exists. If no valid outcome exists, Outcome=N/A and renormalise maturity/implementation; never invent an outcome.</t>
        </is>
      </c>
      <c r="P13" s="2" t="inlineStr">
        <is>
          <t>Minimum E2 evidence. For score ≥3 require a dated operating example plus corroboration; outcome claims use E3; E4 preferred for independent/high-stakes claims.</t>
        </is>
      </c>
      <c r="Q13" s="2" t="inlineStr">
        <is>
          <t>Report E0–E4 confidence separately from capability score. E0/E1 cannot substantiate maturity ≥3; E2 supports routine practice; E3 outcome; E4 independent/triangulated.</t>
        </is>
      </c>
      <c r="R13" s="2" t="inlineStr">
        <is>
          <t>N/A only for genuine mandate/context inapplicability with assessor approval. Missing data or poor performance is not N/A; approved N/A is excluded from denominator and reported.</t>
        </is>
      </c>
      <c r="S13" s="2" t="inlineStr">
        <is>
          <t>No narrative-only uplift. Require dated artefact/process/work sample and cross-check against a second source, outcome or independent evidence. Policy-only evidence caps maturity at 2.</t>
        </is>
      </c>
      <c r="T13" s="2" t="inlineStr">
        <is>
          <t>Check D08 technical controls and D07 assessment practice; policy cannot substitute for operation.</t>
        </is>
      </c>
      <c r="U13" s="2" t="inlineStr">
        <is>
          <t>Governance/Risk/Academic Integrity owner</t>
        </is>
      </c>
      <c r="V13" s="2" t="inlineStr">
        <is>
          <t>GREEN — EXISTING PATH RETAINED</t>
        </is>
      </c>
      <c r="W13" s="2" t="inlineStr">
        <is>
          <t>Measurement path explicit at metric level. This GREEN status means architecture completeness, not empirical validation of the index.</t>
        </is>
      </c>
    </row>
    <row r="14">
      <c r="A14" s="2" t="inlineStr">
        <is>
          <t>D02</t>
        </is>
      </c>
      <c r="B14" s="2" t="inlineStr">
        <is>
          <t>I03</t>
        </is>
      </c>
      <c r="C14" s="2" t="inlineStr">
        <is>
          <t>Responsible AI Maturity</t>
        </is>
      </c>
      <c r="D14" s="2" t="inlineStr">
        <is>
          <t>Operational ethics, fairness, transparency, accountability</t>
        </is>
      </c>
      <c r="E14" s="2" t="inlineStr">
        <is>
          <t>Governance/Risk/Academic Integrity owner</t>
        </is>
      </c>
      <c r="F14" s="2" t="inlineStr">
        <is>
          <t>NEW</t>
        </is>
      </c>
      <c r="G14" s="2" t="inlineStr">
        <is>
          <t>Q03</t>
        </is>
      </c>
      <c r="H14" s="2" t="inlineStr">
        <is>
          <t>Existing architecture; metric-level extraction rule added here.</t>
        </is>
      </c>
      <c r="I14" s="2" t="inlineStr">
        <is>
          <t>Control-effectiveness rubric + evidence-coded score</t>
        </is>
      </c>
      <c r="J14" s="2" t="inlineStr">
        <is>
          <t>0–5</t>
        </is>
      </c>
      <c r="K1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 s="2" t="inlineStr">
        <is>
          <t>Current state + most recent completed academic year; 24-month window for change/experimentation metrics</t>
        </is>
      </c>
      <c r="M14" s="2" t="inlineStr">
        <is>
          <t>Use D02_Maturity_Anchors and score observable metric behaviour: 0 absent; 1 isolated/reactive; 2 emerging/selected; 3 structured/repeatable; 4 integrated/outcome-visible; 5 adaptive/continuously improving.</t>
        </is>
      </c>
      <c r="N14" s="2" t="inlineStr">
        <is>
          <t>0–5 on existence → operating use → repeatability → integration → measured improvement/learning. Policy publication, attendance or isolated pilots cannot establish high depth.</t>
        </is>
      </c>
      <c r="O14" s="2" t="inlineStr">
        <is>
          <t>Use only where a legitimate observable outcome exists. If no valid outcome exists, Outcome=N/A and renormalise maturity/implementation; never invent an outcome.</t>
        </is>
      </c>
      <c r="P14" s="2" t="inlineStr">
        <is>
          <t>Minimum E2 evidence. For score ≥3 require a dated operating example plus corroboration; outcome claims use E3; E4 preferred for independent/high-stakes claims.</t>
        </is>
      </c>
      <c r="Q14" s="2" t="inlineStr">
        <is>
          <t>Report E0–E4 confidence separately from capability score. E0/E1 cannot substantiate maturity ≥3; E2 supports routine practice; E3 outcome; E4 independent/triangulated.</t>
        </is>
      </c>
      <c r="R14" s="2" t="inlineStr">
        <is>
          <t>N/A only for genuine mandate/context inapplicability with assessor approval. Missing data or poor performance is not N/A; approved N/A is excluded from denominator and reported.</t>
        </is>
      </c>
      <c r="S14" s="2" t="inlineStr">
        <is>
          <t>No narrative-only uplift. Require dated artefact/process/work sample and cross-check against a second source, outcome or independent evidence. Policy-only evidence caps maturity at 2.</t>
        </is>
      </c>
      <c r="T14" s="2" t="inlineStr">
        <is>
          <t>Check D08 technical controls and D07 assessment practice; policy cannot substitute for operation.</t>
        </is>
      </c>
      <c r="U14" s="2" t="inlineStr">
        <is>
          <t>Governance/Risk/Academic Integrity owner</t>
        </is>
      </c>
      <c r="V14" s="2" t="inlineStr">
        <is>
          <t>GREEN — EXISTING PATH RETAINED</t>
        </is>
      </c>
      <c r="W14" s="2" t="inlineStr">
        <is>
          <t>Measurement path explicit at metric level. This GREEN status means architecture completeness, not empirical validation of the index.</t>
        </is>
      </c>
    </row>
    <row r="15">
      <c r="A15" s="2" t="inlineStr">
        <is>
          <t>D02</t>
        </is>
      </c>
      <c r="B15" s="2" t="inlineStr">
        <is>
          <t>I04</t>
        </is>
      </c>
      <c r="C15" s="2" t="inlineStr">
        <is>
          <t>Data Governance Readiness</t>
        </is>
      </c>
      <c r="D15" s="2" t="inlineStr">
        <is>
          <t>Controls for data used by AI</t>
        </is>
      </c>
      <c r="E15" s="2" t="inlineStr">
        <is>
          <t>Governance/Risk/Academic Integrity owner</t>
        </is>
      </c>
      <c r="F15" s="2" t="inlineStr">
        <is>
          <t>NEW</t>
        </is>
      </c>
      <c r="G15" s="2" t="inlineStr">
        <is>
          <t>Q05</t>
        </is>
      </c>
      <c r="H15" s="2" t="inlineStr">
        <is>
          <t>Existing architecture; metric-level extraction rule added here.</t>
        </is>
      </c>
      <c r="I15" s="2" t="inlineStr">
        <is>
          <t>Control-effectiveness rubric + evidence-coded score</t>
        </is>
      </c>
      <c r="J15" s="2" t="inlineStr">
        <is>
          <t>0–5</t>
        </is>
      </c>
      <c r="K1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5" s="2" t="inlineStr">
        <is>
          <t>Current state + most recent completed academic year; 24-month window for change/experimentation metrics</t>
        </is>
      </c>
      <c r="M15" s="2" t="inlineStr">
        <is>
          <t>Use D02_Maturity_Anchors and score observable metric behaviour: 0 absent; 1 isolated/reactive; 2 emerging/selected; 3 structured/repeatable; 4 integrated/outcome-visible; 5 adaptive/continuously improving.</t>
        </is>
      </c>
      <c r="N15" s="2" t="inlineStr">
        <is>
          <t>0–5 on existence → operating use → repeatability → integration → measured improvement/learning. Policy publication, attendance or isolated pilots cannot establish high depth.</t>
        </is>
      </c>
      <c r="O15" s="2" t="inlineStr">
        <is>
          <t>Use only where a legitimate observable outcome exists. If no valid outcome exists, Outcome=N/A and renormalise maturity/implementation; never invent an outcome.</t>
        </is>
      </c>
      <c r="P15" s="2" t="inlineStr">
        <is>
          <t>Minimum E2 evidence. For score ≥3 require a dated operating example plus corroboration; outcome claims use E3; E4 preferred for independent/high-stakes claims.</t>
        </is>
      </c>
      <c r="Q15" s="2" t="inlineStr">
        <is>
          <t>Report E0–E4 confidence separately from capability score. E0/E1 cannot substantiate maturity ≥3; E2 supports routine practice; E3 outcome; E4 independent/triangulated.</t>
        </is>
      </c>
      <c r="R15" s="2" t="inlineStr">
        <is>
          <t>N/A only for genuine mandate/context inapplicability with assessor approval. Missing data or poor performance is not N/A; approved N/A is excluded from denominator and reported.</t>
        </is>
      </c>
      <c r="S15" s="2" t="inlineStr">
        <is>
          <t>No narrative-only uplift. Require dated artefact/process/work sample and cross-check against a second source, outcome or independent evidence. Policy-only evidence caps maturity at 2.</t>
        </is>
      </c>
      <c r="T15" s="2" t="inlineStr">
        <is>
          <t>Check D08 technical controls and D07 assessment practice; policy cannot substitute for operation.</t>
        </is>
      </c>
      <c r="U15" s="2" t="inlineStr">
        <is>
          <t>Governance/Risk/Academic Integrity owner</t>
        </is>
      </c>
      <c r="V15" s="2" t="inlineStr">
        <is>
          <t>GREEN — EXISTING PATH RETAINED</t>
        </is>
      </c>
      <c r="W15" s="2" t="inlineStr">
        <is>
          <t>Measurement path explicit at metric level. This GREEN status means architecture completeness, not empirical validation of the index.</t>
        </is>
      </c>
    </row>
    <row r="16">
      <c r="A16" s="2" t="inlineStr">
        <is>
          <t>D02</t>
        </is>
      </c>
      <c r="B16" s="2" t="inlineStr">
        <is>
          <t>I05</t>
        </is>
      </c>
      <c r="C16" s="2" t="inlineStr">
        <is>
          <t>Academic Integrity Governance</t>
        </is>
      </c>
      <c r="D16" s="2" t="inlineStr">
        <is>
          <t>AI-use rules and institutional response</t>
        </is>
      </c>
      <c r="E16" s="2" t="inlineStr">
        <is>
          <t>Governance/Risk/Academic Integrity owner</t>
        </is>
      </c>
      <c r="F16" s="2" t="inlineStr">
        <is>
          <t>NEW</t>
        </is>
      </c>
      <c r="G16" s="2" t="inlineStr">
        <is>
          <t>Q06</t>
        </is>
      </c>
      <c r="H16" s="2" t="inlineStr">
        <is>
          <t>Existing architecture; metric-level extraction rule added here.</t>
        </is>
      </c>
      <c r="I16" s="2" t="inlineStr">
        <is>
          <t>Control-effectiveness rubric + evidence-coded score</t>
        </is>
      </c>
      <c r="J16" s="2" t="inlineStr">
        <is>
          <t>0–5</t>
        </is>
      </c>
      <c r="K1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6" s="2" t="inlineStr">
        <is>
          <t>Current state + most recent completed academic year; 24-month window for change/experimentation metrics</t>
        </is>
      </c>
      <c r="M16" s="2" t="inlineStr">
        <is>
          <t>Use D02_Maturity_Anchors and score observable metric behaviour: 0 absent; 1 isolated/reactive; 2 emerging/selected; 3 structured/repeatable; 4 integrated/outcome-visible; 5 adaptive/continuously improving.</t>
        </is>
      </c>
      <c r="N16" s="2" t="inlineStr">
        <is>
          <t>0–5 on existence → operating use → repeatability → integration → measured improvement/learning. Policy publication, attendance or isolated pilots cannot establish high depth.</t>
        </is>
      </c>
      <c r="O16" s="2" t="inlineStr">
        <is>
          <t>Use only where a legitimate observable outcome exists. If no valid outcome exists, Outcome=N/A and renormalise maturity/implementation; never invent an outcome.</t>
        </is>
      </c>
      <c r="P16" s="2" t="inlineStr">
        <is>
          <t>Minimum E2 evidence. For score ≥3 require a dated operating example plus corroboration; outcome claims use E3; E4 preferred for independent/high-stakes claims.</t>
        </is>
      </c>
      <c r="Q16" s="2" t="inlineStr">
        <is>
          <t>Report E0–E4 confidence separately from capability score. E0/E1 cannot substantiate maturity ≥3; E2 supports routine practice; E3 outcome; E4 independent/triangulated.</t>
        </is>
      </c>
      <c r="R16" s="2" t="inlineStr">
        <is>
          <t>N/A only for genuine mandate/context inapplicability with assessor approval. Missing data or poor performance is not N/A; approved N/A is excluded from denominator and reported.</t>
        </is>
      </c>
      <c r="S16" s="2" t="inlineStr">
        <is>
          <t>No narrative-only uplift. Require dated artefact/process/work sample and cross-check against a second source, outcome or independent evidence. Policy-only evidence caps maturity at 2.</t>
        </is>
      </c>
      <c r="T16" s="2" t="inlineStr">
        <is>
          <t>Check D08 technical controls and D07 assessment practice; policy cannot substitute for operation.</t>
        </is>
      </c>
      <c r="U16" s="2" t="inlineStr">
        <is>
          <t>Governance/Risk/Academic Integrity owner</t>
        </is>
      </c>
      <c r="V16" s="2" t="inlineStr">
        <is>
          <t>GREEN — EXISTING PATH RETAINED</t>
        </is>
      </c>
      <c r="W16" s="2" t="inlineStr">
        <is>
          <t>Measurement path explicit at metric level. This GREEN status means architecture completeness, not empirical validation of the index.</t>
        </is>
      </c>
    </row>
    <row r="17">
      <c r="A17" s="2" t="inlineStr">
        <is>
          <t>D02</t>
        </is>
      </c>
      <c r="B17" s="2" t="inlineStr">
        <is>
          <t>I06</t>
        </is>
      </c>
      <c r="C17" s="2" t="inlineStr">
        <is>
          <t>Assessment Governance</t>
        </is>
      </c>
      <c r="D17" s="2" t="inlineStr">
        <is>
          <t>Validity/human oversight under AI</t>
        </is>
      </c>
      <c r="E17" s="2" t="inlineStr">
        <is>
          <t>Governance/Risk/Academic Integrity owner</t>
        </is>
      </c>
      <c r="F17" s="2" t="inlineStr">
        <is>
          <t>NEW</t>
        </is>
      </c>
      <c r="G17" s="2" t="inlineStr">
        <is>
          <t>NEW</t>
        </is>
      </c>
      <c r="H17" s="2" t="inlineStr">
        <is>
          <t>Assessment Governance Test</t>
        </is>
      </c>
      <c r="I17" s="2" t="inlineStr">
        <is>
          <t>Control-effectiveness rubric + evidence-coded score</t>
        </is>
      </c>
      <c r="J17" s="2" t="inlineStr">
        <is>
          <t>0–5</t>
        </is>
      </c>
      <c r="K1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7" s="2" t="inlineStr">
        <is>
          <t>Current state + most recent completed academic year; 24-month window for change/experimentation metrics</t>
        </is>
      </c>
      <c r="M17" s="2" t="inlineStr">
        <is>
          <t>Use D02_Maturity_Anchors and score observable metric behaviour: 0 absent; 1 isolated/reactive; 2 emerging/selected; 3 structured/repeatable; 4 integrated/outcome-visible; 5 adaptive/continuously improving.</t>
        </is>
      </c>
      <c r="N17" s="2" t="inlineStr">
        <is>
          <t>0–5 on existence → operating use → repeatability → integration → measured improvement/learning. Policy publication, attendance or isolated pilots cannot establish high depth.</t>
        </is>
      </c>
      <c r="O17" s="2" t="inlineStr">
        <is>
          <t>Use only where a legitimate observable outcome exists. If no valid outcome exists, Outcome=N/A and renormalise maturity/implementation; never invent an outcome.</t>
        </is>
      </c>
      <c r="P17" s="2" t="inlineStr">
        <is>
          <t>Minimum E2 evidence. For score ≥3 require a dated operating example plus corroboration; outcome claims use E3; E4 preferred for independent/high-stakes claims.</t>
        </is>
      </c>
      <c r="Q17" s="2" t="inlineStr">
        <is>
          <t>Report E0–E4 confidence separately from capability score. E0/E1 cannot substantiate maturity ≥3; E2 supports routine practice; E3 outcome; E4 independent/triangulated.</t>
        </is>
      </c>
      <c r="R17" s="2" t="inlineStr">
        <is>
          <t>N/A only for genuine mandate/context inapplicability with assessor approval. Missing data or poor performance is not N/A; approved N/A is excluded from denominator and reported.</t>
        </is>
      </c>
      <c r="S17" s="2" t="inlineStr">
        <is>
          <t>No narrative-only uplift. Require dated artefact/process/work sample and cross-check against a second source, outcome or independent evidence. Policy-only evidence caps maturity at 2.</t>
        </is>
      </c>
      <c r="T17" s="2" t="inlineStr">
        <is>
          <t>Check D08 technical controls and D07 assessment practice; policy cannot substitute for operation.</t>
        </is>
      </c>
      <c r="U17" s="2" t="inlineStr">
        <is>
          <t>Governance/Risk/Academic Integrity owner</t>
        </is>
      </c>
      <c r="V17" s="2" t="inlineStr">
        <is>
          <t>GREEN — REMEDIATED</t>
        </is>
      </c>
      <c r="W17" s="2" t="inlineStr">
        <is>
          <t>Measurement path explicit at metric level. This GREEN status means architecture completeness, not empirical validation of the index.</t>
        </is>
      </c>
    </row>
    <row r="18">
      <c r="A18" s="2" t="inlineStr">
        <is>
          <t>D02</t>
        </is>
      </c>
      <c r="B18" s="2" t="inlineStr">
        <is>
          <t>I07</t>
        </is>
      </c>
      <c r="C18" s="2" t="inlineStr">
        <is>
          <t>AI Risk Management</t>
        </is>
      </c>
      <c r="D18" s="2" t="inlineStr">
        <is>
          <t>Identify, assess, treat and monitor risk</t>
        </is>
      </c>
      <c r="E18" s="2" t="inlineStr">
        <is>
          <t>Governance/Risk/Academic Integrity owner</t>
        </is>
      </c>
      <c r="F18" s="2" t="inlineStr">
        <is>
          <t>NEW</t>
        </is>
      </c>
      <c r="G18" s="2" t="inlineStr">
        <is>
          <t>NEW</t>
        </is>
      </c>
      <c r="H18" s="2" t="inlineStr">
        <is>
          <t>AI Risk Register Test</t>
        </is>
      </c>
      <c r="I18" s="2" t="inlineStr">
        <is>
          <t>Capability/process demonstration rubric + evidence</t>
        </is>
      </c>
      <c r="J18" s="2" t="inlineStr">
        <is>
          <t>0–5</t>
        </is>
      </c>
      <c r="K1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8" s="2" t="inlineStr">
        <is>
          <t>Current state + most recent completed academic year; 24-month window for change/experimentation metrics</t>
        </is>
      </c>
      <c r="M18" s="2" t="inlineStr">
        <is>
          <t>Use D02_Maturity_Anchors and score observable metric behaviour: 0 absent; 1 isolated/reactive; 2 emerging/selected; 3 structured/repeatable; 4 integrated/outcome-visible; 5 adaptive/continuously improving.</t>
        </is>
      </c>
      <c r="N18" s="2" t="inlineStr">
        <is>
          <t>0–5 on existence → operating use → repeatability → integration → measured improvement/learning. Policy publication, attendance or isolated pilots cannot establish high depth.</t>
        </is>
      </c>
      <c r="O18" s="2" t="inlineStr">
        <is>
          <t>Use only where a legitimate observable outcome exists. If no valid outcome exists, Outcome=N/A and renormalise maturity/implementation; never invent an outcome.</t>
        </is>
      </c>
      <c r="P18" s="2" t="inlineStr">
        <is>
          <t>Minimum E2 evidence. For score ≥3 require a dated operating example plus corroboration; outcome claims use E3; E4 preferred for independent/high-stakes claims.</t>
        </is>
      </c>
      <c r="Q18" s="2" t="inlineStr">
        <is>
          <t>Report E0–E4 confidence separately from capability score. E0/E1 cannot substantiate maturity ≥3; E2 supports routine practice; E3 outcome; E4 independent/triangulated.</t>
        </is>
      </c>
      <c r="R18" s="2" t="inlineStr">
        <is>
          <t>N/A only for genuine mandate/context inapplicability with assessor approval. Missing data or poor performance is not N/A; approved N/A is excluded from denominator and reported.</t>
        </is>
      </c>
      <c r="S18" s="2" t="inlineStr">
        <is>
          <t>No narrative-only uplift. Require dated artefact/process/work sample and cross-check against a second source, outcome or independent evidence. Policy-only evidence caps maturity at 2.</t>
        </is>
      </c>
      <c r="T18" s="2" t="inlineStr">
        <is>
          <t>Check D08 technical controls and D07 assessment practice; policy cannot substitute for operation.</t>
        </is>
      </c>
      <c r="U18" s="2" t="inlineStr">
        <is>
          <t>Governance/Risk/Academic Integrity owner</t>
        </is>
      </c>
      <c r="V18" s="2" t="inlineStr">
        <is>
          <t>GREEN — REMEDIATED</t>
        </is>
      </c>
      <c r="W18" s="2" t="inlineStr">
        <is>
          <t>Measurement path explicit at metric level. This GREEN status means architecture completeness, not empirical validation of the index.</t>
        </is>
      </c>
    </row>
    <row r="19">
      <c r="A19" s="2" t="inlineStr">
        <is>
          <t>D02</t>
        </is>
      </c>
      <c r="B19" s="2" t="inlineStr">
        <is>
          <t>I08</t>
        </is>
      </c>
      <c r="C19" s="2" t="inlineStr">
        <is>
          <t>Incident Responsiveness</t>
        </is>
      </c>
      <c r="D19" s="2" t="inlineStr">
        <is>
          <t>Detection→action→learning</t>
        </is>
      </c>
      <c r="E19" s="2" t="inlineStr">
        <is>
          <t>Governance/Risk/Academic Integrity owner</t>
        </is>
      </c>
      <c r="F19" s="2" t="inlineStr">
        <is>
          <t>NEW</t>
        </is>
      </c>
      <c r="G19" s="2" t="inlineStr">
        <is>
          <t>Q04</t>
        </is>
      </c>
      <c r="H19" s="2" t="inlineStr">
        <is>
          <t>Existing architecture; metric-level extraction rule added here.</t>
        </is>
      </c>
      <c r="I19" s="2" t="inlineStr">
        <is>
          <t>Process-to-action rubric + event evidence</t>
        </is>
      </c>
      <c r="J19" s="2" t="inlineStr">
        <is>
          <t>0–5 + cycle time where available</t>
        </is>
      </c>
      <c r="K1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9" s="2" t="inlineStr">
        <is>
          <t>Current state + most recent completed academic year; 24-month window for change/experimentation metrics</t>
        </is>
      </c>
      <c r="M19" s="2" t="inlineStr">
        <is>
          <t>Use D02_Maturity_Anchors and score observable metric behaviour: 0 absent; 1 isolated/reactive; 2 emerging/selected; 3 structured/repeatable; 4 integrated/outcome-visible; 5 adaptive/continuously improving.</t>
        </is>
      </c>
      <c r="N19" s="2" t="inlineStr">
        <is>
          <t>0–5 on existence → operating use → repeatability → integration → measured improvement/learning. Policy publication, attendance or isolated pilots cannot establish high depth.</t>
        </is>
      </c>
      <c r="O19" s="2" t="inlineStr">
        <is>
          <t>Use only where a legitimate observable outcome exists. If no valid outcome exists, Outcome=N/A and renormalise maturity/implementation; never invent an outcome.</t>
        </is>
      </c>
      <c r="P19" s="2" t="inlineStr">
        <is>
          <t>Minimum E2 evidence. For score ≥3 require a dated operating example plus corroboration; outcome claims use E3; E4 preferred for independent/high-stakes claims.</t>
        </is>
      </c>
      <c r="Q19" s="2" t="inlineStr">
        <is>
          <t>Report E0–E4 confidence separately from capability score. E0/E1 cannot substantiate maturity ≥3; E2 supports routine practice; E3 outcome; E4 independent/triangulated.</t>
        </is>
      </c>
      <c r="R19" s="2" t="inlineStr">
        <is>
          <t>N/A only for genuine mandate/context inapplicability with assessor approval. Missing data or poor performance is not N/A; approved N/A is excluded from denominator and reported.</t>
        </is>
      </c>
      <c r="S19" s="2" t="inlineStr">
        <is>
          <t>No narrative-only uplift. Require dated artefact/process/work sample and cross-check against a second source, outcome or independent evidence. Policy-only evidence caps maturity at 2.</t>
        </is>
      </c>
      <c r="T19" s="2" t="inlineStr">
        <is>
          <t>Check D08 technical controls and D07 assessment practice; policy cannot substitute for operation.</t>
        </is>
      </c>
      <c r="U19" s="2" t="inlineStr">
        <is>
          <t>Governance/Risk/Academic Integrity owner</t>
        </is>
      </c>
      <c r="V19" s="2" t="inlineStr">
        <is>
          <t>GREEN — EXISTING PATH RETAINED</t>
        </is>
      </c>
      <c r="W19" s="2" t="inlineStr">
        <is>
          <t>Measurement path explicit at metric level. This GREEN status means architecture completeness, not empirical validation of the index.</t>
        </is>
      </c>
    </row>
    <row r="20">
      <c r="A20" s="2" t="inlineStr">
        <is>
          <t>D02</t>
        </is>
      </c>
      <c r="B20" s="2" t="inlineStr">
        <is>
          <t>I09</t>
        </is>
      </c>
      <c r="C20" s="2" t="inlineStr">
        <is>
          <t>Human Accountability</t>
        </is>
      </c>
      <c r="D20" s="2" t="inlineStr">
        <is>
          <t>Review/override of consequential outputs</t>
        </is>
      </c>
      <c r="E20" s="2" t="inlineStr">
        <is>
          <t>Governance/Risk/Academic Integrity owner</t>
        </is>
      </c>
      <c r="F20" s="2" t="inlineStr">
        <is>
          <t>NEW</t>
        </is>
      </c>
      <c r="G20" s="2" t="inlineStr">
        <is>
          <t>Q07</t>
        </is>
      </c>
      <c r="H20" s="2" t="inlineStr">
        <is>
          <t>Existing architecture; metric-level extraction rule added here.</t>
        </is>
      </c>
      <c r="I20" s="2" t="inlineStr">
        <is>
          <t>Capability/process demonstration rubric + evidence</t>
        </is>
      </c>
      <c r="J20" s="2" t="inlineStr">
        <is>
          <t>0–5</t>
        </is>
      </c>
      <c r="K2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0" s="2" t="inlineStr">
        <is>
          <t>Current state + most recent completed academic year; 24-month window for change/experimentation metrics</t>
        </is>
      </c>
      <c r="M20" s="2" t="inlineStr">
        <is>
          <t>Use D02_Maturity_Anchors and score observable metric behaviour: 0 absent; 1 isolated/reactive; 2 emerging/selected; 3 structured/repeatable; 4 integrated/outcome-visible; 5 adaptive/continuously improving.</t>
        </is>
      </c>
      <c r="N20" s="2" t="inlineStr">
        <is>
          <t>0–5 on existence → operating use → repeatability → integration → measured improvement/learning. Policy publication, attendance or isolated pilots cannot establish high depth.</t>
        </is>
      </c>
      <c r="O20" s="2" t="inlineStr">
        <is>
          <t>Use only where a legitimate observable outcome exists. If no valid outcome exists, Outcome=N/A and renormalise maturity/implementation; never invent an outcome.</t>
        </is>
      </c>
      <c r="P20" s="2" t="inlineStr">
        <is>
          <t>Minimum E2 evidence. For score ≥3 require a dated operating example plus corroboration; outcome claims use E3; E4 preferred for independent/high-stakes claims.</t>
        </is>
      </c>
      <c r="Q20" s="2" t="inlineStr">
        <is>
          <t>Report E0–E4 confidence separately from capability score. E0/E1 cannot substantiate maturity ≥3; E2 supports routine practice; E3 outcome; E4 independent/triangulated.</t>
        </is>
      </c>
      <c r="R20" s="2" t="inlineStr">
        <is>
          <t>N/A only for genuine mandate/context inapplicability with assessor approval. Missing data or poor performance is not N/A; approved N/A is excluded from denominator and reported.</t>
        </is>
      </c>
      <c r="S20" s="2" t="inlineStr">
        <is>
          <t>No narrative-only uplift. Require dated artefact/process/work sample and cross-check against a second source, outcome or independent evidence. Policy-only evidence caps maturity at 2.</t>
        </is>
      </c>
      <c r="T20" s="2" t="inlineStr">
        <is>
          <t>Check D08 technical controls and D07 assessment practice; policy cannot substitute for operation.</t>
        </is>
      </c>
      <c r="U20" s="2" t="inlineStr">
        <is>
          <t>Governance/Risk/Academic Integrity owner</t>
        </is>
      </c>
      <c r="V20" s="2" t="inlineStr">
        <is>
          <t>GREEN — REMEDIATED</t>
        </is>
      </c>
      <c r="W20" s="2" t="inlineStr">
        <is>
          <t>Measurement path explicit at metric level. This GREEN status means architecture completeness, not empirical validation of the index.</t>
        </is>
      </c>
    </row>
    <row r="21">
      <c r="A21" s="2" t="inlineStr">
        <is>
          <t>D02</t>
        </is>
      </c>
      <c r="B21" s="2" t="inlineStr">
        <is>
          <t>I10</t>
        </is>
      </c>
      <c r="C21" s="2" t="inlineStr">
        <is>
          <t>Vendor/Tool Governance</t>
        </is>
      </c>
      <c r="D21" s="2" t="inlineStr">
        <is>
          <t>Lifecycle due diligence</t>
        </is>
      </c>
      <c r="E21" s="2" t="inlineStr">
        <is>
          <t>Governance/Risk/Academic Integrity owner</t>
        </is>
      </c>
      <c r="F21" s="2" t="inlineStr">
        <is>
          <t>NEW</t>
        </is>
      </c>
      <c r="G21" s="2" t="inlineStr">
        <is>
          <t>Q08</t>
        </is>
      </c>
      <c r="H21" s="2" t="inlineStr">
        <is>
          <t>Existing architecture; metric-level extraction rule added here.</t>
        </is>
      </c>
      <c r="I21" s="2" t="inlineStr">
        <is>
          <t>Control-effectiveness rubric + evidence-coded score</t>
        </is>
      </c>
      <c r="J21" s="2" t="inlineStr">
        <is>
          <t>0–5</t>
        </is>
      </c>
      <c r="K2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1" s="2" t="inlineStr">
        <is>
          <t>Current state + most recent completed academic year; 24-month window for change/experimentation metrics</t>
        </is>
      </c>
      <c r="M21" s="2" t="inlineStr">
        <is>
          <t>Use D02_Maturity_Anchors and score observable metric behaviour: 0 absent; 1 isolated/reactive; 2 emerging/selected; 3 structured/repeatable; 4 integrated/outcome-visible; 5 adaptive/continuously improving.</t>
        </is>
      </c>
      <c r="N21" s="2" t="inlineStr">
        <is>
          <t>0–5 on existence → operating use → repeatability → integration → measured improvement/learning. Policy publication, attendance or isolated pilots cannot establish high depth.</t>
        </is>
      </c>
      <c r="O21" s="2" t="inlineStr">
        <is>
          <t>Use only where a legitimate observable outcome exists. If no valid outcome exists, Outcome=N/A and renormalise maturity/implementation; never invent an outcome.</t>
        </is>
      </c>
      <c r="P21" s="2" t="inlineStr">
        <is>
          <t>Minimum E2 evidence. For score ≥3 require a dated operating example plus corroboration; outcome claims use E3; E4 preferred for independent/high-stakes claims.</t>
        </is>
      </c>
      <c r="Q21" s="2" t="inlineStr">
        <is>
          <t>Report E0–E4 confidence separately from capability score. E0/E1 cannot substantiate maturity ≥3; E2 supports routine practice; E3 outcome; E4 independent/triangulated.</t>
        </is>
      </c>
      <c r="R21" s="2" t="inlineStr">
        <is>
          <t>N/A only for genuine mandate/context inapplicability with assessor approval. Missing data or poor performance is not N/A; approved N/A is excluded from denominator and reported.</t>
        </is>
      </c>
      <c r="S21" s="2" t="inlineStr">
        <is>
          <t>No narrative-only uplift. Require dated artefact/process/work sample and cross-check against a second source, outcome or independent evidence. Policy-only evidence caps maturity at 2.</t>
        </is>
      </c>
      <c r="T21" s="2" t="inlineStr">
        <is>
          <t>Check D08 technical controls and D07 assessment practice; policy cannot substitute for operation.</t>
        </is>
      </c>
      <c r="U21" s="2" t="inlineStr">
        <is>
          <t>Governance/Risk/Academic Integrity owner</t>
        </is>
      </c>
      <c r="V21" s="2" t="inlineStr">
        <is>
          <t>GREEN — EXISTING PATH RETAINED</t>
        </is>
      </c>
      <c r="W21" s="2" t="inlineStr">
        <is>
          <t>Measurement path explicit at metric level. This GREEN status means architecture completeness, not empirical validation of the index.</t>
        </is>
      </c>
    </row>
    <row r="22">
      <c r="A22" s="2" t="inlineStr">
        <is>
          <t>D02</t>
        </is>
      </c>
      <c r="B22" s="2" t="inlineStr">
        <is>
          <t>I11</t>
        </is>
      </c>
      <c r="C22" s="2" t="inlineStr">
        <is>
          <t>IP Governance</t>
        </is>
      </c>
      <c r="D22" s="2" t="inlineStr">
        <is>
          <t>AI-related IP/copyright/authorship</t>
        </is>
      </c>
      <c r="E22" s="2" t="inlineStr">
        <is>
          <t>Governance/Risk/Academic Integrity owner</t>
        </is>
      </c>
      <c r="F22" s="2" t="inlineStr">
        <is>
          <t>NEW</t>
        </is>
      </c>
      <c r="G22" s="2" t="inlineStr">
        <is>
          <t>NEW</t>
        </is>
      </c>
      <c r="H22" s="2" t="inlineStr">
        <is>
          <t>AI IP Governance Test</t>
        </is>
      </c>
      <c r="I22" s="2" t="inlineStr">
        <is>
          <t>Control-effectiveness rubric + evidence-coded score</t>
        </is>
      </c>
      <c r="J22" s="2" t="inlineStr">
        <is>
          <t>0–5</t>
        </is>
      </c>
      <c r="K2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2" s="2" t="inlineStr">
        <is>
          <t>Current state + most recent completed academic year; 24-month window for change/experimentation metrics</t>
        </is>
      </c>
      <c r="M22" s="2" t="inlineStr">
        <is>
          <t>Use D02_Maturity_Anchors and score observable metric behaviour: 0 absent; 1 isolated/reactive; 2 emerging/selected; 3 structured/repeatable; 4 integrated/outcome-visible; 5 adaptive/continuously improving.</t>
        </is>
      </c>
      <c r="N22" s="2" t="inlineStr">
        <is>
          <t>0–5 on existence → operating use → repeatability → integration → measured improvement/learning. Policy publication, attendance or isolated pilots cannot establish high depth.</t>
        </is>
      </c>
      <c r="O22" s="2" t="inlineStr">
        <is>
          <t>Use only where a legitimate observable outcome exists. If no valid outcome exists, Outcome=N/A and renormalise maturity/implementation; never invent an outcome.</t>
        </is>
      </c>
      <c r="P22" s="2" t="inlineStr">
        <is>
          <t>Minimum E2 evidence. For score ≥3 require a dated operating example plus corroboration; outcome claims use E3; E4 preferred for independent/high-stakes claims.</t>
        </is>
      </c>
      <c r="Q22" s="2" t="inlineStr">
        <is>
          <t>Report E0–E4 confidence separately from capability score. E0/E1 cannot substantiate maturity ≥3; E2 supports routine practice; E3 outcome; E4 independent/triangulated.</t>
        </is>
      </c>
      <c r="R22" s="2" t="inlineStr">
        <is>
          <t>N/A only for genuine mandate/context inapplicability with assessor approval. Missing data or poor performance is not N/A; approved N/A is excluded from denominator and reported.</t>
        </is>
      </c>
      <c r="S22" s="2" t="inlineStr">
        <is>
          <t>No narrative-only uplift. Require dated artefact/process/work sample and cross-check against a second source, outcome or independent evidence. Policy-only evidence caps maturity at 2.</t>
        </is>
      </c>
      <c r="T22" s="2" t="inlineStr">
        <is>
          <t>Check D08 technical controls and D07 assessment practice; policy cannot substitute for operation.</t>
        </is>
      </c>
      <c r="U22" s="2" t="inlineStr">
        <is>
          <t>Governance/Risk/Academic Integrity owner</t>
        </is>
      </c>
      <c r="V22" s="2" t="inlineStr">
        <is>
          <t>GREEN — REMEDIATED</t>
        </is>
      </c>
      <c r="W22" s="2" t="inlineStr">
        <is>
          <t>Measurement path explicit at metric level. This GREEN status means architecture completeness, not empirical validation of the index.</t>
        </is>
      </c>
    </row>
    <row r="23">
      <c r="A23" s="2" t="inlineStr">
        <is>
          <t>D02</t>
        </is>
      </c>
      <c r="B23" s="2" t="inlineStr">
        <is>
          <t>I12</t>
        </is>
      </c>
      <c r="C23" s="2" t="inlineStr">
        <is>
          <t>Research AI Governance</t>
        </is>
      </c>
      <c r="D23" s="2" t="inlineStr">
        <is>
          <t>Responsible AI in research</t>
        </is>
      </c>
      <c r="E23" s="2" t="inlineStr">
        <is>
          <t>Governance/Risk/Academic Integrity owner</t>
        </is>
      </c>
      <c r="F23" s="2" t="inlineStr">
        <is>
          <t>NEW</t>
        </is>
      </c>
      <c r="G23" s="2" t="inlineStr">
        <is>
          <t>NEW</t>
        </is>
      </c>
      <c r="H23" s="2" t="inlineStr">
        <is>
          <t>Research AI Governance Test</t>
        </is>
      </c>
      <c r="I23" s="2" t="inlineStr">
        <is>
          <t>Control-effectiveness rubric + evidence-coded score</t>
        </is>
      </c>
      <c r="J23" s="2" t="inlineStr">
        <is>
          <t>0–5</t>
        </is>
      </c>
      <c r="K2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3" s="2" t="inlineStr">
        <is>
          <t>Current state + most recent completed academic year; 24-month window for change/experimentation metrics</t>
        </is>
      </c>
      <c r="M23" s="2" t="inlineStr">
        <is>
          <t>Use D02_Maturity_Anchors and score observable metric behaviour: 0 absent; 1 isolated/reactive; 2 emerging/selected; 3 structured/repeatable; 4 integrated/outcome-visible; 5 adaptive/continuously improving.</t>
        </is>
      </c>
      <c r="N23" s="2" t="inlineStr">
        <is>
          <t>0–5 on existence → operating use → repeatability → integration → measured improvement/learning. Policy publication, attendance or isolated pilots cannot establish high depth.</t>
        </is>
      </c>
      <c r="O23" s="2" t="inlineStr">
        <is>
          <t>Use only where a legitimate observable outcome exists. If no valid outcome exists, Outcome=N/A and renormalise maturity/implementation; never invent an outcome.</t>
        </is>
      </c>
      <c r="P23" s="2" t="inlineStr">
        <is>
          <t>Minimum E2 evidence. For score ≥3 require a dated operating example plus corroboration; outcome claims use E3; E4 preferred for independent/high-stakes claims.</t>
        </is>
      </c>
      <c r="Q23" s="2" t="inlineStr">
        <is>
          <t>Report E0–E4 confidence separately from capability score. E0/E1 cannot substantiate maturity ≥3; E2 supports routine practice; E3 outcome; E4 independent/triangulated.</t>
        </is>
      </c>
      <c r="R23" s="2" t="inlineStr">
        <is>
          <t>N/A only for genuine mandate/context inapplicability with assessor approval. Missing data or poor performance is not N/A; approved N/A is excluded from denominator and reported.</t>
        </is>
      </c>
      <c r="S23" s="2" t="inlineStr">
        <is>
          <t>No narrative-only uplift. Require dated artefact/process/work sample and cross-check against a second source, outcome or independent evidence. Policy-only evidence caps maturity at 2.</t>
        </is>
      </c>
      <c r="T23" s="2" t="inlineStr">
        <is>
          <t>Check D08 technical controls and D07 assessment practice; policy cannot substitute for operation.</t>
        </is>
      </c>
      <c r="U23" s="2" t="inlineStr">
        <is>
          <t>Governance/Risk/Academic Integrity owner</t>
        </is>
      </c>
      <c r="V23" s="2" t="inlineStr">
        <is>
          <t>GREEN — REMEDIATED</t>
        </is>
      </c>
      <c r="W23" s="2" t="inlineStr">
        <is>
          <t>Measurement path explicit at metric level. This GREEN status means architecture completeness, not empirical validation of the index.</t>
        </is>
      </c>
    </row>
    <row r="24">
      <c r="A24" s="2" t="inlineStr">
        <is>
          <t>D02</t>
        </is>
      </c>
      <c r="B24" s="2" t="inlineStr">
        <is>
          <t>I13</t>
        </is>
      </c>
      <c r="C24" s="2" t="inlineStr">
        <is>
          <t>Governance Review Adaptability</t>
        </is>
      </c>
      <c r="D24" s="2" t="inlineStr">
        <is>
          <t>Review frequency and change triggers</t>
        </is>
      </c>
      <c r="E24" s="2" t="inlineStr">
        <is>
          <t>Governance/Risk/Academic Integrity owner</t>
        </is>
      </c>
      <c r="F24" s="2" t="inlineStr">
        <is>
          <t>NEW</t>
        </is>
      </c>
      <c r="G24" s="2" t="inlineStr">
        <is>
          <t>Q03</t>
        </is>
      </c>
      <c r="H24" s="2" t="inlineStr">
        <is>
          <t>Existing architecture; metric-level extraction rule added here.</t>
        </is>
      </c>
      <c r="I24" s="2" t="inlineStr">
        <is>
          <t>Process-to-action rubric + event evidence</t>
        </is>
      </c>
      <c r="J24" s="2" t="inlineStr">
        <is>
          <t>0–5 + cycle time where available</t>
        </is>
      </c>
      <c r="K2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4" s="2" t="inlineStr">
        <is>
          <t>Current state + most recent completed academic year; 24-month window for change/experimentation metrics</t>
        </is>
      </c>
      <c r="M24" s="2" t="inlineStr">
        <is>
          <t>Use D02_Maturity_Anchors and score observable metric behaviour: 0 absent; 1 isolated/reactive; 2 emerging/selected; 3 structured/repeatable; 4 integrated/outcome-visible; 5 adaptive/continuously improving.</t>
        </is>
      </c>
      <c r="N24" s="2" t="inlineStr">
        <is>
          <t>0–5 on existence → operating use → repeatability → integration → measured improvement/learning. Policy publication, attendance or isolated pilots cannot establish high depth.</t>
        </is>
      </c>
      <c r="O24" s="2" t="inlineStr">
        <is>
          <t>Use only where a legitimate observable outcome exists. If no valid outcome exists, Outcome=N/A and renormalise maturity/implementation; never invent an outcome.</t>
        </is>
      </c>
      <c r="P24" s="2" t="inlineStr">
        <is>
          <t>Minimum E2 evidence. For score ≥3 require a dated operating example plus corroboration; outcome claims use E3; E4 preferred for independent/high-stakes claims.</t>
        </is>
      </c>
      <c r="Q24" s="2" t="inlineStr">
        <is>
          <t>Report E0–E4 confidence separately from capability score. E0/E1 cannot substantiate maturity ≥3; E2 supports routine practice; E3 outcome; E4 independent/triangulated.</t>
        </is>
      </c>
      <c r="R24" s="2" t="inlineStr">
        <is>
          <t>N/A only for genuine mandate/context inapplicability with assessor approval. Missing data or poor performance is not N/A; approved N/A is excluded from denominator and reported.</t>
        </is>
      </c>
      <c r="S24" s="2" t="inlineStr">
        <is>
          <t>No narrative-only uplift. Require dated artefact/process/work sample and cross-check against a second source, outcome or independent evidence. Policy-only evidence caps maturity at 2.</t>
        </is>
      </c>
      <c r="T24" s="2" t="inlineStr">
        <is>
          <t>Check D08 technical controls and D07 assessment practice; policy cannot substitute for operation.</t>
        </is>
      </c>
      <c r="U24" s="2" t="inlineStr">
        <is>
          <t>Governance/Risk/Academic Integrity owner</t>
        </is>
      </c>
      <c r="V24" s="2" t="inlineStr">
        <is>
          <t>GREEN — REMEDIATED</t>
        </is>
      </c>
      <c r="W24" s="2" t="inlineStr">
        <is>
          <t>Measurement path explicit at metric level. This GREEN status means architecture completeness, not empirical validation of the index.</t>
        </is>
      </c>
    </row>
    <row r="25">
      <c r="A25" s="2" t="inlineStr">
        <is>
          <t>D02</t>
        </is>
      </c>
      <c r="B25" s="2" t="inlineStr">
        <is>
          <t>I14</t>
        </is>
      </c>
      <c r="C25" s="2" t="inlineStr">
        <is>
          <t>Governance Effectiveness</t>
        </is>
      </c>
      <c r="D25" s="2" t="inlineStr">
        <is>
          <t>Functioning governance vs paper policy</t>
        </is>
      </c>
      <c r="E25" s="2" t="inlineStr">
        <is>
          <t>Governance/Risk/Academic Integrity owner</t>
        </is>
      </c>
      <c r="F25" s="2" t="inlineStr">
        <is>
          <t>NEW</t>
        </is>
      </c>
      <c r="G25" s="2" t="inlineStr">
        <is>
          <t>Q09</t>
        </is>
      </c>
      <c r="H25" s="2" t="inlineStr">
        <is>
          <t>Existing architecture; metric-level extraction rule added here.</t>
        </is>
      </c>
      <c r="I25" s="2" t="inlineStr">
        <is>
          <t>Control-effectiveness rubric + evidence-coded score</t>
        </is>
      </c>
      <c r="J25" s="2" t="inlineStr">
        <is>
          <t>0–5</t>
        </is>
      </c>
      <c r="K2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5" s="2" t="inlineStr">
        <is>
          <t>Current state + most recent completed academic year; 24-month window for change/experimentation metrics</t>
        </is>
      </c>
      <c r="M25" s="2" t="inlineStr">
        <is>
          <t>Use D02_Maturity_Anchors and score observable metric behaviour: 0 absent; 1 isolated/reactive; 2 emerging/selected; 3 structured/repeatable; 4 integrated/outcome-visible; 5 adaptive/continuously improving.</t>
        </is>
      </c>
      <c r="N25" s="2" t="inlineStr">
        <is>
          <t>0–5 on existence → operating use → repeatability → integration → measured improvement/learning. Policy publication, attendance or isolated pilots cannot establish high depth.</t>
        </is>
      </c>
      <c r="O25" s="2" t="inlineStr">
        <is>
          <t>Use only where a legitimate observable outcome exists. If no valid outcome exists, Outcome=N/A and renormalise maturity/implementation; never invent an outcome.</t>
        </is>
      </c>
      <c r="P25" s="2" t="inlineStr">
        <is>
          <t>Minimum E2 evidence. For score ≥3 require a dated operating example plus corroboration; outcome claims use E3; E4 preferred for independent/high-stakes claims.</t>
        </is>
      </c>
      <c r="Q25" s="2" t="inlineStr">
        <is>
          <t>Report E0–E4 confidence separately from capability score. E0/E1 cannot substantiate maturity ≥3; E2 supports routine practice; E3 outcome; E4 independent/triangulated.</t>
        </is>
      </c>
      <c r="R25" s="2" t="inlineStr">
        <is>
          <t>N/A only for genuine mandate/context inapplicability with assessor approval. Missing data or poor performance is not N/A; approved N/A is excluded from denominator and reported.</t>
        </is>
      </c>
      <c r="S25" s="2" t="inlineStr">
        <is>
          <t>No narrative-only uplift. Require dated artefact/process/work sample and cross-check against a second source, outcome or independent evidence. Policy-only evidence caps maturity at 2.</t>
        </is>
      </c>
      <c r="T25" s="2" t="inlineStr">
        <is>
          <t>Check D08 technical controls and D07 assessment practice; policy cannot substitute for operation.</t>
        </is>
      </c>
      <c r="U25" s="2" t="inlineStr">
        <is>
          <t>Governance/Risk/Academic Integrity owner</t>
        </is>
      </c>
      <c r="V25" s="2" t="inlineStr">
        <is>
          <t>GREEN — EXISTING PATH RETAINED</t>
        </is>
      </c>
      <c r="W25" s="2" t="inlineStr">
        <is>
          <t>Measurement path explicit at metric level. This GREEN status means architecture completeness, not empirical validation of the index.</t>
        </is>
      </c>
    </row>
    <row r="26">
      <c r="A26" s="2" t="inlineStr">
        <is>
          <t>D03</t>
        </is>
      </c>
      <c r="B26" s="2" t="inlineStr">
        <is>
          <t>I01</t>
        </is>
      </c>
      <c r="C26" s="2" t="inlineStr">
        <is>
          <t>Foundational Knowledge Depth</t>
        </is>
      </c>
      <c r="D26" s="2" t="inlineStr">
        <is>
          <t>Knowledge substrate for judgement</t>
        </is>
      </c>
      <c r="E26" s="2" t="inlineStr">
        <is>
          <t>Academic/Teaching-Learning leadership with programme owners</t>
        </is>
      </c>
      <c r="F26" s="2" t="inlineStr">
        <is>
          <t>NEW</t>
        </is>
      </c>
      <c r="G26" s="2" t="inlineStr">
        <is>
          <t>NEW</t>
        </is>
      </c>
      <c r="H26" s="2" t="inlineStr">
        <is>
          <t>Existing architecture; metric-level extraction rule added here.</t>
        </is>
      </c>
      <c r="I26" s="2" t="inlineStr">
        <is>
          <t>Capability/process demonstration rubric + evidence</t>
        </is>
      </c>
      <c r="J26" s="2" t="inlineStr">
        <is>
          <t>0–5</t>
        </is>
      </c>
      <c r="K2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6" s="2" t="inlineStr">
        <is>
          <t>Current state + most recent completed academic year; 24-month window for change/experimentation metrics</t>
        </is>
      </c>
      <c r="M26" s="2" t="inlineStr">
        <is>
          <t>Use D03_Maturity_Anchors and score observable metric behaviour: 0 absent; 1 isolated/reactive; 2 emerging/selected; 3 structured/repeatable; 4 integrated/outcome-visible; 5 adaptive/continuously improving.</t>
        </is>
      </c>
      <c r="N26" s="2" t="inlineStr">
        <is>
          <t>0–5 on existence → operating use → repeatability → integration → measured improvement/learning. Policy publication, attendance or isolated pilots cannot establish high depth.</t>
        </is>
      </c>
      <c r="O26" s="2" t="inlineStr">
        <is>
          <t>Use only where a legitimate observable outcome exists. If no valid outcome exists, Outcome=N/A and renormalise maturity/implementation; never invent an outcome.</t>
        </is>
      </c>
      <c r="P26" s="2" t="inlineStr">
        <is>
          <t>Minimum E2 evidence. For score ≥3 require a dated operating example plus corroboration; outcome claims use E3; E4 preferred for independent/high-stakes claims.</t>
        </is>
      </c>
      <c r="Q26" s="2" t="inlineStr">
        <is>
          <t>Report E0–E4 confidence separately from capability score. E0/E1 cannot substantiate maturity ≥3; E2 supports routine practice; E3 outcome; E4 independent/triangulated.</t>
        </is>
      </c>
      <c r="R26" s="2" t="inlineStr">
        <is>
          <t>N/A only for genuine mandate/context inapplicability with assessor approval. Missing data or poor performance is not N/A; approved N/A is excluded from denominator and reported.</t>
        </is>
      </c>
      <c r="S26" s="2" t="inlineStr">
        <is>
          <t>No narrative-only uplift. Require dated artefact/process/work sample and cross-check against a second source, outcome or independent evidence. Policy-only evidence caps maturity at 2.</t>
        </is>
      </c>
      <c r="T26" s="2" t="inlineStr">
        <is>
          <t>Check D04 operationalisation, D06 lived capability and D07 demonstration; outcomes do not automatically raise D03.</t>
        </is>
      </c>
      <c r="U26" s="2" t="inlineStr">
        <is>
          <t>Academic/Teaching-Learning leadership with programme owners</t>
        </is>
      </c>
      <c r="V26" s="2" t="inlineStr">
        <is>
          <t>GREEN — EXISTING PATH RETAINED</t>
        </is>
      </c>
      <c r="W26" s="2" t="inlineStr">
        <is>
          <t>Measurement path explicit at metric level. This GREEN status means architecture completeness, not empirical validation of the index.</t>
        </is>
      </c>
    </row>
    <row r="27">
      <c r="A27" s="2" t="inlineStr">
        <is>
          <t>D03</t>
        </is>
      </c>
      <c r="B27" s="2" t="inlineStr">
        <is>
          <t>I02</t>
        </is>
      </c>
      <c r="C27" s="2" t="inlineStr">
        <is>
          <t>Critical Reasoning Development</t>
        </is>
      </c>
      <c r="D27" s="2" t="inlineStr">
        <is>
          <t>Development and demonstration of reasoning</t>
        </is>
      </c>
      <c r="E27" s="2" t="inlineStr">
        <is>
          <t>Academic/Teaching-Learning leadership with programme owners</t>
        </is>
      </c>
      <c r="F27" s="2" t="inlineStr">
        <is>
          <t>NEW</t>
        </is>
      </c>
      <c r="G27" s="2" t="inlineStr">
        <is>
          <t>Q03; Q04</t>
        </is>
      </c>
      <c r="H27" s="2" t="inlineStr">
        <is>
          <t>Existing architecture; metric-level extraction rule added here.</t>
        </is>
      </c>
      <c r="I27" s="2" t="inlineStr">
        <is>
          <t>Capability/process demonstration rubric + evidence</t>
        </is>
      </c>
      <c r="J27" s="2" t="inlineStr">
        <is>
          <t>0–5</t>
        </is>
      </c>
      <c r="K2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7" s="2" t="inlineStr">
        <is>
          <t>Current state + most recent completed academic year; 24-month window for change/experimentation metrics</t>
        </is>
      </c>
      <c r="M27" s="2" t="inlineStr">
        <is>
          <t>Use D03_Maturity_Anchors and score observable metric behaviour: 0 absent; 1 isolated/reactive; 2 emerging/selected; 3 structured/repeatable; 4 integrated/outcome-visible; 5 adaptive/continuously improving.</t>
        </is>
      </c>
      <c r="N27" s="2" t="inlineStr">
        <is>
          <t>0–5 on existence → operating use → repeatability → integration → measured improvement/learning. Policy publication, attendance or isolated pilots cannot establish high depth.</t>
        </is>
      </c>
      <c r="O27" s="2" t="inlineStr">
        <is>
          <t>Use only where a legitimate observable outcome exists. If no valid outcome exists, Outcome=N/A and renormalise maturity/implementation; never invent an outcome.</t>
        </is>
      </c>
      <c r="P27" s="2" t="inlineStr">
        <is>
          <t>Minimum E2 evidence. For score ≥3 require a dated operating example plus corroboration; outcome claims use E3; E4 preferred for independent/high-stakes claims.</t>
        </is>
      </c>
      <c r="Q27" s="2" t="inlineStr">
        <is>
          <t>Report E0–E4 confidence separately from capability score. E0/E1 cannot substantiate maturity ≥3; E2 supports routine practice; E3 outcome; E4 independent/triangulated.</t>
        </is>
      </c>
      <c r="R27" s="2" t="inlineStr">
        <is>
          <t>N/A only for genuine mandate/context inapplicability with assessor approval. Missing data or poor performance is not N/A; approved N/A is excluded from denominator and reported.</t>
        </is>
      </c>
      <c r="S27" s="2" t="inlineStr">
        <is>
          <t>No narrative-only uplift. Require dated artefact/process/work sample and cross-check against a second source, outcome or independent evidence. Policy-only evidence caps maturity at 2.</t>
        </is>
      </c>
      <c r="T27" s="2" t="inlineStr">
        <is>
          <t>Check D04 operationalisation, D06 lived capability and D07 demonstration; outcomes do not automatically raise D03.</t>
        </is>
      </c>
      <c r="U27" s="2" t="inlineStr">
        <is>
          <t>Academic/Teaching-Learning leadership with programme owners</t>
        </is>
      </c>
      <c r="V27" s="2" t="inlineStr">
        <is>
          <t>GREEN — EXISTING PATH RETAINED</t>
        </is>
      </c>
      <c r="W27" s="2" t="inlineStr">
        <is>
          <t>Measurement path explicit at metric level. This GREEN status means architecture completeness, not empirical validation of the index.</t>
        </is>
      </c>
    </row>
    <row r="28">
      <c r="A28" s="2" t="inlineStr">
        <is>
          <t>D03</t>
        </is>
      </c>
      <c r="B28" s="2" t="inlineStr">
        <is>
          <t>I03</t>
        </is>
      </c>
      <c r="C28" s="2" t="inlineStr">
        <is>
          <t>Question Formulation</t>
        </is>
      </c>
      <c r="D28" s="2" t="inlineStr">
        <is>
          <t>Ability to formulate meaningful inquiry</t>
        </is>
      </c>
      <c r="E28" s="2" t="inlineStr">
        <is>
          <t>Academic/Teaching-Learning leadership with programme owners</t>
        </is>
      </c>
      <c r="F28" s="2" t="inlineStr">
        <is>
          <t>NEW</t>
        </is>
      </c>
      <c r="G28" s="2" t="inlineStr">
        <is>
          <t>NEW</t>
        </is>
      </c>
      <c r="H28" s="2" t="inlineStr">
        <is>
          <t>Question Formulation Test</t>
        </is>
      </c>
      <c r="I28" s="2" t="inlineStr">
        <is>
          <t>Capability/process demonstration rubric + evidence</t>
        </is>
      </c>
      <c r="J28" s="2" t="inlineStr">
        <is>
          <t>0–5</t>
        </is>
      </c>
      <c r="K2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8" s="2" t="inlineStr">
        <is>
          <t>Current state + most recent completed academic year; 24-month window for change/experimentation metrics</t>
        </is>
      </c>
      <c r="M28" s="2" t="inlineStr">
        <is>
          <t>Use D03_Maturity_Anchors and score observable metric behaviour: 0 absent; 1 isolated/reactive; 2 emerging/selected; 3 structured/repeatable; 4 integrated/outcome-visible; 5 adaptive/continuously improving.</t>
        </is>
      </c>
      <c r="N28" s="2" t="inlineStr">
        <is>
          <t>0–5 on existence → operating use → repeatability → integration → measured improvement/learning. Policy publication, attendance or isolated pilots cannot establish high depth.</t>
        </is>
      </c>
      <c r="O28" s="2" t="inlineStr">
        <is>
          <t>Use only where a legitimate observable outcome exists. If no valid outcome exists, Outcome=N/A and renormalise maturity/implementation; never invent an outcome.</t>
        </is>
      </c>
      <c r="P28" s="2" t="inlineStr">
        <is>
          <t>Minimum E2 evidence. For score ≥3 require a dated operating example plus corroboration; outcome claims use E3; E4 preferred for independent/high-stakes claims.</t>
        </is>
      </c>
      <c r="Q28" s="2" t="inlineStr">
        <is>
          <t>Report E0–E4 confidence separately from capability score. E0/E1 cannot substantiate maturity ≥3; E2 supports routine practice; E3 outcome; E4 independent/triangulated.</t>
        </is>
      </c>
      <c r="R28" s="2" t="inlineStr">
        <is>
          <t>N/A only for genuine mandate/context inapplicability with assessor approval. Missing data or poor performance is not N/A; approved N/A is excluded from denominator and reported.</t>
        </is>
      </c>
      <c r="S28" s="2" t="inlineStr">
        <is>
          <t>No narrative-only uplift. Require dated artefact/process/work sample and cross-check against a second source, outcome or independent evidence. Policy-only evidence caps maturity at 2.</t>
        </is>
      </c>
      <c r="T28" s="2" t="inlineStr">
        <is>
          <t>Check D04 operationalisation, D06 lived capability and D07 demonstration; outcomes do not automatically raise D03.</t>
        </is>
      </c>
      <c r="U28" s="2" t="inlineStr">
        <is>
          <t>Academic/Teaching-Learning leadership with programme owners</t>
        </is>
      </c>
      <c r="V28" s="2" t="inlineStr">
        <is>
          <t>GREEN — REMEDIATED</t>
        </is>
      </c>
      <c r="W28" s="2" t="inlineStr">
        <is>
          <t>Measurement path explicit at metric level. This GREEN status means architecture completeness, not empirical validation of the index.</t>
        </is>
      </c>
    </row>
    <row r="29">
      <c r="A29" s="2" t="inlineStr">
        <is>
          <t>D03</t>
        </is>
      </c>
      <c r="B29" s="2" t="inlineStr">
        <is>
          <t>I04</t>
        </is>
      </c>
      <c r="C29" s="2" t="inlineStr">
        <is>
          <t>Analytical Reasoning</t>
        </is>
      </c>
      <c r="D29" s="2" t="inlineStr">
        <is>
          <t>Evidence-based reasoning</t>
        </is>
      </c>
      <c r="E29" s="2" t="inlineStr">
        <is>
          <t>Academic/Teaching-Learning leadership with programme owners</t>
        </is>
      </c>
      <c r="F29" s="2" t="inlineStr">
        <is>
          <t>NEW</t>
        </is>
      </c>
      <c r="G29" s="2" t="inlineStr">
        <is>
          <t>Q03; Q04</t>
        </is>
      </c>
      <c r="H29" s="2" t="inlineStr">
        <is>
          <t>Existing architecture; metric-level extraction rule added here.</t>
        </is>
      </c>
      <c r="I29" s="2" t="inlineStr">
        <is>
          <t>Capability/process demonstration rubric + evidence</t>
        </is>
      </c>
      <c r="J29" s="2" t="inlineStr">
        <is>
          <t>0–5</t>
        </is>
      </c>
      <c r="K2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9" s="2" t="inlineStr">
        <is>
          <t>Current state + most recent completed academic year; 24-month window for change/experimentation metrics</t>
        </is>
      </c>
      <c r="M29" s="2" t="inlineStr">
        <is>
          <t>Use D03_Maturity_Anchors and score observable metric behaviour: 0 absent; 1 isolated/reactive; 2 emerging/selected; 3 structured/repeatable; 4 integrated/outcome-visible; 5 adaptive/continuously improving.</t>
        </is>
      </c>
      <c r="N29" s="2" t="inlineStr">
        <is>
          <t>0–5 on existence → operating use → repeatability → integration → measured improvement/learning. Policy publication, attendance or isolated pilots cannot establish high depth.</t>
        </is>
      </c>
      <c r="O29" s="2" t="inlineStr">
        <is>
          <t>Use only where a legitimate observable outcome exists. If no valid outcome exists, Outcome=N/A and renormalise maturity/implementation; never invent an outcome.</t>
        </is>
      </c>
      <c r="P29" s="2" t="inlineStr">
        <is>
          <t>Minimum E2 evidence. For score ≥3 require a dated operating example plus corroboration; outcome claims use E3; E4 preferred for independent/high-stakes claims.</t>
        </is>
      </c>
      <c r="Q29" s="2" t="inlineStr">
        <is>
          <t>Report E0–E4 confidence separately from capability score. E0/E1 cannot substantiate maturity ≥3; E2 supports routine practice; E3 outcome; E4 independent/triangulated.</t>
        </is>
      </c>
      <c r="R29" s="2" t="inlineStr">
        <is>
          <t>N/A only for genuine mandate/context inapplicability with assessor approval. Missing data or poor performance is not N/A; approved N/A is excluded from denominator and reported.</t>
        </is>
      </c>
      <c r="S29" s="2" t="inlineStr">
        <is>
          <t>No narrative-only uplift. Require dated artefact/process/work sample and cross-check against a second source, outcome or independent evidence. Policy-only evidence caps maturity at 2.</t>
        </is>
      </c>
      <c r="T29" s="2" t="inlineStr">
        <is>
          <t>Check D04 operationalisation, D06 lived capability and D07 demonstration; outcomes do not automatically raise D03.</t>
        </is>
      </c>
      <c r="U29" s="2" t="inlineStr">
        <is>
          <t>Academic/Teaching-Learning leadership with programme owners</t>
        </is>
      </c>
      <c r="V29" s="2" t="inlineStr">
        <is>
          <t>GREEN — EXISTING PATH RETAINED</t>
        </is>
      </c>
      <c r="W29" s="2" t="inlineStr">
        <is>
          <t>Measurement path explicit at metric level. This GREEN status means architecture completeness, not empirical validation of the index.</t>
        </is>
      </c>
    </row>
    <row r="30">
      <c r="A30" s="2" t="inlineStr">
        <is>
          <t>D03</t>
        </is>
      </c>
      <c r="B30" s="2" t="inlineStr">
        <is>
          <t>I05</t>
        </is>
      </c>
      <c r="C30" s="2" t="inlineStr">
        <is>
          <t>Problem Formulation</t>
        </is>
      </c>
      <c r="D30" s="2" t="inlineStr">
        <is>
          <t>Framing ambiguous problems</t>
        </is>
      </c>
      <c r="E30" s="2" t="inlineStr">
        <is>
          <t>Academic/Teaching-Learning leadership with programme owners</t>
        </is>
      </c>
      <c r="F30" s="2" t="inlineStr">
        <is>
          <t>NEW</t>
        </is>
      </c>
      <c r="G30" s="2" t="inlineStr">
        <is>
          <t>Q06</t>
        </is>
      </c>
      <c r="H30" s="2" t="inlineStr">
        <is>
          <t>Existing architecture; metric-level extraction rule added here.</t>
        </is>
      </c>
      <c r="I30" s="2" t="inlineStr">
        <is>
          <t>Capability/process demonstration rubric + evidence</t>
        </is>
      </c>
      <c r="J30" s="2" t="inlineStr">
        <is>
          <t>0–5</t>
        </is>
      </c>
      <c r="K3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0" s="2" t="inlineStr">
        <is>
          <t>Current state + most recent completed academic year; 24-month window for change/experimentation metrics</t>
        </is>
      </c>
      <c r="M30" s="2" t="inlineStr">
        <is>
          <t>Use D03_Maturity_Anchors and score observable metric behaviour: 0 absent; 1 isolated/reactive; 2 emerging/selected; 3 structured/repeatable; 4 integrated/outcome-visible; 5 adaptive/continuously improving.</t>
        </is>
      </c>
      <c r="N30" s="2" t="inlineStr">
        <is>
          <t>0–5 on existence → operating use → repeatability → integration → measured improvement/learning. Policy publication, attendance or isolated pilots cannot establish high depth.</t>
        </is>
      </c>
      <c r="O30" s="2" t="inlineStr">
        <is>
          <t>Use only where a legitimate observable outcome exists. If no valid outcome exists, Outcome=N/A and renormalise maturity/implementation; never invent an outcome.</t>
        </is>
      </c>
      <c r="P30" s="2" t="inlineStr">
        <is>
          <t>Minimum E2 evidence. For score ≥3 require a dated operating example plus corroboration; outcome claims use E3; E4 preferred for independent/high-stakes claims.</t>
        </is>
      </c>
      <c r="Q30" s="2" t="inlineStr">
        <is>
          <t>Report E0–E4 confidence separately from capability score. E0/E1 cannot substantiate maturity ≥3; E2 supports routine practice; E3 outcome; E4 independent/triangulated.</t>
        </is>
      </c>
      <c r="R30" s="2" t="inlineStr">
        <is>
          <t>N/A only for genuine mandate/context inapplicability with assessor approval. Missing data or poor performance is not N/A; approved N/A is excluded from denominator and reported.</t>
        </is>
      </c>
      <c r="S30" s="2" t="inlineStr">
        <is>
          <t>No narrative-only uplift. Require dated artefact/process/work sample and cross-check against a second source, outcome or independent evidence. Policy-only evidence caps maturity at 2.</t>
        </is>
      </c>
      <c r="T30" s="2" t="inlineStr">
        <is>
          <t>Check D04 operationalisation, D06 lived capability and D07 demonstration; outcomes do not automatically raise D03.</t>
        </is>
      </c>
      <c r="U30" s="2" t="inlineStr">
        <is>
          <t>Academic/Teaching-Learning leadership with programme owners</t>
        </is>
      </c>
      <c r="V30" s="2" t="inlineStr">
        <is>
          <t>GREEN — REMEDIATED</t>
        </is>
      </c>
      <c r="W30" s="2" t="inlineStr">
        <is>
          <t>Measurement path explicit at metric level. This GREEN status means architecture completeness, not empirical validation of the index.</t>
        </is>
      </c>
    </row>
    <row r="31">
      <c r="A31" s="2" t="inlineStr">
        <is>
          <t>D03</t>
        </is>
      </c>
      <c r="B31" s="2" t="inlineStr">
        <is>
          <t>I06</t>
        </is>
      </c>
      <c r="C31" s="2" t="inlineStr">
        <is>
          <t>Creativity &amp; Originality</t>
        </is>
      </c>
      <c r="D31" s="2" t="inlineStr">
        <is>
          <t>Creation of original value</t>
        </is>
      </c>
      <c r="E31" s="2" t="inlineStr">
        <is>
          <t>Academic/Teaching-Learning leadership with programme owners</t>
        </is>
      </c>
      <c r="F31" s="2" t="inlineStr">
        <is>
          <t>NEW</t>
        </is>
      </c>
      <c r="G31" s="2" t="inlineStr">
        <is>
          <t>NEW</t>
        </is>
      </c>
      <c r="H31" s="2" t="inlineStr">
        <is>
          <t>Creativity &amp; Originality Test</t>
        </is>
      </c>
      <c r="I31" s="2" t="inlineStr">
        <is>
          <t>Capability/process demonstration rubric + evidence</t>
        </is>
      </c>
      <c r="J31" s="2" t="inlineStr">
        <is>
          <t>0–5</t>
        </is>
      </c>
      <c r="K3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1" s="2" t="inlineStr">
        <is>
          <t>Current state + most recent completed academic year; 24-month window for change/experimentation metrics</t>
        </is>
      </c>
      <c r="M31" s="2" t="inlineStr">
        <is>
          <t>Use D03_Maturity_Anchors and score observable metric behaviour: 0 absent; 1 isolated/reactive; 2 emerging/selected; 3 structured/repeatable; 4 integrated/outcome-visible; 5 adaptive/continuously improving.</t>
        </is>
      </c>
      <c r="N31" s="2" t="inlineStr">
        <is>
          <t>0–5 on existence → operating use → repeatability → integration → measured improvement/learning. Policy publication, attendance or isolated pilots cannot establish high depth.</t>
        </is>
      </c>
      <c r="O31" s="2" t="inlineStr">
        <is>
          <t>Use only where a legitimate observable outcome exists. If no valid outcome exists, Outcome=N/A and renormalise maturity/implementation; never invent an outcome.</t>
        </is>
      </c>
      <c r="P31" s="2" t="inlineStr">
        <is>
          <t>Minimum E2 evidence. For score ≥3 require a dated operating example plus corroboration; outcome claims use E3; E4 preferred for independent/high-stakes claims.</t>
        </is>
      </c>
      <c r="Q31" s="2" t="inlineStr">
        <is>
          <t>Report E0–E4 confidence separately from capability score. E0/E1 cannot substantiate maturity ≥3; E2 supports routine practice; E3 outcome; E4 independent/triangulated.</t>
        </is>
      </c>
      <c r="R31" s="2" t="inlineStr">
        <is>
          <t>N/A only for genuine mandate/context inapplicability with assessor approval. Missing data or poor performance is not N/A; approved N/A is excluded from denominator and reported.</t>
        </is>
      </c>
      <c r="S31" s="2" t="inlineStr">
        <is>
          <t>No narrative-only uplift. Require dated artefact/process/work sample and cross-check against a second source, outcome or independent evidence. Policy-only evidence caps maturity at 2.</t>
        </is>
      </c>
      <c r="T31" s="2" t="inlineStr">
        <is>
          <t>Check D04 operationalisation, D06 lived capability and D07 demonstration; outcomes do not automatically raise D03.</t>
        </is>
      </c>
      <c r="U31" s="2" t="inlineStr">
        <is>
          <t>Academic/Teaching-Learning leadership with programme owners</t>
        </is>
      </c>
      <c r="V31" s="2" t="inlineStr">
        <is>
          <t>GREEN — REMEDIATED</t>
        </is>
      </c>
      <c r="W31" s="2" t="inlineStr">
        <is>
          <t>Measurement path explicit at metric level. This GREEN status means architecture completeness, not empirical validation of the index.</t>
        </is>
      </c>
    </row>
    <row r="32">
      <c r="A32" s="2" t="inlineStr">
        <is>
          <t>D03</t>
        </is>
      </c>
      <c r="B32" s="2" t="inlineStr">
        <is>
          <t>I07</t>
        </is>
      </c>
      <c r="C32" s="2" t="inlineStr">
        <is>
          <t>Judgement Capability</t>
        </is>
      </c>
      <c r="D32" s="2" t="inlineStr">
        <is>
          <t>Contextual/professional/ethical decisions</t>
        </is>
      </c>
      <c r="E32" s="2" t="inlineStr">
        <is>
          <t>Academic/Teaching-Learning leadership with programme owners</t>
        </is>
      </c>
      <c r="F32" s="2" t="inlineStr">
        <is>
          <t>NEW</t>
        </is>
      </c>
      <c r="G32" s="2" t="inlineStr">
        <is>
          <t>Q03; Q04; Q07</t>
        </is>
      </c>
      <c r="H32" s="2" t="inlineStr">
        <is>
          <t>Existing architecture; metric-level extraction rule added here.</t>
        </is>
      </c>
      <c r="I32" s="2" t="inlineStr">
        <is>
          <t>Capability/process demonstration rubric + evidence</t>
        </is>
      </c>
      <c r="J32" s="2" t="inlineStr">
        <is>
          <t>0–5</t>
        </is>
      </c>
      <c r="K3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2" s="2" t="inlineStr">
        <is>
          <t>Current state + most recent completed academic year; 24-month window for change/experimentation metrics</t>
        </is>
      </c>
      <c r="M32" s="2" t="inlineStr">
        <is>
          <t>Use D03_Maturity_Anchors and score observable metric behaviour: 0 absent; 1 isolated/reactive; 2 emerging/selected; 3 structured/repeatable; 4 integrated/outcome-visible; 5 adaptive/continuously improving.</t>
        </is>
      </c>
      <c r="N32" s="2" t="inlineStr">
        <is>
          <t>0–5 on existence → operating use → repeatability → integration → measured improvement/learning. Policy publication, attendance or isolated pilots cannot establish high depth.</t>
        </is>
      </c>
      <c r="O32" s="2" t="inlineStr">
        <is>
          <t>Use only where a legitimate observable outcome exists. If no valid outcome exists, Outcome=N/A and renormalise maturity/implementation; never invent an outcome.</t>
        </is>
      </c>
      <c r="P32" s="2" t="inlineStr">
        <is>
          <t>Minimum E2 evidence. For score ≥3 require a dated operating example plus corroboration; outcome claims use E3; E4 preferred for independent/high-stakes claims.</t>
        </is>
      </c>
      <c r="Q32" s="2" t="inlineStr">
        <is>
          <t>Report E0–E4 confidence separately from capability score. E0/E1 cannot substantiate maturity ≥3; E2 supports routine practice; E3 outcome; E4 independent/triangulated.</t>
        </is>
      </c>
      <c r="R32" s="2" t="inlineStr">
        <is>
          <t>N/A only for genuine mandate/context inapplicability with assessor approval. Missing data or poor performance is not N/A; approved N/A is excluded from denominator and reported.</t>
        </is>
      </c>
      <c r="S32" s="2" t="inlineStr">
        <is>
          <t>No narrative-only uplift. Require dated artefact/process/work sample and cross-check against a second source, outcome or independent evidence. Policy-only evidence caps maturity at 2.</t>
        </is>
      </c>
      <c r="T32" s="2" t="inlineStr">
        <is>
          <t>Check D04 operationalisation, D06 lived capability and D07 demonstration; outcomes do not automatically raise D03.</t>
        </is>
      </c>
      <c r="U32" s="2" t="inlineStr">
        <is>
          <t>Academic/Teaching-Learning leadership with programme owners</t>
        </is>
      </c>
      <c r="V32" s="2" t="inlineStr">
        <is>
          <t>GREEN — EXISTING PATH RETAINED</t>
        </is>
      </c>
      <c r="W32" s="2" t="inlineStr">
        <is>
          <t>Measurement path explicit at metric level. This GREEN status means architecture completeness, not empirical validation of the index.</t>
        </is>
      </c>
    </row>
    <row r="33">
      <c r="A33" s="2" t="inlineStr">
        <is>
          <t>D03</t>
        </is>
      </c>
      <c r="B33" s="2" t="inlineStr">
        <is>
          <t>I08</t>
        </is>
      </c>
      <c r="C33" s="2" t="inlineStr">
        <is>
          <t>AI Verification Capability</t>
        </is>
      </c>
      <c r="D33" s="2" t="inlineStr">
        <is>
          <t>Challenge, verify, contextualise AI output</t>
        </is>
      </c>
      <c r="E33" s="2" t="inlineStr">
        <is>
          <t>Academic/Teaching-Learning leadership with programme owners</t>
        </is>
      </c>
      <c r="F33" s="2" t="inlineStr">
        <is>
          <t>NEW</t>
        </is>
      </c>
      <c r="G33" s="2" t="inlineStr">
        <is>
          <t>Q05</t>
        </is>
      </c>
      <c r="H33" s="2" t="inlineStr">
        <is>
          <t>Existing architecture; metric-level extraction rule added here.</t>
        </is>
      </c>
      <c r="I33" s="2" t="inlineStr">
        <is>
          <t>Capability/process demonstration rubric + evidence</t>
        </is>
      </c>
      <c r="J33" s="2" t="inlineStr">
        <is>
          <t>0–5</t>
        </is>
      </c>
      <c r="K3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3" s="2" t="inlineStr">
        <is>
          <t>Current state + most recent completed academic year; 24-month window for change/experimentation metrics</t>
        </is>
      </c>
      <c r="M33" s="2" t="inlineStr">
        <is>
          <t>Use D03_Maturity_Anchors and score observable metric behaviour: 0 absent; 1 isolated/reactive; 2 emerging/selected; 3 structured/repeatable; 4 integrated/outcome-visible; 5 adaptive/continuously improving.</t>
        </is>
      </c>
      <c r="N33" s="2" t="inlineStr">
        <is>
          <t>0–5 on existence → operating use → repeatability → integration → measured improvement/learning. Policy publication, attendance or isolated pilots cannot establish high depth.</t>
        </is>
      </c>
      <c r="O33" s="2" t="inlineStr">
        <is>
          <t>Use only where a legitimate observable outcome exists. If no valid outcome exists, Outcome=N/A and renormalise maturity/implementation; never invent an outcome.</t>
        </is>
      </c>
      <c r="P33" s="2" t="inlineStr">
        <is>
          <t>Minimum E2 evidence. For score ≥3 require a dated operating example plus corroboration; outcome claims use E3; E4 preferred for independent/high-stakes claims.</t>
        </is>
      </c>
      <c r="Q33" s="2" t="inlineStr">
        <is>
          <t>Report E0–E4 confidence separately from capability score. E0/E1 cannot substantiate maturity ≥3; E2 supports routine practice; E3 outcome; E4 independent/triangulated.</t>
        </is>
      </c>
      <c r="R33" s="2" t="inlineStr">
        <is>
          <t>N/A only for genuine mandate/context inapplicability with assessor approval. Missing data or poor performance is not N/A; approved N/A is excluded from denominator and reported.</t>
        </is>
      </c>
      <c r="S33" s="2" t="inlineStr">
        <is>
          <t>No narrative-only uplift. Require dated artefact/process/work sample and cross-check against a second source, outcome or independent evidence. Policy-only evidence caps maturity at 2.</t>
        </is>
      </c>
      <c r="T33" s="2" t="inlineStr">
        <is>
          <t>Check D04 operationalisation, D06 lived capability and D07 demonstration; outcomes do not automatically raise D03.</t>
        </is>
      </c>
      <c r="U33" s="2" t="inlineStr">
        <is>
          <t>Academic/Teaching-Learning leadership with programme owners</t>
        </is>
      </c>
      <c r="V33" s="2" t="inlineStr">
        <is>
          <t>GREEN — EXISTING PATH RETAINED</t>
        </is>
      </c>
      <c r="W33" s="2" t="inlineStr">
        <is>
          <t>Measurement path explicit at metric level. This GREEN status means architecture completeness, not empirical validation of the index.</t>
        </is>
      </c>
    </row>
    <row r="34">
      <c r="A34" s="2" t="inlineStr">
        <is>
          <t>D03</t>
        </is>
      </c>
      <c r="B34" s="2" t="inlineStr">
        <is>
          <t>I09</t>
        </is>
      </c>
      <c r="C34" s="2" t="inlineStr">
        <is>
          <t>Metacognitive Capability</t>
        </is>
      </c>
      <c r="D34" s="2" t="inlineStr">
        <is>
          <t>Reflection and self-correction</t>
        </is>
      </c>
      <c r="E34" s="2" t="inlineStr">
        <is>
          <t>Academic/Teaching-Learning leadership with programme owners</t>
        </is>
      </c>
      <c r="F34" s="2" t="inlineStr">
        <is>
          <t>NEW</t>
        </is>
      </c>
      <c r="G34" s="2" t="inlineStr">
        <is>
          <t>NEW</t>
        </is>
      </c>
      <c r="H34" s="2" t="inlineStr">
        <is>
          <t>Metacognition Test</t>
        </is>
      </c>
      <c r="I34" s="2" t="inlineStr">
        <is>
          <t>Capability/process demonstration rubric + evidence</t>
        </is>
      </c>
      <c r="J34" s="2" t="inlineStr">
        <is>
          <t>0–5</t>
        </is>
      </c>
      <c r="K3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4" s="2" t="inlineStr">
        <is>
          <t>Current state + most recent completed academic year; 24-month window for change/experimentation metrics</t>
        </is>
      </c>
      <c r="M34" s="2" t="inlineStr">
        <is>
          <t>Use D03_Maturity_Anchors and score observable metric behaviour: 0 absent; 1 isolated/reactive; 2 emerging/selected; 3 structured/repeatable; 4 integrated/outcome-visible; 5 adaptive/continuously improving.</t>
        </is>
      </c>
      <c r="N34" s="2" t="inlineStr">
        <is>
          <t>0–5 on existence → operating use → repeatability → integration → measured improvement/learning. Policy publication, attendance or isolated pilots cannot establish high depth.</t>
        </is>
      </c>
      <c r="O34" s="2" t="inlineStr">
        <is>
          <t>Use only where a legitimate observable outcome exists. If no valid outcome exists, Outcome=N/A and renormalise maturity/implementation; never invent an outcome.</t>
        </is>
      </c>
      <c r="P34" s="2" t="inlineStr">
        <is>
          <t>Minimum E2 evidence. For score ≥3 require a dated operating example plus corroboration; outcome claims use E3; E4 preferred for independent/high-stakes claims.</t>
        </is>
      </c>
      <c r="Q34" s="2" t="inlineStr">
        <is>
          <t>Report E0–E4 confidence separately from capability score. E0/E1 cannot substantiate maturity ≥3; E2 supports routine practice; E3 outcome; E4 independent/triangulated.</t>
        </is>
      </c>
      <c r="R34" s="2" t="inlineStr">
        <is>
          <t>N/A only for genuine mandate/context inapplicability with assessor approval. Missing data or poor performance is not N/A; approved N/A is excluded from denominator and reported.</t>
        </is>
      </c>
      <c r="S34" s="2" t="inlineStr">
        <is>
          <t>No narrative-only uplift. Require dated artefact/process/work sample and cross-check against a second source, outcome or independent evidence. Policy-only evidence caps maturity at 2.</t>
        </is>
      </c>
      <c r="T34" s="2" t="inlineStr">
        <is>
          <t>Check D04 operationalisation, D06 lived capability and D07 demonstration; outcomes do not automatically raise D03.</t>
        </is>
      </c>
      <c r="U34" s="2" t="inlineStr">
        <is>
          <t>Academic/Teaching-Learning leadership with programme owners</t>
        </is>
      </c>
      <c r="V34" s="2" t="inlineStr">
        <is>
          <t>GREEN — REMEDIATED</t>
        </is>
      </c>
      <c r="W34" s="2" t="inlineStr">
        <is>
          <t>Measurement path explicit at metric level. This GREEN status means architecture completeness, not empirical validation of the index.</t>
        </is>
      </c>
    </row>
    <row r="35">
      <c r="A35" s="2" t="inlineStr">
        <is>
          <t>D03</t>
        </is>
      </c>
      <c r="B35" s="2" t="inlineStr">
        <is>
          <t>I10</t>
        </is>
      </c>
      <c r="C35" s="2" t="inlineStr">
        <is>
          <t>Human-AI Collaboration</t>
        </is>
      </c>
      <c r="D35" s="2" t="inlineStr">
        <is>
          <t>Appropriate task allocation and iteration</t>
        </is>
      </c>
      <c r="E35" s="2" t="inlineStr">
        <is>
          <t>Academic/Teaching-Learning leadership with programme owners</t>
        </is>
      </c>
      <c r="F35" s="2" t="inlineStr">
        <is>
          <t>NEW</t>
        </is>
      </c>
      <c r="G35" s="2" t="inlineStr">
        <is>
          <t>NEW</t>
        </is>
      </c>
      <c r="H35" s="2" t="inlineStr">
        <is>
          <t>Human-AI Collaboration Test</t>
        </is>
      </c>
      <c r="I35" s="2" t="inlineStr">
        <is>
          <t>Capability/process demonstration rubric + evidence</t>
        </is>
      </c>
      <c r="J35" s="2" t="inlineStr">
        <is>
          <t>0–5</t>
        </is>
      </c>
      <c r="K3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5" s="2" t="inlineStr">
        <is>
          <t>Current state + most recent completed academic year; 24-month window for change/experimentation metrics</t>
        </is>
      </c>
      <c r="M35" s="2" t="inlineStr">
        <is>
          <t>Use D03_Maturity_Anchors and score observable metric behaviour: 0 absent; 1 isolated/reactive; 2 emerging/selected; 3 structured/repeatable; 4 integrated/outcome-visible; 5 adaptive/continuously improving.</t>
        </is>
      </c>
      <c r="N35" s="2" t="inlineStr">
        <is>
          <t>0–5 on existence → operating use → repeatability → integration → measured improvement/learning. Policy publication, attendance or isolated pilots cannot establish high depth.</t>
        </is>
      </c>
      <c r="O35" s="2" t="inlineStr">
        <is>
          <t>Use only where a legitimate observable outcome exists. If no valid outcome exists, Outcome=N/A and renormalise maturity/implementation; never invent an outcome.</t>
        </is>
      </c>
      <c r="P35" s="2" t="inlineStr">
        <is>
          <t>Minimum E2 evidence. For score ≥3 require a dated operating example plus corroboration; outcome claims use E3; E4 preferred for independent/high-stakes claims.</t>
        </is>
      </c>
      <c r="Q35" s="2" t="inlineStr">
        <is>
          <t>Report E0–E4 confidence separately from capability score. E0/E1 cannot substantiate maturity ≥3; E2 supports routine practice; E3 outcome; E4 independent/triangulated.</t>
        </is>
      </c>
      <c r="R35" s="2" t="inlineStr">
        <is>
          <t>N/A only for genuine mandate/context inapplicability with assessor approval. Missing data or poor performance is not N/A; approved N/A is excluded from denominator and reported.</t>
        </is>
      </c>
      <c r="S35" s="2" t="inlineStr">
        <is>
          <t>No narrative-only uplift. Require dated artefact/process/work sample and cross-check against a second source, outcome or independent evidence. Policy-only evidence caps maturity at 2.</t>
        </is>
      </c>
      <c r="T35" s="2" t="inlineStr">
        <is>
          <t>Check D04 operationalisation, D06 lived capability and D07 demonstration; outcomes do not automatically raise D03.</t>
        </is>
      </c>
      <c r="U35" s="2" t="inlineStr">
        <is>
          <t>Academic/Teaching-Learning leadership with programme owners</t>
        </is>
      </c>
      <c r="V35" s="2" t="inlineStr">
        <is>
          <t>GREEN — REMEDIATED</t>
        </is>
      </c>
      <c r="W35" s="2" t="inlineStr">
        <is>
          <t>Measurement path explicit at metric level. This GREEN status means architecture completeness, not empirical validation of the index.</t>
        </is>
      </c>
    </row>
    <row r="36">
      <c r="A36" s="2" t="inlineStr">
        <is>
          <t>D03</t>
        </is>
      </c>
      <c r="B36" s="2" t="inlineStr">
        <is>
          <t>I11</t>
        </is>
      </c>
      <c r="C36" s="2" t="inlineStr">
        <is>
          <t>Communication &amp; Defence</t>
        </is>
      </c>
      <c r="D36" s="2" t="inlineStr">
        <is>
          <t>Explain and defend reasoning</t>
        </is>
      </c>
      <c r="E36" s="2" t="inlineStr">
        <is>
          <t>Academic/Teaching-Learning leadership with programme owners</t>
        </is>
      </c>
      <c r="F36" s="2" t="inlineStr">
        <is>
          <t>NEW</t>
        </is>
      </c>
      <c r="G36" s="2" t="inlineStr">
        <is>
          <t>NEW</t>
        </is>
      </c>
      <c r="H36" s="2" t="inlineStr">
        <is>
          <t>Communication &amp; Defence Test</t>
        </is>
      </c>
      <c r="I36" s="2" t="inlineStr">
        <is>
          <t>Capability/process demonstration rubric + evidence</t>
        </is>
      </c>
      <c r="J36" s="2" t="inlineStr">
        <is>
          <t>0–5</t>
        </is>
      </c>
      <c r="K3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6" s="2" t="inlineStr">
        <is>
          <t>Current state + most recent completed academic year; 24-month window for change/experimentation metrics</t>
        </is>
      </c>
      <c r="M36" s="2" t="inlineStr">
        <is>
          <t>Use D03_Maturity_Anchors and score observable metric behaviour: 0 absent; 1 isolated/reactive; 2 emerging/selected; 3 structured/repeatable; 4 integrated/outcome-visible; 5 adaptive/continuously improving.</t>
        </is>
      </c>
      <c r="N36" s="2" t="inlineStr">
        <is>
          <t>0–5 on existence → operating use → repeatability → integration → measured improvement/learning. Policy publication, attendance or isolated pilots cannot establish high depth.</t>
        </is>
      </c>
      <c r="O36" s="2" t="inlineStr">
        <is>
          <t>Use only where a legitimate observable outcome exists. If no valid outcome exists, Outcome=N/A and renormalise maturity/implementation; never invent an outcome.</t>
        </is>
      </c>
      <c r="P36" s="2" t="inlineStr">
        <is>
          <t>Minimum E2 evidence. For score ≥3 require a dated operating example plus corroboration; outcome claims use E3; E4 preferred for independent/high-stakes claims.</t>
        </is>
      </c>
      <c r="Q36" s="2" t="inlineStr">
        <is>
          <t>Report E0–E4 confidence separately from capability score. E0/E1 cannot substantiate maturity ≥3; E2 supports routine practice; E3 outcome; E4 independent/triangulated.</t>
        </is>
      </c>
      <c r="R36" s="2" t="inlineStr">
        <is>
          <t>N/A only for genuine mandate/context inapplicability with assessor approval. Missing data or poor performance is not N/A; approved N/A is excluded from denominator and reported.</t>
        </is>
      </c>
      <c r="S36" s="2" t="inlineStr">
        <is>
          <t>No narrative-only uplift. Require dated artefact/process/work sample and cross-check against a second source, outcome or independent evidence. Policy-only evidence caps maturity at 2.</t>
        </is>
      </c>
      <c r="T36" s="2" t="inlineStr">
        <is>
          <t>Check D04 operationalisation, D06 lived capability and D07 demonstration; outcomes do not automatically raise D03.</t>
        </is>
      </c>
      <c r="U36" s="2" t="inlineStr">
        <is>
          <t>Academic/Teaching-Learning leadership with programme owners</t>
        </is>
      </c>
      <c r="V36" s="2" t="inlineStr">
        <is>
          <t>GREEN — REMEDIATED</t>
        </is>
      </c>
      <c r="W36" s="2" t="inlineStr">
        <is>
          <t>Measurement path explicit at metric level. This GREEN status means architecture completeness, not empirical validation of the index.</t>
        </is>
      </c>
    </row>
    <row r="37">
      <c r="A37" s="2" t="inlineStr">
        <is>
          <t>D03</t>
        </is>
      </c>
      <c r="B37" s="2" t="inlineStr">
        <is>
          <t>I12</t>
        </is>
      </c>
      <c r="C37" s="2" t="inlineStr">
        <is>
          <t>Collaboration Capability</t>
        </is>
      </c>
      <c r="D37" s="2" t="inlineStr">
        <is>
          <t>Human/interdisciplinary collaboration</t>
        </is>
      </c>
      <c r="E37" s="2" t="inlineStr">
        <is>
          <t>Academic/Teaching-Learning leadership with programme owners</t>
        </is>
      </c>
      <c r="F37" s="2" t="inlineStr">
        <is>
          <t>NEW</t>
        </is>
      </c>
      <c r="G37" s="2" t="inlineStr">
        <is>
          <t>NEW</t>
        </is>
      </c>
      <c r="H37" s="2" t="inlineStr">
        <is>
          <t>Collaboration Capability Test</t>
        </is>
      </c>
      <c r="I37" s="2" t="inlineStr">
        <is>
          <t>Capability/process demonstration rubric + evidence</t>
        </is>
      </c>
      <c r="J37" s="2" t="inlineStr">
        <is>
          <t>0–5</t>
        </is>
      </c>
      <c r="K3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7" s="2" t="inlineStr">
        <is>
          <t>Current state + most recent completed academic year; 24-month window for change/experimentation metrics</t>
        </is>
      </c>
      <c r="M37" s="2" t="inlineStr">
        <is>
          <t>Use D03_Maturity_Anchors and score observable metric behaviour: 0 absent; 1 isolated/reactive; 2 emerging/selected; 3 structured/repeatable; 4 integrated/outcome-visible; 5 adaptive/continuously improving.</t>
        </is>
      </c>
      <c r="N37" s="2" t="inlineStr">
        <is>
          <t>0–5 on existence → operating use → repeatability → integration → measured improvement/learning. Policy publication, attendance or isolated pilots cannot establish high depth.</t>
        </is>
      </c>
      <c r="O37" s="2" t="inlineStr">
        <is>
          <t>Use only where a legitimate observable outcome exists. If no valid outcome exists, Outcome=N/A and renormalise maturity/implementation; never invent an outcome.</t>
        </is>
      </c>
      <c r="P37" s="2" t="inlineStr">
        <is>
          <t>Minimum E2 evidence. For score ≥3 require a dated operating example plus corroboration; outcome claims use E3; E4 preferred for independent/high-stakes claims.</t>
        </is>
      </c>
      <c r="Q37" s="2" t="inlineStr">
        <is>
          <t>Report E0–E4 confidence separately from capability score. E0/E1 cannot substantiate maturity ≥3; E2 supports routine practice; E3 outcome; E4 independent/triangulated.</t>
        </is>
      </c>
      <c r="R37" s="2" t="inlineStr">
        <is>
          <t>N/A only for genuine mandate/context inapplicability with assessor approval. Missing data or poor performance is not N/A; approved N/A is excluded from denominator and reported.</t>
        </is>
      </c>
      <c r="S37" s="2" t="inlineStr">
        <is>
          <t>No narrative-only uplift. Require dated artefact/process/work sample and cross-check against a second source, outcome or independent evidence. Policy-only evidence caps maturity at 2.</t>
        </is>
      </c>
      <c r="T37" s="2" t="inlineStr">
        <is>
          <t>Check D04 operationalisation, D06 lived capability and D07 demonstration; outcomes do not automatically raise D03.</t>
        </is>
      </c>
      <c r="U37" s="2" t="inlineStr">
        <is>
          <t>Academic/Teaching-Learning leadership with programme owners</t>
        </is>
      </c>
      <c r="V37" s="2" t="inlineStr">
        <is>
          <t>GREEN — REMEDIATED</t>
        </is>
      </c>
      <c r="W37" s="2" t="inlineStr">
        <is>
          <t>Measurement path explicit at metric level. This GREEN status means architecture completeness, not empirical validation of the index.</t>
        </is>
      </c>
    </row>
    <row r="38">
      <c r="A38" s="2" t="inlineStr">
        <is>
          <t>D03</t>
        </is>
      </c>
      <c r="B38" s="2" t="inlineStr">
        <is>
          <t>I13</t>
        </is>
      </c>
      <c r="C38" s="2" t="inlineStr">
        <is>
          <t>Practical Capability</t>
        </is>
      </c>
      <c r="D38" s="2" t="inlineStr">
        <is>
          <t>Real-world/embodied competence</t>
        </is>
      </c>
      <c r="E38" s="2" t="inlineStr">
        <is>
          <t>Academic/Teaching-Learning leadership with programme owners</t>
        </is>
      </c>
      <c r="F38" s="2" t="inlineStr">
        <is>
          <t>NEW</t>
        </is>
      </c>
      <c r="G38" s="2" t="inlineStr">
        <is>
          <t>NEW</t>
        </is>
      </c>
      <c r="H38" s="2" t="inlineStr">
        <is>
          <t>Practical Capability Test</t>
        </is>
      </c>
      <c r="I38" s="2" t="inlineStr">
        <is>
          <t>Capability/process demonstration rubric + evidence</t>
        </is>
      </c>
      <c r="J38" s="2" t="inlineStr">
        <is>
          <t>0–5</t>
        </is>
      </c>
      <c r="K3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8" s="2" t="inlineStr">
        <is>
          <t>Current state + most recent completed academic year; 24-month window for change/experimentation metrics</t>
        </is>
      </c>
      <c r="M38" s="2" t="inlineStr">
        <is>
          <t>Use D03_Maturity_Anchors and score observable metric behaviour: 0 absent; 1 isolated/reactive; 2 emerging/selected; 3 structured/repeatable; 4 integrated/outcome-visible; 5 adaptive/continuously improving.</t>
        </is>
      </c>
      <c r="N38" s="2" t="inlineStr">
        <is>
          <t>0–5 on existence → operating use → repeatability → integration → measured improvement/learning. Policy publication, attendance or isolated pilots cannot establish high depth.</t>
        </is>
      </c>
      <c r="O38" s="2" t="inlineStr">
        <is>
          <t>Use only where a legitimate observable outcome exists. If no valid outcome exists, Outcome=N/A and renormalise maturity/implementation; never invent an outcome.</t>
        </is>
      </c>
      <c r="P38" s="2" t="inlineStr">
        <is>
          <t>Minimum E2 evidence. For score ≥3 require a dated operating example plus corroboration; outcome claims use E3; E4 preferred for independent/high-stakes claims.</t>
        </is>
      </c>
      <c r="Q38" s="2" t="inlineStr">
        <is>
          <t>Report E0–E4 confidence separately from capability score. E0/E1 cannot substantiate maturity ≥3; E2 supports routine practice; E3 outcome; E4 independent/triangulated.</t>
        </is>
      </c>
      <c r="R38" s="2" t="inlineStr">
        <is>
          <t>N/A only for genuine mandate/context inapplicability with assessor approval. Missing data or poor performance is not N/A; approved N/A is excluded from denominator and reported.</t>
        </is>
      </c>
      <c r="S38" s="2" t="inlineStr">
        <is>
          <t>No narrative-only uplift. Require dated artefact/process/work sample and cross-check against a second source, outcome or independent evidence. Policy-only evidence caps maturity at 2.</t>
        </is>
      </c>
      <c r="T38" s="2" t="inlineStr">
        <is>
          <t>Check D04 operationalisation, D06 lived capability and D07 demonstration; outcomes do not automatically raise D03.</t>
        </is>
      </c>
      <c r="U38" s="2" t="inlineStr">
        <is>
          <t>Academic/Teaching-Learning leadership with programme owners</t>
        </is>
      </c>
      <c r="V38" s="2" t="inlineStr">
        <is>
          <t>GREEN — REMEDIATED</t>
        </is>
      </c>
      <c r="W38" s="2" t="inlineStr">
        <is>
          <t>Measurement path explicit at metric level. This GREEN status means architecture completeness, not empirical validation of the index.</t>
        </is>
      </c>
    </row>
    <row r="39">
      <c r="A39" s="2" t="inlineStr">
        <is>
          <t>D03</t>
        </is>
      </c>
      <c r="B39" s="2" t="inlineStr">
        <is>
          <t>I14</t>
        </is>
      </c>
      <c r="C39" s="2" t="inlineStr">
        <is>
          <t>Ethical/Social Judgement</t>
        </is>
      </c>
      <c r="D39" s="2" t="inlineStr">
        <is>
          <t>Consequences, values, responsibility</t>
        </is>
      </c>
      <c r="E39" s="2" t="inlineStr">
        <is>
          <t>Academic/Teaching-Learning leadership with programme owners</t>
        </is>
      </c>
      <c r="F39" s="2" t="inlineStr">
        <is>
          <t>NEW</t>
        </is>
      </c>
      <c r="G39" s="2" t="inlineStr">
        <is>
          <t>NEW</t>
        </is>
      </c>
      <c r="H39" s="2" t="inlineStr">
        <is>
          <t>Ethical &amp; Social Judgement Test</t>
        </is>
      </c>
      <c r="I39" s="2" t="inlineStr">
        <is>
          <t>Capability/process demonstration rubric + evidence</t>
        </is>
      </c>
      <c r="J39" s="2" t="inlineStr">
        <is>
          <t>0–5</t>
        </is>
      </c>
      <c r="K3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9" s="2" t="inlineStr">
        <is>
          <t>Current state + most recent completed academic year; 24-month window for change/experimentation metrics</t>
        </is>
      </c>
      <c r="M39" s="2" t="inlineStr">
        <is>
          <t>Use D03_Maturity_Anchors and score observable metric behaviour: 0 absent; 1 isolated/reactive; 2 emerging/selected; 3 structured/repeatable; 4 integrated/outcome-visible; 5 adaptive/continuously improving.</t>
        </is>
      </c>
      <c r="N39" s="2" t="inlineStr">
        <is>
          <t>0–5 on existence → operating use → repeatability → integration → measured improvement/learning. Policy publication, attendance or isolated pilots cannot establish high depth.</t>
        </is>
      </c>
      <c r="O39" s="2" t="inlineStr">
        <is>
          <t>Use only where a legitimate observable outcome exists. If no valid outcome exists, Outcome=N/A and renormalise maturity/implementation; never invent an outcome.</t>
        </is>
      </c>
      <c r="P39" s="2" t="inlineStr">
        <is>
          <t>Minimum E2 evidence. For score ≥3 require a dated operating example plus corroboration; outcome claims use E3; E4 preferred for independent/high-stakes claims.</t>
        </is>
      </c>
      <c r="Q39" s="2" t="inlineStr">
        <is>
          <t>Report E0–E4 confidence separately from capability score. E0/E1 cannot substantiate maturity ≥3; E2 supports routine practice; E3 outcome; E4 independent/triangulated.</t>
        </is>
      </c>
      <c r="R39" s="2" t="inlineStr">
        <is>
          <t>N/A only for genuine mandate/context inapplicability with assessor approval. Missing data or poor performance is not N/A; approved N/A is excluded from denominator and reported.</t>
        </is>
      </c>
      <c r="S39" s="2" t="inlineStr">
        <is>
          <t>No narrative-only uplift. Require dated artefact/process/work sample and cross-check against a second source, outcome or independent evidence. Policy-only evidence caps maturity at 2.</t>
        </is>
      </c>
      <c r="T39" s="2" t="inlineStr">
        <is>
          <t>Check D04 operationalisation, D06 lived capability and D07 demonstration; outcomes do not automatically raise D03.</t>
        </is>
      </c>
      <c r="U39" s="2" t="inlineStr">
        <is>
          <t>Academic/Teaching-Learning leadership with programme owners</t>
        </is>
      </c>
      <c r="V39" s="2" t="inlineStr">
        <is>
          <t>GREEN — REMEDIATED</t>
        </is>
      </c>
      <c r="W39" s="2" t="inlineStr">
        <is>
          <t>Measurement path explicit at metric level. This GREEN status means architecture completeness, not empirical validation of the index.</t>
        </is>
      </c>
    </row>
    <row r="40">
      <c r="A40" s="2" t="inlineStr">
        <is>
          <t>D03</t>
        </is>
      </c>
      <c r="B40" s="2" t="inlineStr">
        <is>
          <t>I15</t>
        </is>
      </c>
      <c r="C40" s="2" t="inlineStr">
        <is>
          <t>Intellectual Agency</t>
        </is>
      </c>
      <c r="D40" s="2" t="inlineStr">
        <is>
          <t>Independent inquiry and challenge</t>
        </is>
      </c>
      <c r="E40" s="2" t="inlineStr">
        <is>
          <t>Academic/Teaching-Learning leadership with programme owners</t>
        </is>
      </c>
      <c r="F40" s="2" t="inlineStr">
        <is>
          <t>NEW</t>
        </is>
      </c>
      <c r="G40" s="2" t="inlineStr">
        <is>
          <t>Q03; Q09</t>
        </is>
      </c>
      <c r="H40" s="2" t="inlineStr">
        <is>
          <t>Existing architecture; metric-level extraction rule added here.</t>
        </is>
      </c>
      <c r="I40" s="2" t="inlineStr">
        <is>
          <t>Capability/process demonstration rubric + evidence</t>
        </is>
      </c>
      <c r="J40" s="2" t="inlineStr">
        <is>
          <t>0–5</t>
        </is>
      </c>
      <c r="K4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0" s="2" t="inlineStr">
        <is>
          <t>Current state + most recent completed academic year; 24-month window for change/experimentation metrics</t>
        </is>
      </c>
      <c r="M40" s="2" t="inlineStr">
        <is>
          <t>Use D03_Maturity_Anchors and score observable metric behaviour: 0 absent; 1 isolated/reactive; 2 emerging/selected; 3 structured/repeatable; 4 integrated/outcome-visible; 5 adaptive/continuously improving.</t>
        </is>
      </c>
      <c r="N40" s="2" t="inlineStr">
        <is>
          <t>0–5 on existence → operating use → repeatability → integration → measured improvement/learning. Policy publication, attendance or isolated pilots cannot establish high depth.</t>
        </is>
      </c>
      <c r="O40" s="2" t="inlineStr">
        <is>
          <t>Use only where a legitimate observable outcome exists. If no valid outcome exists, Outcome=N/A and renormalise maturity/implementation; never invent an outcome.</t>
        </is>
      </c>
      <c r="P40" s="2" t="inlineStr">
        <is>
          <t>Minimum E2 evidence. For score ≥3 require a dated operating example plus corroboration; outcome claims use E3; E4 preferred for independent/high-stakes claims.</t>
        </is>
      </c>
      <c r="Q40" s="2" t="inlineStr">
        <is>
          <t>Report E0–E4 confidence separately from capability score. E0/E1 cannot substantiate maturity ≥3; E2 supports routine practice; E3 outcome; E4 independent/triangulated.</t>
        </is>
      </c>
      <c r="R40" s="2" t="inlineStr">
        <is>
          <t>N/A only for genuine mandate/context inapplicability with assessor approval. Missing data or poor performance is not N/A; approved N/A is excluded from denominator and reported.</t>
        </is>
      </c>
      <c r="S40" s="2" t="inlineStr">
        <is>
          <t>No narrative-only uplift. Require dated artefact/process/work sample and cross-check against a second source, outcome or independent evidence. Policy-only evidence caps maturity at 2.</t>
        </is>
      </c>
      <c r="T40" s="2" t="inlineStr">
        <is>
          <t>Check D04 operationalisation, D06 lived capability and D07 demonstration; outcomes do not automatically raise D03.</t>
        </is>
      </c>
      <c r="U40" s="2" t="inlineStr">
        <is>
          <t>Academic/Teaching-Learning leadership with programme owners</t>
        </is>
      </c>
      <c r="V40" s="2" t="inlineStr">
        <is>
          <t>GREEN — REMEDIATED</t>
        </is>
      </c>
      <c r="W40" s="2" t="inlineStr">
        <is>
          <t>Measurement path explicit at metric level. This GREEN status means architecture completeness, not empirical validation of the index.</t>
        </is>
      </c>
    </row>
    <row r="41">
      <c r="A41" s="2" t="inlineStr">
        <is>
          <t>D03</t>
        </is>
      </c>
      <c r="B41" s="2" t="inlineStr">
        <is>
          <t>I16</t>
        </is>
      </c>
      <c r="C41" s="2" t="inlineStr">
        <is>
          <t>Transfer Capability</t>
        </is>
      </c>
      <c r="D41" s="2" t="inlineStr">
        <is>
          <t>Unfamiliar/ambiguous application</t>
        </is>
      </c>
      <c r="E41" s="2" t="inlineStr">
        <is>
          <t>Academic/Teaching-Learning leadership with programme owners</t>
        </is>
      </c>
      <c r="F41" s="2" t="inlineStr">
        <is>
          <t>NEW</t>
        </is>
      </c>
      <c r="G41" s="2" t="inlineStr">
        <is>
          <t>Q03; Q06; Q09</t>
        </is>
      </c>
      <c r="H41" s="2" t="inlineStr">
        <is>
          <t>Existing architecture; metric-level extraction rule added here.</t>
        </is>
      </c>
      <c r="I41" s="2" t="inlineStr">
        <is>
          <t>Capability/process demonstration rubric + evidence</t>
        </is>
      </c>
      <c r="J41" s="2" t="inlineStr">
        <is>
          <t>0–5</t>
        </is>
      </c>
      <c r="K4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1" s="2" t="inlineStr">
        <is>
          <t>Current state + most recent completed academic year; 24-month window for change/experimentation metrics</t>
        </is>
      </c>
      <c r="M41" s="2" t="inlineStr">
        <is>
          <t>Use D03_Maturity_Anchors and score observable metric behaviour: 0 absent; 1 isolated/reactive; 2 emerging/selected; 3 structured/repeatable; 4 integrated/outcome-visible; 5 adaptive/continuously improving.</t>
        </is>
      </c>
      <c r="N41" s="2" t="inlineStr">
        <is>
          <t>0–5 on existence → operating use → repeatability → integration → measured improvement/learning. Policy publication, attendance or isolated pilots cannot establish high depth.</t>
        </is>
      </c>
      <c r="O41" s="2" t="inlineStr">
        <is>
          <t>Use only where a legitimate observable outcome exists. If no valid outcome exists, Outcome=N/A and renormalise maturity/implementation; never invent an outcome.</t>
        </is>
      </c>
      <c r="P41" s="2" t="inlineStr">
        <is>
          <t>Minimum E2 evidence. For score ≥3 require a dated operating example plus corroboration; outcome claims use E3; E4 preferred for independent/high-stakes claims.</t>
        </is>
      </c>
      <c r="Q41" s="2" t="inlineStr">
        <is>
          <t>Report E0–E4 confidence separately from capability score. E0/E1 cannot substantiate maturity ≥3; E2 supports routine practice; E3 outcome; E4 independent/triangulated.</t>
        </is>
      </c>
      <c r="R41" s="2" t="inlineStr">
        <is>
          <t>N/A only for genuine mandate/context inapplicability with assessor approval. Missing data or poor performance is not N/A; approved N/A is excluded from denominator and reported.</t>
        </is>
      </c>
      <c r="S41" s="2" t="inlineStr">
        <is>
          <t>No narrative-only uplift. Require dated artefact/process/work sample and cross-check against a second source, outcome or independent evidence. Policy-only evidence caps maturity at 2.</t>
        </is>
      </c>
      <c r="T41" s="2" t="inlineStr">
        <is>
          <t>Check D04 operationalisation, D06 lived capability and D07 demonstration; outcomes do not automatically raise D03.</t>
        </is>
      </c>
      <c r="U41" s="2" t="inlineStr">
        <is>
          <t>Academic/Teaching-Learning leadership with programme owners</t>
        </is>
      </c>
      <c r="V41" s="2" t="inlineStr">
        <is>
          <t>GREEN — REMEDIATED</t>
        </is>
      </c>
      <c r="W41" s="2" t="inlineStr">
        <is>
          <t>Measurement path explicit at metric level. This GREEN status means architecture completeness, not empirical validation of the index.</t>
        </is>
      </c>
    </row>
    <row r="42">
      <c r="A42" s="2" t="inlineStr">
        <is>
          <t>D03</t>
        </is>
      </c>
      <c r="B42" s="2" t="inlineStr">
        <is>
          <t>I17</t>
        </is>
      </c>
      <c r="C42" s="2" t="inlineStr">
        <is>
          <t>Non-Technical Discipline AI Capability</t>
        </is>
      </c>
      <c r="D42" s="2" t="inlineStr">
        <is>
          <t>Discipline-relevant AI capability beyond prompting</t>
        </is>
      </c>
      <c r="E42" s="2" t="inlineStr">
        <is>
          <t>Academic/Teaching-Learning leadership with programme owners</t>
        </is>
      </c>
      <c r="F42" s="2" t="inlineStr">
        <is>
          <t>NEW</t>
        </is>
      </c>
      <c r="G42" s="2" t="inlineStr">
        <is>
          <t>Q08</t>
        </is>
      </c>
      <c r="H42" s="2" t="inlineStr">
        <is>
          <t>Existing architecture; metric-level extraction rule added here.</t>
        </is>
      </c>
      <c r="I42" s="2" t="inlineStr">
        <is>
          <t>Capability/process demonstration rubric + evidence</t>
        </is>
      </c>
      <c r="J42" s="2" t="inlineStr">
        <is>
          <t>0–5</t>
        </is>
      </c>
      <c r="K4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2" s="2" t="inlineStr">
        <is>
          <t>Current state + most recent completed academic year; 24-month window for change/experimentation metrics</t>
        </is>
      </c>
      <c r="M42" s="2" t="inlineStr">
        <is>
          <t>Use D03_Maturity_Anchors and score observable metric behaviour: 0 absent; 1 isolated/reactive; 2 emerging/selected; 3 structured/repeatable; 4 integrated/outcome-visible; 5 adaptive/continuously improving.</t>
        </is>
      </c>
      <c r="N42" s="2" t="inlineStr">
        <is>
          <t>0–5 on existence → operating use → repeatability → integration → measured improvement/learning. Policy publication, attendance or isolated pilots cannot establish high depth.</t>
        </is>
      </c>
      <c r="O42" s="2" t="inlineStr">
        <is>
          <t>Use only where a legitimate observable outcome exists. If no valid outcome exists, Outcome=N/A and renormalise maturity/implementation; never invent an outcome.</t>
        </is>
      </c>
      <c r="P42" s="2" t="inlineStr">
        <is>
          <t>Minimum E2 evidence. For score ≥3 require a dated operating example plus corroboration; outcome claims use E3; E4 preferred for independent/high-stakes claims.</t>
        </is>
      </c>
      <c r="Q42" s="2" t="inlineStr">
        <is>
          <t>Report E0–E4 confidence separately from capability score. E0/E1 cannot substantiate maturity ≥3; E2 supports routine practice; E3 outcome; E4 independent/triangulated.</t>
        </is>
      </c>
      <c r="R42" s="2" t="inlineStr">
        <is>
          <t>N/A only for genuine mandate/context inapplicability with assessor approval. Missing data or poor performance is not N/A; approved N/A is excluded from denominator and reported.</t>
        </is>
      </c>
      <c r="S42" s="2" t="inlineStr">
        <is>
          <t>No narrative-only uplift. Require dated artefact/process/work sample and cross-check against a second source, outcome or independent evidence. Policy-only evidence caps maturity at 2.</t>
        </is>
      </c>
      <c r="T42" s="2" t="inlineStr">
        <is>
          <t>Check D04 operationalisation, D06 lived capability and D07 demonstration; outcomes do not automatically raise D03.</t>
        </is>
      </c>
      <c r="U42" s="2" t="inlineStr">
        <is>
          <t>Academic/Teaching-Learning leadership with programme owners</t>
        </is>
      </c>
      <c r="V42" s="2" t="inlineStr">
        <is>
          <t>GREEN — EXISTING PATH RETAINED</t>
        </is>
      </c>
      <c r="W42" s="2" t="inlineStr">
        <is>
          <t>Measurement path explicit at metric level. This GREEN status means architecture completeness, not empirical validation of the index.</t>
        </is>
      </c>
    </row>
    <row r="43">
      <c r="A43" s="2" t="inlineStr">
        <is>
          <t>D04</t>
        </is>
      </c>
      <c r="B43" s="2" t="inlineStr">
        <is>
          <t>I01</t>
        </is>
      </c>
      <c r="C43" s="2" t="inlineStr">
        <is>
          <t>Curriculum Sensing Maturity</t>
        </is>
      </c>
      <c r="D43" s="2" t="inlineStr">
        <is>
          <t>How systematically programme teams detect disciplinary, technological and labour-market change</t>
        </is>
      </c>
      <c r="E43" s="2" t="inlineStr">
        <is>
          <t>Academic Affairs/Programme Quality owner</t>
        </is>
      </c>
      <c r="F43" s="2" t="inlineStr">
        <is>
          <t>NEW</t>
        </is>
      </c>
      <c r="G43" s="2" t="inlineStr">
        <is>
          <t>Q01</t>
        </is>
      </c>
      <c r="H43" s="2" t="inlineStr">
        <is>
          <t>Existing architecture; metric-level extraction rule added here.</t>
        </is>
      </c>
      <c r="I43" s="2" t="inlineStr">
        <is>
          <t>Capability/process demonstration rubric + evidence</t>
        </is>
      </c>
      <c r="J43" s="2" t="inlineStr">
        <is>
          <t>0–5</t>
        </is>
      </c>
      <c r="K4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3" s="2" t="inlineStr">
        <is>
          <t>Current state + most recent completed academic year; 24-month window for change/experimentation metrics</t>
        </is>
      </c>
      <c r="M43" s="2" t="inlineStr">
        <is>
          <t>Use D04_Maturity_Anchors and score observable metric behaviour: 0 absent; 1 isolated/reactive; 2 emerging/selected; 3 structured/repeatable; 4 integrated/outcome-visible; 5 adaptive/continuously improving.</t>
        </is>
      </c>
      <c r="N43" s="2" t="inlineStr">
        <is>
          <t>0–5 on existence → operating use → repeatability → integration → measured improvement/learning. Policy publication, attendance or isolated pilots cannot establish high depth.</t>
        </is>
      </c>
      <c r="O43" s="2" t="inlineStr">
        <is>
          <t>Use only where a legitimate observable outcome exists. If no valid outcome exists, Outcome=N/A and renormalise maturity/implementation; never invent an outcome.</t>
        </is>
      </c>
      <c r="P43" s="2" t="inlineStr">
        <is>
          <t>Minimum E2 evidence. For score ≥3 require a dated operating example plus corroboration; outcome claims use E3; E4 preferred for independent/high-stakes claims.</t>
        </is>
      </c>
      <c r="Q43" s="2" t="inlineStr">
        <is>
          <t>Report E0–E4 confidence separately from capability score. E0/E1 cannot substantiate maturity ≥3; E2 supports routine practice; E3 outcome; E4 independent/triangulated.</t>
        </is>
      </c>
      <c r="R43" s="2" t="inlineStr">
        <is>
          <t>N/A only for genuine mandate/context inapplicability with assessor approval. Missing data or poor performance is not N/A; approved N/A is excluded from denominator and reported.</t>
        </is>
      </c>
      <c r="S43" s="2" t="inlineStr">
        <is>
          <t>No narrative-only uplift. Require dated artefact/process/work sample and cross-check against a second source, outcome or independent evidence. Policy-only evidence caps maturity at 2.</t>
        </is>
      </c>
      <c r="T43" s="2" t="inlineStr">
        <is>
          <t>Check D01 portfolio strategy and D09 employer signals; employer signal is input, not duplicate score.</t>
        </is>
      </c>
      <c r="U43" s="2" t="inlineStr">
        <is>
          <t>Academic Affairs/Programme Quality owner</t>
        </is>
      </c>
      <c r="V43" s="2" t="inlineStr">
        <is>
          <t>GREEN — EXISTING PATH RETAINED</t>
        </is>
      </c>
      <c r="W43" s="2" t="inlineStr">
        <is>
          <t>Measurement path explicit at metric level. This GREEN status means architecture completeness, not empirical validation of the index.</t>
        </is>
      </c>
    </row>
    <row r="44">
      <c r="A44" s="2" t="inlineStr">
        <is>
          <t>D04</t>
        </is>
      </c>
      <c r="B44" s="2" t="inlineStr">
        <is>
          <t>I02</t>
        </is>
      </c>
      <c r="C44" s="2" t="inlineStr">
        <is>
          <t>Future Learning Outcome Alignment</t>
        </is>
      </c>
      <c r="D44" s="2" t="inlineStr">
        <is>
          <t>Extent to which outcomes reflect future professional/human capabilities</t>
        </is>
      </c>
      <c r="E44" s="2" t="inlineStr">
        <is>
          <t>Academic Affairs/Programme Quality owner</t>
        </is>
      </c>
      <c r="F44" s="2" t="inlineStr">
        <is>
          <t>NEW</t>
        </is>
      </c>
      <c r="G44" s="2" t="inlineStr">
        <is>
          <t>Q02</t>
        </is>
      </c>
      <c r="H44" s="2" t="inlineStr">
        <is>
          <t>Existing architecture; metric-level extraction rule added here.</t>
        </is>
      </c>
      <c r="I44" s="2" t="inlineStr">
        <is>
          <t>Capability/process demonstration rubric + evidence</t>
        </is>
      </c>
      <c r="J44" s="2" t="inlineStr">
        <is>
          <t>0–5</t>
        </is>
      </c>
      <c r="K4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4" s="2" t="inlineStr">
        <is>
          <t>Current state + most recent completed academic year; 24-month window for change/experimentation metrics</t>
        </is>
      </c>
      <c r="M44" s="2" t="inlineStr">
        <is>
          <t>Use D04_Maturity_Anchors and score observable metric behaviour: 0 absent; 1 isolated/reactive; 2 emerging/selected; 3 structured/repeatable; 4 integrated/outcome-visible; 5 adaptive/continuously improving.</t>
        </is>
      </c>
      <c r="N44" s="2" t="inlineStr">
        <is>
          <t>0–5 on existence → operating use → repeatability → integration → measured improvement/learning. Policy publication, attendance or isolated pilots cannot establish high depth.</t>
        </is>
      </c>
      <c r="O44" s="2" t="inlineStr">
        <is>
          <t>Use only where a legitimate observable outcome exists. If no valid outcome exists, Outcome=N/A and renormalise maturity/implementation; never invent an outcome.</t>
        </is>
      </c>
      <c r="P44" s="2" t="inlineStr">
        <is>
          <t>Minimum E2 evidence. For score ≥3 require a dated operating example plus corroboration; outcome claims use E3; E4 preferred for independent/high-stakes claims.</t>
        </is>
      </c>
      <c r="Q44" s="2" t="inlineStr">
        <is>
          <t>Report E0–E4 confidence separately from capability score. E0/E1 cannot substantiate maturity ≥3; E2 supports routine practice; E3 outcome; E4 independent/triangulated.</t>
        </is>
      </c>
      <c r="R44" s="2" t="inlineStr">
        <is>
          <t>N/A only for genuine mandate/context inapplicability with assessor approval. Missing data or poor performance is not N/A; approved N/A is excluded from denominator and reported.</t>
        </is>
      </c>
      <c r="S44" s="2" t="inlineStr">
        <is>
          <t>No narrative-only uplift. Require dated artefact/process/work sample and cross-check against a second source, outcome or independent evidence. Policy-only evidence caps maturity at 2.</t>
        </is>
      </c>
      <c r="T44" s="2" t="inlineStr">
        <is>
          <t>Check D01 portfolio strategy and D09 employer signals; employer signal is input, not duplicate score.</t>
        </is>
      </c>
      <c r="U44" s="2" t="inlineStr">
        <is>
          <t>Academic Affairs/Programme Quality owner</t>
        </is>
      </c>
      <c r="V44" s="2" t="inlineStr">
        <is>
          <t>GREEN — REMEDIATED</t>
        </is>
      </c>
      <c r="W44" s="2" t="inlineStr">
        <is>
          <t>Measurement path explicit at metric level. This GREEN status means architecture completeness, not empirical validation of the index.</t>
        </is>
      </c>
    </row>
    <row r="45">
      <c r="A45" s="2" t="inlineStr">
        <is>
          <t>D04</t>
        </is>
      </c>
      <c r="B45" s="2" t="inlineStr">
        <is>
          <t>I03</t>
        </is>
      </c>
      <c r="C45" s="2" t="inlineStr">
        <is>
          <t>Programme Review Effectiveness</t>
        </is>
      </c>
      <c r="D45" s="2" t="inlineStr">
        <is>
          <t>Whether review produces substantive AI/future-related changes</t>
        </is>
      </c>
      <c r="E45" s="2" t="inlineStr">
        <is>
          <t>Academic Affairs/Programme Quality owner</t>
        </is>
      </c>
      <c r="F45" s="2" t="inlineStr">
        <is>
          <t>NEW</t>
        </is>
      </c>
      <c r="G45" s="2" t="inlineStr">
        <is>
          <t>Q01; Q05</t>
        </is>
      </c>
      <c r="H45" s="2" t="inlineStr">
        <is>
          <t>Existing architecture; metric-level extraction rule added here.</t>
        </is>
      </c>
      <c r="I45" s="2" t="inlineStr">
        <is>
          <t>Capability/process demonstration rubric + evidence</t>
        </is>
      </c>
      <c r="J45" s="2" t="inlineStr">
        <is>
          <t>0–5</t>
        </is>
      </c>
      <c r="K4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5" s="2" t="inlineStr">
        <is>
          <t>Current state + most recent completed academic year; 24-month window for change/experimentation metrics</t>
        </is>
      </c>
      <c r="M45" s="2" t="inlineStr">
        <is>
          <t>Use D04_Maturity_Anchors and score observable metric behaviour: 0 absent; 1 isolated/reactive; 2 emerging/selected; 3 structured/repeatable; 4 integrated/outcome-visible; 5 adaptive/continuously improving.</t>
        </is>
      </c>
      <c r="N45" s="2" t="inlineStr">
        <is>
          <t>0–5 on existence → operating use → repeatability → integration → measured improvement/learning. Policy publication, attendance or isolated pilots cannot establish high depth.</t>
        </is>
      </c>
      <c r="O45" s="2" t="inlineStr">
        <is>
          <t>Use only where a legitimate observable outcome exists. If no valid outcome exists, Outcome=N/A and renormalise maturity/implementation; never invent an outcome.</t>
        </is>
      </c>
      <c r="P45" s="2" t="inlineStr">
        <is>
          <t>Minimum E2 evidence. For score ≥3 require a dated operating example plus corroboration; outcome claims use E3; E4 preferred for independent/high-stakes claims.</t>
        </is>
      </c>
      <c r="Q45" s="2" t="inlineStr">
        <is>
          <t>Report E0–E4 confidence separately from capability score. E0/E1 cannot substantiate maturity ≥3; E2 supports routine practice; E3 outcome; E4 independent/triangulated.</t>
        </is>
      </c>
      <c r="R45" s="2" t="inlineStr">
        <is>
          <t>N/A only for genuine mandate/context inapplicability with assessor approval. Missing data or poor performance is not N/A; approved N/A is excluded from denominator and reported.</t>
        </is>
      </c>
      <c r="S45" s="2" t="inlineStr">
        <is>
          <t>No narrative-only uplift. Require dated artefact/process/work sample and cross-check against a second source, outcome or independent evidence. Policy-only evidence caps maturity at 2.</t>
        </is>
      </c>
      <c r="T45" s="2" t="inlineStr">
        <is>
          <t>Check D01 portfolio strategy and D09 employer signals; employer signal is input, not duplicate score.</t>
        </is>
      </c>
      <c r="U45" s="2" t="inlineStr">
        <is>
          <t>Academic Affairs/Programme Quality owner</t>
        </is>
      </c>
      <c r="V45" s="2" t="inlineStr">
        <is>
          <t>GREEN — EXISTING PATH RETAINED</t>
        </is>
      </c>
      <c r="W45" s="2" t="inlineStr">
        <is>
          <t>Measurement path explicit at metric level. This GREEN status means architecture completeness, not empirical validation of the index.</t>
        </is>
      </c>
    </row>
    <row r="46">
      <c r="A46" s="2" t="inlineStr">
        <is>
          <t>D04</t>
        </is>
      </c>
      <c r="B46" s="2" t="inlineStr">
        <is>
          <t>I04</t>
        </is>
      </c>
      <c r="C46" s="2" t="inlineStr">
        <is>
          <t>Disciplinary AI Integration Depth</t>
        </is>
      </c>
      <c r="D46" s="2" t="inlineStr">
        <is>
          <t>AI integration appropriate to discipline rather than generic AI exposure</t>
        </is>
      </c>
      <c r="E46" s="2" t="inlineStr">
        <is>
          <t>Academic Affairs/Programme Quality owner</t>
        </is>
      </c>
      <c r="F46" s="2" t="inlineStr">
        <is>
          <t>NEW</t>
        </is>
      </c>
      <c r="G46" s="2" t="inlineStr">
        <is>
          <t>Q05</t>
        </is>
      </c>
      <c r="H46" s="2" t="inlineStr">
        <is>
          <t>Existing architecture; metric-level extraction rule added here.</t>
        </is>
      </c>
      <c r="I46" s="2" t="inlineStr">
        <is>
          <t>Capability/process demonstration rubric + evidence</t>
        </is>
      </c>
      <c r="J46" s="2" t="inlineStr">
        <is>
          <t>0–5</t>
        </is>
      </c>
      <c r="K4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6" s="2" t="inlineStr">
        <is>
          <t>Current state + most recent completed academic year; 24-month window for change/experimentation metrics</t>
        </is>
      </c>
      <c r="M46" s="2" t="inlineStr">
        <is>
          <t>Use D04_Maturity_Anchors and score observable metric behaviour: 0 absent; 1 isolated/reactive; 2 emerging/selected; 3 structured/repeatable; 4 integrated/outcome-visible; 5 adaptive/continuously improving.</t>
        </is>
      </c>
      <c r="N46" s="2" t="inlineStr">
        <is>
          <t>0–5 on existence → operating use → repeatability → integration → measured improvement/learning. Policy publication, attendance or isolated pilots cannot establish high depth.</t>
        </is>
      </c>
      <c r="O46" s="2" t="inlineStr">
        <is>
          <t>Use only where a legitimate observable outcome exists. If no valid outcome exists, Outcome=N/A and renormalise maturity/implementation; never invent an outcome.</t>
        </is>
      </c>
      <c r="P46" s="2" t="inlineStr">
        <is>
          <t>Minimum E2 evidence. For score ≥3 require a dated operating example plus corroboration; outcome claims use E3; E4 preferred for independent/high-stakes claims.</t>
        </is>
      </c>
      <c r="Q46" s="2" t="inlineStr">
        <is>
          <t>Report E0–E4 confidence separately from capability score. E0/E1 cannot substantiate maturity ≥3; E2 supports routine practice; E3 outcome; E4 independent/triangulated.</t>
        </is>
      </c>
      <c r="R46" s="2" t="inlineStr">
        <is>
          <t>N/A only for genuine mandate/context inapplicability with assessor approval. Missing data or poor performance is not N/A; approved N/A is excluded from denominator and reported.</t>
        </is>
      </c>
      <c r="S46" s="2" t="inlineStr">
        <is>
          <t>No narrative-only uplift. Require dated artefact/process/work sample and cross-check against a second source, outcome or independent evidence. Policy-only evidence caps maturity at 2.</t>
        </is>
      </c>
      <c r="T46" s="2" t="inlineStr">
        <is>
          <t>Check D01 portfolio strategy and D09 employer signals; employer signal is input, not duplicate score.</t>
        </is>
      </c>
      <c r="U46" s="2" t="inlineStr">
        <is>
          <t>Academic Affairs/Programme Quality owner</t>
        </is>
      </c>
      <c r="V46" s="2" t="inlineStr">
        <is>
          <t>GREEN — REMEDIATED</t>
        </is>
      </c>
      <c r="W46" s="2" t="inlineStr">
        <is>
          <t>Measurement path explicit at metric level. This GREEN status means architecture completeness, not empirical validation of the index.</t>
        </is>
      </c>
    </row>
    <row r="47">
      <c r="A47" s="2" t="inlineStr">
        <is>
          <t>D04</t>
        </is>
      </c>
      <c r="B47" s="2" t="inlineStr">
        <is>
          <t>I05</t>
        </is>
      </c>
      <c r="C47" s="2" t="inlineStr">
        <is>
          <t>Content Obsolescence Response</t>
        </is>
      </c>
      <c r="D47" s="2" t="inlineStr">
        <is>
          <t>Speed and quality of response when content/tasks become less valuable</t>
        </is>
      </c>
      <c r="E47" s="2" t="inlineStr">
        <is>
          <t>Academic Affairs/Programme Quality owner</t>
        </is>
      </c>
      <c r="F47" s="2" t="inlineStr">
        <is>
          <t>NEW</t>
        </is>
      </c>
      <c r="G47" s="2" t="inlineStr">
        <is>
          <t>Q01; Q03</t>
        </is>
      </c>
      <c r="H47" s="2" t="inlineStr">
        <is>
          <t>Existing architecture; metric-level extraction rule added here.</t>
        </is>
      </c>
      <c r="I47" s="2" t="inlineStr">
        <is>
          <t>Capability/process demonstration rubric + evidence</t>
        </is>
      </c>
      <c r="J47" s="2" t="inlineStr">
        <is>
          <t>0–5</t>
        </is>
      </c>
      <c r="K4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7" s="2" t="inlineStr">
        <is>
          <t>Current state + most recent completed academic year; 24-month window for change/experimentation metrics</t>
        </is>
      </c>
      <c r="M47" s="2" t="inlineStr">
        <is>
          <t>Use D04_Maturity_Anchors and score observable metric behaviour: 0 absent; 1 isolated/reactive; 2 emerging/selected; 3 structured/repeatable; 4 integrated/outcome-visible; 5 adaptive/continuously improving.</t>
        </is>
      </c>
      <c r="N47" s="2" t="inlineStr">
        <is>
          <t>0–5 on existence → operating use → repeatability → integration → measured improvement/learning. Policy publication, attendance or isolated pilots cannot establish high depth.</t>
        </is>
      </c>
      <c r="O47" s="2" t="inlineStr">
        <is>
          <t>Use only where a legitimate observable outcome exists. If no valid outcome exists, Outcome=N/A and renormalise maturity/implementation; never invent an outcome.</t>
        </is>
      </c>
      <c r="P47" s="2" t="inlineStr">
        <is>
          <t>Minimum E2 evidence. For score ≥3 require a dated operating example plus corroboration; outcome claims use E3; E4 preferred for independent/high-stakes claims.</t>
        </is>
      </c>
      <c r="Q47" s="2" t="inlineStr">
        <is>
          <t>Report E0–E4 confidence separately from capability score. E0/E1 cannot substantiate maturity ≥3; E2 supports routine practice; E3 outcome; E4 independent/triangulated.</t>
        </is>
      </c>
      <c r="R47" s="2" t="inlineStr">
        <is>
          <t>N/A only for genuine mandate/context inapplicability with assessor approval. Missing data or poor performance is not N/A; approved N/A is excluded from denominator and reported.</t>
        </is>
      </c>
      <c r="S47" s="2" t="inlineStr">
        <is>
          <t>No narrative-only uplift. Require dated artefact/process/work sample and cross-check against a second source, outcome or independent evidence. Policy-only evidence caps maturity at 2.</t>
        </is>
      </c>
      <c r="T47" s="2" t="inlineStr">
        <is>
          <t>Check D01 portfolio strategy and D09 employer signals; employer signal is input, not duplicate score.</t>
        </is>
      </c>
      <c r="U47" s="2" t="inlineStr">
        <is>
          <t>Academic Affairs/Programme Quality owner</t>
        </is>
      </c>
      <c r="V47" s="2" t="inlineStr">
        <is>
          <t>GREEN — EXISTING PATH RETAINED</t>
        </is>
      </c>
      <c r="W47" s="2" t="inlineStr">
        <is>
          <t>Measurement path explicit at metric level. This GREEN status means architecture completeness, not empirical validation of the index.</t>
        </is>
      </c>
    </row>
    <row r="48">
      <c r="A48" s="2" t="inlineStr">
        <is>
          <t>D04</t>
        </is>
      </c>
      <c r="B48" s="2" t="inlineStr">
        <is>
          <t>I06</t>
        </is>
      </c>
      <c r="C48" s="2" t="inlineStr">
        <is>
          <t>Experiential Learning Strength</t>
        </is>
      </c>
      <c r="D48" s="2" t="inlineStr">
        <is>
          <t>Extent of projects, labs, fieldwork, practice and authentic tasks</t>
        </is>
      </c>
      <c r="E48" s="2" t="inlineStr">
        <is>
          <t>Academic Affairs/Programme Quality owner</t>
        </is>
      </c>
      <c r="F48" s="2" t="inlineStr">
        <is>
          <t>NEW</t>
        </is>
      </c>
      <c r="G48" s="2" t="inlineStr">
        <is>
          <t>Q05</t>
        </is>
      </c>
      <c r="H48" s="2" t="inlineStr">
        <is>
          <t>Existing architecture; metric-level extraction rule added here.</t>
        </is>
      </c>
      <c r="I48" s="2" t="inlineStr">
        <is>
          <t>Capability/process demonstration rubric + evidence</t>
        </is>
      </c>
      <c r="J48" s="2" t="inlineStr">
        <is>
          <t>0–5</t>
        </is>
      </c>
      <c r="K4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8" s="2" t="inlineStr">
        <is>
          <t>Current state + most recent completed academic year; 24-month window for change/experimentation metrics</t>
        </is>
      </c>
      <c r="M48" s="2" t="inlineStr">
        <is>
          <t>Use D04_Maturity_Anchors and score observable metric behaviour: 0 absent; 1 isolated/reactive; 2 emerging/selected; 3 structured/repeatable; 4 integrated/outcome-visible; 5 adaptive/continuously improving.</t>
        </is>
      </c>
      <c r="N48" s="2" t="inlineStr">
        <is>
          <t>0–5 on existence → operating use → repeatability → integration → measured improvement/learning. Policy publication, attendance or isolated pilots cannot establish high depth.</t>
        </is>
      </c>
      <c r="O48" s="2" t="inlineStr">
        <is>
          <t>Use only where a legitimate observable outcome exists. If no valid outcome exists, Outcome=N/A and renormalise maturity/implementation; never invent an outcome.</t>
        </is>
      </c>
      <c r="P48" s="2" t="inlineStr">
        <is>
          <t>Minimum E2 evidence. For score ≥3 require a dated operating example plus corroboration; outcome claims use E3; E4 preferred for independent/high-stakes claims.</t>
        </is>
      </c>
      <c r="Q48" s="2" t="inlineStr">
        <is>
          <t>Report E0–E4 confidence separately from capability score. E0/E1 cannot substantiate maturity ≥3; E2 supports routine practice; E3 outcome; E4 independent/triangulated.</t>
        </is>
      </c>
      <c r="R48" s="2" t="inlineStr">
        <is>
          <t>N/A only for genuine mandate/context inapplicability with assessor approval. Missing data or poor performance is not N/A; approved N/A is excluded from denominator and reported.</t>
        </is>
      </c>
      <c r="S48" s="2" t="inlineStr">
        <is>
          <t>No narrative-only uplift. Require dated artefact/process/work sample and cross-check against a second source, outcome or independent evidence. Policy-only evidence caps maturity at 2.</t>
        </is>
      </c>
      <c r="T48" s="2" t="inlineStr">
        <is>
          <t>Check D01 portfolio strategy and D09 employer signals; employer signal is input, not duplicate score.</t>
        </is>
      </c>
      <c r="U48" s="2" t="inlineStr">
        <is>
          <t>Academic Affairs/Programme Quality owner</t>
        </is>
      </c>
      <c r="V48" s="2" t="inlineStr">
        <is>
          <t>GREEN — REMEDIATED</t>
        </is>
      </c>
      <c r="W48" s="2" t="inlineStr">
        <is>
          <t>Measurement path explicit at metric level. This GREEN status means architecture completeness, not empirical validation of the index.</t>
        </is>
      </c>
    </row>
    <row r="49">
      <c r="A49" s="2" t="inlineStr">
        <is>
          <t>D04</t>
        </is>
      </c>
      <c r="B49" s="2" t="inlineStr">
        <is>
          <t>I07</t>
        </is>
      </c>
      <c r="C49" s="2" t="inlineStr">
        <is>
          <t>Interdisciplinary Flexibility</t>
        </is>
      </c>
      <c r="D49" s="2" t="inlineStr">
        <is>
          <t>Ability for students to learn/work across boundaries</t>
        </is>
      </c>
      <c r="E49" s="2" t="inlineStr">
        <is>
          <t>Academic Affairs/Programme Quality owner</t>
        </is>
      </c>
      <c r="F49" s="2" t="inlineStr">
        <is>
          <t>NEW</t>
        </is>
      </c>
      <c r="G49" s="2" t="inlineStr">
        <is>
          <t>Q04</t>
        </is>
      </c>
      <c r="H49" s="2" t="inlineStr">
        <is>
          <t>Existing architecture; metric-level extraction rule added here.</t>
        </is>
      </c>
      <c r="I49" s="2" t="inlineStr">
        <is>
          <t>Capability/process demonstration rubric + evidence</t>
        </is>
      </c>
      <c r="J49" s="2" t="inlineStr">
        <is>
          <t>0–5</t>
        </is>
      </c>
      <c r="K4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9" s="2" t="inlineStr">
        <is>
          <t>Current state + most recent completed academic year; 24-month window for change/experimentation metrics</t>
        </is>
      </c>
      <c r="M49" s="2" t="inlineStr">
        <is>
          <t>Use D04_Maturity_Anchors and score observable metric behaviour: 0 absent; 1 isolated/reactive; 2 emerging/selected; 3 structured/repeatable; 4 integrated/outcome-visible; 5 adaptive/continuously improving.</t>
        </is>
      </c>
      <c r="N49" s="2" t="inlineStr">
        <is>
          <t>0–5 on existence → operating use → repeatability → integration → measured improvement/learning. Policy publication, attendance or isolated pilots cannot establish high depth.</t>
        </is>
      </c>
      <c r="O49" s="2" t="inlineStr">
        <is>
          <t>Use only where a legitimate observable outcome exists. If no valid outcome exists, Outcome=N/A and renormalise maturity/implementation; never invent an outcome.</t>
        </is>
      </c>
      <c r="P49" s="2" t="inlineStr">
        <is>
          <t>Minimum E2 evidence. For score ≥3 require a dated operating example plus corroboration; outcome claims use E3; E4 preferred for independent/high-stakes claims.</t>
        </is>
      </c>
      <c r="Q49" s="2" t="inlineStr">
        <is>
          <t>Report E0–E4 confidence separately from capability score. E0/E1 cannot substantiate maturity ≥3; E2 supports routine practice; E3 outcome; E4 independent/triangulated.</t>
        </is>
      </c>
      <c r="R49" s="2" t="inlineStr">
        <is>
          <t>N/A only for genuine mandate/context inapplicability with assessor approval. Missing data or poor performance is not N/A; approved N/A is excluded from denominator and reported.</t>
        </is>
      </c>
      <c r="S49" s="2" t="inlineStr">
        <is>
          <t>No narrative-only uplift. Require dated artefact/process/work sample and cross-check against a second source, outcome or independent evidence. Policy-only evidence caps maturity at 2.</t>
        </is>
      </c>
      <c r="T49" s="2" t="inlineStr">
        <is>
          <t>Check D01 portfolio strategy and D09 employer signals; employer signal is input, not duplicate score.</t>
        </is>
      </c>
      <c r="U49" s="2" t="inlineStr">
        <is>
          <t>Academic Affairs/Programme Quality owner</t>
        </is>
      </c>
      <c r="V49" s="2" t="inlineStr">
        <is>
          <t>GREEN — REMEDIATED</t>
        </is>
      </c>
      <c r="W49" s="2" t="inlineStr">
        <is>
          <t>Measurement path explicit at metric level. This GREEN status means architecture completeness, not empirical validation of the index.</t>
        </is>
      </c>
    </row>
    <row r="50">
      <c r="A50" s="2" t="inlineStr">
        <is>
          <t>D04</t>
        </is>
      </c>
      <c r="B50" s="2" t="inlineStr">
        <is>
          <t>I08</t>
        </is>
      </c>
      <c r="C50" s="2" t="inlineStr">
        <is>
          <t>Programme Agility</t>
        </is>
      </c>
      <c r="D50" s="2" t="inlineStr">
        <is>
          <t>Ability to modify modules, electives, pathways and learning experiences</t>
        </is>
      </c>
      <c r="E50" s="2" t="inlineStr">
        <is>
          <t>Academic Affairs/Programme Quality owner</t>
        </is>
      </c>
      <c r="F50" s="2" t="inlineStr">
        <is>
          <t>NEW</t>
        </is>
      </c>
      <c r="G50" s="2" t="inlineStr">
        <is>
          <t>Q03; Q04</t>
        </is>
      </c>
      <c r="H50" s="2" t="inlineStr">
        <is>
          <t>Existing architecture; metric-level extraction rule added here.</t>
        </is>
      </c>
      <c r="I50" s="2" t="inlineStr">
        <is>
          <t>Process-to-action rubric + event evidence</t>
        </is>
      </c>
      <c r="J50" s="2" t="inlineStr">
        <is>
          <t>0–5 + cycle time where available</t>
        </is>
      </c>
      <c r="K5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0" s="2" t="inlineStr">
        <is>
          <t>Current state + most recent completed academic year; 24-month window for change/experimentation metrics</t>
        </is>
      </c>
      <c r="M50" s="2" t="inlineStr">
        <is>
          <t>Use D04_Maturity_Anchors and score observable metric behaviour: 0 absent; 1 isolated/reactive; 2 emerging/selected; 3 structured/repeatable; 4 integrated/outcome-visible; 5 adaptive/continuously improving.</t>
        </is>
      </c>
      <c r="N50" s="2" t="inlineStr">
        <is>
          <t>0–5 on existence → operating use → repeatability → integration → measured improvement/learning. Policy publication, attendance or isolated pilots cannot establish high depth.</t>
        </is>
      </c>
      <c r="O50" s="2" t="inlineStr">
        <is>
          <t>Use only where a legitimate observable outcome exists. If no valid outcome exists, Outcome=N/A and renormalise maturity/implementation; never invent an outcome.</t>
        </is>
      </c>
      <c r="P50" s="2" t="inlineStr">
        <is>
          <t>Minimum E2 evidence. For score ≥3 require a dated operating example plus corroboration; outcome claims use E3; E4 preferred for independent/high-stakes claims.</t>
        </is>
      </c>
      <c r="Q50" s="2" t="inlineStr">
        <is>
          <t>Report E0–E4 confidence separately from capability score. E0/E1 cannot substantiate maturity ≥3; E2 supports routine practice; E3 outcome; E4 independent/triangulated.</t>
        </is>
      </c>
      <c r="R50" s="2" t="inlineStr">
        <is>
          <t>N/A only for genuine mandate/context inapplicability with assessor approval. Missing data or poor performance is not N/A; approved N/A is excluded from denominator and reported.</t>
        </is>
      </c>
      <c r="S50" s="2" t="inlineStr">
        <is>
          <t>No narrative-only uplift. Require dated artefact/process/work sample and cross-check against a second source, outcome or independent evidence. Policy-only evidence caps maturity at 2.</t>
        </is>
      </c>
      <c r="T50" s="2" t="inlineStr">
        <is>
          <t>Check D01 portfolio strategy and D09 employer signals; employer signal is input, not duplicate score.</t>
        </is>
      </c>
      <c r="U50" s="2" t="inlineStr">
        <is>
          <t>Academic Affairs/Programme Quality owner</t>
        </is>
      </c>
      <c r="V50" s="2" t="inlineStr">
        <is>
          <t>GREEN — REMEDIATED</t>
        </is>
      </c>
      <c r="W50" s="2" t="inlineStr">
        <is>
          <t>Measurement path explicit at metric level. This GREEN status means architecture completeness, not empirical validation of the index.</t>
        </is>
      </c>
    </row>
    <row r="51">
      <c r="A51" s="2" t="inlineStr">
        <is>
          <t>D04</t>
        </is>
      </c>
      <c r="B51" s="2" t="inlineStr">
        <is>
          <t>I09</t>
        </is>
      </c>
      <c r="C51" s="2" t="inlineStr">
        <is>
          <t>External Validation Strength</t>
        </is>
      </c>
      <c r="D51" s="2" t="inlineStr">
        <is>
          <t>Use of employers/professionals/alumni/disciplinary experts in programme evolution</t>
        </is>
      </c>
      <c r="E51" s="2" t="inlineStr">
        <is>
          <t>Academic Affairs/Programme Quality owner</t>
        </is>
      </c>
      <c r="F51" s="2" t="inlineStr">
        <is>
          <t>NEW</t>
        </is>
      </c>
      <c r="G51" s="2" t="inlineStr">
        <is>
          <t>Q04</t>
        </is>
      </c>
      <c r="H51" s="2" t="inlineStr">
        <is>
          <t>Existing architecture; metric-level extraction rule added here.</t>
        </is>
      </c>
      <c r="I51" s="2" t="inlineStr">
        <is>
          <t>Capability/process demonstration rubric + evidence</t>
        </is>
      </c>
      <c r="J51" s="2" t="inlineStr">
        <is>
          <t>0–5</t>
        </is>
      </c>
      <c r="K5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1" s="2" t="inlineStr">
        <is>
          <t>Current state + most recent completed academic year; 24-month window for change/experimentation metrics</t>
        </is>
      </c>
      <c r="M51" s="2" t="inlineStr">
        <is>
          <t>Use D04_Maturity_Anchors and score observable metric behaviour: 0 absent; 1 isolated/reactive; 2 emerging/selected; 3 structured/repeatable; 4 integrated/outcome-visible; 5 adaptive/continuously improving.</t>
        </is>
      </c>
      <c r="N51" s="2" t="inlineStr">
        <is>
          <t>0–5 on existence → operating use → repeatability → integration → measured improvement/learning. Policy publication, attendance or isolated pilots cannot establish high depth.</t>
        </is>
      </c>
      <c r="O51" s="2" t="inlineStr">
        <is>
          <t>Use only where a legitimate observable outcome exists. If no valid outcome exists, Outcome=N/A and renormalise maturity/implementation; never invent an outcome.</t>
        </is>
      </c>
      <c r="P51" s="2" t="inlineStr">
        <is>
          <t>Minimum E2 evidence. For score ≥3 require a dated operating example plus corroboration; outcome claims use E3; E4 preferred for independent/high-stakes claims.</t>
        </is>
      </c>
      <c r="Q51" s="2" t="inlineStr">
        <is>
          <t>Report E0–E4 confidence separately from capability score. E0/E1 cannot substantiate maturity ≥3; E2 supports routine practice; E3 outcome; E4 independent/triangulated.</t>
        </is>
      </c>
      <c r="R51" s="2" t="inlineStr">
        <is>
          <t>N/A only for genuine mandate/context inapplicability with assessor approval. Missing data or poor performance is not N/A; approved N/A is excluded from denominator and reported.</t>
        </is>
      </c>
      <c r="S51" s="2" t="inlineStr">
        <is>
          <t>No narrative-only uplift. Require dated artefact/process/work sample and cross-check against a second source, outcome or independent evidence. Policy-only evidence caps maturity at 2.</t>
        </is>
      </c>
      <c r="T51" s="2" t="inlineStr">
        <is>
          <t>Check D01 portfolio strategy and D09 employer signals; employer signal is input, not duplicate score.</t>
        </is>
      </c>
      <c r="U51" s="2" t="inlineStr">
        <is>
          <t>Academic Affairs/Programme Quality owner</t>
        </is>
      </c>
      <c r="V51" s="2" t="inlineStr">
        <is>
          <t>GREEN — REMEDIATED</t>
        </is>
      </c>
      <c r="W51" s="2" t="inlineStr">
        <is>
          <t>Measurement path explicit at metric level. This GREEN status means architecture completeness, not empirical validation of the index.</t>
        </is>
      </c>
    </row>
    <row r="52">
      <c r="A52" s="2" t="inlineStr">
        <is>
          <t>D04</t>
        </is>
      </c>
      <c r="B52" s="2" t="inlineStr">
        <is>
          <t>I10</t>
        </is>
      </c>
      <c r="C52" s="2" t="inlineStr">
        <is>
          <t>External Learning Ecosystem</t>
        </is>
      </c>
      <c r="D52" s="2" t="inlineStr">
        <is>
          <t>Use of industry, research, community and external platforms as learning environments</t>
        </is>
      </c>
      <c r="E52" s="2" t="inlineStr">
        <is>
          <t>Academic Affairs/Programme Quality owner</t>
        </is>
      </c>
      <c r="F52" s="2" t="inlineStr">
        <is>
          <t>NEW</t>
        </is>
      </c>
      <c r="G52" s="2" t="inlineStr">
        <is>
          <t>NEW</t>
        </is>
      </c>
      <c r="H52" s="2" t="inlineStr">
        <is>
          <t>External Learning Ecosystem Test</t>
        </is>
      </c>
      <c r="I52" s="2" t="inlineStr">
        <is>
          <t>Capability/process demonstration rubric + evidence</t>
        </is>
      </c>
      <c r="J52" s="2" t="inlineStr">
        <is>
          <t>0–5</t>
        </is>
      </c>
      <c r="K5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2" s="2" t="inlineStr">
        <is>
          <t>Current state + most recent completed academic year; 24-month window for change/experimentation metrics</t>
        </is>
      </c>
      <c r="M52" s="2" t="inlineStr">
        <is>
          <t>Use D04_Maturity_Anchors and score observable metric behaviour: 0 absent; 1 isolated/reactive; 2 emerging/selected; 3 structured/repeatable; 4 integrated/outcome-visible; 5 adaptive/continuously improving.</t>
        </is>
      </c>
      <c r="N52" s="2" t="inlineStr">
        <is>
          <t>0–5 on existence → operating use → repeatability → integration → measured improvement/learning. Policy publication, attendance or isolated pilots cannot establish high depth.</t>
        </is>
      </c>
      <c r="O52" s="2" t="inlineStr">
        <is>
          <t>Use only where a legitimate observable outcome exists. If no valid outcome exists, Outcome=N/A and renormalise maturity/implementation; never invent an outcome.</t>
        </is>
      </c>
      <c r="P52" s="2" t="inlineStr">
        <is>
          <t>Minimum E2 evidence. For score ≥3 require a dated operating example plus corroboration; outcome claims use E3; E4 preferred for independent/high-stakes claims.</t>
        </is>
      </c>
      <c r="Q52" s="2" t="inlineStr">
        <is>
          <t>Report E0–E4 confidence separately from capability score. E0/E1 cannot substantiate maturity ≥3; E2 supports routine practice; E3 outcome; E4 independent/triangulated.</t>
        </is>
      </c>
      <c r="R52" s="2" t="inlineStr">
        <is>
          <t>N/A only for genuine mandate/context inapplicability with assessor approval. Missing data or poor performance is not N/A; approved N/A is excluded from denominator and reported.</t>
        </is>
      </c>
      <c r="S52" s="2" t="inlineStr">
        <is>
          <t>No narrative-only uplift. Require dated artefact/process/work sample and cross-check against a second source, outcome or independent evidence. Policy-only evidence caps maturity at 2.</t>
        </is>
      </c>
      <c r="T52" s="2" t="inlineStr">
        <is>
          <t>Check D01 portfolio strategy and D09 employer signals; employer signal is input, not duplicate score.</t>
        </is>
      </c>
      <c r="U52" s="2" t="inlineStr">
        <is>
          <t>Academic Affairs/Programme Quality owner</t>
        </is>
      </c>
      <c r="V52" s="2" t="inlineStr">
        <is>
          <t>GREEN — REMEDIATED</t>
        </is>
      </c>
      <c r="W52" s="2" t="inlineStr">
        <is>
          <t>Measurement path explicit at metric level. This GREEN status means architecture completeness, not empirical validation of the index.</t>
        </is>
      </c>
    </row>
    <row r="53">
      <c r="A53" s="2" t="inlineStr">
        <is>
          <t>D04</t>
        </is>
      </c>
      <c r="B53" s="2" t="inlineStr">
        <is>
          <t>I11</t>
        </is>
      </c>
      <c r="C53" s="2" t="inlineStr">
        <is>
          <t>Transfer Capability</t>
        </is>
      </c>
      <c r="D53" s="2" t="inlineStr">
        <is>
          <t>Extent students apply learning to unfamiliar/real situations</t>
        </is>
      </c>
      <c r="E53" s="2" t="inlineStr">
        <is>
          <t>Academic Affairs/Programme Quality owner</t>
        </is>
      </c>
      <c r="F53" s="2" t="inlineStr">
        <is>
          <t>NEW</t>
        </is>
      </c>
      <c r="G53" s="2" t="inlineStr">
        <is>
          <t>Q02; Q05</t>
        </is>
      </c>
      <c r="H53" s="2" t="inlineStr">
        <is>
          <t>Existing architecture; metric-level extraction rule added here.</t>
        </is>
      </c>
      <c r="I53" s="2" t="inlineStr">
        <is>
          <t>Capability/process demonstration rubric + evidence</t>
        </is>
      </c>
      <c r="J53" s="2" t="inlineStr">
        <is>
          <t>0–5</t>
        </is>
      </c>
      <c r="K5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3" s="2" t="inlineStr">
        <is>
          <t>Current state + most recent completed academic year; 24-month window for change/experimentation metrics</t>
        </is>
      </c>
      <c r="M53" s="2" t="inlineStr">
        <is>
          <t>Use D04_Maturity_Anchors and score observable metric behaviour: 0 absent; 1 isolated/reactive; 2 emerging/selected; 3 structured/repeatable; 4 integrated/outcome-visible; 5 adaptive/continuously improving.</t>
        </is>
      </c>
      <c r="N53" s="2" t="inlineStr">
        <is>
          <t>0–5 on existence → operating use → repeatability → integration → measured improvement/learning. Policy publication, attendance or isolated pilots cannot establish high depth.</t>
        </is>
      </c>
      <c r="O53" s="2" t="inlineStr">
        <is>
          <t>Use only where a legitimate observable outcome exists. If no valid outcome exists, Outcome=N/A and renormalise maturity/implementation; never invent an outcome.</t>
        </is>
      </c>
      <c r="P53" s="2" t="inlineStr">
        <is>
          <t>Minimum E2 evidence. For score ≥3 require a dated operating example plus corroboration; outcome claims use E3; E4 preferred for independent/high-stakes claims.</t>
        </is>
      </c>
      <c r="Q53" s="2" t="inlineStr">
        <is>
          <t>Report E0–E4 confidence separately from capability score. E0/E1 cannot substantiate maturity ≥3; E2 supports routine practice; E3 outcome; E4 independent/triangulated.</t>
        </is>
      </c>
      <c r="R53" s="2" t="inlineStr">
        <is>
          <t>N/A only for genuine mandate/context inapplicability with assessor approval. Missing data or poor performance is not N/A; approved N/A is excluded from denominator and reported.</t>
        </is>
      </c>
      <c r="S53" s="2" t="inlineStr">
        <is>
          <t>No narrative-only uplift. Require dated artefact/process/work sample and cross-check against a second source, outcome or independent evidence. Policy-only evidence caps maturity at 2.</t>
        </is>
      </c>
      <c r="T53" s="2" t="inlineStr">
        <is>
          <t>Check D01 portfolio strategy and D09 employer signals; employer signal is input, not duplicate score.</t>
        </is>
      </c>
      <c r="U53" s="2" t="inlineStr">
        <is>
          <t>Academic Affairs/Programme Quality owner</t>
        </is>
      </c>
      <c r="V53" s="2" t="inlineStr">
        <is>
          <t>GREEN — REMEDIATED</t>
        </is>
      </c>
      <c r="W53" s="2" t="inlineStr">
        <is>
          <t>Measurement path explicit at metric level. This GREEN status means architecture completeness, not empirical validation of the index.</t>
        </is>
      </c>
    </row>
    <row r="54">
      <c r="A54" s="2" t="inlineStr">
        <is>
          <t>D04</t>
        </is>
      </c>
      <c r="B54" s="2" t="inlineStr">
        <is>
          <t>I12</t>
        </is>
      </c>
      <c r="C54" s="2" t="inlineStr">
        <is>
          <t>Portfolio Foresight</t>
        </is>
      </c>
      <c r="D54" s="2" t="inlineStr">
        <is>
          <t>Whether programme portfolio remains aligned with institutional future direction</t>
        </is>
      </c>
      <c r="E54" s="2" t="inlineStr">
        <is>
          <t>Academic Affairs/Programme Quality owner</t>
        </is>
      </c>
      <c r="F54" s="2" t="inlineStr">
        <is>
          <t>NEW</t>
        </is>
      </c>
      <c r="G54" s="2" t="inlineStr">
        <is>
          <t>Q03</t>
        </is>
      </c>
      <c r="H54" s="2" t="inlineStr">
        <is>
          <t>Existing architecture; metric-level extraction rule added here.</t>
        </is>
      </c>
      <c r="I54" s="2" t="inlineStr">
        <is>
          <t>Capability/process demonstration rubric + evidence</t>
        </is>
      </c>
      <c r="J54" s="2" t="inlineStr">
        <is>
          <t>0–5</t>
        </is>
      </c>
      <c r="K5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4" s="2" t="inlineStr">
        <is>
          <t>Current state + most recent completed academic year; 24-month window for change/experimentation metrics</t>
        </is>
      </c>
      <c r="M54" s="2" t="inlineStr">
        <is>
          <t>Use D04_Maturity_Anchors and score observable metric behaviour: 0 absent; 1 isolated/reactive; 2 emerging/selected; 3 structured/repeatable; 4 integrated/outcome-visible; 5 adaptive/continuously improving.</t>
        </is>
      </c>
      <c r="N54" s="2" t="inlineStr">
        <is>
          <t>0–5 on existence → operating use → repeatability → integration → measured improvement/learning. Policy publication, attendance or isolated pilots cannot establish high depth.</t>
        </is>
      </c>
      <c r="O54" s="2" t="inlineStr">
        <is>
          <t>Use only where a legitimate observable outcome exists. If no valid outcome exists, Outcome=N/A and renormalise maturity/implementation; never invent an outcome.</t>
        </is>
      </c>
      <c r="P54" s="2" t="inlineStr">
        <is>
          <t>Minimum E2 evidence. For score ≥3 require a dated operating example plus corroboration; outcome claims use E3; E4 preferred for independent/high-stakes claims.</t>
        </is>
      </c>
      <c r="Q54" s="2" t="inlineStr">
        <is>
          <t>Report E0–E4 confidence separately from capability score. E0/E1 cannot substantiate maturity ≥3; E2 supports routine practice; E3 outcome; E4 independent/triangulated.</t>
        </is>
      </c>
      <c r="R54" s="2" t="inlineStr">
        <is>
          <t>N/A only for genuine mandate/context inapplicability with assessor approval. Missing data or poor performance is not N/A; approved N/A is excluded from denominator and reported.</t>
        </is>
      </c>
      <c r="S54" s="2" t="inlineStr">
        <is>
          <t>No narrative-only uplift. Require dated artefact/process/work sample and cross-check against a second source, outcome or independent evidence. Policy-only evidence caps maturity at 2.</t>
        </is>
      </c>
      <c r="T54" s="2" t="inlineStr">
        <is>
          <t>Check D01 portfolio strategy and D09 employer signals; employer signal is input, not duplicate score.</t>
        </is>
      </c>
      <c r="U54" s="2" t="inlineStr">
        <is>
          <t>Academic Affairs/Programme Quality owner</t>
        </is>
      </c>
      <c r="V54" s="2" t="inlineStr">
        <is>
          <t>GREEN — REMEDIATED</t>
        </is>
      </c>
      <c r="W54" s="2" t="inlineStr">
        <is>
          <t>Measurement path explicit at metric level. This GREEN status means architecture completeness, not empirical validation of the index.</t>
        </is>
      </c>
    </row>
    <row r="55">
      <c r="A55" s="2" t="inlineStr">
        <is>
          <t>D05</t>
        </is>
      </c>
      <c r="B55" s="2" t="inlineStr">
        <is>
          <t>I01</t>
        </is>
      </c>
      <c r="C55" s="2" t="inlineStr">
        <is>
          <t>Faculty AI Literacy Maturity</t>
        </is>
      </c>
      <c r="D55" s="2" t="inlineStr">
        <is>
          <t>Ability to understand AI capabilities, limits, risks and appropriate use</t>
        </is>
      </c>
      <c r="E55" s="2" t="inlineStr">
        <is>
          <t>Faculty Development/Academic HR with academic leadership</t>
        </is>
      </c>
      <c r="F55" s="2" t="inlineStr">
        <is>
          <t>NEW</t>
        </is>
      </c>
      <c r="G55" s="2" t="inlineStr">
        <is>
          <t>Q01; Q05</t>
        </is>
      </c>
      <c r="H55" s="2" t="inlineStr">
        <is>
          <t>Existing architecture; metric-level extraction rule added here.</t>
        </is>
      </c>
      <c r="I55" s="2" t="inlineStr">
        <is>
          <t>Capability/process demonstration rubric + evidence</t>
        </is>
      </c>
      <c r="J55" s="2" t="inlineStr">
        <is>
          <t>0–5</t>
        </is>
      </c>
      <c r="K5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5" s="2" t="inlineStr">
        <is>
          <t>Current state + most recent completed academic year; 24-month window for change/experimentation metrics</t>
        </is>
      </c>
      <c r="M55" s="2" t="inlineStr">
        <is>
          <t>Use D05_Maturity_Anchors and score observable metric behaviour: 0 absent; 1 isolated/reactive; 2 emerging/selected; 3 structured/repeatable; 4 integrated/outcome-visible; 5 adaptive/continuously improving.</t>
        </is>
      </c>
      <c r="N55" s="2" t="inlineStr">
        <is>
          <t>0–5 on existence → operating use → repeatability → integration → measured improvement/learning. Policy publication, attendance or isolated pilots cannot establish high depth.</t>
        </is>
      </c>
      <c r="O55" s="2" t="inlineStr">
        <is>
          <t>Use only where a legitimate observable outcome exists. If no valid outcome exists, Outcome=N/A and renormalise maturity/implementation; never invent an outcome.</t>
        </is>
      </c>
      <c r="P55" s="2" t="inlineStr">
        <is>
          <t>Minimum E2 evidence. For score ≥3 require a dated operating example plus corroboration; outcome claims use E3; E4 preferred for independent/high-stakes claims.</t>
        </is>
      </c>
      <c r="Q55" s="2" t="inlineStr">
        <is>
          <t>Report E0–E4 confidence separately from capability score. E0/E1 cannot substantiate maturity ≥3; E2 supports routine practice; E3 outcome; E4 independent/triangulated.</t>
        </is>
      </c>
      <c r="R55" s="2" t="inlineStr">
        <is>
          <t>N/A only for genuine mandate/context inapplicability with assessor approval. Missing data or poor performance is not N/A; approved N/A is excluded from denominator and reported.</t>
        </is>
      </c>
      <c r="S55" s="2" t="inlineStr">
        <is>
          <t>No narrative-only uplift. Require dated artefact/process/work sample and cross-check against a second source, outcome or independent evidence. Policy-only evidence caps maturity at 2.</t>
        </is>
      </c>
      <c r="T55" s="2" t="inlineStr">
        <is>
          <t>Check D07 assessment redesign and D09 industry requirements; training attendance is not practice change.</t>
        </is>
      </c>
      <c r="U55" s="2" t="inlineStr">
        <is>
          <t>Faculty Development/Academic HR with academic leadership</t>
        </is>
      </c>
      <c r="V55" s="2" t="inlineStr">
        <is>
          <t>GREEN — EXISTING PATH RETAINED</t>
        </is>
      </c>
      <c r="W55" s="2" t="inlineStr">
        <is>
          <t>Measurement path explicit at metric level. This GREEN status means architecture completeness, not empirical validation of the index.</t>
        </is>
      </c>
    </row>
    <row r="56">
      <c r="A56" s="2" t="inlineStr">
        <is>
          <t>D05</t>
        </is>
      </c>
      <c r="B56" s="2" t="inlineStr">
        <is>
          <t>I02</t>
        </is>
      </c>
      <c r="C56" s="2" t="inlineStr">
        <is>
          <t>Discipline-Specific AI Practice</t>
        </is>
      </c>
      <c r="D56" s="2" t="inlineStr">
        <is>
          <t>Use of AI in ways meaningful to the discipline</t>
        </is>
      </c>
      <c r="E56" s="2" t="inlineStr">
        <is>
          <t>Faculty Development/Academic HR with academic leadership</t>
        </is>
      </c>
      <c r="F56" s="2" t="inlineStr">
        <is>
          <t>NEW</t>
        </is>
      </c>
      <c r="G56" s="2" t="inlineStr">
        <is>
          <t>Q01; Q05</t>
        </is>
      </c>
      <c r="H56" s="2" t="inlineStr">
        <is>
          <t>Existing architecture; metric-level extraction rule added here.</t>
        </is>
      </c>
      <c r="I56" s="2" t="inlineStr">
        <is>
          <t>Capability/process demonstration rubric + evidence</t>
        </is>
      </c>
      <c r="J56" s="2" t="inlineStr">
        <is>
          <t>0–5</t>
        </is>
      </c>
      <c r="K5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6" s="2" t="inlineStr">
        <is>
          <t>Current state + most recent completed academic year; 24-month window for change/experimentation metrics</t>
        </is>
      </c>
      <c r="M56" s="2" t="inlineStr">
        <is>
          <t>Use D05_Maturity_Anchors and score observable metric behaviour: 0 absent; 1 isolated/reactive; 2 emerging/selected; 3 structured/repeatable; 4 integrated/outcome-visible; 5 adaptive/continuously improving.</t>
        </is>
      </c>
      <c r="N56" s="2" t="inlineStr">
        <is>
          <t>0–5 on existence → operating use → repeatability → integration → measured improvement/learning. Policy publication, attendance or isolated pilots cannot establish high depth.</t>
        </is>
      </c>
      <c r="O56" s="2" t="inlineStr">
        <is>
          <t>Use only where a legitimate observable outcome exists. If no valid outcome exists, Outcome=N/A and renormalise maturity/implementation; never invent an outcome.</t>
        </is>
      </c>
      <c r="P56" s="2" t="inlineStr">
        <is>
          <t>Minimum E2 evidence. For score ≥3 require a dated operating example plus corroboration; outcome claims use E3; E4 preferred for independent/high-stakes claims.</t>
        </is>
      </c>
      <c r="Q56" s="2" t="inlineStr">
        <is>
          <t>Report E0–E4 confidence separately from capability score. E0/E1 cannot substantiate maturity ≥3; E2 supports routine practice; E3 outcome; E4 independent/triangulated.</t>
        </is>
      </c>
      <c r="R56" s="2" t="inlineStr">
        <is>
          <t>N/A only for genuine mandate/context inapplicability with assessor approval. Missing data or poor performance is not N/A; approved N/A is excluded from denominator and reported.</t>
        </is>
      </c>
      <c r="S56" s="2" t="inlineStr">
        <is>
          <t>No narrative-only uplift. Require dated artefact/process/work sample and cross-check against a second source, outcome or independent evidence. Policy-only evidence caps maturity at 2.</t>
        </is>
      </c>
      <c r="T56" s="2" t="inlineStr">
        <is>
          <t>Check D07 assessment redesign and D09 industry requirements; training attendance is not practice change.</t>
        </is>
      </c>
      <c r="U56" s="2" t="inlineStr">
        <is>
          <t>Faculty Development/Academic HR with academic leadership</t>
        </is>
      </c>
      <c r="V56" s="2" t="inlineStr">
        <is>
          <t>GREEN — EXISTING PATH RETAINED</t>
        </is>
      </c>
      <c r="W56" s="2" t="inlineStr">
        <is>
          <t>Measurement path explicit at metric level. This GREEN status means architecture completeness, not empirical validation of the index.</t>
        </is>
      </c>
    </row>
    <row r="57">
      <c r="A57" s="2" t="inlineStr">
        <is>
          <t>D05</t>
        </is>
      </c>
      <c r="B57" s="2" t="inlineStr">
        <is>
          <t>I03</t>
        </is>
      </c>
      <c r="C57" s="2" t="inlineStr">
        <is>
          <t>AI-Enhanced Pedagogy</t>
        </is>
      </c>
      <c r="D57" s="2" t="inlineStr">
        <is>
          <t>Ability to redesign learning around AI rather than merely add tools</t>
        </is>
      </c>
      <c r="E57" s="2" t="inlineStr">
        <is>
          <t>Faculty Development/Academic HR with academic leadership</t>
        </is>
      </c>
      <c r="F57" s="2" t="inlineStr">
        <is>
          <t>NEW</t>
        </is>
      </c>
      <c r="G57" s="2" t="inlineStr">
        <is>
          <t>Q01; Q03</t>
        </is>
      </c>
      <c r="H57" s="2" t="inlineStr">
        <is>
          <t>Existing architecture; metric-level extraction rule added here.</t>
        </is>
      </c>
      <c r="I57" s="2" t="inlineStr">
        <is>
          <t>Capability/process demonstration rubric + evidence</t>
        </is>
      </c>
      <c r="J57" s="2" t="inlineStr">
        <is>
          <t>0–5</t>
        </is>
      </c>
      <c r="K5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7" s="2" t="inlineStr">
        <is>
          <t>Current state + most recent completed academic year; 24-month window for change/experimentation metrics</t>
        </is>
      </c>
      <c r="M57" s="2" t="inlineStr">
        <is>
          <t>Use D05_Maturity_Anchors and score observable metric behaviour: 0 absent; 1 isolated/reactive; 2 emerging/selected; 3 structured/repeatable; 4 integrated/outcome-visible; 5 adaptive/continuously improving.</t>
        </is>
      </c>
      <c r="N57" s="2" t="inlineStr">
        <is>
          <t>0–5 on existence → operating use → repeatability → integration → measured improvement/learning. Policy publication, attendance or isolated pilots cannot establish high depth.</t>
        </is>
      </c>
      <c r="O57" s="2" t="inlineStr">
        <is>
          <t>Use only where a legitimate observable outcome exists. If no valid outcome exists, Outcome=N/A and renormalise maturity/implementation; never invent an outcome.</t>
        </is>
      </c>
      <c r="P57" s="2" t="inlineStr">
        <is>
          <t>Minimum E2 evidence. For score ≥3 require a dated operating example plus corroboration; outcome claims use E3; E4 preferred for independent/high-stakes claims.</t>
        </is>
      </c>
      <c r="Q57" s="2" t="inlineStr">
        <is>
          <t>Report E0–E4 confidence separately from capability score. E0/E1 cannot substantiate maturity ≥3; E2 supports routine practice; E3 outcome; E4 independent/triangulated.</t>
        </is>
      </c>
      <c r="R57" s="2" t="inlineStr">
        <is>
          <t>N/A only for genuine mandate/context inapplicability with assessor approval. Missing data or poor performance is not N/A; approved N/A is excluded from denominator and reported.</t>
        </is>
      </c>
      <c r="S57" s="2" t="inlineStr">
        <is>
          <t>No narrative-only uplift. Require dated artefact/process/work sample and cross-check against a second source, outcome or independent evidence. Policy-only evidence caps maturity at 2.</t>
        </is>
      </c>
      <c r="T57" s="2" t="inlineStr">
        <is>
          <t>Check D07 assessment redesign and D09 industry requirements; training attendance is not practice change.</t>
        </is>
      </c>
      <c r="U57" s="2" t="inlineStr">
        <is>
          <t>Faculty Development/Academic HR with academic leadership</t>
        </is>
      </c>
      <c r="V57" s="2" t="inlineStr">
        <is>
          <t>GREEN — EXISTING PATH RETAINED</t>
        </is>
      </c>
      <c r="W57" s="2" t="inlineStr">
        <is>
          <t>Measurement path explicit at metric level. This GREEN status means architecture completeness, not empirical validation of the index.</t>
        </is>
      </c>
    </row>
    <row r="58">
      <c r="A58" s="2" t="inlineStr">
        <is>
          <t>D05</t>
        </is>
      </c>
      <c r="B58" s="2" t="inlineStr">
        <is>
          <t>I04</t>
        </is>
      </c>
      <c r="C58" s="2" t="inlineStr">
        <is>
          <t>Assessment Redesign Capability</t>
        </is>
      </c>
      <c r="D58" s="2" t="inlineStr">
        <is>
          <t>Faculty ability to redesign tasks so genuine capability remains visible</t>
        </is>
      </c>
      <c r="E58" s="2" t="inlineStr">
        <is>
          <t>Faculty Development/Academic HR with academic leadership</t>
        </is>
      </c>
      <c r="F58" s="2" t="inlineStr">
        <is>
          <t>NEW</t>
        </is>
      </c>
      <c r="G58" s="2" t="inlineStr">
        <is>
          <t>Q03</t>
        </is>
      </c>
      <c r="H58" s="2" t="inlineStr">
        <is>
          <t>Existing architecture; metric-level extraction rule added here.</t>
        </is>
      </c>
      <c r="I58" s="2" t="inlineStr">
        <is>
          <t>Capability/process demonstration rubric + evidence</t>
        </is>
      </c>
      <c r="J58" s="2" t="inlineStr">
        <is>
          <t>0–5</t>
        </is>
      </c>
      <c r="K5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8" s="2" t="inlineStr">
        <is>
          <t>Current state + most recent completed academic year; 24-month window for change/experimentation metrics</t>
        </is>
      </c>
      <c r="M58" s="2" t="inlineStr">
        <is>
          <t>Use D05_Maturity_Anchors and score observable metric behaviour: 0 absent; 1 isolated/reactive; 2 emerging/selected; 3 structured/repeatable; 4 integrated/outcome-visible; 5 adaptive/continuously improving.</t>
        </is>
      </c>
      <c r="N58" s="2" t="inlineStr">
        <is>
          <t>0–5 on existence → operating use → repeatability → integration → measured improvement/learning. Policy publication, attendance or isolated pilots cannot establish high depth.</t>
        </is>
      </c>
      <c r="O58" s="2" t="inlineStr">
        <is>
          <t>Use only where a legitimate observable outcome exists. If no valid outcome exists, Outcome=N/A and renormalise maturity/implementation; never invent an outcome.</t>
        </is>
      </c>
      <c r="P58" s="2" t="inlineStr">
        <is>
          <t>Minimum E2 evidence. For score ≥3 require a dated operating example plus corroboration; outcome claims use E3; E4 preferred for independent/high-stakes claims.</t>
        </is>
      </c>
      <c r="Q58" s="2" t="inlineStr">
        <is>
          <t>Report E0–E4 confidence separately from capability score. E0/E1 cannot substantiate maturity ≥3; E2 supports routine practice; E3 outcome; E4 independent/triangulated.</t>
        </is>
      </c>
      <c r="R58" s="2" t="inlineStr">
        <is>
          <t>N/A only for genuine mandate/context inapplicability with assessor approval. Missing data or poor performance is not N/A; approved N/A is excluded from denominator and reported.</t>
        </is>
      </c>
      <c r="S58" s="2" t="inlineStr">
        <is>
          <t>No narrative-only uplift. Require dated artefact/process/work sample and cross-check against a second source, outcome or independent evidence. Policy-only evidence caps maturity at 2.</t>
        </is>
      </c>
      <c r="T58" s="2" t="inlineStr">
        <is>
          <t>Check D07 assessment redesign and D09 industry requirements; training attendance is not practice change.</t>
        </is>
      </c>
      <c r="U58" s="2" t="inlineStr">
        <is>
          <t>Faculty Development/Academic HR with academic leadership</t>
        </is>
      </c>
      <c r="V58" s="2" t="inlineStr">
        <is>
          <t>GREEN — REMEDIATED</t>
        </is>
      </c>
      <c r="W58" s="2" t="inlineStr">
        <is>
          <t>Measurement path explicit at metric level. This GREEN status means architecture completeness, not empirical validation of the index.</t>
        </is>
      </c>
    </row>
    <row r="59">
      <c r="A59" s="2" t="inlineStr">
        <is>
          <t>D05</t>
        </is>
      </c>
      <c r="B59" s="2" t="inlineStr">
        <is>
          <t>I05</t>
        </is>
      </c>
      <c r="C59" s="2" t="inlineStr">
        <is>
          <t>Faculty Learning &amp; Development Effectiveness</t>
        </is>
      </c>
      <c r="D59" s="2" t="inlineStr">
        <is>
          <t>Conversion of training into sustained academic practice</t>
        </is>
      </c>
      <c r="E59" s="2" t="inlineStr">
        <is>
          <t>Faculty Development/Academic HR with academic leadership</t>
        </is>
      </c>
      <c r="F59" s="2" t="inlineStr">
        <is>
          <t>NEW</t>
        </is>
      </c>
      <c r="G59" s="2" t="inlineStr">
        <is>
          <t>Q02</t>
        </is>
      </c>
      <c r="H59" s="2" t="inlineStr">
        <is>
          <t>Existing architecture; metric-level extraction rule added here.</t>
        </is>
      </c>
      <c r="I59" s="2" t="inlineStr">
        <is>
          <t>Capability/process demonstration rubric + evidence</t>
        </is>
      </c>
      <c r="J59" s="2" t="inlineStr">
        <is>
          <t>0–5</t>
        </is>
      </c>
      <c r="K5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9" s="2" t="inlineStr">
        <is>
          <t>Current state + most recent completed academic year; 24-month window for change/experimentation metrics</t>
        </is>
      </c>
      <c r="M59" s="2" t="inlineStr">
        <is>
          <t>Use D05_Maturity_Anchors and score observable metric behaviour: 0 absent; 1 isolated/reactive; 2 emerging/selected; 3 structured/repeatable; 4 integrated/outcome-visible; 5 adaptive/continuously improving.</t>
        </is>
      </c>
      <c r="N59" s="2" t="inlineStr">
        <is>
          <t>0–5 on existence → operating use → repeatability → integration → measured improvement/learning. Policy publication, attendance or isolated pilots cannot establish high depth.</t>
        </is>
      </c>
      <c r="O59" s="2" t="inlineStr">
        <is>
          <t>Use only where a legitimate observable outcome exists. If no valid outcome exists, Outcome=N/A and renormalise maturity/implementation; never invent an outcome.</t>
        </is>
      </c>
      <c r="P59" s="2" t="inlineStr">
        <is>
          <t>Minimum E2 evidence. For score ≥3 require a dated operating example plus corroboration; outcome claims use E3; E4 preferred for independent/high-stakes claims.</t>
        </is>
      </c>
      <c r="Q59" s="2" t="inlineStr">
        <is>
          <t>Report E0–E4 confidence separately from capability score. E0/E1 cannot substantiate maturity ≥3; E2 supports routine practice; E3 outcome; E4 independent/triangulated.</t>
        </is>
      </c>
      <c r="R59" s="2" t="inlineStr">
        <is>
          <t>N/A only for genuine mandate/context inapplicability with assessor approval. Missing data or poor performance is not N/A; approved N/A is excluded from denominator and reported.</t>
        </is>
      </c>
      <c r="S59" s="2" t="inlineStr">
        <is>
          <t>No narrative-only uplift. Require dated artefact/process/work sample and cross-check against a second source, outcome or independent evidence. Policy-only evidence caps maturity at 2.</t>
        </is>
      </c>
      <c r="T59" s="2" t="inlineStr">
        <is>
          <t>Check D07 assessment redesign and D09 industry requirements; training attendance is not practice change.</t>
        </is>
      </c>
      <c r="U59" s="2" t="inlineStr">
        <is>
          <t>Faculty Development/Academic HR with academic leadership</t>
        </is>
      </c>
      <c r="V59" s="2" t="inlineStr">
        <is>
          <t>GREEN — REMEDIATED</t>
        </is>
      </c>
      <c r="W59" s="2" t="inlineStr">
        <is>
          <t>Measurement path explicit at metric level. This GREEN status means architecture completeness, not empirical validation of the index.</t>
        </is>
      </c>
    </row>
    <row r="60">
      <c r="A60" s="2" t="inlineStr">
        <is>
          <t>D05</t>
        </is>
      </c>
      <c r="B60" s="2" t="inlineStr">
        <is>
          <t>I06</t>
        </is>
      </c>
      <c r="C60" s="2" t="inlineStr">
        <is>
          <t>Peer Learning &amp; Communities</t>
        </is>
      </c>
      <c r="D60" s="2" t="inlineStr">
        <is>
          <t>Institutional mechanisms for sharing AI practice</t>
        </is>
      </c>
      <c r="E60" s="2" t="inlineStr">
        <is>
          <t>Faculty Development/Academic HR with academic leadership</t>
        </is>
      </c>
      <c r="F60" s="2" t="inlineStr">
        <is>
          <t>NEW</t>
        </is>
      </c>
      <c r="G60" s="2" t="inlineStr">
        <is>
          <t>Q02</t>
        </is>
      </c>
      <c r="H60" s="2" t="inlineStr">
        <is>
          <t>Existing architecture; metric-level extraction rule added here.</t>
        </is>
      </c>
      <c r="I60" s="2" t="inlineStr">
        <is>
          <t>Capability/process demonstration rubric + evidence</t>
        </is>
      </c>
      <c r="J60" s="2" t="inlineStr">
        <is>
          <t>0–5</t>
        </is>
      </c>
      <c r="K6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0" s="2" t="inlineStr">
        <is>
          <t>Current state + most recent completed academic year; 24-month window for change/experimentation metrics</t>
        </is>
      </c>
      <c r="M60" s="2" t="inlineStr">
        <is>
          <t>Use D05_Maturity_Anchors and score observable metric behaviour: 0 absent; 1 isolated/reactive; 2 emerging/selected; 3 structured/repeatable; 4 integrated/outcome-visible; 5 adaptive/continuously improving.</t>
        </is>
      </c>
      <c r="N60" s="2" t="inlineStr">
        <is>
          <t>0–5 on existence → operating use → repeatability → integration → measured improvement/learning. Policy publication, attendance or isolated pilots cannot establish high depth.</t>
        </is>
      </c>
      <c r="O60" s="2" t="inlineStr">
        <is>
          <t>Use only where a legitimate observable outcome exists. If no valid outcome exists, Outcome=N/A and renormalise maturity/implementation; never invent an outcome.</t>
        </is>
      </c>
      <c r="P60" s="2" t="inlineStr">
        <is>
          <t>Minimum E2 evidence. For score ≥3 require a dated operating example plus corroboration; outcome claims use E3; E4 preferred for independent/high-stakes claims.</t>
        </is>
      </c>
      <c r="Q60" s="2" t="inlineStr">
        <is>
          <t>Report E0–E4 confidence separately from capability score. E0/E1 cannot substantiate maturity ≥3; E2 supports routine practice; E3 outcome; E4 independent/triangulated.</t>
        </is>
      </c>
      <c r="R60" s="2" t="inlineStr">
        <is>
          <t>N/A only for genuine mandate/context inapplicability with assessor approval. Missing data or poor performance is not N/A; approved N/A is excluded from denominator and reported.</t>
        </is>
      </c>
      <c r="S60" s="2" t="inlineStr">
        <is>
          <t>No narrative-only uplift. Require dated artefact/process/work sample and cross-check against a second source, outcome or independent evidence. Policy-only evidence caps maturity at 2.</t>
        </is>
      </c>
      <c r="T60" s="2" t="inlineStr">
        <is>
          <t>Check D07 assessment redesign and D09 industry requirements; training attendance is not practice change.</t>
        </is>
      </c>
      <c r="U60" s="2" t="inlineStr">
        <is>
          <t>Faculty Development/Academic HR with academic leadership</t>
        </is>
      </c>
      <c r="V60" s="2" t="inlineStr">
        <is>
          <t>GREEN — REMEDIATED</t>
        </is>
      </c>
      <c r="W60" s="2" t="inlineStr">
        <is>
          <t>Measurement path explicit at metric level. This GREEN status means architecture completeness, not empirical validation of the index.</t>
        </is>
      </c>
    </row>
    <row r="61">
      <c r="A61" s="2" t="inlineStr">
        <is>
          <t>D05</t>
        </is>
      </c>
      <c r="B61" s="2" t="inlineStr">
        <is>
          <t>I07</t>
        </is>
      </c>
      <c r="C61" s="2" t="inlineStr">
        <is>
          <t>AI Research &amp; Knowledge Creation</t>
        </is>
      </c>
      <c r="D61" s="2" t="inlineStr">
        <is>
          <t>Faculty use AI responsibly for research, analysis, scholarship and knowledge creation</t>
        </is>
      </c>
      <c r="E61" s="2" t="inlineStr">
        <is>
          <t>Faculty Development/Academic HR with academic leadership</t>
        </is>
      </c>
      <c r="F61" s="2" t="inlineStr">
        <is>
          <t>NEW</t>
        </is>
      </c>
      <c r="G61" s="2" t="inlineStr">
        <is>
          <t>Q05</t>
        </is>
      </c>
      <c r="H61" s="2" t="inlineStr">
        <is>
          <t>Existing architecture; metric-level extraction rule added here.</t>
        </is>
      </c>
      <c r="I61" s="2" t="inlineStr">
        <is>
          <t>Capability/process demonstration rubric + evidence</t>
        </is>
      </c>
      <c r="J61" s="2" t="inlineStr">
        <is>
          <t>0–5</t>
        </is>
      </c>
      <c r="K6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1" s="2" t="inlineStr">
        <is>
          <t>Current state + most recent completed academic year; 24-month window for change/experimentation metrics</t>
        </is>
      </c>
      <c r="M61" s="2" t="inlineStr">
        <is>
          <t>Use D05_Maturity_Anchors and score observable metric behaviour: 0 absent; 1 isolated/reactive; 2 emerging/selected; 3 structured/repeatable; 4 integrated/outcome-visible; 5 adaptive/continuously improving.</t>
        </is>
      </c>
      <c r="N61" s="2" t="inlineStr">
        <is>
          <t>0–5 on existence → operating use → repeatability → integration → measured improvement/learning. Policy publication, attendance or isolated pilots cannot establish high depth.</t>
        </is>
      </c>
      <c r="O61" s="2" t="inlineStr">
        <is>
          <t>Use only where a legitimate observable outcome exists. If no valid outcome exists, Outcome=N/A and renormalise maturity/implementation; never invent an outcome.</t>
        </is>
      </c>
      <c r="P61" s="2" t="inlineStr">
        <is>
          <t>Minimum E2 evidence. For score ≥3 require a dated operating example plus corroboration; outcome claims use E3; E4 preferred for independent/high-stakes claims.</t>
        </is>
      </c>
      <c r="Q61" s="2" t="inlineStr">
        <is>
          <t>Report E0–E4 confidence separately from capability score. E0/E1 cannot substantiate maturity ≥3; E2 supports routine practice; E3 outcome; E4 independent/triangulated.</t>
        </is>
      </c>
      <c r="R61" s="2" t="inlineStr">
        <is>
          <t>N/A only for genuine mandate/context inapplicability with assessor approval. Missing data or poor performance is not N/A; approved N/A is excluded from denominator and reported.</t>
        </is>
      </c>
      <c r="S61" s="2" t="inlineStr">
        <is>
          <t>No narrative-only uplift. Require dated artefact/process/work sample and cross-check against a second source, outcome or independent evidence. Policy-only evidence caps maturity at 2.</t>
        </is>
      </c>
      <c r="T61" s="2" t="inlineStr">
        <is>
          <t>Check D07 assessment redesign and D09 industry requirements; training attendance is not practice change.</t>
        </is>
      </c>
      <c r="U61" s="2" t="inlineStr">
        <is>
          <t>Faculty Development/Academic HR with academic leadership</t>
        </is>
      </c>
      <c r="V61" s="2" t="inlineStr">
        <is>
          <t>GREEN — REMEDIATED</t>
        </is>
      </c>
      <c r="W61" s="2" t="inlineStr">
        <is>
          <t>Measurement path explicit at metric level. This GREEN status means architecture completeness, not empirical validation of the index.</t>
        </is>
      </c>
    </row>
    <row r="62">
      <c r="A62" s="2" t="inlineStr">
        <is>
          <t>D05</t>
        </is>
      </c>
      <c r="B62" s="2" t="inlineStr">
        <is>
          <t>I08</t>
        </is>
      </c>
      <c r="C62" s="2" t="inlineStr">
        <is>
          <t>Academic Role Redesign</t>
        </is>
      </c>
      <c r="D62" s="2" t="inlineStr">
        <is>
          <t>Whether AI-driven changes in academic work are anticipated and supported</t>
        </is>
      </c>
      <c r="E62" s="2" t="inlineStr">
        <is>
          <t>Faculty Development/Academic HR with academic leadership</t>
        </is>
      </c>
      <c r="F62" s="2" t="inlineStr">
        <is>
          <t>NEW</t>
        </is>
      </c>
      <c r="G62" s="2" t="inlineStr">
        <is>
          <t>Q03; Q04</t>
        </is>
      </c>
      <c r="H62" s="2" t="inlineStr">
        <is>
          <t>Existing architecture; metric-level extraction rule added here.</t>
        </is>
      </c>
      <c r="I62" s="2" t="inlineStr">
        <is>
          <t>Capability/process demonstration rubric + evidence</t>
        </is>
      </c>
      <c r="J62" s="2" t="inlineStr">
        <is>
          <t>0–5</t>
        </is>
      </c>
      <c r="K6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2" s="2" t="inlineStr">
        <is>
          <t>Current state + most recent completed academic year; 24-month window for change/experimentation metrics</t>
        </is>
      </c>
      <c r="M62" s="2" t="inlineStr">
        <is>
          <t>Use D05_Maturity_Anchors and score observable metric behaviour: 0 absent; 1 isolated/reactive; 2 emerging/selected; 3 structured/repeatable; 4 integrated/outcome-visible; 5 adaptive/continuously improving.</t>
        </is>
      </c>
      <c r="N62" s="2" t="inlineStr">
        <is>
          <t>0–5 on existence → operating use → repeatability → integration → measured improvement/learning. Policy publication, attendance or isolated pilots cannot establish high depth.</t>
        </is>
      </c>
      <c r="O62" s="2" t="inlineStr">
        <is>
          <t>Use only where a legitimate observable outcome exists. If no valid outcome exists, Outcome=N/A and renormalise maturity/implementation; never invent an outcome.</t>
        </is>
      </c>
      <c r="P62" s="2" t="inlineStr">
        <is>
          <t>Minimum E2 evidence. For score ≥3 require a dated operating example plus corroboration; outcome claims use E3; E4 preferred for independent/high-stakes claims.</t>
        </is>
      </c>
      <c r="Q62" s="2" t="inlineStr">
        <is>
          <t>Report E0–E4 confidence separately from capability score. E0/E1 cannot substantiate maturity ≥3; E2 supports routine practice; E3 outcome; E4 independent/triangulated.</t>
        </is>
      </c>
      <c r="R62" s="2" t="inlineStr">
        <is>
          <t>N/A only for genuine mandate/context inapplicability with assessor approval. Missing data or poor performance is not N/A; approved N/A is excluded from denominator and reported.</t>
        </is>
      </c>
      <c r="S62" s="2" t="inlineStr">
        <is>
          <t>No narrative-only uplift. Require dated artefact/process/work sample and cross-check against a second source, outcome or independent evidence. Policy-only evidence caps maturity at 2.</t>
        </is>
      </c>
      <c r="T62" s="2" t="inlineStr">
        <is>
          <t>Check D07 assessment redesign and D09 industry requirements; training attendance is not practice change.</t>
        </is>
      </c>
      <c r="U62" s="2" t="inlineStr">
        <is>
          <t>Faculty Development/Academic HR with academic leadership</t>
        </is>
      </c>
      <c r="V62" s="2" t="inlineStr">
        <is>
          <t>GREEN — REMEDIATED</t>
        </is>
      </c>
      <c r="W62" s="2" t="inlineStr">
        <is>
          <t>Measurement path explicit at metric level. This GREEN status means architecture completeness, not empirical validation of the index.</t>
        </is>
      </c>
    </row>
    <row r="63">
      <c r="A63" s="2" t="inlineStr">
        <is>
          <t>D05</t>
        </is>
      </c>
      <c r="B63" s="2" t="inlineStr">
        <is>
          <t>I09</t>
        </is>
      </c>
      <c r="C63" s="2" t="inlineStr">
        <is>
          <t>Workload &amp; Workflow Transformation</t>
        </is>
      </c>
      <c r="D63" s="2" t="inlineStr">
        <is>
          <t>Use of AI to reduce low-value work while protecting academic quality</t>
        </is>
      </c>
      <c r="E63" s="2" t="inlineStr">
        <is>
          <t>Faculty Development/Academic HR with academic leadership</t>
        </is>
      </c>
      <c r="F63" s="2" t="inlineStr">
        <is>
          <t>NEW</t>
        </is>
      </c>
      <c r="G63" s="2" t="inlineStr">
        <is>
          <t>Q04</t>
        </is>
      </c>
      <c r="H63" s="2" t="inlineStr">
        <is>
          <t>Existing architecture; metric-level extraction rule added here.</t>
        </is>
      </c>
      <c r="I63" s="2" t="inlineStr">
        <is>
          <t>Capability/process demonstration rubric + evidence</t>
        </is>
      </c>
      <c r="J63" s="2" t="inlineStr">
        <is>
          <t>0–5</t>
        </is>
      </c>
      <c r="K6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3" s="2" t="inlineStr">
        <is>
          <t>Current state + most recent completed academic year; 24-month window for change/experimentation metrics</t>
        </is>
      </c>
      <c r="M63" s="2" t="inlineStr">
        <is>
          <t>Use D05_Maturity_Anchors and score observable metric behaviour: 0 absent; 1 isolated/reactive; 2 emerging/selected; 3 structured/repeatable; 4 integrated/outcome-visible; 5 adaptive/continuously improving.</t>
        </is>
      </c>
      <c r="N63" s="2" t="inlineStr">
        <is>
          <t>0–5 on existence → operating use → repeatability → integration → measured improvement/learning. Policy publication, attendance or isolated pilots cannot establish high depth.</t>
        </is>
      </c>
      <c r="O63" s="2" t="inlineStr">
        <is>
          <t>Use only where a legitimate observable outcome exists. If no valid outcome exists, Outcome=N/A and renormalise maturity/implementation; never invent an outcome.</t>
        </is>
      </c>
      <c r="P63" s="2" t="inlineStr">
        <is>
          <t>Minimum E2 evidence. For score ≥3 require a dated operating example plus corroboration; outcome claims use E3; E4 preferred for independent/high-stakes claims.</t>
        </is>
      </c>
      <c r="Q63" s="2" t="inlineStr">
        <is>
          <t>Report E0–E4 confidence separately from capability score. E0/E1 cannot substantiate maturity ≥3; E2 supports routine practice; E3 outcome; E4 independent/triangulated.</t>
        </is>
      </c>
      <c r="R63" s="2" t="inlineStr">
        <is>
          <t>N/A only for genuine mandate/context inapplicability with assessor approval. Missing data or poor performance is not N/A; approved N/A is excluded from denominator and reported.</t>
        </is>
      </c>
      <c r="S63" s="2" t="inlineStr">
        <is>
          <t>No narrative-only uplift. Require dated artefact/process/work sample and cross-check against a second source, outcome or independent evidence. Policy-only evidence caps maturity at 2.</t>
        </is>
      </c>
      <c r="T63" s="2" t="inlineStr">
        <is>
          <t>Check D07 assessment redesign and D09 industry requirements; training attendance is not practice change.</t>
        </is>
      </c>
      <c r="U63" s="2" t="inlineStr">
        <is>
          <t>Faculty Development/Academic HR with academic leadership</t>
        </is>
      </c>
      <c r="V63" s="2" t="inlineStr">
        <is>
          <t>GREEN — REMEDIATED</t>
        </is>
      </c>
      <c r="W63" s="2" t="inlineStr">
        <is>
          <t>Measurement path explicit at metric level. This GREEN status means architecture completeness, not empirical validation of the index.</t>
        </is>
      </c>
    </row>
    <row r="64">
      <c r="A64" s="2" t="inlineStr">
        <is>
          <t>D05</t>
        </is>
      </c>
      <c r="B64" s="2" t="inlineStr">
        <is>
          <t>I10</t>
        </is>
      </c>
      <c r="C64" s="2" t="inlineStr">
        <is>
          <t>Faculty Support Infrastructure</t>
        </is>
      </c>
      <c r="D64" s="2" t="inlineStr">
        <is>
          <t>Access to tools, guidance, help, exemplars and technical support</t>
        </is>
      </c>
      <c r="E64" s="2" t="inlineStr">
        <is>
          <t>Faculty Development/Academic HR with academic leadership</t>
        </is>
      </c>
      <c r="F64" s="2" t="inlineStr">
        <is>
          <t>NEW</t>
        </is>
      </c>
      <c r="G64" s="2" t="inlineStr">
        <is>
          <t>Q04</t>
        </is>
      </c>
      <c r="H64" s="2" t="inlineStr">
        <is>
          <t>Existing architecture; metric-level extraction rule added here.</t>
        </is>
      </c>
      <c r="I64" s="2" t="inlineStr">
        <is>
          <t>Coverage/access + 0–5 rubric</t>
        </is>
      </c>
      <c r="J64" s="2" t="inlineStr">
        <is>
          <t>coverage/access % + 0–5</t>
        </is>
      </c>
      <c r="K6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4" s="2" t="inlineStr">
        <is>
          <t>Current state + most recent completed academic year; 24-month window for change/experimentation metrics</t>
        </is>
      </c>
      <c r="M64" s="2" t="inlineStr">
        <is>
          <t>Use D05_Maturity_Anchors and score observable metric behaviour: 0 absent; 1 isolated/reactive; 2 emerging/selected; 3 structured/repeatable; 4 integrated/outcome-visible; 5 adaptive/continuously improving.</t>
        </is>
      </c>
      <c r="N64" s="2" t="inlineStr">
        <is>
          <t>0–5 on existence → operating use → repeatability → integration → measured improvement/learning. Policy publication, attendance or isolated pilots cannot establish high depth.</t>
        </is>
      </c>
      <c r="O64" s="2" t="inlineStr">
        <is>
          <t>Use only where a legitimate observable outcome exists. If no valid outcome exists, Outcome=N/A and renormalise maturity/implementation; never invent an outcome.</t>
        </is>
      </c>
      <c r="P64" s="2" t="inlineStr">
        <is>
          <t>Minimum E2 evidence. For score ≥3 require a dated operating example plus corroboration; outcome claims use E3; E4 preferred for independent/high-stakes claims.</t>
        </is>
      </c>
      <c r="Q64" s="2" t="inlineStr">
        <is>
          <t>Report E0–E4 confidence separately from capability score. E0/E1 cannot substantiate maturity ≥3; E2 supports routine practice; E3 outcome; E4 independent/triangulated.</t>
        </is>
      </c>
      <c r="R64" s="2" t="inlineStr">
        <is>
          <t>N/A only for genuine mandate/context inapplicability with assessor approval. Missing data or poor performance is not N/A; approved N/A is excluded from denominator and reported.</t>
        </is>
      </c>
      <c r="S64" s="2" t="inlineStr">
        <is>
          <t>No narrative-only uplift. Require dated artefact/process/work sample and cross-check against a second source, outcome or independent evidence. Policy-only evidence caps maturity at 2.</t>
        </is>
      </c>
      <c r="T64" s="2" t="inlineStr">
        <is>
          <t>Check D07 assessment redesign and D09 industry requirements; training attendance is not practice change.</t>
        </is>
      </c>
      <c r="U64" s="2" t="inlineStr">
        <is>
          <t>Faculty Development/Academic HR with academic leadership</t>
        </is>
      </c>
      <c r="V64" s="2" t="inlineStr">
        <is>
          <t>GREEN — REMEDIATED</t>
        </is>
      </c>
      <c r="W64" s="2" t="inlineStr">
        <is>
          <t>Measurement path explicit at metric level. This GREEN status means architecture completeness, not empirical validation of the index.</t>
        </is>
      </c>
    </row>
    <row r="65">
      <c r="A65" s="2" t="inlineStr">
        <is>
          <t>D05</t>
        </is>
      </c>
      <c r="B65" s="2" t="inlineStr">
        <is>
          <t>I11</t>
        </is>
      </c>
      <c r="C65" s="2" t="inlineStr">
        <is>
          <t>Academic Leadership for AI</t>
        </is>
      </c>
      <c r="D65" s="2" t="inlineStr">
        <is>
          <t>Department/school leaders translating AI change into academic action</t>
        </is>
      </c>
      <c r="E65" s="2" t="inlineStr">
        <is>
          <t>Faculty Development/Academic HR with academic leadership</t>
        </is>
      </c>
      <c r="F65" s="2" t="inlineStr">
        <is>
          <t>NEW</t>
        </is>
      </c>
      <c r="G65" s="2" t="inlineStr">
        <is>
          <t>Q04</t>
        </is>
      </c>
      <c r="H65" s="2" t="inlineStr">
        <is>
          <t>Existing architecture; metric-level extraction rule added here.</t>
        </is>
      </c>
      <c r="I65" s="2" t="inlineStr">
        <is>
          <t>Capability/process demonstration rubric + evidence</t>
        </is>
      </c>
      <c r="J65" s="2" t="inlineStr">
        <is>
          <t>0–5</t>
        </is>
      </c>
      <c r="K6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5" s="2" t="inlineStr">
        <is>
          <t>Current state + most recent completed academic year; 24-month window for change/experimentation metrics</t>
        </is>
      </c>
      <c r="M65" s="2" t="inlineStr">
        <is>
          <t>Use D05_Maturity_Anchors and score observable metric behaviour: 0 absent; 1 isolated/reactive; 2 emerging/selected; 3 structured/repeatable; 4 integrated/outcome-visible; 5 adaptive/continuously improving.</t>
        </is>
      </c>
      <c r="N65" s="2" t="inlineStr">
        <is>
          <t>0–5 on existence → operating use → repeatability → integration → measured improvement/learning. Policy publication, attendance or isolated pilots cannot establish high depth.</t>
        </is>
      </c>
      <c r="O65" s="2" t="inlineStr">
        <is>
          <t>Use only where a legitimate observable outcome exists. If no valid outcome exists, Outcome=N/A and renormalise maturity/implementation; never invent an outcome.</t>
        </is>
      </c>
      <c r="P65" s="2" t="inlineStr">
        <is>
          <t>Minimum E2 evidence. For score ≥3 require a dated operating example plus corroboration; outcome claims use E3; E4 preferred for independent/high-stakes claims.</t>
        </is>
      </c>
      <c r="Q65" s="2" t="inlineStr">
        <is>
          <t>Report E0–E4 confidence separately from capability score. E0/E1 cannot substantiate maturity ≥3; E2 supports routine practice; E3 outcome; E4 independent/triangulated.</t>
        </is>
      </c>
      <c r="R65" s="2" t="inlineStr">
        <is>
          <t>N/A only for genuine mandate/context inapplicability with assessor approval. Missing data or poor performance is not N/A; approved N/A is excluded from denominator and reported.</t>
        </is>
      </c>
      <c r="S65" s="2" t="inlineStr">
        <is>
          <t>No narrative-only uplift. Require dated artefact/process/work sample and cross-check against a second source, outcome or independent evidence. Policy-only evidence caps maturity at 2.</t>
        </is>
      </c>
      <c r="T65" s="2" t="inlineStr">
        <is>
          <t>Check D07 assessment redesign and D09 industry requirements; training attendance is not practice change.</t>
        </is>
      </c>
      <c r="U65" s="2" t="inlineStr">
        <is>
          <t>Faculty Development/Academic HR with academic leadership</t>
        </is>
      </c>
      <c r="V65" s="2" t="inlineStr">
        <is>
          <t>GREEN — REMEDIATED</t>
        </is>
      </c>
      <c r="W65" s="2" t="inlineStr">
        <is>
          <t>Measurement path explicit at metric level. This GREEN status means architecture completeness, not empirical validation of the index.</t>
        </is>
      </c>
    </row>
    <row r="66">
      <c r="A66" s="2" t="inlineStr">
        <is>
          <t>D05</t>
        </is>
      </c>
      <c r="B66" s="2" t="inlineStr">
        <is>
          <t>I12</t>
        </is>
      </c>
      <c r="C66" s="2" t="inlineStr">
        <is>
          <t>Faculty Adoption Learning Loop</t>
        </is>
      </c>
      <c r="D66" s="2" t="inlineStr">
        <is>
          <t>Institution learns from adoption, resistance, failure and emerging practice</t>
        </is>
      </c>
      <c r="E66" s="2" t="inlineStr">
        <is>
          <t>Faculty Development/Academic HR with academic leadership</t>
        </is>
      </c>
      <c r="F66" s="2" t="inlineStr">
        <is>
          <t>NEW</t>
        </is>
      </c>
      <c r="G66" s="2" t="inlineStr">
        <is>
          <t>Q02; Q05</t>
        </is>
      </c>
      <c r="H66" s="2" t="inlineStr">
        <is>
          <t>Existing architecture; metric-level extraction rule added here.</t>
        </is>
      </c>
      <c r="I66" s="2" t="inlineStr">
        <is>
          <t>Process-to-action rubric + event evidence</t>
        </is>
      </c>
      <c r="J66" s="2" t="inlineStr">
        <is>
          <t>0–5 + cycle time where available</t>
        </is>
      </c>
      <c r="K6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6" s="2" t="inlineStr">
        <is>
          <t>Current state + most recent completed academic year; 24-month window for change/experimentation metrics</t>
        </is>
      </c>
      <c r="M66" s="2" t="inlineStr">
        <is>
          <t>Use D05_Maturity_Anchors and score observable metric behaviour: 0 absent; 1 isolated/reactive; 2 emerging/selected; 3 structured/repeatable; 4 integrated/outcome-visible; 5 adaptive/continuously improving.</t>
        </is>
      </c>
      <c r="N66" s="2" t="inlineStr">
        <is>
          <t>0–5 on existence → operating use → repeatability → integration → measured improvement/learning. Policy publication, attendance or isolated pilots cannot establish high depth.</t>
        </is>
      </c>
      <c r="O66" s="2" t="inlineStr">
        <is>
          <t>Use only where a legitimate observable outcome exists. If no valid outcome exists, Outcome=N/A and renormalise maturity/implementation; never invent an outcome.</t>
        </is>
      </c>
      <c r="P66" s="2" t="inlineStr">
        <is>
          <t>Minimum E2 evidence. For score ≥3 require a dated operating example plus corroboration; outcome claims use E3; E4 preferred for independent/high-stakes claims.</t>
        </is>
      </c>
      <c r="Q66" s="2" t="inlineStr">
        <is>
          <t>Report E0–E4 confidence separately from capability score. E0/E1 cannot substantiate maturity ≥3; E2 supports routine practice; E3 outcome; E4 independent/triangulated.</t>
        </is>
      </c>
      <c r="R66" s="2" t="inlineStr">
        <is>
          <t>N/A only for genuine mandate/context inapplicability with assessor approval. Missing data or poor performance is not N/A; approved N/A is excluded from denominator and reported.</t>
        </is>
      </c>
      <c r="S66" s="2" t="inlineStr">
        <is>
          <t>No narrative-only uplift. Require dated artefact/process/work sample and cross-check against a second source, outcome or independent evidence. Policy-only evidence caps maturity at 2.</t>
        </is>
      </c>
      <c r="T66" s="2" t="inlineStr">
        <is>
          <t>Check D07 assessment redesign and D09 industry requirements; training attendance is not practice change.</t>
        </is>
      </c>
      <c r="U66" s="2" t="inlineStr">
        <is>
          <t>Faculty Development/Academic HR with academic leadership</t>
        </is>
      </c>
      <c r="V66" s="2" t="inlineStr">
        <is>
          <t>GREEN — REMEDIATED</t>
        </is>
      </c>
      <c r="W66" s="2" t="inlineStr">
        <is>
          <t>Measurement path explicit at metric level. This GREEN status means architecture completeness, not empirical validation of the index.</t>
        </is>
      </c>
    </row>
    <row r="67">
      <c r="A67" s="2" t="inlineStr">
        <is>
          <t>D06</t>
        </is>
      </c>
      <c r="B67" s="2" t="inlineStr">
        <is>
          <t>I01</t>
        </is>
      </c>
      <c r="C67" s="2" t="inlineStr">
        <is>
          <t>Student AI Literacy</t>
        </is>
      </c>
      <c r="D67" s="2" t="inlineStr">
        <is>
          <t>Students understand capabilities, limits, responsible use and verification</t>
        </is>
      </c>
      <c r="E67" s="2" t="inlineStr">
        <is>
          <t>Student Success/Academic leadership with programme owners</t>
        </is>
      </c>
      <c r="F67" s="2" t="inlineStr">
        <is>
          <t>NEW</t>
        </is>
      </c>
      <c r="G67" s="2" t="inlineStr">
        <is>
          <t>Q01</t>
        </is>
      </c>
      <c r="H67" s="2" t="inlineStr">
        <is>
          <t>Existing architecture; metric-level extraction rule added here.</t>
        </is>
      </c>
      <c r="I67" s="2" t="inlineStr">
        <is>
          <t>Capability/process demonstration rubric + evidence</t>
        </is>
      </c>
      <c r="J67" s="2" t="inlineStr">
        <is>
          <t>0–5</t>
        </is>
      </c>
      <c r="K6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7" s="2" t="inlineStr">
        <is>
          <t>Current state + most recent completed academic year; 24-month window for change/experimentation metrics</t>
        </is>
      </c>
      <c r="M67" s="2" t="inlineStr">
        <is>
          <t>Use D06_Maturity_Anchors and score observable metric behaviour: 0 absent; 1 isolated/reactive; 2 emerging/selected; 3 structured/repeatable; 4 integrated/outcome-visible; 5 adaptive/continuously improving.</t>
        </is>
      </c>
      <c r="N67" s="2" t="inlineStr">
        <is>
          <t>0–5 on existence → operating use → repeatability → integration → measured improvement/learning. Policy publication, attendance or isolated pilots cannot establish high depth.</t>
        </is>
      </c>
      <c r="O67" s="2" t="inlineStr">
        <is>
          <t>Use only where a legitimate observable outcome exists. If no valid outcome exists, Outcome=N/A and renormalise maturity/implementation; never invent an outcome.</t>
        </is>
      </c>
      <c r="P67" s="2" t="inlineStr">
        <is>
          <t>Minimum E2 evidence. For score ≥3 require a dated operating example plus corroboration; outcome claims use E3; E4 preferred for independent/high-stakes claims.</t>
        </is>
      </c>
      <c r="Q67" s="2" t="inlineStr">
        <is>
          <t>Report E0–E4 confidence separately from capability score. E0/E1 cannot substantiate maturity ≥3; E2 supports routine practice; E3 outcome; E4 independent/triangulated.</t>
        </is>
      </c>
      <c r="R67" s="2" t="inlineStr">
        <is>
          <t>N/A only for genuine mandate/context inapplicability with assessor approval. Missing data or poor performance is not N/A; approved N/A is excluded from denominator and reported.</t>
        </is>
      </c>
      <c r="S67" s="2" t="inlineStr">
        <is>
          <t>No narrative-only uplift. Require dated artefact/process/work sample and cross-check against a second source, outcome or independent evidence. Policy-only evidence caps maturity at 2.</t>
        </is>
      </c>
      <c r="T67" s="2" t="inlineStr">
        <is>
          <t>Check D03 intended capability and D09 external evidence; external outcome does not automatically raise agency.</t>
        </is>
      </c>
      <c r="U67" s="2" t="inlineStr">
        <is>
          <t>Student Success/Academic leadership with programme owners</t>
        </is>
      </c>
      <c r="V67" s="2" t="inlineStr">
        <is>
          <t>GREEN — EXISTING PATH RETAINED</t>
        </is>
      </c>
      <c r="W67" s="2" t="inlineStr">
        <is>
          <t>Measurement path explicit at metric level. This GREEN status means architecture completeness, not empirical validation of the index.</t>
        </is>
      </c>
    </row>
    <row r="68">
      <c r="A68" s="2" t="inlineStr">
        <is>
          <t>D06</t>
        </is>
      </c>
      <c r="B68" s="2" t="inlineStr">
        <is>
          <t>I02</t>
        </is>
      </c>
      <c r="C68" s="2" t="inlineStr">
        <is>
          <t>Critical AI Evaluation</t>
        </is>
      </c>
      <c r="D68" s="2" t="inlineStr">
        <is>
          <t>Students can interrogate, verify and challenge AI outputs</t>
        </is>
      </c>
      <c r="E68" s="2" t="inlineStr">
        <is>
          <t>Student Success/Academic leadership with programme owners</t>
        </is>
      </c>
      <c r="F68" s="2" t="inlineStr">
        <is>
          <t>NEW</t>
        </is>
      </c>
      <c r="G68" s="2" t="inlineStr">
        <is>
          <t>Q01; Q02</t>
        </is>
      </c>
      <c r="H68" s="2" t="inlineStr">
        <is>
          <t>Existing architecture; metric-level extraction rule added here.</t>
        </is>
      </c>
      <c r="I68" s="2" t="inlineStr">
        <is>
          <t>Capability/process demonstration rubric + evidence</t>
        </is>
      </c>
      <c r="J68" s="2" t="inlineStr">
        <is>
          <t>0–5</t>
        </is>
      </c>
      <c r="K6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8" s="2" t="inlineStr">
        <is>
          <t>Current state + most recent completed academic year; 24-month window for change/experimentation metrics</t>
        </is>
      </c>
      <c r="M68" s="2" t="inlineStr">
        <is>
          <t>Use D06_Maturity_Anchors and score observable metric behaviour: 0 absent; 1 isolated/reactive; 2 emerging/selected; 3 structured/repeatable; 4 integrated/outcome-visible; 5 adaptive/continuously improving.</t>
        </is>
      </c>
      <c r="N68" s="2" t="inlineStr">
        <is>
          <t>0–5 on existence → operating use → repeatability → integration → measured improvement/learning. Policy publication, attendance or isolated pilots cannot establish high depth.</t>
        </is>
      </c>
      <c r="O68" s="2" t="inlineStr">
        <is>
          <t>Use only where a legitimate observable outcome exists. If no valid outcome exists, Outcome=N/A and renormalise maturity/implementation; never invent an outcome.</t>
        </is>
      </c>
      <c r="P68" s="2" t="inlineStr">
        <is>
          <t>Minimum E2 evidence. For score ≥3 require a dated operating example plus corroboration; outcome claims use E3; E4 preferred for independent/high-stakes claims.</t>
        </is>
      </c>
      <c r="Q68" s="2" t="inlineStr">
        <is>
          <t>Report E0–E4 confidence separately from capability score. E0/E1 cannot substantiate maturity ≥3; E2 supports routine practice; E3 outcome; E4 independent/triangulated.</t>
        </is>
      </c>
      <c r="R68" s="2" t="inlineStr">
        <is>
          <t>N/A only for genuine mandate/context inapplicability with assessor approval. Missing data or poor performance is not N/A; approved N/A is excluded from denominator and reported.</t>
        </is>
      </c>
      <c r="S68" s="2" t="inlineStr">
        <is>
          <t>No narrative-only uplift. Require dated artefact/process/work sample and cross-check against a second source, outcome or independent evidence. Policy-only evidence caps maturity at 2.</t>
        </is>
      </c>
      <c r="T68" s="2" t="inlineStr">
        <is>
          <t>Check D03 intended capability and D09 external evidence; external outcome does not automatically raise agency.</t>
        </is>
      </c>
      <c r="U68" s="2" t="inlineStr">
        <is>
          <t>Student Success/Academic leadership with programme owners</t>
        </is>
      </c>
      <c r="V68" s="2" t="inlineStr">
        <is>
          <t>GREEN — EXISTING PATH RETAINED</t>
        </is>
      </c>
      <c r="W68" s="2" t="inlineStr">
        <is>
          <t>Measurement path explicit at metric level. This GREEN status means architecture completeness, not empirical validation of the index.</t>
        </is>
      </c>
    </row>
    <row r="69">
      <c r="A69" s="2" t="inlineStr">
        <is>
          <t>D06</t>
        </is>
      </c>
      <c r="B69" s="2" t="inlineStr">
        <is>
          <t>I03</t>
        </is>
      </c>
      <c r="C69" s="2" t="inlineStr">
        <is>
          <t>Learning Agency</t>
        </is>
      </c>
      <c r="D69" s="2" t="inlineStr">
        <is>
          <t>Students use AI to extend learning without surrendering intellectual responsibility</t>
        </is>
      </c>
      <c r="E69" s="2" t="inlineStr">
        <is>
          <t>Student Success/Academic leadership with programme owners</t>
        </is>
      </c>
      <c r="F69" s="2" t="inlineStr">
        <is>
          <t>NEW</t>
        </is>
      </c>
      <c r="G69" s="2" t="inlineStr">
        <is>
          <t>Q01</t>
        </is>
      </c>
      <c r="H69" s="2" t="inlineStr">
        <is>
          <t>Existing architecture; metric-level extraction rule added here.</t>
        </is>
      </c>
      <c r="I69" s="2" t="inlineStr">
        <is>
          <t>Capability/process demonstration rubric + evidence</t>
        </is>
      </c>
      <c r="J69" s="2" t="inlineStr">
        <is>
          <t>0–5</t>
        </is>
      </c>
      <c r="K6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9" s="2" t="inlineStr">
        <is>
          <t>Current state + most recent completed academic year; 24-month window for change/experimentation metrics</t>
        </is>
      </c>
      <c r="M69" s="2" t="inlineStr">
        <is>
          <t>Use D06_Maturity_Anchors and score observable metric behaviour: 0 absent; 1 isolated/reactive; 2 emerging/selected; 3 structured/repeatable; 4 integrated/outcome-visible; 5 adaptive/continuously improving.</t>
        </is>
      </c>
      <c r="N69" s="2" t="inlineStr">
        <is>
          <t>0–5 on existence → operating use → repeatability → integration → measured improvement/learning. Policy publication, attendance or isolated pilots cannot establish high depth.</t>
        </is>
      </c>
      <c r="O69" s="2" t="inlineStr">
        <is>
          <t>Use only where a legitimate observable outcome exists. If no valid outcome exists, Outcome=N/A and renormalise maturity/implementation; never invent an outcome.</t>
        </is>
      </c>
      <c r="P69" s="2" t="inlineStr">
        <is>
          <t>Minimum E2 evidence. For score ≥3 require a dated operating example plus corroboration; outcome claims use E3; E4 preferred for independent/high-stakes claims.</t>
        </is>
      </c>
      <c r="Q69" s="2" t="inlineStr">
        <is>
          <t>Report E0–E4 confidence separately from capability score. E0/E1 cannot substantiate maturity ≥3; E2 supports routine practice; E3 outcome; E4 independent/triangulated.</t>
        </is>
      </c>
      <c r="R69" s="2" t="inlineStr">
        <is>
          <t>N/A only for genuine mandate/context inapplicability with assessor approval. Missing data or poor performance is not N/A; approved N/A is excluded from denominator and reported.</t>
        </is>
      </c>
      <c r="S69" s="2" t="inlineStr">
        <is>
          <t>No narrative-only uplift. Require dated artefact/process/work sample and cross-check against a second source, outcome or independent evidence. Policy-only evidence caps maturity at 2.</t>
        </is>
      </c>
      <c r="T69" s="2" t="inlineStr">
        <is>
          <t>Check D03 intended capability and D09 external evidence; external outcome does not automatically raise agency.</t>
        </is>
      </c>
      <c r="U69" s="2" t="inlineStr">
        <is>
          <t>Student Success/Academic leadership with programme owners</t>
        </is>
      </c>
      <c r="V69" s="2" t="inlineStr">
        <is>
          <t>GREEN — EXISTING PATH RETAINED</t>
        </is>
      </c>
      <c r="W69" s="2" t="inlineStr">
        <is>
          <t>Measurement path explicit at metric level. This GREEN status means architecture completeness, not empirical validation of the index.</t>
        </is>
      </c>
    </row>
    <row r="70">
      <c r="A70" s="2" t="inlineStr">
        <is>
          <t>D06</t>
        </is>
      </c>
      <c r="B70" s="2" t="inlineStr">
        <is>
          <t>I04</t>
        </is>
      </c>
      <c r="C70" s="2" t="inlineStr">
        <is>
          <t>Independent Intellectual Agency</t>
        </is>
      </c>
      <c r="D70" s="2" t="inlineStr">
        <is>
          <t>Students can formulate positions, questions and solutions independently</t>
        </is>
      </c>
      <c r="E70" s="2" t="inlineStr">
        <is>
          <t>Student Success/Academic leadership with programme owners</t>
        </is>
      </c>
      <c r="F70" s="2" t="inlineStr">
        <is>
          <t>NEW</t>
        </is>
      </c>
      <c r="G70" s="2" t="inlineStr">
        <is>
          <t>Q01; Q02</t>
        </is>
      </c>
      <c r="H70" s="2" t="inlineStr">
        <is>
          <t>Existing architecture; metric-level extraction rule added here.</t>
        </is>
      </c>
      <c r="I70" s="2" t="inlineStr">
        <is>
          <t>Capability/process demonstration rubric + evidence</t>
        </is>
      </c>
      <c r="J70" s="2" t="inlineStr">
        <is>
          <t>0–5</t>
        </is>
      </c>
      <c r="K7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0" s="2" t="inlineStr">
        <is>
          <t>Current state + most recent completed academic year; 24-month window for change/experimentation metrics</t>
        </is>
      </c>
      <c r="M70" s="2" t="inlineStr">
        <is>
          <t>Use D06_Maturity_Anchors and score observable metric behaviour: 0 absent; 1 isolated/reactive; 2 emerging/selected; 3 structured/repeatable; 4 integrated/outcome-visible; 5 adaptive/continuously improving.</t>
        </is>
      </c>
      <c r="N70" s="2" t="inlineStr">
        <is>
          <t>0–5 on existence → operating use → repeatability → integration → measured improvement/learning. Policy publication, attendance or isolated pilots cannot establish high depth.</t>
        </is>
      </c>
      <c r="O70" s="2" t="inlineStr">
        <is>
          <t>Use only where a legitimate observable outcome exists. If no valid outcome exists, Outcome=N/A and renormalise maturity/implementation; never invent an outcome.</t>
        </is>
      </c>
      <c r="P70" s="2" t="inlineStr">
        <is>
          <t>Minimum E2 evidence. For score ≥3 require a dated operating example plus corroboration; outcome claims use E3; E4 preferred for independent/high-stakes claims.</t>
        </is>
      </c>
      <c r="Q70" s="2" t="inlineStr">
        <is>
          <t>Report E0–E4 confidence separately from capability score. E0/E1 cannot substantiate maturity ≥3; E2 supports routine practice; E3 outcome; E4 independent/triangulated.</t>
        </is>
      </c>
      <c r="R70" s="2" t="inlineStr">
        <is>
          <t>N/A only for genuine mandate/context inapplicability with assessor approval. Missing data or poor performance is not N/A; approved N/A is excluded from denominator and reported.</t>
        </is>
      </c>
      <c r="S70" s="2" t="inlineStr">
        <is>
          <t>No narrative-only uplift. Require dated artefact/process/work sample and cross-check against a second source, outcome or independent evidence. Policy-only evidence caps maturity at 2.</t>
        </is>
      </c>
      <c r="T70" s="2" t="inlineStr">
        <is>
          <t>Check D03 intended capability and D09 external evidence; external outcome does not automatically raise agency.</t>
        </is>
      </c>
      <c r="U70" s="2" t="inlineStr">
        <is>
          <t>Student Success/Academic leadership with programme owners</t>
        </is>
      </c>
      <c r="V70" s="2" t="inlineStr">
        <is>
          <t>GREEN — REMEDIATED</t>
        </is>
      </c>
      <c r="W70" s="2" t="inlineStr">
        <is>
          <t>Measurement path explicit at metric level. This GREEN status means architecture completeness, not empirical validation of the index.</t>
        </is>
      </c>
    </row>
    <row r="71">
      <c r="A71" s="2" t="inlineStr">
        <is>
          <t>D06</t>
        </is>
      </c>
      <c r="B71" s="2" t="inlineStr">
        <is>
          <t>I05</t>
        </is>
      </c>
      <c r="C71" s="2" t="inlineStr">
        <is>
          <t>Communication &amp; Defence</t>
        </is>
      </c>
      <c r="D71" s="2" t="inlineStr">
        <is>
          <t>Students can explain and defend their reasoning, sources and decisions</t>
        </is>
      </c>
      <c r="E71" s="2" t="inlineStr">
        <is>
          <t>Student Success/Academic leadership with programme owners</t>
        </is>
      </c>
      <c r="F71" s="2" t="inlineStr">
        <is>
          <t>NEW</t>
        </is>
      </c>
      <c r="G71" s="2" t="inlineStr">
        <is>
          <t>Q02</t>
        </is>
      </c>
      <c r="H71" s="2" t="inlineStr">
        <is>
          <t>Existing architecture; metric-level extraction rule added here.</t>
        </is>
      </c>
      <c r="I71" s="2" t="inlineStr">
        <is>
          <t>Capability/process demonstration rubric + evidence</t>
        </is>
      </c>
      <c r="J71" s="2" t="inlineStr">
        <is>
          <t>0–5</t>
        </is>
      </c>
      <c r="K7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1" s="2" t="inlineStr">
        <is>
          <t>Current state + most recent completed academic year; 24-month window for change/experimentation metrics</t>
        </is>
      </c>
      <c r="M71" s="2" t="inlineStr">
        <is>
          <t>Use D06_Maturity_Anchors and score observable metric behaviour: 0 absent; 1 isolated/reactive; 2 emerging/selected; 3 structured/repeatable; 4 integrated/outcome-visible; 5 adaptive/continuously improving.</t>
        </is>
      </c>
      <c r="N71" s="2" t="inlineStr">
        <is>
          <t>0–5 on existence → operating use → repeatability → integration → measured improvement/learning. Policy publication, attendance or isolated pilots cannot establish high depth.</t>
        </is>
      </c>
      <c r="O71" s="2" t="inlineStr">
        <is>
          <t>Use only where a legitimate observable outcome exists. If no valid outcome exists, Outcome=N/A and renormalise maturity/implementation; never invent an outcome.</t>
        </is>
      </c>
      <c r="P71" s="2" t="inlineStr">
        <is>
          <t>Minimum E2 evidence. For score ≥3 require a dated operating example plus corroboration; outcome claims use E3; E4 preferred for independent/high-stakes claims.</t>
        </is>
      </c>
      <c r="Q71" s="2" t="inlineStr">
        <is>
          <t>Report E0–E4 confidence separately from capability score. E0/E1 cannot substantiate maturity ≥3; E2 supports routine practice; E3 outcome; E4 independent/triangulated.</t>
        </is>
      </c>
      <c r="R71" s="2" t="inlineStr">
        <is>
          <t>N/A only for genuine mandate/context inapplicability with assessor approval. Missing data or poor performance is not N/A; approved N/A is excluded from denominator and reported.</t>
        </is>
      </c>
      <c r="S71" s="2" t="inlineStr">
        <is>
          <t>No narrative-only uplift. Require dated artefact/process/work sample and cross-check against a second source, outcome or independent evidence. Policy-only evidence caps maturity at 2.</t>
        </is>
      </c>
      <c r="T71" s="2" t="inlineStr">
        <is>
          <t>Check D03 intended capability and D09 external evidence; external outcome does not automatically raise agency.</t>
        </is>
      </c>
      <c r="U71" s="2" t="inlineStr">
        <is>
          <t>Student Success/Academic leadership with programme owners</t>
        </is>
      </c>
      <c r="V71" s="2" t="inlineStr">
        <is>
          <t>GREEN — REMEDIATED</t>
        </is>
      </c>
      <c r="W71" s="2" t="inlineStr">
        <is>
          <t>Measurement path explicit at metric level. This GREEN status means architecture completeness, not empirical validation of the index.</t>
        </is>
      </c>
    </row>
    <row r="72">
      <c r="A72" s="2" t="inlineStr">
        <is>
          <t>D06</t>
        </is>
      </c>
      <c r="B72" s="2" t="inlineStr">
        <is>
          <t>I06</t>
        </is>
      </c>
      <c r="C72" s="2" t="inlineStr">
        <is>
          <t>Collaboration Capability</t>
        </is>
      </c>
      <c r="D72" s="2" t="inlineStr">
        <is>
          <t>Students collaborate with people and AI appropriately</t>
        </is>
      </c>
      <c r="E72" s="2" t="inlineStr">
        <is>
          <t>Student Success/Academic leadership with programme owners</t>
        </is>
      </c>
      <c r="F72" s="2" t="inlineStr">
        <is>
          <t>NEW</t>
        </is>
      </c>
      <c r="G72" s="2" t="inlineStr">
        <is>
          <t>NEW</t>
        </is>
      </c>
      <c r="H72" s="2" t="inlineStr">
        <is>
          <t>Student Collaboration Test</t>
        </is>
      </c>
      <c r="I72" s="2" t="inlineStr">
        <is>
          <t>Capability/process demonstration rubric + evidence</t>
        </is>
      </c>
      <c r="J72" s="2" t="inlineStr">
        <is>
          <t>0–5</t>
        </is>
      </c>
      <c r="K7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2" s="2" t="inlineStr">
        <is>
          <t>Current state + most recent completed academic year; 24-month window for change/experimentation metrics</t>
        </is>
      </c>
      <c r="M72" s="2" t="inlineStr">
        <is>
          <t>Use D06_Maturity_Anchors and score observable metric behaviour: 0 absent; 1 isolated/reactive; 2 emerging/selected; 3 structured/repeatable; 4 integrated/outcome-visible; 5 adaptive/continuously improving.</t>
        </is>
      </c>
      <c r="N72" s="2" t="inlineStr">
        <is>
          <t>0–5 on existence → operating use → repeatability → integration → measured improvement/learning. Policy publication, attendance or isolated pilots cannot establish high depth.</t>
        </is>
      </c>
      <c r="O72" s="2" t="inlineStr">
        <is>
          <t>Use only where a legitimate observable outcome exists. If no valid outcome exists, Outcome=N/A and renormalise maturity/implementation; never invent an outcome.</t>
        </is>
      </c>
      <c r="P72" s="2" t="inlineStr">
        <is>
          <t>Minimum E2 evidence. For score ≥3 require a dated operating example plus corroboration; outcome claims use E3; E4 preferred for independent/high-stakes claims.</t>
        </is>
      </c>
      <c r="Q72" s="2" t="inlineStr">
        <is>
          <t>Report E0–E4 confidence separately from capability score. E0/E1 cannot substantiate maturity ≥3; E2 supports routine practice; E3 outcome; E4 independent/triangulated.</t>
        </is>
      </c>
      <c r="R72" s="2" t="inlineStr">
        <is>
          <t>N/A only for genuine mandate/context inapplicability with assessor approval. Missing data or poor performance is not N/A; approved N/A is excluded from denominator and reported.</t>
        </is>
      </c>
      <c r="S72" s="2" t="inlineStr">
        <is>
          <t>No narrative-only uplift. Require dated artefact/process/work sample and cross-check against a second source, outcome or independent evidence. Policy-only evidence caps maturity at 2.</t>
        </is>
      </c>
      <c r="T72" s="2" t="inlineStr">
        <is>
          <t>Check D03 intended capability and D09 external evidence; external outcome does not automatically raise agency.</t>
        </is>
      </c>
      <c r="U72" s="2" t="inlineStr">
        <is>
          <t>Student Success/Academic leadership with programme owners</t>
        </is>
      </c>
      <c r="V72" s="2" t="inlineStr">
        <is>
          <t>GREEN — REMEDIATED</t>
        </is>
      </c>
      <c r="W72" s="2" t="inlineStr">
        <is>
          <t>Measurement path explicit at metric level. This GREEN status means architecture completeness, not empirical validation of the index.</t>
        </is>
      </c>
    </row>
    <row r="73">
      <c r="A73" s="2" t="inlineStr">
        <is>
          <t>D06</t>
        </is>
      </c>
      <c r="B73" s="2" t="inlineStr">
        <is>
          <t>I07</t>
        </is>
      </c>
      <c r="C73" s="2" t="inlineStr">
        <is>
          <t>Practical Capability</t>
        </is>
      </c>
      <c r="D73" s="2" t="inlineStr">
        <is>
          <t>Students can act in real or simulated contexts beyond content generation</t>
        </is>
      </c>
      <c r="E73" s="2" t="inlineStr">
        <is>
          <t>Student Success/Academic leadership with programme owners</t>
        </is>
      </c>
      <c r="F73" s="2" t="inlineStr">
        <is>
          <t>NEW</t>
        </is>
      </c>
      <c r="G73" s="2" t="inlineStr">
        <is>
          <t>Q03</t>
        </is>
      </c>
      <c r="H73" s="2" t="inlineStr">
        <is>
          <t>Existing architecture; metric-level extraction rule added here.</t>
        </is>
      </c>
      <c r="I73" s="2" t="inlineStr">
        <is>
          <t>Capability/process demonstration rubric + evidence</t>
        </is>
      </c>
      <c r="J73" s="2" t="inlineStr">
        <is>
          <t>0–5</t>
        </is>
      </c>
      <c r="K7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3" s="2" t="inlineStr">
        <is>
          <t>Current state + most recent completed academic year; 24-month window for change/experimentation metrics</t>
        </is>
      </c>
      <c r="M73" s="2" t="inlineStr">
        <is>
          <t>Use D06_Maturity_Anchors and score observable metric behaviour: 0 absent; 1 isolated/reactive; 2 emerging/selected; 3 structured/repeatable; 4 integrated/outcome-visible; 5 adaptive/continuously improving.</t>
        </is>
      </c>
      <c r="N73" s="2" t="inlineStr">
        <is>
          <t>0–5 on existence → operating use → repeatability → integration → measured improvement/learning. Policy publication, attendance or isolated pilots cannot establish high depth.</t>
        </is>
      </c>
      <c r="O73" s="2" t="inlineStr">
        <is>
          <t>Use only where a legitimate observable outcome exists. If no valid outcome exists, Outcome=N/A and renormalise maturity/implementation; never invent an outcome.</t>
        </is>
      </c>
      <c r="P73" s="2" t="inlineStr">
        <is>
          <t>Minimum E2 evidence. For score ≥3 require a dated operating example plus corroboration; outcome claims use E3; E4 preferred for independent/high-stakes claims.</t>
        </is>
      </c>
      <c r="Q73" s="2" t="inlineStr">
        <is>
          <t>Report E0–E4 confidence separately from capability score. E0/E1 cannot substantiate maturity ≥3; E2 supports routine practice; E3 outcome; E4 independent/triangulated.</t>
        </is>
      </c>
      <c r="R73" s="2" t="inlineStr">
        <is>
          <t>N/A only for genuine mandate/context inapplicability with assessor approval. Missing data or poor performance is not N/A; approved N/A is excluded from denominator and reported.</t>
        </is>
      </c>
      <c r="S73" s="2" t="inlineStr">
        <is>
          <t>No narrative-only uplift. Require dated artefact/process/work sample and cross-check against a second source, outcome or independent evidence. Policy-only evidence caps maturity at 2.</t>
        </is>
      </c>
      <c r="T73" s="2" t="inlineStr">
        <is>
          <t>Check D03 intended capability and D09 external evidence; external outcome does not automatically raise agency.</t>
        </is>
      </c>
      <c r="U73" s="2" t="inlineStr">
        <is>
          <t>Student Success/Academic leadership with programme owners</t>
        </is>
      </c>
      <c r="V73" s="2" t="inlineStr">
        <is>
          <t>GREEN — REMEDIATED</t>
        </is>
      </c>
      <c r="W73" s="2" t="inlineStr">
        <is>
          <t>Measurement path explicit at metric level. This GREEN status means architecture completeness, not empirical validation of the index.</t>
        </is>
      </c>
    </row>
    <row r="74">
      <c r="A74" s="2" t="inlineStr">
        <is>
          <t>D06</t>
        </is>
      </c>
      <c r="B74" s="2" t="inlineStr">
        <is>
          <t>I08</t>
        </is>
      </c>
      <c r="C74" s="2" t="inlineStr">
        <is>
          <t>Career Adaptability</t>
        </is>
      </c>
      <c r="D74" s="2" t="inlineStr">
        <is>
          <t>Students can interpret changing work requirements and update capabilities</t>
        </is>
      </c>
      <c r="E74" s="2" t="inlineStr">
        <is>
          <t>Student Success/Academic leadership with programme owners</t>
        </is>
      </c>
      <c r="F74" s="2" t="inlineStr">
        <is>
          <t>NEW</t>
        </is>
      </c>
      <c r="G74" s="2" t="inlineStr">
        <is>
          <t>Q04</t>
        </is>
      </c>
      <c r="H74" s="2" t="inlineStr">
        <is>
          <t>Existing architecture; metric-level extraction rule added here.</t>
        </is>
      </c>
      <c r="I74" s="2" t="inlineStr">
        <is>
          <t>Process-to-action rubric + event evidence</t>
        </is>
      </c>
      <c r="J74" s="2" t="inlineStr">
        <is>
          <t>0–5 + cycle time where available</t>
        </is>
      </c>
      <c r="K7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4" s="2" t="inlineStr">
        <is>
          <t>Current state + most recent completed academic year; 24-month window for change/experimentation metrics</t>
        </is>
      </c>
      <c r="M74" s="2" t="inlineStr">
        <is>
          <t>Use D06_Maturity_Anchors and score observable metric behaviour: 0 absent; 1 isolated/reactive; 2 emerging/selected; 3 structured/repeatable; 4 integrated/outcome-visible; 5 adaptive/continuously improving.</t>
        </is>
      </c>
      <c r="N74" s="2" t="inlineStr">
        <is>
          <t>0–5 on existence → operating use → repeatability → integration → measured improvement/learning. Policy publication, attendance or isolated pilots cannot establish high depth.</t>
        </is>
      </c>
      <c r="O74" s="2" t="inlineStr">
        <is>
          <t>Use only where a legitimate observable outcome exists. If no valid outcome exists, Outcome=N/A and renormalise maturity/implementation; never invent an outcome.</t>
        </is>
      </c>
      <c r="P74" s="2" t="inlineStr">
        <is>
          <t>Minimum E2 evidence. For score ≥3 require a dated operating example plus corroboration; outcome claims use E3; E4 preferred for independent/high-stakes claims.</t>
        </is>
      </c>
      <c r="Q74" s="2" t="inlineStr">
        <is>
          <t>Report E0–E4 confidence separately from capability score. E0/E1 cannot substantiate maturity ≥3; E2 supports routine practice; E3 outcome; E4 independent/triangulated.</t>
        </is>
      </c>
      <c r="R74" s="2" t="inlineStr">
        <is>
          <t>N/A only for genuine mandate/context inapplicability with assessor approval. Missing data or poor performance is not N/A; approved N/A is excluded from denominator and reported.</t>
        </is>
      </c>
      <c r="S74" s="2" t="inlineStr">
        <is>
          <t>No narrative-only uplift. Require dated artefact/process/work sample and cross-check against a second source, outcome or independent evidence. Policy-only evidence caps maturity at 2.</t>
        </is>
      </c>
      <c r="T74" s="2" t="inlineStr">
        <is>
          <t>Check D03 intended capability and D09 external evidence; external outcome does not automatically raise agency.</t>
        </is>
      </c>
      <c r="U74" s="2" t="inlineStr">
        <is>
          <t>Student Success/Academic leadership with programme owners</t>
        </is>
      </c>
      <c r="V74" s="2" t="inlineStr">
        <is>
          <t>GREEN — REMEDIATED</t>
        </is>
      </c>
      <c r="W74" s="2" t="inlineStr">
        <is>
          <t>Measurement path explicit at metric level. This GREEN status means architecture completeness, not empirical validation of the index.</t>
        </is>
      </c>
    </row>
    <row r="75">
      <c r="A75" s="2" t="inlineStr">
        <is>
          <t>D06</t>
        </is>
      </c>
      <c r="B75" s="2" t="inlineStr">
        <is>
          <t>I09</t>
        </is>
      </c>
      <c r="C75" s="2" t="inlineStr">
        <is>
          <t>Portfolio &amp; Capability Signalling</t>
        </is>
      </c>
      <c r="D75" s="2" t="inlineStr">
        <is>
          <t>Students can show credible evidence of what they can do</t>
        </is>
      </c>
      <c r="E75" s="2" t="inlineStr">
        <is>
          <t>Student Success/Academic leadership with programme owners</t>
        </is>
      </c>
      <c r="F75" s="2" t="inlineStr">
        <is>
          <t>NEW</t>
        </is>
      </c>
      <c r="G75" s="2" t="inlineStr">
        <is>
          <t>Q04</t>
        </is>
      </c>
      <c r="H75" s="2" t="inlineStr">
        <is>
          <t>Existing architecture; metric-level extraction rule added here.</t>
        </is>
      </c>
      <c r="I75" s="2" t="inlineStr">
        <is>
          <t>Capability/process demonstration rubric + evidence</t>
        </is>
      </c>
      <c r="J75" s="2" t="inlineStr">
        <is>
          <t>0–5</t>
        </is>
      </c>
      <c r="K7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5" s="2" t="inlineStr">
        <is>
          <t>Current state + most recent completed academic year; 24-month window for change/experimentation metrics</t>
        </is>
      </c>
      <c r="M75" s="2" t="inlineStr">
        <is>
          <t>Use D06_Maturity_Anchors and score observable metric behaviour: 0 absent; 1 isolated/reactive; 2 emerging/selected; 3 structured/repeatable; 4 integrated/outcome-visible; 5 adaptive/continuously improving.</t>
        </is>
      </c>
      <c r="N75" s="2" t="inlineStr">
        <is>
          <t>0–5 on existence → operating use → repeatability → integration → measured improvement/learning. Policy publication, attendance or isolated pilots cannot establish high depth.</t>
        </is>
      </c>
      <c r="O75" s="2" t="inlineStr">
        <is>
          <t>Use only where a legitimate observable outcome exists. If no valid outcome exists, Outcome=N/A and renormalise maturity/implementation; never invent an outcome.</t>
        </is>
      </c>
      <c r="P75" s="2" t="inlineStr">
        <is>
          <t>Minimum E2 evidence. For score ≥3 require a dated operating example plus corroboration; outcome claims use E3; E4 preferred for independent/high-stakes claims.</t>
        </is>
      </c>
      <c r="Q75" s="2" t="inlineStr">
        <is>
          <t>Report E0–E4 confidence separately from capability score. E0/E1 cannot substantiate maturity ≥3; E2 supports routine practice; E3 outcome; E4 independent/triangulated.</t>
        </is>
      </c>
      <c r="R75" s="2" t="inlineStr">
        <is>
          <t>N/A only for genuine mandate/context inapplicability with assessor approval. Missing data or poor performance is not N/A; approved N/A is excluded from denominator and reported.</t>
        </is>
      </c>
      <c r="S75" s="2" t="inlineStr">
        <is>
          <t>No narrative-only uplift. Require dated artefact/process/work sample and cross-check against a second source, outcome or independent evidence. Policy-only evidence caps maturity at 2.</t>
        </is>
      </c>
      <c r="T75" s="2" t="inlineStr">
        <is>
          <t>Check D03 intended capability and D09 external evidence; external outcome does not automatically raise agency.</t>
        </is>
      </c>
      <c r="U75" s="2" t="inlineStr">
        <is>
          <t>Student Success/Academic leadership with programme owners</t>
        </is>
      </c>
      <c r="V75" s="2" t="inlineStr">
        <is>
          <t>GREEN — REMEDIATED</t>
        </is>
      </c>
      <c r="W75" s="2" t="inlineStr">
        <is>
          <t>Measurement path explicit at metric level. This GREEN status means architecture completeness, not empirical validation of the index.</t>
        </is>
      </c>
    </row>
    <row r="76">
      <c r="A76" s="2" t="inlineStr">
        <is>
          <t>D06</t>
        </is>
      </c>
      <c r="B76" s="2" t="inlineStr">
        <is>
          <t>I10</t>
        </is>
      </c>
      <c r="C76" s="2" t="inlineStr">
        <is>
          <t>Problem Solving &amp; Transfer</t>
        </is>
      </c>
      <c r="D76" s="2" t="inlineStr">
        <is>
          <t>Students apply learning to unfamiliar/ambiguous problems</t>
        </is>
      </c>
      <c r="E76" s="2" t="inlineStr">
        <is>
          <t>Student Success/Academic leadership with programme owners</t>
        </is>
      </c>
      <c r="F76" s="2" t="inlineStr">
        <is>
          <t>NEW</t>
        </is>
      </c>
      <c r="G76" s="2" t="inlineStr">
        <is>
          <t>Q03</t>
        </is>
      </c>
      <c r="H76" s="2" t="inlineStr">
        <is>
          <t>Existing architecture; metric-level extraction rule added here.</t>
        </is>
      </c>
      <c r="I76" s="2" t="inlineStr">
        <is>
          <t>Capability/process demonstration rubric + evidence</t>
        </is>
      </c>
      <c r="J76" s="2" t="inlineStr">
        <is>
          <t>0–5</t>
        </is>
      </c>
      <c r="K7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6" s="2" t="inlineStr">
        <is>
          <t>Current state + most recent completed academic year; 24-month window for change/experimentation metrics</t>
        </is>
      </c>
      <c r="M76" s="2" t="inlineStr">
        <is>
          <t>Use D06_Maturity_Anchors and score observable metric behaviour: 0 absent; 1 isolated/reactive; 2 emerging/selected; 3 structured/repeatable; 4 integrated/outcome-visible; 5 adaptive/continuously improving.</t>
        </is>
      </c>
      <c r="N76" s="2" t="inlineStr">
        <is>
          <t>0–5 on existence → operating use → repeatability → integration → measured improvement/learning. Policy publication, attendance or isolated pilots cannot establish high depth.</t>
        </is>
      </c>
      <c r="O76" s="2" t="inlineStr">
        <is>
          <t>Use only where a legitimate observable outcome exists. If no valid outcome exists, Outcome=N/A and renormalise maturity/implementation; never invent an outcome.</t>
        </is>
      </c>
      <c r="P76" s="2" t="inlineStr">
        <is>
          <t>Minimum E2 evidence. For score ≥3 require a dated operating example plus corroboration; outcome claims use E3; E4 preferred for independent/high-stakes claims.</t>
        </is>
      </c>
      <c r="Q76" s="2" t="inlineStr">
        <is>
          <t>Report E0–E4 confidence separately from capability score. E0/E1 cannot substantiate maturity ≥3; E2 supports routine practice; E3 outcome; E4 independent/triangulated.</t>
        </is>
      </c>
      <c r="R76" s="2" t="inlineStr">
        <is>
          <t>N/A only for genuine mandate/context inapplicability with assessor approval. Missing data or poor performance is not N/A; approved N/A is excluded from denominator and reported.</t>
        </is>
      </c>
      <c r="S76" s="2" t="inlineStr">
        <is>
          <t>No narrative-only uplift. Require dated artefact/process/work sample and cross-check against a second source, outcome or independent evidence. Policy-only evidence caps maturity at 2.</t>
        </is>
      </c>
      <c r="T76" s="2" t="inlineStr">
        <is>
          <t>Check D03 intended capability and D09 external evidence; external outcome does not automatically raise agency.</t>
        </is>
      </c>
      <c r="U76" s="2" t="inlineStr">
        <is>
          <t>Student Success/Academic leadership with programme owners</t>
        </is>
      </c>
      <c r="V76" s="2" t="inlineStr">
        <is>
          <t>GREEN — REMEDIATED</t>
        </is>
      </c>
      <c r="W76" s="2" t="inlineStr">
        <is>
          <t>Measurement path explicit at metric level. This GREEN status means architecture completeness, not empirical validation of the index.</t>
        </is>
      </c>
    </row>
    <row r="77">
      <c r="A77" s="2" t="inlineStr">
        <is>
          <t>D06</t>
        </is>
      </c>
      <c r="B77" s="2" t="inlineStr">
        <is>
          <t>I11</t>
        </is>
      </c>
      <c r="C77" s="2" t="inlineStr">
        <is>
          <t>Creator &amp; Entrepreneurial Agency</t>
        </is>
      </c>
      <c r="D77" s="2" t="inlineStr">
        <is>
          <t>Students use AI to create, prototype, innovate or build value</t>
        </is>
      </c>
      <c r="E77" s="2" t="inlineStr">
        <is>
          <t>Student Success/Academic leadership with programme owners</t>
        </is>
      </c>
      <c r="F77" s="2" t="inlineStr">
        <is>
          <t>NEW</t>
        </is>
      </c>
      <c r="G77" s="2" t="inlineStr">
        <is>
          <t>Q04</t>
        </is>
      </c>
      <c r="H77" s="2" t="inlineStr">
        <is>
          <t>Existing architecture; metric-level extraction rule added here.</t>
        </is>
      </c>
      <c r="I77" s="2" t="inlineStr">
        <is>
          <t>Capability/process demonstration rubric + evidence</t>
        </is>
      </c>
      <c r="J77" s="2" t="inlineStr">
        <is>
          <t>0–5</t>
        </is>
      </c>
      <c r="K7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7" s="2" t="inlineStr">
        <is>
          <t>Current state + most recent completed academic year; 24-month window for change/experimentation metrics</t>
        </is>
      </c>
      <c r="M77" s="2" t="inlineStr">
        <is>
          <t>Use D06_Maturity_Anchors and score observable metric behaviour: 0 absent; 1 isolated/reactive; 2 emerging/selected; 3 structured/repeatable; 4 integrated/outcome-visible; 5 adaptive/continuously improving.</t>
        </is>
      </c>
      <c r="N77" s="2" t="inlineStr">
        <is>
          <t>0–5 on existence → operating use → repeatability → integration → measured improvement/learning. Policy publication, attendance or isolated pilots cannot establish high depth.</t>
        </is>
      </c>
      <c r="O77" s="2" t="inlineStr">
        <is>
          <t>Use only where a legitimate observable outcome exists. If no valid outcome exists, Outcome=N/A and renormalise maturity/implementation; never invent an outcome.</t>
        </is>
      </c>
      <c r="P77" s="2" t="inlineStr">
        <is>
          <t>Minimum E2 evidence. For score ≥3 require a dated operating example plus corroboration; outcome claims use E3; E4 preferred for independent/high-stakes claims.</t>
        </is>
      </c>
      <c r="Q77" s="2" t="inlineStr">
        <is>
          <t>Report E0–E4 confidence separately from capability score. E0/E1 cannot substantiate maturity ≥3; E2 supports routine practice; E3 outcome; E4 independent/triangulated.</t>
        </is>
      </c>
      <c r="R77" s="2" t="inlineStr">
        <is>
          <t>N/A only for genuine mandate/context inapplicability with assessor approval. Missing data or poor performance is not N/A; approved N/A is excluded from denominator and reported.</t>
        </is>
      </c>
      <c r="S77" s="2" t="inlineStr">
        <is>
          <t>No narrative-only uplift. Require dated artefact/process/work sample and cross-check against a second source, outcome or independent evidence. Policy-only evidence caps maturity at 2.</t>
        </is>
      </c>
      <c r="T77" s="2" t="inlineStr">
        <is>
          <t>Check D03 intended capability and D09 external evidence; external outcome does not automatically raise agency.</t>
        </is>
      </c>
      <c r="U77" s="2" t="inlineStr">
        <is>
          <t>Student Success/Academic leadership with programme owners</t>
        </is>
      </c>
      <c r="V77" s="2" t="inlineStr">
        <is>
          <t>GREEN — REMEDIATED</t>
        </is>
      </c>
      <c r="W77" s="2" t="inlineStr">
        <is>
          <t>Measurement path explicit at metric level. This GREEN status means architecture completeness, not empirical validation of the index.</t>
        </is>
      </c>
    </row>
    <row r="78">
      <c r="A78" s="2" t="inlineStr">
        <is>
          <t>D06</t>
        </is>
      </c>
      <c r="B78" s="2" t="inlineStr">
        <is>
          <t>I12</t>
        </is>
      </c>
      <c r="C78" s="2" t="inlineStr">
        <is>
          <t>Digital Citizenship &amp; Responsible Use</t>
        </is>
      </c>
      <c r="D78" s="2" t="inlineStr">
        <is>
          <t>Students understand privacy, IP, bias, integrity and social consequences</t>
        </is>
      </c>
      <c r="E78" s="2" t="inlineStr">
        <is>
          <t>Student Success/Academic leadership with programme owners</t>
        </is>
      </c>
      <c r="F78" s="2" t="inlineStr">
        <is>
          <t>NEW</t>
        </is>
      </c>
      <c r="G78" s="2" t="inlineStr">
        <is>
          <t>NEW</t>
        </is>
      </c>
      <c r="H78" s="2" t="inlineStr">
        <is>
          <t>Student Responsible AI Test</t>
        </is>
      </c>
      <c r="I78" s="2" t="inlineStr">
        <is>
          <t>Control-effectiveness rubric + evidence-coded score</t>
        </is>
      </c>
      <c r="J78" s="2" t="inlineStr">
        <is>
          <t>0–5</t>
        </is>
      </c>
      <c r="K7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8" s="2" t="inlineStr">
        <is>
          <t>Current state + most recent completed academic year; 24-month window for change/experimentation metrics</t>
        </is>
      </c>
      <c r="M78" s="2" t="inlineStr">
        <is>
          <t>Use D06_Maturity_Anchors and score observable metric behaviour: 0 absent; 1 isolated/reactive; 2 emerging/selected; 3 structured/repeatable; 4 integrated/outcome-visible; 5 adaptive/continuously improving.</t>
        </is>
      </c>
      <c r="N78" s="2" t="inlineStr">
        <is>
          <t>0–5 on existence → operating use → repeatability → integration → measured improvement/learning. Policy publication, attendance or isolated pilots cannot establish high depth.</t>
        </is>
      </c>
      <c r="O78" s="2" t="inlineStr">
        <is>
          <t>Use only where a legitimate observable outcome exists. If no valid outcome exists, Outcome=N/A and renormalise maturity/implementation; never invent an outcome.</t>
        </is>
      </c>
      <c r="P78" s="2" t="inlineStr">
        <is>
          <t>Minimum E2 evidence. For score ≥3 require a dated operating example plus corroboration; outcome claims use E3; E4 preferred for independent/high-stakes claims.</t>
        </is>
      </c>
      <c r="Q78" s="2" t="inlineStr">
        <is>
          <t>Report E0–E4 confidence separately from capability score. E0/E1 cannot substantiate maturity ≥3; E2 supports routine practice; E3 outcome; E4 independent/triangulated.</t>
        </is>
      </c>
      <c r="R78" s="2" t="inlineStr">
        <is>
          <t>N/A only for genuine mandate/context inapplicability with assessor approval. Missing data or poor performance is not N/A; approved N/A is excluded from denominator and reported.</t>
        </is>
      </c>
      <c r="S78" s="2" t="inlineStr">
        <is>
          <t>No narrative-only uplift. Require dated artefact/process/work sample and cross-check against a second source, outcome or independent evidence. Policy-only evidence caps maturity at 2.</t>
        </is>
      </c>
      <c r="T78" s="2" t="inlineStr">
        <is>
          <t>Check D03 intended capability and D09 external evidence; external outcome does not automatically raise agency.</t>
        </is>
      </c>
      <c r="U78" s="2" t="inlineStr">
        <is>
          <t>Student Success/Academic leadership with programme owners</t>
        </is>
      </c>
      <c r="V78" s="2" t="inlineStr">
        <is>
          <t>GREEN — REMEDIATED</t>
        </is>
      </c>
      <c r="W78" s="2" t="inlineStr">
        <is>
          <t>Measurement path explicit at metric level. This GREEN status means architecture completeness, not empirical validation of the index.</t>
        </is>
      </c>
    </row>
    <row r="79">
      <c r="A79" s="2" t="inlineStr">
        <is>
          <t>D06</t>
        </is>
      </c>
      <c r="B79" s="2" t="inlineStr">
        <is>
          <t>I13</t>
        </is>
      </c>
      <c r="C79" s="2" t="inlineStr">
        <is>
          <t>Equitable AI Access</t>
        </is>
      </c>
      <c r="D79" s="2" t="inlineStr">
        <is>
          <t>Institution identifies and mitigates unequal access/capability barriers</t>
        </is>
      </c>
      <c r="E79" s="2" t="inlineStr">
        <is>
          <t>Student Success/Academic leadership with programme owners</t>
        </is>
      </c>
      <c r="F79" s="2" t="inlineStr">
        <is>
          <t>NEW</t>
        </is>
      </c>
      <c r="G79" s="2" t="inlineStr">
        <is>
          <t>Q05</t>
        </is>
      </c>
      <c r="H79" s="2" t="inlineStr">
        <is>
          <t>Existing architecture; metric-level extraction rule added here.</t>
        </is>
      </c>
      <c r="I79" s="2" t="inlineStr">
        <is>
          <t>Coverage/access + 0–5 rubric</t>
        </is>
      </c>
      <c r="J79" s="2" t="inlineStr">
        <is>
          <t>coverage/access % + 0–5</t>
        </is>
      </c>
      <c r="K7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9" s="2" t="inlineStr">
        <is>
          <t>Current state + most recent completed academic year; 24-month window for change/experimentation metrics</t>
        </is>
      </c>
      <c r="M79" s="2" t="inlineStr">
        <is>
          <t>Use D06_Maturity_Anchors and score observable metric behaviour: 0 absent; 1 isolated/reactive; 2 emerging/selected; 3 structured/repeatable; 4 integrated/outcome-visible; 5 adaptive/continuously improving.</t>
        </is>
      </c>
      <c r="N79" s="2" t="inlineStr">
        <is>
          <t>0–5 on existence → operating use → repeatability → integration → measured improvement/learning. Policy publication, attendance or isolated pilots cannot establish high depth.</t>
        </is>
      </c>
      <c r="O79" s="2" t="inlineStr">
        <is>
          <t>Use only where a legitimate observable outcome exists. If no valid outcome exists, Outcome=N/A and renormalise maturity/implementation; never invent an outcome.</t>
        </is>
      </c>
      <c r="P79" s="2" t="inlineStr">
        <is>
          <t>Minimum E2 evidence. For score ≥3 require a dated operating example plus corroboration; outcome claims use E3; E4 preferred for independent/high-stakes claims.</t>
        </is>
      </c>
      <c r="Q79" s="2" t="inlineStr">
        <is>
          <t>Report E0–E4 confidence separately from capability score. E0/E1 cannot substantiate maturity ≥3; E2 supports routine practice; E3 outcome; E4 independent/triangulated.</t>
        </is>
      </c>
      <c r="R79" s="2" t="inlineStr">
        <is>
          <t>N/A only for genuine mandate/context inapplicability with assessor approval. Missing data or poor performance is not N/A; approved N/A is excluded from denominator and reported.</t>
        </is>
      </c>
      <c r="S79" s="2" t="inlineStr">
        <is>
          <t>No narrative-only uplift. Require dated artefact/process/work sample and cross-check against a second source, outcome or independent evidence. Policy-only evidence caps maturity at 2.</t>
        </is>
      </c>
      <c r="T79" s="2" t="inlineStr">
        <is>
          <t>Check D03 intended capability and D09 external evidence; external outcome does not automatically raise agency.</t>
        </is>
      </c>
      <c r="U79" s="2" t="inlineStr">
        <is>
          <t>Student Success/Academic leadership with programme owners</t>
        </is>
      </c>
      <c r="V79" s="2" t="inlineStr">
        <is>
          <t>GREEN — REMEDIATED</t>
        </is>
      </c>
      <c r="W79" s="2" t="inlineStr">
        <is>
          <t>Measurement path explicit at metric level. This GREEN status means architecture completeness, not empirical validation of the index.</t>
        </is>
      </c>
    </row>
    <row r="80">
      <c r="A80" s="2" t="inlineStr">
        <is>
          <t>D06</t>
        </is>
      </c>
      <c r="B80" s="2" t="inlineStr">
        <is>
          <t>I14</t>
        </is>
      </c>
      <c r="C80" s="2" t="inlineStr">
        <is>
          <t>Student Voice &amp; Feedback Loop</t>
        </is>
      </c>
      <c r="D80" s="2" t="inlineStr">
        <is>
          <t>Student experience informs AI-era curriculum and capability design</t>
        </is>
      </c>
      <c r="E80" s="2" t="inlineStr">
        <is>
          <t>Student Success/Academic leadership with programme owners</t>
        </is>
      </c>
      <c r="F80" s="2" t="inlineStr">
        <is>
          <t>NEW</t>
        </is>
      </c>
      <c r="G80" s="2" t="inlineStr">
        <is>
          <t>Q05</t>
        </is>
      </c>
      <c r="H80" s="2" t="inlineStr">
        <is>
          <t>Existing architecture; metric-level extraction rule added here.</t>
        </is>
      </c>
      <c r="I80" s="2" t="inlineStr">
        <is>
          <t>Capability/process demonstration rubric + evidence</t>
        </is>
      </c>
      <c r="J80" s="2" t="inlineStr">
        <is>
          <t>0–5</t>
        </is>
      </c>
      <c r="K8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0" s="2" t="inlineStr">
        <is>
          <t>Current state + most recent completed academic year; 24-month window for change/experimentation metrics</t>
        </is>
      </c>
      <c r="M80" s="2" t="inlineStr">
        <is>
          <t>Use D06_Maturity_Anchors and score observable metric behaviour: 0 absent; 1 isolated/reactive; 2 emerging/selected; 3 structured/repeatable; 4 integrated/outcome-visible; 5 adaptive/continuously improving.</t>
        </is>
      </c>
      <c r="N80" s="2" t="inlineStr">
        <is>
          <t>0–5 on existence → operating use → repeatability → integration → measured improvement/learning. Policy publication, attendance or isolated pilots cannot establish high depth.</t>
        </is>
      </c>
      <c r="O80" s="2" t="inlineStr">
        <is>
          <t>Use only where a legitimate observable outcome exists. If no valid outcome exists, Outcome=N/A and renormalise maturity/implementation; never invent an outcome.</t>
        </is>
      </c>
      <c r="P80" s="2" t="inlineStr">
        <is>
          <t>Minimum E2 evidence. For score ≥3 require a dated operating example plus corroboration; outcome claims use E3; E4 preferred for independent/high-stakes claims.</t>
        </is>
      </c>
      <c r="Q80" s="2" t="inlineStr">
        <is>
          <t>Report E0–E4 confidence separately from capability score. E0/E1 cannot substantiate maturity ≥3; E2 supports routine practice; E3 outcome; E4 independent/triangulated.</t>
        </is>
      </c>
      <c r="R80" s="2" t="inlineStr">
        <is>
          <t>N/A only for genuine mandate/context inapplicability with assessor approval. Missing data or poor performance is not N/A; approved N/A is excluded from denominator and reported.</t>
        </is>
      </c>
      <c r="S80" s="2" t="inlineStr">
        <is>
          <t>No narrative-only uplift. Require dated artefact/process/work sample and cross-check against a second source, outcome or independent evidence. Policy-only evidence caps maturity at 2.</t>
        </is>
      </c>
      <c r="T80" s="2" t="inlineStr">
        <is>
          <t>Check D03 intended capability and D09 external evidence; external outcome does not automatically raise agency.</t>
        </is>
      </c>
      <c r="U80" s="2" t="inlineStr">
        <is>
          <t>Student Success/Academic leadership with programme owners</t>
        </is>
      </c>
      <c r="V80" s="2" t="inlineStr">
        <is>
          <t>GREEN — REMEDIATED</t>
        </is>
      </c>
      <c r="W80" s="2" t="inlineStr">
        <is>
          <t>Measurement path explicit at metric level. This GREEN status means architecture completeness, not empirical validation of the index.</t>
        </is>
      </c>
    </row>
    <row r="81">
      <c r="A81" s="2" t="inlineStr">
        <is>
          <t>D07</t>
        </is>
      </c>
      <c r="B81" s="2" t="inlineStr">
        <is>
          <t>I01</t>
        </is>
      </c>
      <c r="C81" s="2" t="inlineStr">
        <is>
          <t>Assessment Design Maturity</t>
        </is>
      </c>
      <c r="D81" s="2" t="inlineStr">
        <is>
          <t>Whether assessment is deliberately designed around intended capabilities rather than answer production.</t>
        </is>
      </c>
      <c r="E81" s="2" t="inlineStr">
        <is>
          <t>Assessment/Academic Quality owner</t>
        </is>
      </c>
      <c r="F81" s="2" t="inlineStr">
        <is>
          <t>NEW</t>
        </is>
      </c>
      <c r="G81" s="2" t="inlineStr">
        <is>
          <t>D07.1</t>
        </is>
      </c>
      <c r="H81" s="2" t="inlineStr">
        <is>
          <t>Existing architecture; metric-level extraction rule added here.</t>
        </is>
      </c>
      <c r="I81" s="2" t="inlineStr">
        <is>
          <t>Capability/process demonstration rubric + evidence</t>
        </is>
      </c>
      <c r="J81" s="2" t="inlineStr">
        <is>
          <t>0–5</t>
        </is>
      </c>
      <c r="K8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1" s="2" t="inlineStr">
        <is>
          <t>Current state + most recent completed academic year; 24-month window for change/experimentation metrics</t>
        </is>
      </c>
      <c r="M81" s="2" t="inlineStr">
        <is>
          <t>Use D07_Maturity_Anchors and score observable metric behaviour: 0 absent; 1 isolated/reactive; 2 emerging/selected; 3 structured/repeatable; 4 integrated/outcome-visible; 5 adaptive/continuously improving.</t>
        </is>
      </c>
      <c r="N81" s="2" t="inlineStr">
        <is>
          <t>0–5 on existence → operating use → repeatability → integration → measured improvement/learning. Policy publication, attendance or isolated pilots cannot establish high depth.</t>
        </is>
      </c>
      <c r="O81" s="2" t="inlineStr">
        <is>
          <t>Use only where a legitimate observable outcome exists. If no valid outcome exists, Outcome=N/A and renormalise maturity/implementation; never invent an outcome.</t>
        </is>
      </c>
      <c r="P81" s="2" t="inlineStr">
        <is>
          <t>Minimum E2 evidence. For score ≥3 require a dated operating example plus corroboration; outcome claims use E3; E4 preferred for independent/high-stakes claims.</t>
        </is>
      </c>
      <c r="Q81" s="2" t="inlineStr">
        <is>
          <t>Report E0–E4 confidence separately from capability score. E0/E1 cannot substantiate maturity ≥3; E2 supports routine practice; E3 outcome; E4 independent/triangulated.</t>
        </is>
      </c>
      <c r="R81" s="2" t="inlineStr">
        <is>
          <t>N/A only for genuine mandate/context inapplicability with assessor approval. Missing data or poor performance is not N/A; approved N/A is excluded from denominator and reported.</t>
        </is>
      </c>
      <c r="S81" s="2" t="inlineStr">
        <is>
          <t>No narrative-only uplift. Require dated artefact/process/work sample and cross-check against a second source, outcome or independent evidence. Policy-only evidence caps maturity at 2.</t>
        </is>
      </c>
      <c r="T81" s="2" t="inlineStr">
        <is>
          <t>Check D03 capability targets, D02 governance and D08 evidence infrastructure.</t>
        </is>
      </c>
      <c r="U81" s="2" t="inlineStr">
        <is>
          <t>Assessment/Academic Quality owner</t>
        </is>
      </c>
      <c r="V81" s="2" t="inlineStr">
        <is>
          <t>GREEN — EXISTING PATH RETAINED</t>
        </is>
      </c>
      <c r="W81" s="2" t="inlineStr">
        <is>
          <t>Measurement path explicit at metric level. This GREEN status means architecture completeness, not empirical validation of the index.</t>
        </is>
      </c>
    </row>
    <row r="82">
      <c r="A82" s="2" t="inlineStr">
        <is>
          <t>D07</t>
        </is>
      </c>
      <c r="B82" s="2" t="inlineStr">
        <is>
          <t>I02</t>
        </is>
      </c>
      <c r="C82" s="2" t="inlineStr">
        <is>
          <t>Cognitive Demonstration Depth</t>
        </is>
      </c>
      <c r="D82" s="2" t="inlineStr">
        <is>
          <t>Extent to which students must demonstrate reasoning, judgement, interpretation and problem-solving.</t>
        </is>
      </c>
      <c r="E82" s="2" t="inlineStr">
        <is>
          <t>Assessment/Academic Quality owner</t>
        </is>
      </c>
      <c r="F82" s="2" t="inlineStr">
        <is>
          <t>NEW</t>
        </is>
      </c>
      <c r="G82" s="2" t="inlineStr">
        <is>
          <t>D07.1; D07.4</t>
        </is>
      </c>
      <c r="H82" s="2" t="inlineStr">
        <is>
          <t>Existing architecture; metric-level extraction rule added here.</t>
        </is>
      </c>
      <c r="I82" s="2" t="inlineStr">
        <is>
          <t>Capability/process demonstration rubric + evidence</t>
        </is>
      </c>
      <c r="J82" s="2" t="inlineStr">
        <is>
          <t>0–5</t>
        </is>
      </c>
      <c r="K8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2" s="2" t="inlineStr">
        <is>
          <t>Current state + most recent completed academic year; 24-month window for change/experimentation metrics</t>
        </is>
      </c>
      <c r="M82" s="2" t="inlineStr">
        <is>
          <t>Use D07_Maturity_Anchors and score observable metric behaviour: 0 absent; 1 isolated/reactive; 2 emerging/selected; 3 structured/repeatable; 4 integrated/outcome-visible; 5 adaptive/continuously improving.</t>
        </is>
      </c>
      <c r="N82" s="2" t="inlineStr">
        <is>
          <t>0–5 on existence → operating use → repeatability → integration → measured improvement/learning. Policy publication, attendance or isolated pilots cannot establish high depth.</t>
        </is>
      </c>
      <c r="O82" s="2" t="inlineStr">
        <is>
          <t>Use only where a legitimate observable outcome exists. If no valid outcome exists, Outcome=N/A and renormalise maturity/implementation; never invent an outcome.</t>
        </is>
      </c>
      <c r="P82" s="2" t="inlineStr">
        <is>
          <t>Minimum E2 evidence. For score ≥3 require a dated operating example plus corroboration; outcome claims use E3; E4 preferred for independent/high-stakes claims.</t>
        </is>
      </c>
      <c r="Q82" s="2" t="inlineStr">
        <is>
          <t>Report E0–E4 confidence separately from capability score. E0/E1 cannot substantiate maturity ≥3; E2 supports routine practice; E3 outcome; E4 independent/triangulated.</t>
        </is>
      </c>
      <c r="R82" s="2" t="inlineStr">
        <is>
          <t>N/A only for genuine mandate/context inapplicability with assessor approval. Missing data or poor performance is not N/A; approved N/A is excluded from denominator and reported.</t>
        </is>
      </c>
      <c r="S82" s="2" t="inlineStr">
        <is>
          <t>No narrative-only uplift. Require dated artefact/process/work sample and cross-check against a second source, outcome or independent evidence. Policy-only evidence caps maturity at 2.</t>
        </is>
      </c>
      <c r="T82" s="2" t="inlineStr">
        <is>
          <t>Check D03 capability targets, D02 governance and D08 evidence infrastructure.</t>
        </is>
      </c>
      <c r="U82" s="2" t="inlineStr">
        <is>
          <t>Assessment/Academic Quality owner</t>
        </is>
      </c>
      <c r="V82" s="2" t="inlineStr">
        <is>
          <t>GREEN — EXISTING PATH RETAINED</t>
        </is>
      </c>
      <c r="W82" s="2" t="inlineStr">
        <is>
          <t>Measurement path explicit at metric level. This GREEN status means architecture completeness, not empirical validation of the index.</t>
        </is>
      </c>
    </row>
    <row r="83">
      <c r="A83" s="2" t="inlineStr">
        <is>
          <t>D07</t>
        </is>
      </c>
      <c r="B83" s="2" t="inlineStr">
        <is>
          <t>I03</t>
        </is>
      </c>
      <c r="C83" s="2" t="inlineStr">
        <is>
          <t>Authenticity of Demonstration</t>
        </is>
      </c>
      <c r="D83" s="2" t="inlineStr">
        <is>
          <t>Use of real, unfamiliar, contextual and practice-linked tasks.</t>
        </is>
      </c>
      <c r="E83" s="2" t="inlineStr">
        <is>
          <t>Assessment/Academic Quality owner</t>
        </is>
      </c>
      <c r="F83" s="2" t="inlineStr">
        <is>
          <t>NEW</t>
        </is>
      </c>
      <c r="G83" s="2" t="inlineStr">
        <is>
          <t>D07.1; D07.4</t>
        </is>
      </c>
      <c r="H83" s="2" t="inlineStr">
        <is>
          <t>Existing architecture; metric-level extraction rule added here.</t>
        </is>
      </c>
      <c r="I83" s="2" t="inlineStr">
        <is>
          <t>Capability/process demonstration rubric + evidence</t>
        </is>
      </c>
      <c r="J83" s="2" t="inlineStr">
        <is>
          <t>0–5</t>
        </is>
      </c>
      <c r="K8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3" s="2" t="inlineStr">
        <is>
          <t>Current state + most recent completed academic year; 24-month window for change/experimentation metrics</t>
        </is>
      </c>
      <c r="M83" s="2" t="inlineStr">
        <is>
          <t>Use D07_Maturity_Anchors and score observable metric behaviour: 0 absent; 1 isolated/reactive; 2 emerging/selected; 3 structured/repeatable; 4 integrated/outcome-visible; 5 adaptive/continuously improving.</t>
        </is>
      </c>
      <c r="N83" s="2" t="inlineStr">
        <is>
          <t>0–5 on existence → operating use → repeatability → integration → measured improvement/learning. Policy publication, attendance or isolated pilots cannot establish high depth.</t>
        </is>
      </c>
      <c r="O83" s="2" t="inlineStr">
        <is>
          <t>Use only where a legitimate observable outcome exists. If no valid outcome exists, Outcome=N/A and renormalise maturity/implementation; never invent an outcome.</t>
        </is>
      </c>
      <c r="P83" s="2" t="inlineStr">
        <is>
          <t>Minimum E2 evidence. For score ≥3 require a dated operating example plus corroboration; outcome claims use E3; E4 preferred for independent/high-stakes claims.</t>
        </is>
      </c>
      <c r="Q83" s="2" t="inlineStr">
        <is>
          <t>Report E0–E4 confidence separately from capability score. E0/E1 cannot substantiate maturity ≥3; E2 supports routine practice; E3 outcome; E4 independent/triangulated.</t>
        </is>
      </c>
      <c r="R83" s="2" t="inlineStr">
        <is>
          <t>N/A only for genuine mandate/context inapplicability with assessor approval. Missing data or poor performance is not N/A; approved N/A is excluded from denominator and reported.</t>
        </is>
      </c>
      <c r="S83" s="2" t="inlineStr">
        <is>
          <t>No narrative-only uplift. Require dated artefact/process/work sample and cross-check against a second source, outcome or independent evidence. Policy-only evidence caps maturity at 2.</t>
        </is>
      </c>
      <c r="T83" s="2" t="inlineStr">
        <is>
          <t>Check D03 capability targets, D02 governance and D08 evidence infrastructure.</t>
        </is>
      </c>
      <c r="U83" s="2" t="inlineStr">
        <is>
          <t>Assessment/Academic Quality owner</t>
        </is>
      </c>
      <c r="V83" s="2" t="inlineStr">
        <is>
          <t>GREEN — EXISTING PATH RETAINED</t>
        </is>
      </c>
      <c r="W83" s="2" t="inlineStr">
        <is>
          <t>Measurement path explicit at metric level. This GREEN status means architecture completeness, not empirical validation of the index.</t>
        </is>
      </c>
    </row>
    <row r="84">
      <c r="A84" s="2" t="inlineStr">
        <is>
          <t>D07</t>
        </is>
      </c>
      <c r="B84" s="2" t="inlineStr">
        <is>
          <t>I04</t>
        </is>
      </c>
      <c r="C84" s="2" t="inlineStr">
        <is>
          <t>AI-Aware Assessment Maturity</t>
        </is>
      </c>
      <c r="D84" s="2" t="inlineStr">
        <is>
          <t>Extent to which assessment design responds intelligently to generative AI availability.</t>
        </is>
      </c>
      <c r="E84" s="2" t="inlineStr">
        <is>
          <t>Assessment/Academic Quality owner</t>
        </is>
      </c>
      <c r="F84" s="2" t="inlineStr">
        <is>
          <t>NEW</t>
        </is>
      </c>
      <c r="G84" s="2" t="inlineStr">
        <is>
          <t>D07.2</t>
        </is>
      </c>
      <c r="H84" s="2" t="inlineStr">
        <is>
          <t>Existing architecture; metric-level extraction rule added here.</t>
        </is>
      </c>
      <c r="I84" s="2" t="inlineStr">
        <is>
          <t>Capability/process demonstration rubric + evidence</t>
        </is>
      </c>
      <c r="J84" s="2" t="inlineStr">
        <is>
          <t>0–5</t>
        </is>
      </c>
      <c r="K8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4" s="2" t="inlineStr">
        <is>
          <t>Current state + most recent completed academic year; 24-month window for change/experimentation metrics</t>
        </is>
      </c>
      <c r="M84" s="2" t="inlineStr">
        <is>
          <t>Use D07_Maturity_Anchors and score observable metric behaviour: 0 absent; 1 isolated/reactive; 2 emerging/selected; 3 structured/repeatable; 4 integrated/outcome-visible; 5 adaptive/continuously improving.</t>
        </is>
      </c>
      <c r="N84" s="2" t="inlineStr">
        <is>
          <t>0–5 on existence → operating use → repeatability → integration → measured improvement/learning. Policy publication, attendance or isolated pilots cannot establish high depth.</t>
        </is>
      </c>
      <c r="O84" s="2" t="inlineStr">
        <is>
          <t>Use only where a legitimate observable outcome exists. If no valid outcome exists, Outcome=N/A and renormalise maturity/implementation; never invent an outcome.</t>
        </is>
      </c>
      <c r="P84" s="2" t="inlineStr">
        <is>
          <t>Minimum E2 evidence. For score ≥3 require a dated operating example plus corroboration; outcome claims use E3; E4 preferred for independent/high-stakes claims.</t>
        </is>
      </c>
      <c r="Q84" s="2" t="inlineStr">
        <is>
          <t>Report E0–E4 confidence separately from capability score. E0/E1 cannot substantiate maturity ≥3; E2 supports routine practice; E3 outcome; E4 independent/triangulated.</t>
        </is>
      </c>
      <c r="R84" s="2" t="inlineStr">
        <is>
          <t>N/A only for genuine mandate/context inapplicability with assessor approval. Missing data or poor performance is not N/A; approved N/A is excluded from denominator and reported.</t>
        </is>
      </c>
      <c r="S84" s="2" t="inlineStr">
        <is>
          <t>No narrative-only uplift. Require dated artefact/process/work sample and cross-check against a second source, outcome or independent evidence. Policy-only evidence caps maturity at 2.</t>
        </is>
      </c>
      <c r="T84" s="2" t="inlineStr">
        <is>
          <t>Check D03 capability targets, D02 governance and D08 evidence infrastructure.</t>
        </is>
      </c>
      <c r="U84" s="2" t="inlineStr">
        <is>
          <t>Assessment/Academic Quality owner</t>
        </is>
      </c>
      <c r="V84" s="2" t="inlineStr">
        <is>
          <t>GREEN — REMEDIATED</t>
        </is>
      </c>
      <c r="W84" s="2" t="inlineStr">
        <is>
          <t>Measurement path explicit at metric level. This GREEN status means architecture completeness, not empirical validation of the index.</t>
        </is>
      </c>
    </row>
    <row r="85">
      <c r="A85" s="2" t="inlineStr">
        <is>
          <t>D07</t>
        </is>
      </c>
      <c r="B85" s="2" t="inlineStr">
        <is>
          <t>I05</t>
        </is>
      </c>
      <c r="C85" s="2" t="inlineStr">
        <is>
          <t>Verification &amp; Defence</t>
        </is>
      </c>
      <c r="D85" s="2" t="inlineStr">
        <is>
          <t>Ability of students to explain, defend and interrogate their own work.</t>
        </is>
      </c>
      <c r="E85" s="2" t="inlineStr">
        <is>
          <t>Assessment/Academic Quality owner</t>
        </is>
      </c>
      <c r="F85" s="2" t="inlineStr">
        <is>
          <t>NEW</t>
        </is>
      </c>
      <c r="G85" s="2" t="inlineStr">
        <is>
          <t>D07.2</t>
        </is>
      </c>
      <c r="H85" s="2" t="inlineStr">
        <is>
          <t>Existing architecture; metric-level extraction rule added here.</t>
        </is>
      </c>
      <c r="I85" s="2" t="inlineStr">
        <is>
          <t>Capability/process demonstration rubric + evidence</t>
        </is>
      </c>
      <c r="J85" s="2" t="inlineStr">
        <is>
          <t>0–5</t>
        </is>
      </c>
      <c r="K8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5" s="2" t="inlineStr">
        <is>
          <t>Current state + most recent completed academic year; 24-month window for change/experimentation metrics</t>
        </is>
      </c>
      <c r="M85" s="2" t="inlineStr">
        <is>
          <t>Use D07_Maturity_Anchors and score observable metric behaviour: 0 absent; 1 isolated/reactive; 2 emerging/selected; 3 structured/repeatable; 4 integrated/outcome-visible; 5 adaptive/continuously improving.</t>
        </is>
      </c>
      <c r="N85" s="2" t="inlineStr">
        <is>
          <t>0–5 on existence → operating use → repeatability → integration → measured improvement/learning. Policy publication, attendance or isolated pilots cannot establish high depth.</t>
        </is>
      </c>
      <c r="O85" s="2" t="inlineStr">
        <is>
          <t>Use only where a legitimate observable outcome exists. If no valid outcome exists, Outcome=N/A and renormalise maturity/implementation; never invent an outcome.</t>
        </is>
      </c>
      <c r="P85" s="2" t="inlineStr">
        <is>
          <t>Minimum E2 evidence. For score ≥3 require a dated operating example plus corroboration; outcome claims use E3; E4 preferred for independent/high-stakes claims.</t>
        </is>
      </c>
      <c r="Q85" s="2" t="inlineStr">
        <is>
          <t>Report E0–E4 confidence separately from capability score. E0/E1 cannot substantiate maturity ≥3; E2 supports routine practice; E3 outcome; E4 independent/triangulated.</t>
        </is>
      </c>
      <c r="R85" s="2" t="inlineStr">
        <is>
          <t>N/A only for genuine mandate/context inapplicability with assessor approval. Missing data or poor performance is not N/A; approved N/A is excluded from denominator and reported.</t>
        </is>
      </c>
      <c r="S85" s="2" t="inlineStr">
        <is>
          <t>No narrative-only uplift. Require dated artefact/process/work sample and cross-check against a second source, outcome or independent evidence. Policy-only evidence caps maturity at 2.</t>
        </is>
      </c>
      <c r="T85" s="2" t="inlineStr">
        <is>
          <t>Check D03 capability targets, D02 governance and D08 evidence infrastructure.</t>
        </is>
      </c>
      <c r="U85" s="2" t="inlineStr">
        <is>
          <t>Assessment/Academic Quality owner</t>
        </is>
      </c>
      <c r="V85" s="2" t="inlineStr">
        <is>
          <t>GREEN — REMEDIATED</t>
        </is>
      </c>
      <c r="W85" s="2" t="inlineStr">
        <is>
          <t>Measurement path explicit at metric level. This GREEN status means architecture completeness, not empirical validation of the index.</t>
        </is>
      </c>
    </row>
    <row r="86">
      <c r="A86" s="2" t="inlineStr">
        <is>
          <t>D07</t>
        </is>
      </c>
      <c r="B86" s="2" t="inlineStr">
        <is>
          <t>I06</t>
        </is>
      </c>
      <c r="C86" s="2" t="inlineStr">
        <is>
          <t>Feedback Intelligence</t>
        </is>
      </c>
      <c r="D86" s="2" t="inlineStr">
        <is>
          <t>Use of feedback to improve capability rather than merely correct answers.</t>
        </is>
      </c>
      <c r="E86" s="2" t="inlineStr">
        <is>
          <t>Assessment/Academic Quality owner</t>
        </is>
      </c>
      <c r="F86" s="2" t="inlineStr">
        <is>
          <t>NEW</t>
        </is>
      </c>
      <c r="G86" s="2" t="inlineStr">
        <is>
          <t>D07.5</t>
        </is>
      </c>
      <c r="H86" s="2" t="inlineStr">
        <is>
          <t>Existing architecture; metric-level extraction rule added here.</t>
        </is>
      </c>
      <c r="I86" s="2" t="inlineStr">
        <is>
          <t>Capability/process demonstration rubric + evidence</t>
        </is>
      </c>
      <c r="J86" s="2" t="inlineStr">
        <is>
          <t>0–5</t>
        </is>
      </c>
      <c r="K8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6" s="2" t="inlineStr">
        <is>
          <t>Current state + most recent completed academic year; 24-month window for change/experimentation metrics</t>
        </is>
      </c>
      <c r="M86" s="2" t="inlineStr">
        <is>
          <t>Use D07_Maturity_Anchors and score observable metric behaviour: 0 absent; 1 isolated/reactive; 2 emerging/selected; 3 structured/repeatable; 4 integrated/outcome-visible; 5 adaptive/continuously improving.</t>
        </is>
      </c>
      <c r="N86" s="2" t="inlineStr">
        <is>
          <t>0–5 on existence → operating use → repeatability → integration → measured improvement/learning. Policy publication, attendance or isolated pilots cannot establish high depth.</t>
        </is>
      </c>
      <c r="O86" s="2" t="inlineStr">
        <is>
          <t>Use only where a legitimate observable outcome exists. If no valid outcome exists, Outcome=N/A and renormalise maturity/implementation; never invent an outcome.</t>
        </is>
      </c>
      <c r="P86" s="2" t="inlineStr">
        <is>
          <t>Minimum E2 evidence. For score ≥3 require a dated operating example plus corroboration; outcome claims use E3; E4 preferred for independent/high-stakes claims.</t>
        </is>
      </c>
      <c r="Q86" s="2" t="inlineStr">
        <is>
          <t>Report E0–E4 confidence separately from capability score. E0/E1 cannot substantiate maturity ≥3; E2 supports routine practice; E3 outcome; E4 independent/triangulated.</t>
        </is>
      </c>
      <c r="R86" s="2" t="inlineStr">
        <is>
          <t>N/A only for genuine mandate/context inapplicability with assessor approval. Missing data or poor performance is not N/A; approved N/A is excluded from denominator and reported.</t>
        </is>
      </c>
      <c r="S86" s="2" t="inlineStr">
        <is>
          <t>No narrative-only uplift. Require dated artefact/process/work sample and cross-check against a second source, outcome or independent evidence. Policy-only evidence caps maturity at 2.</t>
        </is>
      </c>
      <c r="T86" s="2" t="inlineStr">
        <is>
          <t>Check D03 capability targets, D02 governance and D08 evidence infrastructure.</t>
        </is>
      </c>
      <c r="U86" s="2" t="inlineStr">
        <is>
          <t>Assessment/Academic Quality owner</t>
        </is>
      </c>
      <c r="V86" s="2" t="inlineStr">
        <is>
          <t>GREEN — REMEDIATED</t>
        </is>
      </c>
      <c r="W86" s="2" t="inlineStr">
        <is>
          <t>Measurement path explicit at metric level. This GREEN status means architecture completeness, not empirical validation of the index.</t>
        </is>
      </c>
    </row>
    <row r="87">
      <c r="A87" s="2" t="inlineStr">
        <is>
          <t>D07</t>
        </is>
      </c>
      <c r="B87" s="2" t="inlineStr">
        <is>
          <t>I07</t>
        </is>
      </c>
      <c r="C87" s="2" t="inlineStr">
        <is>
          <t>Evidence of Learning</t>
        </is>
      </c>
      <c r="D87" s="2" t="inlineStr">
        <is>
          <t>Quality of institutional evidence showing that intended learning actually occurred.</t>
        </is>
      </c>
      <c r="E87" s="2" t="inlineStr">
        <is>
          <t>Assessment/Academic Quality owner</t>
        </is>
      </c>
      <c r="F87" s="2" t="inlineStr">
        <is>
          <t>NEW</t>
        </is>
      </c>
      <c r="G87" s="2" t="inlineStr">
        <is>
          <t>D07.3</t>
        </is>
      </c>
      <c r="H87" s="2" t="inlineStr">
        <is>
          <t>Existing architecture; metric-level extraction rule added here.</t>
        </is>
      </c>
      <c r="I87" s="2" t="inlineStr">
        <is>
          <t>Capability/process demonstration rubric + evidence</t>
        </is>
      </c>
      <c r="J87" s="2" t="inlineStr">
        <is>
          <t>0–5</t>
        </is>
      </c>
      <c r="K8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7" s="2" t="inlineStr">
        <is>
          <t>Current state + most recent completed academic year; 24-month window for change/experimentation metrics</t>
        </is>
      </c>
      <c r="M87" s="2" t="inlineStr">
        <is>
          <t>Use D07_Maturity_Anchors and score observable metric behaviour: 0 absent; 1 isolated/reactive; 2 emerging/selected; 3 structured/repeatable; 4 integrated/outcome-visible; 5 adaptive/continuously improving.</t>
        </is>
      </c>
      <c r="N87" s="2" t="inlineStr">
        <is>
          <t>0–5 on existence → operating use → repeatability → integration → measured improvement/learning. Policy publication, attendance or isolated pilots cannot establish high depth.</t>
        </is>
      </c>
      <c r="O87" s="2" t="inlineStr">
        <is>
          <t>Use only where a legitimate observable outcome exists. If no valid outcome exists, Outcome=N/A and renormalise maturity/implementation; never invent an outcome.</t>
        </is>
      </c>
      <c r="P87" s="2" t="inlineStr">
        <is>
          <t>Minimum E2 evidence. For score ≥3 require a dated operating example plus corroboration; outcome claims use E3; E4 preferred for independent/high-stakes claims.</t>
        </is>
      </c>
      <c r="Q87" s="2" t="inlineStr">
        <is>
          <t>Report E0–E4 confidence separately from capability score. E0/E1 cannot substantiate maturity ≥3; E2 supports routine practice; E3 outcome; E4 independent/triangulated.</t>
        </is>
      </c>
      <c r="R87" s="2" t="inlineStr">
        <is>
          <t>N/A only for genuine mandate/context inapplicability with assessor approval. Missing data or poor performance is not N/A; approved N/A is excluded from denominator and reported.</t>
        </is>
      </c>
      <c r="S87" s="2" t="inlineStr">
        <is>
          <t>No narrative-only uplift. Require dated artefact/process/work sample and cross-check against a second source, outcome or independent evidence. Policy-only evidence caps maturity at 2.</t>
        </is>
      </c>
      <c r="T87" s="2" t="inlineStr">
        <is>
          <t>Check D03 capability targets, D02 governance and D08 evidence infrastructure.</t>
        </is>
      </c>
      <c r="U87" s="2" t="inlineStr">
        <is>
          <t>Assessment/Academic Quality owner</t>
        </is>
      </c>
      <c r="V87" s="2" t="inlineStr">
        <is>
          <t>GREEN — REMEDIATED</t>
        </is>
      </c>
      <c r="W87" s="2" t="inlineStr">
        <is>
          <t>Measurement path explicit at metric level. This GREEN status means architecture completeness, not empirical validation of the index.</t>
        </is>
      </c>
    </row>
    <row r="88">
      <c r="A88" s="2" t="inlineStr">
        <is>
          <t>D07</t>
        </is>
      </c>
      <c r="B88" s="2" t="inlineStr">
        <is>
          <t>I08</t>
        </is>
      </c>
      <c r="C88" s="2" t="inlineStr">
        <is>
          <t>Capability Outcome Measurement</t>
        </is>
      </c>
      <c r="D88" s="2" t="inlineStr">
        <is>
          <t>Extent to which learning outcomes are measured with meaningful evidence.</t>
        </is>
      </c>
      <c r="E88" s="2" t="inlineStr">
        <is>
          <t>Assessment/Academic Quality owner</t>
        </is>
      </c>
      <c r="F88" s="2" t="inlineStr">
        <is>
          <t>NEW</t>
        </is>
      </c>
      <c r="G88" s="2" t="inlineStr">
        <is>
          <t>D07.3</t>
        </is>
      </c>
      <c r="H88" s="2" t="inlineStr">
        <is>
          <t>Existing architecture; metric-level extraction rule added here.</t>
        </is>
      </c>
      <c r="I88" s="2" t="inlineStr">
        <is>
          <t>Capability/process demonstration rubric + evidence</t>
        </is>
      </c>
      <c r="J88" s="2" t="inlineStr">
        <is>
          <t>0–5</t>
        </is>
      </c>
      <c r="K8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8" s="2" t="inlineStr">
        <is>
          <t>Current state + most recent completed academic year; 24-month window for change/experimentation metrics</t>
        </is>
      </c>
      <c r="M88" s="2" t="inlineStr">
        <is>
          <t>Use D07_Maturity_Anchors and score observable metric behaviour: 0 absent; 1 isolated/reactive; 2 emerging/selected; 3 structured/repeatable; 4 integrated/outcome-visible; 5 adaptive/continuously improving.</t>
        </is>
      </c>
      <c r="N88" s="2" t="inlineStr">
        <is>
          <t>0–5 on existence → operating use → repeatability → integration → measured improvement/learning. Policy publication, attendance or isolated pilots cannot establish high depth.</t>
        </is>
      </c>
      <c r="O88" s="2" t="inlineStr">
        <is>
          <t>Use only where a legitimate observable outcome exists. If no valid outcome exists, Outcome=N/A and renormalise maturity/implementation; never invent an outcome.</t>
        </is>
      </c>
      <c r="P88" s="2" t="inlineStr">
        <is>
          <t>Minimum E2 evidence. For score ≥3 require a dated operating example plus corroboration; outcome claims use E3; E4 preferred for independent/high-stakes claims.</t>
        </is>
      </c>
      <c r="Q88" s="2" t="inlineStr">
        <is>
          <t>Report E0–E4 confidence separately from capability score. E0/E1 cannot substantiate maturity ≥3; E2 supports routine practice; E3 outcome; E4 independent/triangulated.</t>
        </is>
      </c>
      <c r="R88" s="2" t="inlineStr">
        <is>
          <t>N/A only for genuine mandate/context inapplicability with assessor approval. Missing data or poor performance is not N/A; approved N/A is excluded from denominator and reported.</t>
        </is>
      </c>
      <c r="S88" s="2" t="inlineStr">
        <is>
          <t>No narrative-only uplift. Require dated artefact/process/work sample and cross-check against a second source, outcome or independent evidence. Policy-only evidence caps maturity at 2.</t>
        </is>
      </c>
      <c r="T88" s="2" t="inlineStr">
        <is>
          <t>Check D03 capability targets, D02 governance and D08 evidence infrastructure.</t>
        </is>
      </c>
      <c r="U88" s="2" t="inlineStr">
        <is>
          <t>Assessment/Academic Quality owner</t>
        </is>
      </c>
      <c r="V88" s="2" t="inlineStr">
        <is>
          <t>GREEN — REMEDIATED</t>
        </is>
      </c>
      <c r="W88" s="2" t="inlineStr">
        <is>
          <t>Measurement path explicit at metric level. This GREEN status means architecture completeness, not empirical validation of the index.</t>
        </is>
      </c>
    </row>
    <row r="89">
      <c r="A89" s="2" t="inlineStr">
        <is>
          <t>D07</t>
        </is>
      </c>
      <c r="B89" s="2" t="inlineStr">
        <is>
          <t>I09</t>
        </is>
      </c>
      <c r="C89" s="2" t="inlineStr">
        <is>
          <t>Assessment Equity &amp; Access</t>
        </is>
      </c>
      <c r="D89" s="2" t="inlineStr">
        <is>
          <t>Ability to assess capability fairly across diverse student contexts and access conditions.</t>
        </is>
      </c>
      <c r="E89" s="2" t="inlineStr">
        <is>
          <t>Assessment/Academic Quality owner</t>
        </is>
      </c>
      <c r="F89" s="2" t="inlineStr">
        <is>
          <t>NEW</t>
        </is>
      </c>
      <c r="G89" s="2" t="inlineStr">
        <is>
          <t>D07.5</t>
        </is>
      </c>
      <c r="H89" s="2" t="inlineStr">
        <is>
          <t>Existing architecture; metric-level extraction rule added here.</t>
        </is>
      </c>
      <c r="I89" s="2" t="inlineStr">
        <is>
          <t>Coverage/access + 0–5 rubric</t>
        </is>
      </c>
      <c r="J89" s="2" t="inlineStr">
        <is>
          <t>coverage/access % + 0–5</t>
        </is>
      </c>
      <c r="K8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9" s="2" t="inlineStr">
        <is>
          <t>Current state + most recent completed academic year; 24-month window for change/experimentation metrics</t>
        </is>
      </c>
      <c r="M89" s="2" t="inlineStr">
        <is>
          <t>Use D07_Maturity_Anchors and score observable metric behaviour: 0 absent; 1 isolated/reactive; 2 emerging/selected; 3 structured/repeatable; 4 integrated/outcome-visible; 5 adaptive/continuously improving.</t>
        </is>
      </c>
      <c r="N89" s="2" t="inlineStr">
        <is>
          <t>0–5 on existence → operating use → repeatability → integration → measured improvement/learning. Policy publication, attendance or isolated pilots cannot establish high depth.</t>
        </is>
      </c>
      <c r="O89" s="2" t="inlineStr">
        <is>
          <t>Use only where a legitimate observable outcome exists. If no valid outcome exists, Outcome=N/A and renormalise maturity/implementation; never invent an outcome.</t>
        </is>
      </c>
      <c r="P89" s="2" t="inlineStr">
        <is>
          <t>Minimum E2 evidence. For score ≥3 require a dated operating example plus corroboration; outcome claims use E3; E4 preferred for independent/high-stakes claims.</t>
        </is>
      </c>
      <c r="Q89" s="2" t="inlineStr">
        <is>
          <t>Report E0–E4 confidence separately from capability score. E0/E1 cannot substantiate maturity ≥3; E2 supports routine practice; E3 outcome; E4 independent/triangulated.</t>
        </is>
      </c>
      <c r="R89" s="2" t="inlineStr">
        <is>
          <t>N/A only for genuine mandate/context inapplicability with assessor approval. Missing data or poor performance is not N/A; approved N/A is excluded from denominator and reported.</t>
        </is>
      </c>
      <c r="S89" s="2" t="inlineStr">
        <is>
          <t>No narrative-only uplift. Require dated artefact/process/work sample and cross-check against a second source, outcome or independent evidence. Policy-only evidence caps maturity at 2.</t>
        </is>
      </c>
      <c r="T89" s="2" t="inlineStr">
        <is>
          <t>Check D03 capability targets, D02 governance and D08 evidence infrastructure.</t>
        </is>
      </c>
      <c r="U89" s="2" t="inlineStr">
        <is>
          <t>Assessment/Academic Quality owner</t>
        </is>
      </c>
      <c r="V89" s="2" t="inlineStr">
        <is>
          <t>GREEN — REMEDIATED</t>
        </is>
      </c>
      <c r="W89" s="2" t="inlineStr">
        <is>
          <t>Measurement path explicit at metric level. This GREEN status means architecture completeness, not empirical validation of the index.</t>
        </is>
      </c>
    </row>
    <row r="90">
      <c r="A90" s="2" t="inlineStr">
        <is>
          <t>D07</t>
        </is>
      </c>
      <c r="B90" s="2" t="inlineStr">
        <is>
          <t>I10</t>
        </is>
      </c>
      <c r="C90" s="2" t="inlineStr">
        <is>
          <t>Assessment Governance</t>
        </is>
      </c>
      <c r="D90" s="2" t="inlineStr">
        <is>
          <t>Institutional oversight of assessment quality, integrity and consistency.</t>
        </is>
      </c>
      <c r="E90" s="2" t="inlineStr">
        <is>
          <t>Assessment/Academic Quality owner</t>
        </is>
      </c>
      <c r="F90" s="2" t="inlineStr">
        <is>
          <t>NEW</t>
        </is>
      </c>
      <c r="G90" s="2" t="inlineStr">
        <is>
          <t>NEW</t>
        </is>
      </c>
      <c r="H90" s="2" t="inlineStr">
        <is>
          <t>Assessment Governance Test</t>
        </is>
      </c>
      <c r="I90" s="2" t="inlineStr">
        <is>
          <t>Control-effectiveness rubric + evidence-coded score</t>
        </is>
      </c>
      <c r="J90" s="2" t="inlineStr">
        <is>
          <t>0–5</t>
        </is>
      </c>
      <c r="K9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0" s="2" t="inlineStr">
        <is>
          <t>Current state + most recent completed academic year; 24-month window for change/experimentation metrics</t>
        </is>
      </c>
      <c r="M90" s="2" t="inlineStr">
        <is>
          <t>Use D07_Maturity_Anchors and score observable metric behaviour: 0 absent; 1 isolated/reactive; 2 emerging/selected; 3 structured/repeatable; 4 integrated/outcome-visible; 5 adaptive/continuously improving.</t>
        </is>
      </c>
      <c r="N90" s="2" t="inlineStr">
        <is>
          <t>0–5 on existence → operating use → repeatability → integration → measured improvement/learning. Policy publication, attendance or isolated pilots cannot establish high depth.</t>
        </is>
      </c>
      <c r="O90" s="2" t="inlineStr">
        <is>
          <t>Use only where a legitimate observable outcome exists. If no valid outcome exists, Outcome=N/A and renormalise maturity/implementation; never invent an outcome.</t>
        </is>
      </c>
      <c r="P90" s="2" t="inlineStr">
        <is>
          <t>Minimum E2 evidence. For score ≥3 require a dated operating example plus corroboration; outcome claims use E3; E4 preferred for independent/high-stakes claims.</t>
        </is>
      </c>
      <c r="Q90" s="2" t="inlineStr">
        <is>
          <t>Report E0–E4 confidence separately from capability score. E0/E1 cannot substantiate maturity ≥3; E2 supports routine practice; E3 outcome; E4 independent/triangulated.</t>
        </is>
      </c>
      <c r="R90" s="2" t="inlineStr">
        <is>
          <t>N/A only for genuine mandate/context inapplicability with assessor approval. Missing data or poor performance is not N/A; approved N/A is excluded from denominator and reported.</t>
        </is>
      </c>
      <c r="S90" s="2" t="inlineStr">
        <is>
          <t>No narrative-only uplift. Require dated artefact/process/work sample and cross-check against a second source, outcome or independent evidence. Policy-only evidence caps maturity at 2.</t>
        </is>
      </c>
      <c r="T90" s="2" t="inlineStr">
        <is>
          <t>Check D03 capability targets, D02 governance and D08 evidence infrastructure.</t>
        </is>
      </c>
      <c r="U90" s="2" t="inlineStr">
        <is>
          <t>Assessment/Academic Quality owner</t>
        </is>
      </c>
      <c r="V90" s="2" t="inlineStr">
        <is>
          <t>GREEN — REMEDIATED</t>
        </is>
      </c>
      <c r="W90" s="2" t="inlineStr">
        <is>
          <t>Measurement path explicit at metric level. This GREEN status means architecture completeness, not empirical validation of the index.</t>
        </is>
      </c>
    </row>
    <row r="91">
      <c r="A91" s="2" t="inlineStr">
        <is>
          <t>D07</t>
        </is>
      </c>
      <c r="B91" s="2" t="inlineStr">
        <is>
          <t>I11</t>
        </is>
      </c>
      <c r="C91" s="2" t="inlineStr">
        <is>
          <t>Assessment Innovation</t>
        </is>
      </c>
      <c r="D91" s="2" t="inlineStr">
        <is>
          <t>Ability to experiment with and evaluate new assessment models.</t>
        </is>
      </c>
      <c r="E91" s="2" t="inlineStr">
        <is>
          <t>Assessment/Academic Quality owner</t>
        </is>
      </c>
      <c r="F91" s="2" t="inlineStr">
        <is>
          <t>NEW</t>
        </is>
      </c>
      <c r="G91" s="2" t="inlineStr">
        <is>
          <t>D07.5</t>
        </is>
      </c>
      <c r="H91" s="2" t="inlineStr">
        <is>
          <t>Existing architecture; metric-level extraction rule added here.</t>
        </is>
      </c>
      <c r="I91" s="2" t="inlineStr">
        <is>
          <t>Capability/process demonstration rubric + evidence</t>
        </is>
      </c>
      <c r="J91" s="2" t="inlineStr">
        <is>
          <t>0–5</t>
        </is>
      </c>
      <c r="K9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1" s="2" t="inlineStr">
        <is>
          <t>Current state + most recent completed academic year; 24-month window for change/experimentation metrics</t>
        </is>
      </c>
      <c r="M91" s="2" t="inlineStr">
        <is>
          <t>Use D07_Maturity_Anchors and score observable metric behaviour: 0 absent; 1 isolated/reactive; 2 emerging/selected; 3 structured/repeatable; 4 integrated/outcome-visible; 5 adaptive/continuously improving.</t>
        </is>
      </c>
      <c r="N91" s="2" t="inlineStr">
        <is>
          <t>0–5 on existence → operating use → repeatability → integration → measured improvement/learning. Policy publication, attendance or isolated pilots cannot establish high depth.</t>
        </is>
      </c>
      <c r="O91" s="2" t="inlineStr">
        <is>
          <t>Use only where a legitimate observable outcome exists. If no valid outcome exists, Outcome=N/A and renormalise maturity/implementation; never invent an outcome.</t>
        </is>
      </c>
      <c r="P91" s="2" t="inlineStr">
        <is>
          <t>Minimum E2 evidence. For score ≥3 require a dated operating example plus corroboration; outcome claims use E3; E4 preferred for independent/high-stakes claims.</t>
        </is>
      </c>
      <c r="Q91" s="2" t="inlineStr">
        <is>
          <t>Report E0–E4 confidence separately from capability score. E0/E1 cannot substantiate maturity ≥3; E2 supports routine practice; E3 outcome; E4 independent/triangulated.</t>
        </is>
      </c>
      <c r="R91" s="2" t="inlineStr">
        <is>
          <t>N/A only for genuine mandate/context inapplicability with assessor approval. Missing data or poor performance is not N/A; approved N/A is excluded from denominator and reported.</t>
        </is>
      </c>
      <c r="S91" s="2" t="inlineStr">
        <is>
          <t>No narrative-only uplift. Require dated artefact/process/work sample and cross-check against a second source, outcome or independent evidence. Policy-only evidence caps maturity at 2.</t>
        </is>
      </c>
      <c r="T91" s="2" t="inlineStr">
        <is>
          <t>Check D03 capability targets, D02 governance and D08 evidence infrastructure.</t>
        </is>
      </c>
      <c r="U91" s="2" t="inlineStr">
        <is>
          <t>Assessment/Academic Quality owner</t>
        </is>
      </c>
      <c r="V91" s="2" t="inlineStr">
        <is>
          <t>GREEN — REMEDIATED</t>
        </is>
      </c>
      <c r="W91" s="2" t="inlineStr">
        <is>
          <t>Measurement path explicit at metric level. This GREEN status means architecture completeness, not empirical validation of the index.</t>
        </is>
      </c>
    </row>
    <row r="92">
      <c r="A92" s="2" t="inlineStr">
        <is>
          <t>D07</t>
        </is>
      </c>
      <c r="B92" s="2" t="inlineStr">
        <is>
          <t>I12</t>
        </is>
      </c>
      <c r="C92" s="2" t="inlineStr">
        <is>
          <t>Learning Evidence Analytics</t>
        </is>
      </c>
      <c r="D92" s="2" t="inlineStr">
        <is>
          <t>Use of data to identify capability gaps and improve learning design.</t>
        </is>
      </c>
      <c r="E92" s="2" t="inlineStr">
        <is>
          <t>Assessment/Academic Quality owner</t>
        </is>
      </c>
      <c r="F92" s="2" t="inlineStr">
        <is>
          <t>NEW</t>
        </is>
      </c>
      <c r="G92" s="2" t="inlineStr">
        <is>
          <t>NEW</t>
        </is>
      </c>
      <c r="H92" s="2" t="inlineStr">
        <is>
          <t>Learning Evidence Analytics Test</t>
        </is>
      </c>
      <c r="I92" s="2" t="inlineStr">
        <is>
          <t>Capability/process demonstration rubric + evidence</t>
        </is>
      </c>
      <c r="J92" s="2" t="inlineStr">
        <is>
          <t>0–5</t>
        </is>
      </c>
      <c r="K9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2" s="2" t="inlineStr">
        <is>
          <t>Current state + most recent completed academic year; 24-month window for change/experimentation metrics</t>
        </is>
      </c>
      <c r="M92" s="2" t="inlineStr">
        <is>
          <t>Use D07_Maturity_Anchors and score observable metric behaviour: 0 absent; 1 isolated/reactive; 2 emerging/selected; 3 structured/repeatable; 4 integrated/outcome-visible; 5 adaptive/continuously improving.</t>
        </is>
      </c>
      <c r="N92" s="2" t="inlineStr">
        <is>
          <t>0–5 on existence → operating use → repeatability → integration → measured improvement/learning. Policy publication, attendance or isolated pilots cannot establish high depth.</t>
        </is>
      </c>
      <c r="O92" s="2" t="inlineStr">
        <is>
          <t>Use only where a legitimate observable outcome exists. If no valid outcome exists, Outcome=N/A and renormalise maturity/implementation; never invent an outcome.</t>
        </is>
      </c>
      <c r="P92" s="2" t="inlineStr">
        <is>
          <t>Minimum E2 evidence. For score ≥3 require a dated operating example plus corroboration; outcome claims use E3; E4 preferred for independent/high-stakes claims.</t>
        </is>
      </c>
      <c r="Q92" s="2" t="inlineStr">
        <is>
          <t>Report E0–E4 confidence separately from capability score. E0/E1 cannot substantiate maturity ≥3; E2 supports routine practice; E3 outcome; E4 independent/triangulated.</t>
        </is>
      </c>
      <c r="R92" s="2" t="inlineStr">
        <is>
          <t>N/A only for genuine mandate/context inapplicability with assessor approval. Missing data or poor performance is not N/A; approved N/A is excluded from denominator and reported.</t>
        </is>
      </c>
      <c r="S92" s="2" t="inlineStr">
        <is>
          <t>No narrative-only uplift. Require dated artefact/process/work sample and cross-check against a second source, outcome or independent evidence. Policy-only evidence caps maturity at 2.</t>
        </is>
      </c>
      <c r="T92" s="2" t="inlineStr">
        <is>
          <t>Check D03 capability targets, D02 governance and D08 evidence infrastructure.</t>
        </is>
      </c>
      <c r="U92" s="2" t="inlineStr">
        <is>
          <t>Assessment/Academic Quality owner</t>
        </is>
      </c>
      <c r="V92" s="2" t="inlineStr">
        <is>
          <t>GREEN — REMEDIATED</t>
        </is>
      </c>
      <c r="W92" s="2" t="inlineStr">
        <is>
          <t>Measurement path explicit at metric level. This GREEN status means architecture completeness, not empirical validation of the index.</t>
        </is>
      </c>
    </row>
    <row r="93">
      <c r="A93" s="2" t="inlineStr">
        <is>
          <t>D08</t>
        </is>
      </c>
      <c r="B93" s="2" t="inlineStr">
        <is>
          <t>I01</t>
        </is>
      </c>
      <c r="C93" s="2" t="inlineStr">
        <is>
          <t>Digital Environment Readiness</t>
        </is>
      </c>
      <c r="D93" s="2" t="inlineStr">
        <is>
          <t>Suitability of the institutional digital environment for emerging academic and administrative needs.</t>
        </is>
      </c>
      <c r="E93" s="2" t="inlineStr">
        <is>
          <t>CIO/CTO/Data Governance owner</t>
        </is>
      </c>
      <c r="F93" s="2" t="inlineStr">
        <is>
          <t>NEW</t>
        </is>
      </c>
      <c r="G93" s="2" t="inlineStr">
        <is>
          <t>D08.3</t>
        </is>
      </c>
      <c r="H93" s="2" t="inlineStr">
        <is>
          <t>Existing architecture; metric-level extraction rule added here.</t>
        </is>
      </c>
      <c r="I93" s="2" t="inlineStr">
        <is>
          <t>Capability/process demonstration rubric + evidence</t>
        </is>
      </c>
      <c r="J93" s="2" t="inlineStr">
        <is>
          <t>0–5</t>
        </is>
      </c>
      <c r="K9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3" s="2" t="inlineStr">
        <is>
          <t>Current state + most recent completed academic year; 24-month window for change/experimentation metrics</t>
        </is>
      </c>
      <c r="M93" s="2" t="inlineStr">
        <is>
          <t>Use D08_Maturity_Anchors and score observable metric behaviour: 0 absent; 1 isolated/reactive; 2 emerging/selected; 3 structured/repeatable; 4 integrated/outcome-visible; 5 adaptive/continuously improving.</t>
        </is>
      </c>
      <c r="N93" s="2" t="inlineStr">
        <is>
          <t>0–5 on existence → operating use → repeatability → integration → measured improvement/learning. Policy publication, attendance or isolated pilots cannot establish high depth.</t>
        </is>
      </c>
      <c r="O93" s="2" t="inlineStr">
        <is>
          <t>Use only where a legitimate observable outcome exists. If no valid outcome exists, Outcome=N/A and renormalise maturity/implementation; never invent an outcome.</t>
        </is>
      </c>
      <c r="P93" s="2" t="inlineStr">
        <is>
          <t>Minimum E2 evidence. For score ≥3 require a dated operating example plus corroboration; outcome claims use E3; E4 preferred for independent/high-stakes claims.</t>
        </is>
      </c>
      <c r="Q93" s="2" t="inlineStr">
        <is>
          <t>Report E0–E4 confidence separately from capability score. E0/E1 cannot substantiate maturity ≥3; E2 supports routine practice; E3 outcome; E4 independent/triangulated.</t>
        </is>
      </c>
      <c r="R93" s="2" t="inlineStr">
        <is>
          <t>N/A only for genuine mandate/context inapplicability with assessor approval. Missing data or poor performance is not N/A; approved N/A is excluded from denominator and reported.</t>
        </is>
      </c>
      <c r="S93" s="2" t="inlineStr">
        <is>
          <t>No narrative-only uplift. Require dated artefact/process/work sample and cross-check against a second source, outcome or independent evidence. Policy-only evidence caps maturity at 2.</t>
        </is>
      </c>
      <c r="T93" s="2" t="inlineStr">
        <is>
          <t>Check D02 governance and D11 action/adaptation; data is an enabler, not resilience.</t>
        </is>
      </c>
      <c r="U93" s="2" t="inlineStr">
        <is>
          <t>CIO/CTO/Data Governance owner</t>
        </is>
      </c>
      <c r="V93" s="2" t="inlineStr">
        <is>
          <t>GREEN — REMEDIATED</t>
        </is>
      </c>
      <c r="W93" s="2" t="inlineStr">
        <is>
          <t>Measurement path explicit at metric level. This GREEN status means architecture completeness, not empirical validation of the index.</t>
        </is>
      </c>
    </row>
    <row r="94">
      <c r="A94" s="2" t="inlineStr">
        <is>
          <t>D08</t>
        </is>
      </c>
      <c r="B94" s="2" t="inlineStr">
        <is>
          <t>I02</t>
        </is>
      </c>
      <c r="C94" s="2" t="inlineStr">
        <is>
          <t>Institutional Data Architecture</t>
        </is>
      </c>
      <c r="D94" s="2" t="inlineStr">
        <is>
          <t>Degree to which important institutional data are structured, connected and usable.</t>
        </is>
      </c>
      <c r="E94" s="2" t="inlineStr">
        <is>
          <t>CIO/CTO/Data Governance owner</t>
        </is>
      </c>
      <c r="F94" s="2" t="inlineStr">
        <is>
          <t>NEW</t>
        </is>
      </c>
      <c r="G94" s="2" t="inlineStr">
        <is>
          <t>D08.1; D08.2</t>
        </is>
      </c>
      <c r="H94" s="2" t="inlineStr">
        <is>
          <t>Existing architecture; metric-level extraction rule added here.</t>
        </is>
      </c>
      <c r="I94" s="2" t="inlineStr">
        <is>
          <t>Capability/process demonstration rubric + evidence</t>
        </is>
      </c>
      <c r="J94" s="2" t="inlineStr">
        <is>
          <t>0–5</t>
        </is>
      </c>
      <c r="K9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4" s="2" t="inlineStr">
        <is>
          <t>Current state + most recent completed academic year; 24-month window for change/experimentation metrics</t>
        </is>
      </c>
      <c r="M94" s="2" t="inlineStr">
        <is>
          <t>Use D08_Maturity_Anchors and score observable metric behaviour: 0 absent; 1 isolated/reactive; 2 emerging/selected; 3 structured/repeatable; 4 integrated/outcome-visible; 5 adaptive/continuously improving.</t>
        </is>
      </c>
      <c r="N94" s="2" t="inlineStr">
        <is>
          <t>0–5 on existence → operating use → repeatability → integration → measured improvement/learning. Policy publication, attendance or isolated pilots cannot establish high depth.</t>
        </is>
      </c>
      <c r="O94" s="2" t="inlineStr">
        <is>
          <t>Use only where a legitimate observable outcome exists. If no valid outcome exists, Outcome=N/A and renormalise maturity/implementation; never invent an outcome.</t>
        </is>
      </c>
      <c r="P94" s="2" t="inlineStr">
        <is>
          <t>Minimum E2 evidence. For score ≥3 require a dated operating example plus corroboration; outcome claims use E3; E4 preferred for independent/high-stakes claims.</t>
        </is>
      </c>
      <c r="Q94" s="2" t="inlineStr">
        <is>
          <t>Report E0–E4 confidence separately from capability score. E0/E1 cannot substantiate maturity ≥3; E2 supports routine practice; E3 outcome; E4 independent/triangulated.</t>
        </is>
      </c>
      <c r="R94" s="2" t="inlineStr">
        <is>
          <t>N/A only for genuine mandate/context inapplicability with assessor approval. Missing data or poor performance is not N/A; approved N/A is excluded from denominator and reported.</t>
        </is>
      </c>
      <c r="S94" s="2" t="inlineStr">
        <is>
          <t>No narrative-only uplift. Require dated artefact/process/work sample and cross-check against a second source, outcome or independent evidence. Policy-only evidence caps maturity at 2.</t>
        </is>
      </c>
      <c r="T94" s="2" t="inlineStr">
        <is>
          <t>Check D02 governance and D11 action/adaptation; data is an enabler, not resilience.</t>
        </is>
      </c>
      <c r="U94" s="2" t="inlineStr">
        <is>
          <t>CIO/CTO/Data Governance owner</t>
        </is>
      </c>
      <c r="V94" s="2" t="inlineStr">
        <is>
          <t>GREEN — EXISTING PATH RETAINED</t>
        </is>
      </c>
      <c r="W94" s="2" t="inlineStr">
        <is>
          <t>Measurement path explicit at metric level. This GREEN status means architecture completeness, not empirical validation of the index.</t>
        </is>
      </c>
    </row>
    <row r="95">
      <c r="A95" s="2" t="inlineStr">
        <is>
          <t>D08</t>
        </is>
      </c>
      <c r="B95" s="2" t="inlineStr">
        <is>
          <t>I03</t>
        </is>
      </c>
      <c r="C95" s="2" t="inlineStr">
        <is>
          <t>Data Quality &amp; Integrity</t>
        </is>
      </c>
      <c r="D95" s="2" t="inlineStr">
        <is>
          <t>Reliability, completeness, consistency and stewardship of institutional data.</t>
        </is>
      </c>
      <c r="E95" s="2" t="inlineStr">
        <is>
          <t>CIO/CTO/Data Governance owner</t>
        </is>
      </c>
      <c r="F95" s="2" t="inlineStr">
        <is>
          <t>NEW</t>
        </is>
      </c>
      <c r="G95" s="2" t="inlineStr">
        <is>
          <t>D08.2</t>
        </is>
      </c>
      <c r="H95" s="2" t="inlineStr">
        <is>
          <t>Existing architecture; metric-level extraction rule added here.</t>
        </is>
      </c>
      <c r="I95" s="2" t="inlineStr">
        <is>
          <t>Validated outcome/evidence + 0–5 rubric</t>
        </is>
      </c>
      <c r="J95" s="2" t="inlineStr">
        <is>
          <t>defined statistic + 0–5</t>
        </is>
      </c>
      <c r="K9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5" s="2" t="inlineStr">
        <is>
          <t>Current state + most recent completed academic year; 24-month window for change/experimentation metrics</t>
        </is>
      </c>
      <c r="M95" s="2" t="inlineStr">
        <is>
          <t>Use D08_Maturity_Anchors and score observable metric behaviour: 0 absent; 1 isolated/reactive; 2 emerging/selected; 3 structured/repeatable; 4 integrated/outcome-visible; 5 adaptive/continuously improving.</t>
        </is>
      </c>
      <c r="N95" s="2" t="inlineStr">
        <is>
          <t>0–5 on existence → operating use → repeatability → integration → measured improvement/learning. Policy publication, attendance or isolated pilots cannot establish high depth.</t>
        </is>
      </c>
      <c r="O95" s="2" t="inlineStr">
        <is>
          <t>Use only where a legitimate observable outcome exists. If no valid outcome exists, Outcome=N/A and renormalise maturity/implementation; never invent an outcome.</t>
        </is>
      </c>
      <c r="P95" s="2" t="inlineStr">
        <is>
          <t>Minimum E2 evidence. For score ≥3 require a dated operating example plus corroboration; outcome claims use E3; E4 preferred for independent/high-stakes claims.</t>
        </is>
      </c>
      <c r="Q95" s="2" t="inlineStr">
        <is>
          <t>Report E0–E4 confidence separately from capability score. E0/E1 cannot substantiate maturity ≥3; E2 supports routine practice; E3 outcome; E4 independent/triangulated.</t>
        </is>
      </c>
      <c r="R95" s="2" t="inlineStr">
        <is>
          <t>N/A only for genuine mandate/context inapplicability with assessor approval. Missing data or poor performance is not N/A; approved N/A is excluded from denominator and reported.</t>
        </is>
      </c>
      <c r="S95" s="2" t="inlineStr">
        <is>
          <t>No narrative-only uplift. Require dated artefact/process/work sample and cross-check against a second source, outcome or independent evidence. Policy-only evidence caps maturity at 2.</t>
        </is>
      </c>
      <c r="T95" s="2" t="inlineStr">
        <is>
          <t>Check D02 governance and D11 action/adaptation; data is an enabler, not resilience.</t>
        </is>
      </c>
      <c r="U95" s="2" t="inlineStr">
        <is>
          <t>CIO/CTO/Data Governance owner</t>
        </is>
      </c>
      <c r="V95" s="2" t="inlineStr">
        <is>
          <t>GREEN — REMEDIATED</t>
        </is>
      </c>
      <c r="W95" s="2" t="inlineStr">
        <is>
          <t>Measurement path explicit at metric level. This GREEN status means architecture completeness, not empirical validation of the index.</t>
        </is>
      </c>
    </row>
    <row r="96">
      <c r="A96" s="2" t="inlineStr">
        <is>
          <t>D08</t>
        </is>
      </c>
      <c r="B96" s="2" t="inlineStr">
        <is>
          <t>I04</t>
        </is>
      </c>
      <c r="C96" s="2" t="inlineStr">
        <is>
          <t>System Interoperability</t>
        </is>
      </c>
      <c r="D96" s="2" t="inlineStr">
        <is>
          <t>Ability of institutional systems to exchange and use information coherently.</t>
        </is>
      </c>
      <c r="E96" s="2" t="inlineStr">
        <is>
          <t>CIO/CTO/Data Governance owner</t>
        </is>
      </c>
      <c r="F96" s="2" t="inlineStr">
        <is>
          <t>NEW</t>
        </is>
      </c>
      <c r="G96" s="2" t="inlineStr">
        <is>
          <t>D08.2</t>
        </is>
      </c>
      <c r="H96" s="2" t="inlineStr">
        <is>
          <t>Existing architecture; metric-level extraction rule added here.</t>
        </is>
      </c>
      <c r="I96" s="2" t="inlineStr">
        <is>
          <t>Capability/process demonstration rubric + evidence</t>
        </is>
      </c>
      <c r="J96" s="2" t="inlineStr">
        <is>
          <t>0–5</t>
        </is>
      </c>
      <c r="K9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6" s="2" t="inlineStr">
        <is>
          <t>Current state + most recent completed academic year; 24-month window for change/experimentation metrics</t>
        </is>
      </c>
      <c r="M96" s="2" t="inlineStr">
        <is>
          <t>Use D08_Maturity_Anchors and score observable metric behaviour: 0 absent; 1 isolated/reactive; 2 emerging/selected; 3 structured/repeatable; 4 integrated/outcome-visible; 5 adaptive/continuously improving.</t>
        </is>
      </c>
      <c r="N96" s="2" t="inlineStr">
        <is>
          <t>0–5 on existence → operating use → repeatability → integration → measured improvement/learning. Policy publication, attendance or isolated pilots cannot establish high depth.</t>
        </is>
      </c>
      <c r="O96" s="2" t="inlineStr">
        <is>
          <t>Use only where a legitimate observable outcome exists. If no valid outcome exists, Outcome=N/A and renormalise maturity/implementation; never invent an outcome.</t>
        </is>
      </c>
      <c r="P96" s="2" t="inlineStr">
        <is>
          <t>Minimum E2 evidence. For score ≥3 require a dated operating example plus corroboration; outcome claims use E3; E4 preferred for independent/high-stakes claims.</t>
        </is>
      </c>
      <c r="Q96" s="2" t="inlineStr">
        <is>
          <t>Report E0–E4 confidence separately from capability score. E0/E1 cannot substantiate maturity ≥3; E2 supports routine practice; E3 outcome; E4 independent/triangulated.</t>
        </is>
      </c>
      <c r="R96" s="2" t="inlineStr">
        <is>
          <t>N/A only for genuine mandate/context inapplicability with assessor approval. Missing data or poor performance is not N/A; approved N/A is excluded from denominator and reported.</t>
        </is>
      </c>
      <c r="S96" s="2" t="inlineStr">
        <is>
          <t>No narrative-only uplift. Require dated artefact/process/work sample and cross-check against a second source, outcome or independent evidence. Policy-only evidence caps maturity at 2.</t>
        </is>
      </c>
      <c r="T96" s="2" t="inlineStr">
        <is>
          <t>Check D02 governance and D11 action/adaptation; data is an enabler, not resilience.</t>
        </is>
      </c>
      <c r="U96" s="2" t="inlineStr">
        <is>
          <t>CIO/CTO/Data Governance owner</t>
        </is>
      </c>
      <c r="V96" s="2" t="inlineStr">
        <is>
          <t>GREEN — REMEDIATED</t>
        </is>
      </c>
      <c r="W96" s="2" t="inlineStr">
        <is>
          <t>Measurement path explicit at metric level. This GREEN status means architecture completeness, not empirical validation of the index.</t>
        </is>
      </c>
    </row>
    <row r="97">
      <c r="A97" s="2" t="inlineStr">
        <is>
          <t>D08</t>
        </is>
      </c>
      <c r="B97" s="2" t="inlineStr">
        <is>
          <t>I05</t>
        </is>
      </c>
      <c r="C97" s="2" t="inlineStr">
        <is>
          <t>Decision Intelligence</t>
        </is>
      </c>
      <c r="D97" s="2" t="inlineStr">
        <is>
          <t>Use of institutional data and analytics in leadership and operational decisions.</t>
        </is>
      </c>
      <c r="E97" s="2" t="inlineStr">
        <is>
          <t>CIO/CTO/Data Governance owner</t>
        </is>
      </c>
      <c r="F97" s="2" t="inlineStr">
        <is>
          <t>NEW</t>
        </is>
      </c>
      <c r="G97" s="2" t="inlineStr">
        <is>
          <t>D08.1; D08.4</t>
        </is>
      </c>
      <c r="H97" s="2" t="inlineStr">
        <is>
          <t>Existing architecture; metric-level extraction rule added here.</t>
        </is>
      </c>
      <c r="I97" s="2" t="inlineStr">
        <is>
          <t>Capability/process demonstration rubric + evidence</t>
        </is>
      </c>
      <c r="J97" s="2" t="inlineStr">
        <is>
          <t>0–5</t>
        </is>
      </c>
      <c r="K9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7" s="2" t="inlineStr">
        <is>
          <t>Current state + most recent completed academic year; 24-month window for change/experimentation metrics</t>
        </is>
      </c>
      <c r="M97" s="2" t="inlineStr">
        <is>
          <t>Use D08_Maturity_Anchors and score observable metric behaviour: 0 absent; 1 isolated/reactive; 2 emerging/selected; 3 structured/repeatable; 4 integrated/outcome-visible; 5 adaptive/continuously improving.</t>
        </is>
      </c>
      <c r="N97" s="2" t="inlineStr">
        <is>
          <t>0–5 on existence → operating use → repeatability → integration → measured improvement/learning. Policy publication, attendance or isolated pilots cannot establish high depth.</t>
        </is>
      </c>
      <c r="O97" s="2" t="inlineStr">
        <is>
          <t>Use only where a legitimate observable outcome exists. If no valid outcome exists, Outcome=N/A and renormalise maturity/implementation; never invent an outcome.</t>
        </is>
      </c>
      <c r="P97" s="2" t="inlineStr">
        <is>
          <t>Minimum E2 evidence. For score ≥3 require a dated operating example plus corroboration; outcome claims use E3; E4 preferred for independent/high-stakes claims.</t>
        </is>
      </c>
      <c r="Q97" s="2" t="inlineStr">
        <is>
          <t>Report E0–E4 confidence separately from capability score. E0/E1 cannot substantiate maturity ≥3; E2 supports routine practice; E3 outcome; E4 independent/triangulated.</t>
        </is>
      </c>
      <c r="R97" s="2" t="inlineStr">
        <is>
          <t>N/A only for genuine mandate/context inapplicability with assessor approval. Missing data or poor performance is not N/A; approved N/A is excluded from denominator and reported.</t>
        </is>
      </c>
      <c r="S97" s="2" t="inlineStr">
        <is>
          <t>No narrative-only uplift. Require dated artefact/process/work sample and cross-check against a second source, outcome or independent evidence. Policy-only evidence caps maturity at 2.</t>
        </is>
      </c>
      <c r="T97" s="2" t="inlineStr">
        <is>
          <t>Check D02 governance and D11 action/adaptation; data is an enabler, not resilience.</t>
        </is>
      </c>
      <c r="U97" s="2" t="inlineStr">
        <is>
          <t>CIO/CTO/Data Governance owner</t>
        </is>
      </c>
      <c r="V97" s="2" t="inlineStr">
        <is>
          <t>GREEN — EXISTING PATH RETAINED</t>
        </is>
      </c>
      <c r="W97" s="2" t="inlineStr">
        <is>
          <t>Measurement path explicit at metric level. This GREEN status means architecture completeness, not empirical validation of the index.</t>
        </is>
      </c>
    </row>
    <row r="98">
      <c r="A98" s="2" t="inlineStr">
        <is>
          <t>D08</t>
        </is>
      </c>
      <c r="B98" s="2" t="inlineStr">
        <is>
          <t>I06</t>
        </is>
      </c>
      <c r="C98" s="2" t="inlineStr">
        <is>
          <t>AI Enablement Readiness</t>
        </is>
      </c>
      <c r="D98" s="2" t="inlineStr">
        <is>
          <t>Whether infrastructure and data can responsibly support AI-enabled activity.</t>
        </is>
      </c>
      <c r="E98" s="2" t="inlineStr">
        <is>
          <t>CIO/CTO/Data Governance owner</t>
        </is>
      </c>
      <c r="F98" s="2" t="inlineStr">
        <is>
          <t>NEW</t>
        </is>
      </c>
      <c r="G98" s="2" t="inlineStr">
        <is>
          <t>D08.3</t>
        </is>
      </c>
      <c r="H98" s="2" t="inlineStr">
        <is>
          <t>Existing architecture; metric-level extraction rule added here.</t>
        </is>
      </c>
      <c r="I98" s="2" t="inlineStr">
        <is>
          <t>Capability/process demonstration rubric + evidence</t>
        </is>
      </c>
      <c r="J98" s="2" t="inlineStr">
        <is>
          <t>0–5</t>
        </is>
      </c>
      <c r="K9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8" s="2" t="inlineStr">
        <is>
          <t>Current state + most recent completed academic year; 24-month window for change/experimentation metrics</t>
        </is>
      </c>
      <c r="M98" s="2" t="inlineStr">
        <is>
          <t>Use D08_Maturity_Anchors and score observable metric behaviour: 0 absent; 1 isolated/reactive; 2 emerging/selected; 3 structured/repeatable; 4 integrated/outcome-visible; 5 adaptive/continuously improving.</t>
        </is>
      </c>
      <c r="N98" s="2" t="inlineStr">
        <is>
          <t>0–5 on existence → operating use → repeatability → integration → measured improvement/learning. Policy publication, attendance or isolated pilots cannot establish high depth.</t>
        </is>
      </c>
      <c r="O98" s="2" t="inlineStr">
        <is>
          <t>Use only where a legitimate observable outcome exists. If no valid outcome exists, Outcome=N/A and renormalise maturity/implementation; never invent an outcome.</t>
        </is>
      </c>
      <c r="P98" s="2" t="inlineStr">
        <is>
          <t>Minimum E2 evidence. For score ≥3 require a dated operating example plus corroboration; outcome claims use E3; E4 preferred for independent/high-stakes claims.</t>
        </is>
      </c>
      <c r="Q98" s="2" t="inlineStr">
        <is>
          <t>Report E0–E4 confidence separately from capability score. E0/E1 cannot substantiate maturity ≥3; E2 supports routine practice; E3 outcome; E4 independent/triangulated.</t>
        </is>
      </c>
      <c r="R98" s="2" t="inlineStr">
        <is>
          <t>N/A only for genuine mandate/context inapplicability with assessor approval. Missing data or poor performance is not N/A; approved N/A is excluded from denominator and reported.</t>
        </is>
      </c>
      <c r="S98" s="2" t="inlineStr">
        <is>
          <t>No narrative-only uplift. Require dated artefact/process/work sample and cross-check against a second source, outcome or independent evidence. Policy-only evidence caps maturity at 2.</t>
        </is>
      </c>
      <c r="T98" s="2" t="inlineStr">
        <is>
          <t>Check D02 governance and D11 action/adaptation; data is an enabler, not resilience.</t>
        </is>
      </c>
      <c r="U98" s="2" t="inlineStr">
        <is>
          <t>CIO/CTO/Data Governance owner</t>
        </is>
      </c>
      <c r="V98" s="2" t="inlineStr">
        <is>
          <t>GREEN — REMEDIATED</t>
        </is>
      </c>
      <c r="W98" s="2" t="inlineStr">
        <is>
          <t>Measurement path explicit at metric level. This GREEN status means architecture completeness, not empirical validation of the index.</t>
        </is>
      </c>
    </row>
    <row r="99">
      <c r="A99" s="2" t="inlineStr">
        <is>
          <t>D08</t>
        </is>
      </c>
      <c r="B99" s="2" t="inlineStr">
        <is>
          <t>I07</t>
        </is>
      </c>
      <c r="C99" s="2" t="inlineStr">
        <is>
          <t>Cyber &amp; Information Security</t>
        </is>
      </c>
      <c r="D99" s="2" t="inlineStr">
        <is>
          <t>Protection of institutional information, systems and users.</t>
        </is>
      </c>
      <c r="E99" s="2" t="inlineStr">
        <is>
          <t>CIO/CTO/Data Governance owner</t>
        </is>
      </c>
      <c r="F99" s="2" t="inlineStr">
        <is>
          <t>NEW</t>
        </is>
      </c>
      <c r="G99" s="2" t="inlineStr">
        <is>
          <t>D08.3</t>
        </is>
      </c>
      <c r="H99" s="2" t="inlineStr">
        <is>
          <t>Existing architecture; metric-level extraction rule added here.</t>
        </is>
      </c>
      <c r="I99" s="2" t="inlineStr">
        <is>
          <t>Control-effectiveness rubric + evidence-coded score</t>
        </is>
      </c>
      <c r="J99" s="2" t="inlineStr">
        <is>
          <t>0–5</t>
        </is>
      </c>
      <c r="K9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9" s="2" t="inlineStr">
        <is>
          <t>Current state + most recent completed academic year; 24-month window for change/experimentation metrics</t>
        </is>
      </c>
      <c r="M99" s="2" t="inlineStr">
        <is>
          <t>Use D08_Maturity_Anchors and score observable metric behaviour: 0 absent; 1 isolated/reactive; 2 emerging/selected; 3 structured/repeatable; 4 integrated/outcome-visible; 5 adaptive/continuously improving.</t>
        </is>
      </c>
      <c r="N99" s="2" t="inlineStr">
        <is>
          <t>0–5 on existence → operating use → repeatability → integration → measured improvement/learning. Policy publication, attendance or isolated pilots cannot establish high depth.</t>
        </is>
      </c>
      <c r="O99" s="2" t="inlineStr">
        <is>
          <t>Use only where a legitimate observable outcome exists. If no valid outcome exists, Outcome=N/A and renormalise maturity/implementation; never invent an outcome.</t>
        </is>
      </c>
      <c r="P99" s="2" t="inlineStr">
        <is>
          <t>Minimum E2 evidence. For score ≥3 require a dated operating example plus corroboration; outcome claims use E3; E4 preferred for independent/high-stakes claims.</t>
        </is>
      </c>
      <c r="Q99" s="2" t="inlineStr">
        <is>
          <t>Report E0–E4 confidence separately from capability score. E0/E1 cannot substantiate maturity ≥3; E2 supports routine practice; E3 outcome; E4 independent/triangulated.</t>
        </is>
      </c>
      <c r="R99" s="2" t="inlineStr">
        <is>
          <t>N/A only for genuine mandate/context inapplicability with assessor approval. Missing data or poor performance is not N/A; approved N/A is excluded from denominator and reported.</t>
        </is>
      </c>
      <c r="S99" s="2" t="inlineStr">
        <is>
          <t>No narrative-only uplift. Require dated artefact/process/work sample and cross-check against a second source, outcome or independent evidence. Policy-only evidence caps maturity at 2.</t>
        </is>
      </c>
      <c r="T99" s="2" t="inlineStr">
        <is>
          <t>Check D02 governance and D11 action/adaptation; data is an enabler, not resilience.</t>
        </is>
      </c>
      <c r="U99" s="2" t="inlineStr">
        <is>
          <t>CIO/CTO/Data Governance owner</t>
        </is>
      </c>
      <c r="V99" s="2" t="inlineStr">
        <is>
          <t>GREEN — REMEDIATED</t>
        </is>
      </c>
      <c r="W99" s="2" t="inlineStr">
        <is>
          <t>Measurement path explicit at metric level. This GREEN status means architecture completeness, not empirical validation of the index.</t>
        </is>
      </c>
    </row>
    <row r="100">
      <c r="A100" s="2" t="inlineStr">
        <is>
          <t>D08</t>
        </is>
      </c>
      <c r="B100" s="2" t="inlineStr">
        <is>
          <t>I08</t>
        </is>
      </c>
      <c r="C100" s="2" t="inlineStr">
        <is>
          <t>Data Privacy Readiness</t>
        </is>
      </c>
      <c r="D100" s="2" t="inlineStr">
        <is>
          <t>Controls governing sensitive student, faculty and research information.</t>
        </is>
      </c>
      <c r="E100" s="2" t="inlineStr">
        <is>
          <t>CIO/CTO/Data Governance owner</t>
        </is>
      </c>
      <c r="F100" s="2" t="inlineStr">
        <is>
          <t>NEW</t>
        </is>
      </c>
      <c r="G100" s="2" t="inlineStr">
        <is>
          <t>D08.3</t>
        </is>
      </c>
      <c r="H100" s="2" t="inlineStr">
        <is>
          <t>Existing architecture; metric-level extraction rule added here.</t>
        </is>
      </c>
      <c r="I100" s="2" t="inlineStr">
        <is>
          <t>Control-effectiveness rubric + evidence-coded score</t>
        </is>
      </c>
      <c r="J100" s="2" t="inlineStr">
        <is>
          <t>0–5</t>
        </is>
      </c>
      <c r="K10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0" s="2" t="inlineStr">
        <is>
          <t>Current state + most recent completed academic year; 24-month window for change/experimentation metrics</t>
        </is>
      </c>
      <c r="M100" s="2" t="inlineStr">
        <is>
          <t>Use D08_Maturity_Anchors and score observable metric behaviour: 0 absent; 1 isolated/reactive; 2 emerging/selected; 3 structured/repeatable; 4 integrated/outcome-visible; 5 adaptive/continuously improving.</t>
        </is>
      </c>
      <c r="N100" s="2" t="inlineStr">
        <is>
          <t>0–5 on existence → operating use → repeatability → integration → measured improvement/learning. Policy publication, attendance or isolated pilots cannot establish high depth.</t>
        </is>
      </c>
      <c r="O100" s="2" t="inlineStr">
        <is>
          <t>Use only where a legitimate observable outcome exists. If no valid outcome exists, Outcome=N/A and renormalise maturity/implementation; never invent an outcome.</t>
        </is>
      </c>
      <c r="P100" s="2" t="inlineStr">
        <is>
          <t>Minimum E2 evidence. For score ≥3 require a dated operating example plus corroboration; outcome claims use E3; E4 preferred for independent/high-stakes claims.</t>
        </is>
      </c>
      <c r="Q100" s="2" t="inlineStr">
        <is>
          <t>Report E0–E4 confidence separately from capability score. E0/E1 cannot substantiate maturity ≥3; E2 supports routine practice; E3 outcome; E4 independent/triangulated.</t>
        </is>
      </c>
      <c r="R100" s="2" t="inlineStr">
        <is>
          <t>N/A only for genuine mandate/context inapplicability with assessor approval. Missing data or poor performance is not N/A; approved N/A is excluded from denominator and reported.</t>
        </is>
      </c>
      <c r="S100" s="2" t="inlineStr">
        <is>
          <t>No narrative-only uplift. Require dated artefact/process/work sample and cross-check against a second source, outcome or independent evidence. Policy-only evidence caps maturity at 2.</t>
        </is>
      </c>
      <c r="T100" s="2" t="inlineStr">
        <is>
          <t>Check D02 governance and D11 action/adaptation; data is an enabler, not resilience.</t>
        </is>
      </c>
      <c r="U100" s="2" t="inlineStr">
        <is>
          <t>CIO/CTO/Data Governance owner</t>
        </is>
      </c>
      <c r="V100" s="2" t="inlineStr">
        <is>
          <t>GREEN — REMEDIATED</t>
        </is>
      </c>
      <c r="W100" s="2" t="inlineStr">
        <is>
          <t>Measurement path explicit at metric level. This GREEN status means architecture completeness, not empirical validation of the index.</t>
        </is>
      </c>
    </row>
    <row r="101">
      <c r="A101" s="2" t="inlineStr">
        <is>
          <t>D08</t>
        </is>
      </c>
      <c r="B101" s="2" t="inlineStr">
        <is>
          <t>I09</t>
        </is>
      </c>
      <c r="C101" s="2" t="inlineStr">
        <is>
          <t>Digital Equity &amp; Access</t>
        </is>
      </c>
      <c r="D101" s="2" t="inlineStr">
        <is>
          <t>Ability to provide appropriate digital/AI access across student groups.</t>
        </is>
      </c>
      <c r="E101" s="2" t="inlineStr">
        <is>
          <t>CIO/CTO/Data Governance owner</t>
        </is>
      </c>
      <c r="F101" s="2" t="inlineStr">
        <is>
          <t>NEW</t>
        </is>
      </c>
      <c r="G101" s="2" t="inlineStr">
        <is>
          <t>D08.3</t>
        </is>
      </c>
      <c r="H101" s="2" t="inlineStr">
        <is>
          <t>Existing architecture; metric-level extraction rule added here.</t>
        </is>
      </c>
      <c r="I101" s="2" t="inlineStr">
        <is>
          <t>Coverage/access + 0–5 rubric</t>
        </is>
      </c>
      <c r="J101" s="2" t="inlineStr">
        <is>
          <t>coverage/access % + 0–5</t>
        </is>
      </c>
      <c r="K10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1" s="2" t="inlineStr">
        <is>
          <t>Current state + most recent completed academic year; 24-month window for change/experimentation metrics</t>
        </is>
      </c>
      <c r="M101" s="2" t="inlineStr">
        <is>
          <t>Use D08_Maturity_Anchors and score observable metric behaviour: 0 absent; 1 isolated/reactive; 2 emerging/selected; 3 structured/repeatable; 4 integrated/outcome-visible; 5 adaptive/continuously improving.</t>
        </is>
      </c>
      <c r="N101" s="2" t="inlineStr">
        <is>
          <t>0–5 on existence → operating use → repeatability → integration → measured improvement/learning. Policy publication, attendance or isolated pilots cannot establish high depth.</t>
        </is>
      </c>
      <c r="O101" s="2" t="inlineStr">
        <is>
          <t>Use only where a legitimate observable outcome exists. If no valid outcome exists, Outcome=N/A and renormalise maturity/implementation; never invent an outcome.</t>
        </is>
      </c>
      <c r="P101" s="2" t="inlineStr">
        <is>
          <t>Minimum E2 evidence. For score ≥3 require a dated operating example plus corroboration; outcome claims use E3; E4 preferred for independent/high-stakes claims.</t>
        </is>
      </c>
      <c r="Q101" s="2" t="inlineStr">
        <is>
          <t>Report E0–E4 confidence separately from capability score. E0/E1 cannot substantiate maturity ≥3; E2 supports routine practice; E3 outcome; E4 independent/triangulated.</t>
        </is>
      </c>
      <c r="R101" s="2" t="inlineStr">
        <is>
          <t>N/A only for genuine mandate/context inapplicability with assessor approval. Missing data or poor performance is not N/A; approved N/A is excluded from denominator and reported.</t>
        </is>
      </c>
      <c r="S101" s="2" t="inlineStr">
        <is>
          <t>No narrative-only uplift. Require dated artefact/process/work sample and cross-check against a second source, outcome or independent evidence. Policy-only evidence caps maturity at 2.</t>
        </is>
      </c>
      <c r="T101" s="2" t="inlineStr">
        <is>
          <t>Check D02 governance and D11 action/adaptation; data is an enabler, not resilience.</t>
        </is>
      </c>
      <c r="U101" s="2" t="inlineStr">
        <is>
          <t>CIO/CTO/Data Governance owner</t>
        </is>
      </c>
      <c r="V101" s="2" t="inlineStr">
        <is>
          <t>GREEN — REMEDIATED</t>
        </is>
      </c>
      <c r="W101" s="2" t="inlineStr">
        <is>
          <t>Measurement path explicit at metric level. This GREEN status means architecture completeness, not empirical validation of the index.</t>
        </is>
      </c>
    </row>
    <row r="102">
      <c r="A102" s="2" t="inlineStr">
        <is>
          <t>D08</t>
        </is>
      </c>
      <c r="B102" s="2" t="inlineStr">
        <is>
          <t>I10</t>
        </is>
      </c>
      <c r="C102" s="2" t="inlineStr">
        <is>
          <t>Technology Decision Governance</t>
        </is>
      </c>
      <c r="D102" s="2" t="inlineStr">
        <is>
          <t>How technology choices are evaluated, prioritised and governed.</t>
        </is>
      </c>
      <c r="E102" s="2" t="inlineStr">
        <is>
          <t>CIO/CTO/Data Governance owner</t>
        </is>
      </c>
      <c r="F102" s="2" t="inlineStr">
        <is>
          <t>NEW</t>
        </is>
      </c>
      <c r="G102" s="2" t="inlineStr">
        <is>
          <t>NEW</t>
        </is>
      </c>
      <c r="H102" s="2" t="inlineStr">
        <is>
          <t>Technology Decision Governance Test</t>
        </is>
      </c>
      <c r="I102" s="2" t="inlineStr">
        <is>
          <t>Control-effectiveness rubric + evidence-coded score</t>
        </is>
      </c>
      <c r="J102" s="2" t="inlineStr">
        <is>
          <t>0–5</t>
        </is>
      </c>
      <c r="K10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2" s="2" t="inlineStr">
        <is>
          <t>Current state + most recent completed academic year; 24-month window for change/experimentation metrics</t>
        </is>
      </c>
      <c r="M102" s="2" t="inlineStr">
        <is>
          <t>Use D08_Maturity_Anchors and score observable metric behaviour: 0 absent; 1 isolated/reactive; 2 emerging/selected; 3 structured/repeatable; 4 integrated/outcome-visible; 5 adaptive/continuously improving.</t>
        </is>
      </c>
      <c r="N102" s="2" t="inlineStr">
        <is>
          <t>0–5 on existence → operating use → repeatability → integration → measured improvement/learning. Policy publication, attendance or isolated pilots cannot establish high depth.</t>
        </is>
      </c>
      <c r="O102" s="2" t="inlineStr">
        <is>
          <t>Use only where a legitimate observable outcome exists. If no valid outcome exists, Outcome=N/A and renormalise maturity/implementation; never invent an outcome.</t>
        </is>
      </c>
      <c r="P102" s="2" t="inlineStr">
        <is>
          <t>Minimum E2 evidence. For score ≥3 require a dated operating example plus corroboration; outcome claims use E3; E4 preferred for independent/high-stakes claims.</t>
        </is>
      </c>
      <c r="Q102" s="2" t="inlineStr">
        <is>
          <t>Report E0–E4 confidence separately from capability score. E0/E1 cannot substantiate maturity ≥3; E2 supports routine practice; E3 outcome; E4 independent/triangulated.</t>
        </is>
      </c>
      <c r="R102" s="2" t="inlineStr">
        <is>
          <t>N/A only for genuine mandate/context inapplicability with assessor approval. Missing data or poor performance is not N/A; approved N/A is excluded from denominator and reported.</t>
        </is>
      </c>
      <c r="S102" s="2" t="inlineStr">
        <is>
          <t>No narrative-only uplift. Require dated artefact/process/work sample and cross-check against a second source, outcome or independent evidence. Policy-only evidence caps maturity at 2.</t>
        </is>
      </c>
      <c r="T102" s="2" t="inlineStr">
        <is>
          <t>Check D02 governance and D11 action/adaptation; data is an enabler, not resilience.</t>
        </is>
      </c>
      <c r="U102" s="2" t="inlineStr">
        <is>
          <t>CIO/CTO/Data Governance owner</t>
        </is>
      </c>
      <c r="V102" s="2" t="inlineStr">
        <is>
          <t>GREEN — REMEDIATED</t>
        </is>
      </c>
      <c r="W102" s="2" t="inlineStr">
        <is>
          <t>Measurement path explicit at metric level. This GREEN status means architecture completeness, not empirical validation of the index.</t>
        </is>
      </c>
    </row>
    <row r="103">
      <c r="A103" s="2" t="inlineStr">
        <is>
          <t>D08</t>
        </is>
      </c>
      <c r="B103" s="2" t="inlineStr">
        <is>
          <t>I11</t>
        </is>
      </c>
      <c r="C103" s="2" t="inlineStr">
        <is>
          <t>Digital Process Maturity</t>
        </is>
      </c>
      <c r="D103" s="2" t="inlineStr">
        <is>
          <t>Extent to which institutional workflows are digitally enabled and intelligently designed.</t>
        </is>
      </c>
      <c r="E103" s="2" t="inlineStr">
        <is>
          <t>CIO/CTO/Data Governance owner</t>
        </is>
      </c>
      <c r="F103" s="2" t="inlineStr">
        <is>
          <t>NEW</t>
        </is>
      </c>
      <c r="G103" s="2" t="inlineStr">
        <is>
          <t>NEW</t>
        </is>
      </c>
      <c r="H103" s="2" t="inlineStr">
        <is>
          <t>Digital Process Maturity Test</t>
        </is>
      </c>
      <c r="I103" s="2" t="inlineStr">
        <is>
          <t>Capability/process demonstration rubric + evidence</t>
        </is>
      </c>
      <c r="J103" s="2" t="inlineStr">
        <is>
          <t>0–5</t>
        </is>
      </c>
      <c r="K10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3" s="2" t="inlineStr">
        <is>
          <t>Current state + most recent completed academic year; 24-month window for change/experimentation metrics</t>
        </is>
      </c>
      <c r="M103" s="2" t="inlineStr">
        <is>
          <t>Use D08_Maturity_Anchors and score observable metric behaviour: 0 absent; 1 isolated/reactive; 2 emerging/selected; 3 structured/repeatable; 4 integrated/outcome-visible; 5 adaptive/continuously improving.</t>
        </is>
      </c>
      <c r="N103" s="2" t="inlineStr">
        <is>
          <t>0–5 on existence → operating use → repeatability → integration → measured improvement/learning. Policy publication, attendance or isolated pilots cannot establish high depth.</t>
        </is>
      </c>
      <c r="O103" s="2" t="inlineStr">
        <is>
          <t>Use only where a legitimate observable outcome exists. If no valid outcome exists, Outcome=N/A and renormalise maturity/implementation; never invent an outcome.</t>
        </is>
      </c>
      <c r="P103" s="2" t="inlineStr">
        <is>
          <t>Minimum E2 evidence. For score ≥3 require a dated operating example plus corroboration; outcome claims use E3; E4 preferred for independent/high-stakes claims.</t>
        </is>
      </c>
      <c r="Q103" s="2" t="inlineStr">
        <is>
          <t>Report E0–E4 confidence separately from capability score. E0/E1 cannot substantiate maturity ≥3; E2 supports routine practice; E3 outcome; E4 independent/triangulated.</t>
        </is>
      </c>
      <c r="R103" s="2" t="inlineStr">
        <is>
          <t>N/A only for genuine mandate/context inapplicability with assessor approval. Missing data or poor performance is not N/A; approved N/A is excluded from denominator and reported.</t>
        </is>
      </c>
      <c r="S103" s="2" t="inlineStr">
        <is>
          <t>No narrative-only uplift. Require dated artefact/process/work sample and cross-check against a second source, outcome or independent evidence. Policy-only evidence caps maturity at 2.</t>
        </is>
      </c>
      <c r="T103" s="2" t="inlineStr">
        <is>
          <t>Check D02 governance and D11 action/adaptation; data is an enabler, not resilience.</t>
        </is>
      </c>
      <c r="U103" s="2" t="inlineStr">
        <is>
          <t>CIO/CTO/Data Governance owner</t>
        </is>
      </c>
      <c r="V103" s="2" t="inlineStr">
        <is>
          <t>GREEN — REMEDIATED</t>
        </is>
      </c>
      <c r="W103" s="2" t="inlineStr">
        <is>
          <t>Measurement path explicit at metric level. This GREEN status means architecture completeness, not empirical validation of the index.</t>
        </is>
      </c>
    </row>
    <row r="104">
      <c r="A104" s="2" t="inlineStr">
        <is>
          <t>D08</t>
        </is>
      </c>
      <c r="B104" s="2" t="inlineStr">
        <is>
          <t>I12</t>
        </is>
      </c>
      <c r="C104" s="2" t="inlineStr">
        <is>
          <t>Institutional Intelligence Capability</t>
        </is>
      </c>
      <c r="D104" s="2" t="inlineStr">
        <is>
          <t>Ability to turn fragmented data into actionable institutional understanding.</t>
        </is>
      </c>
      <c r="E104" s="2" t="inlineStr">
        <is>
          <t>CIO/CTO/Data Governance owner</t>
        </is>
      </c>
      <c r="F104" s="2" t="inlineStr">
        <is>
          <t>NEW</t>
        </is>
      </c>
      <c r="G104" s="2" t="inlineStr">
        <is>
          <t>D08.1; D08.4</t>
        </is>
      </c>
      <c r="H104" s="2" t="inlineStr">
        <is>
          <t>Existing architecture; metric-level extraction rule added here.</t>
        </is>
      </c>
      <c r="I104" s="2" t="inlineStr">
        <is>
          <t>Capability/process demonstration rubric + evidence</t>
        </is>
      </c>
      <c r="J104" s="2" t="inlineStr">
        <is>
          <t>0–5</t>
        </is>
      </c>
      <c r="K10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4" s="2" t="inlineStr">
        <is>
          <t>Current state + most recent completed academic year; 24-month window for change/experimentation metrics</t>
        </is>
      </c>
      <c r="M104" s="2" t="inlineStr">
        <is>
          <t>Use D08_Maturity_Anchors and score observable metric behaviour: 0 absent; 1 isolated/reactive; 2 emerging/selected; 3 structured/repeatable; 4 integrated/outcome-visible; 5 adaptive/continuously improving.</t>
        </is>
      </c>
      <c r="N104" s="2" t="inlineStr">
        <is>
          <t>0–5 on existence → operating use → repeatability → integration → measured improvement/learning. Policy publication, attendance or isolated pilots cannot establish high depth.</t>
        </is>
      </c>
      <c r="O104" s="2" t="inlineStr">
        <is>
          <t>Use only where a legitimate observable outcome exists. If no valid outcome exists, Outcome=N/A and renormalise maturity/implementation; never invent an outcome.</t>
        </is>
      </c>
      <c r="P104" s="2" t="inlineStr">
        <is>
          <t>Minimum E2 evidence. For score ≥3 require a dated operating example plus corroboration; outcome claims use E3; E4 preferred for independent/high-stakes claims.</t>
        </is>
      </c>
      <c r="Q104" s="2" t="inlineStr">
        <is>
          <t>Report E0–E4 confidence separately from capability score. E0/E1 cannot substantiate maturity ≥3; E2 supports routine practice; E3 outcome; E4 independent/triangulated.</t>
        </is>
      </c>
      <c r="R104" s="2" t="inlineStr">
        <is>
          <t>N/A only for genuine mandate/context inapplicability with assessor approval. Missing data or poor performance is not N/A; approved N/A is excluded from denominator and reported.</t>
        </is>
      </c>
      <c r="S104" s="2" t="inlineStr">
        <is>
          <t>No narrative-only uplift. Require dated artefact/process/work sample and cross-check against a second source, outcome or independent evidence. Policy-only evidence caps maturity at 2.</t>
        </is>
      </c>
      <c r="T104" s="2" t="inlineStr">
        <is>
          <t>Check D02 governance and D11 action/adaptation; data is an enabler, not resilience.</t>
        </is>
      </c>
      <c r="U104" s="2" t="inlineStr">
        <is>
          <t>CIO/CTO/Data Governance owner</t>
        </is>
      </c>
      <c r="V104" s="2" t="inlineStr">
        <is>
          <t>GREEN — EXISTING PATH RETAINED</t>
        </is>
      </c>
      <c r="W104" s="2" t="inlineStr">
        <is>
          <t>Measurement path explicit at metric level. This GREEN status means architecture completeness, not empirical validation of the index.</t>
        </is>
      </c>
    </row>
    <row r="105">
      <c r="A105" s="2" t="inlineStr">
        <is>
          <t>D09</t>
        </is>
      </c>
      <c r="B105" s="2" t="inlineStr">
        <is>
          <t>I01</t>
        </is>
      </c>
      <c r="C105" s="2" t="inlineStr">
        <is>
          <t>Employer Demand Sensing</t>
        </is>
      </c>
      <c r="D105" s="2" t="inlineStr">
        <is>
          <t>How systematically the institution understands changing employer and sector capability needs.</t>
        </is>
      </c>
      <c r="E105" s="2" t="inlineStr">
        <is>
          <t>Career/Industry Engagement owner</t>
        </is>
      </c>
      <c r="F105" s="2" t="inlineStr">
        <is>
          <t>NEW</t>
        </is>
      </c>
      <c r="G105" s="2" t="inlineStr">
        <is>
          <t>D09.1</t>
        </is>
      </c>
      <c r="H105" s="2" t="inlineStr">
        <is>
          <t>Existing architecture; metric-level extraction rule added here.</t>
        </is>
      </c>
      <c r="I105" s="2" t="inlineStr">
        <is>
          <t>Capability/process demonstration rubric + evidence</t>
        </is>
      </c>
      <c r="J105" s="2" t="inlineStr">
        <is>
          <t>0–5</t>
        </is>
      </c>
      <c r="K10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5" s="2" t="inlineStr">
        <is>
          <t>Current state + most recent completed academic year; 24-month window for change/experimentation metrics</t>
        </is>
      </c>
      <c r="M105" s="2" t="inlineStr">
        <is>
          <t>Use D09_Maturity_Anchors and score observable metric behaviour: 0 absent; 1 isolated/reactive; 2 emerging/selected; 3 structured/repeatable; 4 integrated/outcome-visible; 5 adaptive/continuously improving.</t>
        </is>
      </c>
      <c r="N105" s="2" t="inlineStr">
        <is>
          <t>0–5 on existence → operating use → repeatability → integration → measured improvement/learning. Policy publication, attendance or isolated pilots cannot establish high depth.</t>
        </is>
      </c>
      <c r="O105" s="2" t="inlineStr">
        <is>
          <t>Use only where a legitimate observable outcome exists. If no valid outcome exists, Outcome=N/A and renormalise maturity/implementation; never invent an outcome.</t>
        </is>
      </c>
      <c r="P105" s="2" t="inlineStr">
        <is>
          <t>Minimum E2 evidence. For score ≥3 require a dated operating example plus corroboration; outcome claims use E3; E4 preferred for independent/high-stakes claims.</t>
        </is>
      </c>
      <c r="Q105" s="2" t="inlineStr">
        <is>
          <t>Report E0–E4 confidence separately from capability score. E0/E1 cannot substantiate maturity ≥3; E2 supports routine practice; E3 outcome; E4 independent/triangulated.</t>
        </is>
      </c>
      <c r="R105" s="2" t="inlineStr">
        <is>
          <t>N/A only for genuine mandate/context inapplicability with assessor approval. Missing data or poor performance is not N/A; approved N/A is excluded from denominator and reported.</t>
        </is>
      </c>
      <c r="S105" s="2" t="inlineStr">
        <is>
          <t>No narrative-only uplift. Require dated artefact/process/work sample and cross-check against a second source, outcome or independent evidence. Policy-only evidence caps maturity at 2.</t>
        </is>
      </c>
      <c r="T105" s="2" t="inlineStr">
        <is>
          <t>Check D06 capability evidence, D04 programme response and D10 external value; avoid duplicate signal scoring.</t>
        </is>
      </c>
      <c r="U105" s="2" t="inlineStr">
        <is>
          <t>Career/Industry Engagement owner</t>
        </is>
      </c>
      <c r="V105" s="2" t="inlineStr">
        <is>
          <t>GREEN — EXISTING PATH RETAINED</t>
        </is>
      </c>
      <c r="W105" s="2" t="inlineStr">
        <is>
          <t>Measurement path explicit at metric level. This GREEN status means architecture completeness, not empirical validation of the index.</t>
        </is>
      </c>
    </row>
    <row r="106">
      <c r="A106" s="2" t="inlineStr">
        <is>
          <t>D09</t>
        </is>
      </c>
      <c r="B106" s="2" t="inlineStr">
        <is>
          <t>I02</t>
        </is>
      </c>
      <c r="C106" s="2" t="inlineStr">
        <is>
          <t>Employability Capability Architecture</t>
        </is>
      </c>
      <c r="D106" s="2" t="inlineStr">
        <is>
          <t>Clarity of capabilities graduates are expected to possess beyond credentials.</t>
        </is>
      </c>
      <c r="E106" s="2" t="inlineStr">
        <is>
          <t>Career/Industry Engagement owner</t>
        </is>
      </c>
      <c r="F106" s="2" t="inlineStr">
        <is>
          <t>NEW</t>
        </is>
      </c>
      <c r="G106" s="2" t="inlineStr">
        <is>
          <t>D09.2</t>
        </is>
      </c>
      <c r="H106" s="2" t="inlineStr">
        <is>
          <t>Existing architecture; metric-level extraction rule added here.</t>
        </is>
      </c>
      <c r="I106" s="2" t="inlineStr">
        <is>
          <t>Capability/process demonstration rubric + evidence</t>
        </is>
      </c>
      <c r="J106" s="2" t="inlineStr">
        <is>
          <t>0–5</t>
        </is>
      </c>
      <c r="K10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6" s="2" t="inlineStr">
        <is>
          <t>Current state + most recent completed academic year; 24-month window for change/experimentation metrics</t>
        </is>
      </c>
      <c r="M106" s="2" t="inlineStr">
        <is>
          <t>Use D09_Maturity_Anchors and score observable metric behaviour: 0 absent; 1 isolated/reactive; 2 emerging/selected; 3 structured/repeatable; 4 integrated/outcome-visible; 5 adaptive/continuously improving.</t>
        </is>
      </c>
      <c r="N106" s="2" t="inlineStr">
        <is>
          <t>0–5 on existence → operating use → repeatability → integration → measured improvement/learning. Policy publication, attendance or isolated pilots cannot establish high depth.</t>
        </is>
      </c>
      <c r="O106" s="2" t="inlineStr">
        <is>
          <t>Use only where a legitimate observable outcome exists. If no valid outcome exists, Outcome=N/A and renormalise maturity/implementation; never invent an outcome.</t>
        </is>
      </c>
      <c r="P106" s="2" t="inlineStr">
        <is>
          <t>Minimum E2 evidence. For score ≥3 require a dated operating example plus corroboration; outcome claims use E3; E4 preferred for independent/high-stakes claims.</t>
        </is>
      </c>
      <c r="Q106" s="2" t="inlineStr">
        <is>
          <t>Report E0–E4 confidence separately from capability score. E0/E1 cannot substantiate maturity ≥3; E2 supports routine practice; E3 outcome; E4 independent/triangulated.</t>
        </is>
      </c>
      <c r="R106" s="2" t="inlineStr">
        <is>
          <t>N/A only for genuine mandate/context inapplicability with assessor approval. Missing data or poor performance is not N/A; approved N/A is excluded from denominator and reported.</t>
        </is>
      </c>
      <c r="S106" s="2" t="inlineStr">
        <is>
          <t>No narrative-only uplift. Require dated artefact/process/work sample and cross-check against a second source, outcome or independent evidence. Policy-only evidence caps maturity at 2.</t>
        </is>
      </c>
      <c r="T106" s="2" t="inlineStr">
        <is>
          <t>Check D06 capability evidence, D04 programme response and D10 external value; avoid duplicate signal scoring.</t>
        </is>
      </c>
      <c r="U106" s="2" t="inlineStr">
        <is>
          <t>Career/Industry Engagement owner</t>
        </is>
      </c>
      <c r="V106" s="2" t="inlineStr">
        <is>
          <t>GREEN — REMEDIATED</t>
        </is>
      </c>
      <c r="W106" s="2" t="inlineStr">
        <is>
          <t>Measurement path explicit at metric level. This GREEN status means architecture completeness, not empirical validation of the index.</t>
        </is>
      </c>
    </row>
    <row r="107">
      <c r="A107" s="2" t="inlineStr">
        <is>
          <t>D09</t>
        </is>
      </c>
      <c r="B107" s="2" t="inlineStr">
        <is>
          <t>I03</t>
        </is>
      </c>
      <c r="C107" s="2" t="inlineStr">
        <is>
          <t>Industry-Validated Curriculum</t>
        </is>
      </c>
      <c r="D107" s="2" t="inlineStr">
        <is>
          <t>Depth of meaningful industry/professional input into programme design.</t>
        </is>
      </c>
      <c r="E107" s="2" t="inlineStr">
        <is>
          <t>Career/Industry Engagement owner</t>
        </is>
      </c>
      <c r="F107" s="2" t="inlineStr">
        <is>
          <t>NEW</t>
        </is>
      </c>
      <c r="G107" s="2" t="inlineStr">
        <is>
          <t>D09.2; D09.3</t>
        </is>
      </c>
      <c r="H107" s="2" t="inlineStr">
        <is>
          <t>Existing architecture; metric-level extraction rule added here.</t>
        </is>
      </c>
      <c r="I107" s="2" t="inlineStr">
        <is>
          <t>Capability/process demonstration rubric + evidence</t>
        </is>
      </c>
      <c r="J107" s="2" t="inlineStr">
        <is>
          <t>0–5</t>
        </is>
      </c>
      <c r="K10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7" s="2" t="inlineStr">
        <is>
          <t>Current state + most recent completed academic year; 24-month window for change/experimentation metrics</t>
        </is>
      </c>
      <c r="M107" s="2" t="inlineStr">
        <is>
          <t>Use D09_Maturity_Anchors and score observable metric behaviour: 0 absent; 1 isolated/reactive; 2 emerging/selected; 3 structured/repeatable; 4 integrated/outcome-visible; 5 adaptive/continuously improving.</t>
        </is>
      </c>
      <c r="N107" s="2" t="inlineStr">
        <is>
          <t>0–5 on existence → operating use → repeatability → integration → measured improvement/learning. Policy publication, attendance or isolated pilots cannot establish high depth.</t>
        </is>
      </c>
      <c r="O107" s="2" t="inlineStr">
        <is>
          <t>Use only where a legitimate observable outcome exists. If no valid outcome exists, Outcome=N/A and renormalise maturity/implementation; never invent an outcome.</t>
        </is>
      </c>
      <c r="P107" s="2" t="inlineStr">
        <is>
          <t>Minimum E2 evidence. For score ≥3 require a dated operating example plus corroboration; outcome claims use E3; E4 preferred for independent/high-stakes claims.</t>
        </is>
      </c>
      <c r="Q107" s="2" t="inlineStr">
        <is>
          <t>Report E0–E4 confidence separately from capability score. E0/E1 cannot substantiate maturity ≥3; E2 supports routine practice; E3 outcome; E4 independent/triangulated.</t>
        </is>
      </c>
      <c r="R107" s="2" t="inlineStr">
        <is>
          <t>N/A only for genuine mandate/context inapplicability with assessor approval. Missing data or poor performance is not N/A; approved N/A is excluded from denominator and reported.</t>
        </is>
      </c>
      <c r="S107" s="2" t="inlineStr">
        <is>
          <t>No narrative-only uplift. Require dated artefact/process/work sample and cross-check against a second source, outcome or independent evidence. Policy-only evidence caps maturity at 2.</t>
        </is>
      </c>
      <c r="T107" s="2" t="inlineStr">
        <is>
          <t>Check D06 capability evidence, D04 programme response and D10 external value; avoid duplicate signal scoring.</t>
        </is>
      </c>
      <c r="U107" s="2" t="inlineStr">
        <is>
          <t>Career/Industry Engagement owner</t>
        </is>
      </c>
      <c r="V107" s="2" t="inlineStr">
        <is>
          <t>GREEN — REMEDIATED</t>
        </is>
      </c>
      <c r="W107" s="2" t="inlineStr">
        <is>
          <t>Measurement path explicit at metric level. This GREEN status means architecture completeness, not empirical validation of the index.</t>
        </is>
      </c>
    </row>
    <row r="108">
      <c r="A108" s="2" t="inlineStr">
        <is>
          <t>D09</t>
        </is>
      </c>
      <c r="B108" s="2" t="inlineStr">
        <is>
          <t>I04</t>
        </is>
      </c>
      <c r="C108" s="2" t="inlineStr">
        <is>
          <t>Practice-Based Learning</t>
        </is>
      </c>
      <c r="D108" s="2" t="inlineStr">
        <is>
          <t>Extent of authentic projects, internships, field exposure and live problem-solving.</t>
        </is>
      </c>
      <c r="E108" s="2" t="inlineStr">
        <is>
          <t>Career/Industry Engagement owner</t>
        </is>
      </c>
      <c r="F108" s="2" t="inlineStr">
        <is>
          <t>NEW</t>
        </is>
      </c>
      <c r="G108" s="2" t="inlineStr">
        <is>
          <t>D09.3</t>
        </is>
      </c>
      <c r="H108" s="2" t="inlineStr">
        <is>
          <t>Existing architecture; metric-level extraction rule added here.</t>
        </is>
      </c>
      <c r="I108" s="2" t="inlineStr">
        <is>
          <t>Capability/process demonstration rubric + evidence</t>
        </is>
      </c>
      <c r="J108" s="2" t="inlineStr">
        <is>
          <t>0–5</t>
        </is>
      </c>
      <c r="K10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8" s="2" t="inlineStr">
        <is>
          <t>Current state + most recent completed academic year; 24-month window for change/experimentation metrics</t>
        </is>
      </c>
      <c r="M108" s="2" t="inlineStr">
        <is>
          <t>Use D09_Maturity_Anchors and score observable metric behaviour: 0 absent; 1 isolated/reactive; 2 emerging/selected; 3 structured/repeatable; 4 integrated/outcome-visible; 5 adaptive/continuously improving.</t>
        </is>
      </c>
      <c r="N108" s="2" t="inlineStr">
        <is>
          <t>0–5 on existence → operating use → repeatability → integration → measured improvement/learning. Policy publication, attendance or isolated pilots cannot establish high depth.</t>
        </is>
      </c>
      <c r="O108" s="2" t="inlineStr">
        <is>
          <t>Use only where a legitimate observable outcome exists. If no valid outcome exists, Outcome=N/A and renormalise maturity/implementation; never invent an outcome.</t>
        </is>
      </c>
      <c r="P108" s="2" t="inlineStr">
        <is>
          <t>Minimum E2 evidence. For score ≥3 require a dated operating example plus corroboration; outcome claims use E3; E4 preferred for independent/high-stakes claims.</t>
        </is>
      </c>
      <c r="Q108" s="2" t="inlineStr">
        <is>
          <t>Report E0–E4 confidence separately from capability score. E0/E1 cannot substantiate maturity ≥3; E2 supports routine practice; E3 outcome; E4 independent/triangulated.</t>
        </is>
      </c>
      <c r="R108" s="2" t="inlineStr">
        <is>
          <t>N/A only for genuine mandate/context inapplicability with assessor approval. Missing data or poor performance is not N/A; approved N/A is excluded from denominator and reported.</t>
        </is>
      </c>
      <c r="S108" s="2" t="inlineStr">
        <is>
          <t>No narrative-only uplift. Require dated artefact/process/work sample and cross-check against a second source, outcome or independent evidence. Policy-only evidence caps maturity at 2.</t>
        </is>
      </c>
      <c r="T108" s="2" t="inlineStr">
        <is>
          <t>Check D06 capability evidence, D04 programme response and D10 external value; avoid duplicate signal scoring.</t>
        </is>
      </c>
      <c r="U108" s="2" t="inlineStr">
        <is>
          <t>Career/Industry Engagement owner</t>
        </is>
      </c>
      <c r="V108" s="2" t="inlineStr">
        <is>
          <t>GREEN — REMEDIATED</t>
        </is>
      </c>
      <c r="W108" s="2" t="inlineStr">
        <is>
          <t>Measurement path explicit at metric level. This GREEN status means architecture completeness, not empirical validation of the index.</t>
        </is>
      </c>
    </row>
    <row r="109">
      <c r="A109" s="2" t="inlineStr">
        <is>
          <t>D09</t>
        </is>
      </c>
      <c r="B109" s="2" t="inlineStr">
        <is>
          <t>I05</t>
        </is>
      </c>
      <c r="C109" s="2" t="inlineStr">
        <is>
          <t>Recruiter Confidence</t>
        </is>
      </c>
      <c r="D109" s="2" t="inlineStr">
        <is>
          <t>Strength and quality of recurring employer relationships.</t>
        </is>
      </c>
      <c r="E109" s="2" t="inlineStr">
        <is>
          <t>Career/Industry Engagement owner</t>
        </is>
      </c>
      <c r="F109" s="2" t="inlineStr">
        <is>
          <t>NEW</t>
        </is>
      </c>
      <c r="G109" s="2" t="inlineStr">
        <is>
          <t>D09.4</t>
        </is>
      </c>
      <c r="H109" s="2" t="inlineStr">
        <is>
          <t>Existing architecture; metric-level extraction rule added here.</t>
        </is>
      </c>
      <c r="I109" s="2" t="inlineStr">
        <is>
          <t>Validated outcome/evidence + 0–5 rubric</t>
        </is>
      </c>
      <c r="J109" s="2" t="inlineStr">
        <is>
          <t>defined statistic + 0–5</t>
        </is>
      </c>
      <c r="K10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9" s="2" t="inlineStr">
        <is>
          <t>Current state + most recent completed academic year; 24-month window for change/experimentation metrics</t>
        </is>
      </c>
      <c r="M109" s="2" t="inlineStr">
        <is>
          <t>Use D09_Maturity_Anchors and score observable metric behaviour: 0 absent; 1 isolated/reactive; 2 emerging/selected; 3 structured/repeatable; 4 integrated/outcome-visible; 5 adaptive/continuously improving.</t>
        </is>
      </c>
      <c r="N109" s="2" t="inlineStr">
        <is>
          <t>0–5 on existence → operating use → repeatability → integration → measured improvement/learning. Policy publication, attendance or isolated pilots cannot establish high depth.</t>
        </is>
      </c>
      <c r="O109" s="2" t="inlineStr">
        <is>
          <t>Use only where a legitimate observable outcome exists. If no valid outcome exists, Outcome=N/A and renormalise maturity/implementation; never invent an outcome.</t>
        </is>
      </c>
      <c r="P109" s="2" t="inlineStr">
        <is>
          <t>Minimum E2 evidence. For score ≥3 require a dated operating example plus corroboration; outcome claims use E3; E4 preferred for independent/high-stakes claims.</t>
        </is>
      </c>
      <c r="Q109" s="2" t="inlineStr">
        <is>
          <t>Report E0–E4 confidence separately from capability score. E0/E1 cannot substantiate maturity ≥3; E2 supports routine practice; E3 outcome; E4 independent/triangulated.</t>
        </is>
      </c>
      <c r="R109" s="2" t="inlineStr">
        <is>
          <t>N/A only for genuine mandate/context inapplicability with assessor approval. Missing data or poor performance is not N/A; approved N/A is excluded from denominator and reported.</t>
        </is>
      </c>
      <c r="S109" s="2" t="inlineStr">
        <is>
          <t>No narrative-only uplift. Require dated artefact/process/work sample and cross-check against a second source, outcome or independent evidence. Policy-only evidence caps maturity at 2.</t>
        </is>
      </c>
      <c r="T109" s="2" t="inlineStr">
        <is>
          <t>Check D06 capability evidence, D04 programme response and D10 external value; avoid duplicate signal scoring.</t>
        </is>
      </c>
      <c r="U109" s="2" t="inlineStr">
        <is>
          <t>Career/Industry Engagement owner</t>
        </is>
      </c>
      <c r="V109" s="2" t="inlineStr">
        <is>
          <t>GREEN — REMEDIATED</t>
        </is>
      </c>
      <c r="W109" s="2" t="inlineStr">
        <is>
          <t>Measurement path explicit at metric level. This GREEN status means architecture completeness, not empirical validation of the index.</t>
        </is>
      </c>
    </row>
    <row r="110">
      <c r="A110" s="2" t="inlineStr">
        <is>
          <t>D09</t>
        </is>
      </c>
      <c r="B110" s="2" t="inlineStr">
        <is>
          <t>I06</t>
        </is>
      </c>
      <c r="C110" s="2" t="inlineStr">
        <is>
          <t>Placement Outcome Quality</t>
        </is>
      </c>
      <c r="D110" s="2" t="inlineStr">
        <is>
          <t>Quality, relevance and transparency of employment outcomes.</t>
        </is>
      </c>
      <c r="E110" s="2" t="inlineStr">
        <is>
          <t>Career/Industry Engagement owner</t>
        </is>
      </c>
      <c r="F110" s="2" t="inlineStr">
        <is>
          <t>NEW</t>
        </is>
      </c>
      <c r="G110" s="2" t="inlineStr">
        <is>
          <t>D09.4</t>
        </is>
      </c>
      <c r="H110" s="2" t="inlineStr">
        <is>
          <t>Existing architecture; metric-level extraction rule added here.</t>
        </is>
      </c>
      <c r="I110" s="2" t="inlineStr">
        <is>
          <t>Validated outcome/evidence + 0–5 rubric</t>
        </is>
      </c>
      <c r="J110" s="2" t="inlineStr">
        <is>
          <t>defined statistic + 0–5</t>
        </is>
      </c>
      <c r="K11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0" s="2" t="inlineStr">
        <is>
          <t>Current state + most recent completed academic year; 24-month window for change/experimentation metrics</t>
        </is>
      </c>
      <c r="M110" s="2" t="inlineStr">
        <is>
          <t>Use D09_Maturity_Anchors and score observable metric behaviour: 0 absent; 1 isolated/reactive; 2 emerging/selected; 3 structured/repeatable; 4 integrated/outcome-visible; 5 adaptive/continuously improving.</t>
        </is>
      </c>
      <c r="N110" s="2" t="inlineStr">
        <is>
          <t>0–5 on existence → operating use → repeatability → integration → measured improvement/learning. Policy publication, attendance or isolated pilots cannot establish high depth.</t>
        </is>
      </c>
      <c r="O110" s="2" t="inlineStr">
        <is>
          <t>Use only where a legitimate observable outcome exists. If no valid outcome exists, Outcome=N/A and renormalise maturity/implementation; never invent an outcome.</t>
        </is>
      </c>
      <c r="P110" s="2" t="inlineStr">
        <is>
          <t>Minimum E2 evidence. For score ≥3 require a dated operating example plus corroboration; outcome claims use E3; E4 preferred for independent/high-stakes claims.</t>
        </is>
      </c>
      <c r="Q110" s="2" t="inlineStr">
        <is>
          <t>Report E0–E4 confidence separately from capability score. E0/E1 cannot substantiate maturity ≥3; E2 supports routine practice; E3 outcome; E4 independent/triangulated.</t>
        </is>
      </c>
      <c r="R110" s="2" t="inlineStr">
        <is>
          <t>N/A only for genuine mandate/context inapplicability with assessor approval. Missing data or poor performance is not N/A; approved N/A is excluded from denominator and reported.</t>
        </is>
      </c>
      <c r="S110" s="2" t="inlineStr">
        <is>
          <t>No narrative-only uplift. Require dated artefact/process/work sample and cross-check against a second source, outcome or independent evidence. Policy-only evidence caps maturity at 2.</t>
        </is>
      </c>
      <c r="T110" s="2" t="inlineStr">
        <is>
          <t>Check D06 capability evidence, D04 programme response and D10 external value; avoid duplicate signal scoring.</t>
        </is>
      </c>
      <c r="U110" s="2" t="inlineStr">
        <is>
          <t>Career/Industry Engagement owner</t>
        </is>
      </c>
      <c r="V110" s="2" t="inlineStr">
        <is>
          <t>GREEN — REMEDIATED</t>
        </is>
      </c>
      <c r="W110" s="2" t="inlineStr">
        <is>
          <t>Measurement path explicit at metric level. This GREEN status means architecture completeness, not empirical validation of the index.</t>
        </is>
      </c>
    </row>
    <row r="111">
      <c r="A111" s="2" t="inlineStr">
        <is>
          <t>D09</t>
        </is>
      </c>
      <c r="B111" s="2" t="inlineStr">
        <is>
          <t>I07</t>
        </is>
      </c>
      <c r="C111" s="2" t="inlineStr">
        <is>
          <t>Career Adaptability</t>
        </is>
      </c>
      <c r="D111" s="2" t="inlineStr">
        <is>
          <t>Preparation for changing roles, sectors and skill requirements.</t>
        </is>
      </c>
      <c r="E111" s="2" t="inlineStr">
        <is>
          <t>Career/Industry Engagement owner</t>
        </is>
      </c>
      <c r="F111" s="2" t="inlineStr">
        <is>
          <t>NEW</t>
        </is>
      </c>
      <c r="G111" s="2" t="inlineStr">
        <is>
          <t>D09.3</t>
        </is>
      </c>
      <c r="H111" s="2" t="inlineStr">
        <is>
          <t>Existing architecture; metric-level extraction rule added here.</t>
        </is>
      </c>
      <c r="I111" s="2" t="inlineStr">
        <is>
          <t>Process-to-action rubric + event evidence</t>
        </is>
      </c>
      <c r="J111" s="2" t="inlineStr">
        <is>
          <t>0–5 + cycle time where available</t>
        </is>
      </c>
      <c r="K11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1" s="2" t="inlineStr">
        <is>
          <t>Current state + most recent completed academic year; 24-month window for change/experimentation metrics</t>
        </is>
      </c>
      <c r="M111" s="2" t="inlineStr">
        <is>
          <t>Use D09_Maturity_Anchors and score observable metric behaviour: 0 absent; 1 isolated/reactive; 2 emerging/selected; 3 structured/repeatable; 4 integrated/outcome-visible; 5 adaptive/continuously improving.</t>
        </is>
      </c>
      <c r="N111" s="2" t="inlineStr">
        <is>
          <t>0–5 on existence → operating use → repeatability → integration → measured improvement/learning. Policy publication, attendance or isolated pilots cannot establish high depth.</t>
        </is>
      </c>
      <c r="O111" s="2" t="inlineStr">
        <is>
          <t>Use only where a legitimate observable outcome exists. If no valid outcome exists, Outcome=N/A and renormalise maturity/implementation; never invent an outcome.</t>
        </is>
      </c>
      <c r="P111" s="2" t="inlineStr">
        <is>
          <t>Minimum E2 evidence. For score ≥3 require a dated operating example plus corroboration; outcome claims use E3; E4 preferred for independent/high-stakes claims.</t>
        </is>
      </c>
      <c r="Q111" s="2" t="inlineStr">
        <is>
          <t>Report E0–E4 confidence separately from capability score. E0/E1 cannot substantiate maturity ≥3; E2 supports routine practice; E3 outcome; E4 independent/triangulated.</t>
        </is>
      </c>
      <c r="R111" s="2" t="inlineStr">
        <is>
          <t>N/A only for genuine mandate/context inapplicability with assessor approval. Missing data or poor performance is not N/A; approved N/A is excluded from denominator and reported.</t>
        </is>
      </c>
      <c r="S111" s="2" t="inlineStr">
        <is>
          <t>No narrative-only uplift. Require dated artefact/process/work sample and cross-check against a second source, outcome or independent evidence. Policy-only evidence caps maturity at 2.</t>
        </is>
      </c>
      <c r="T111" s="2" t="inlineStr">
        <is>
          <t>Check D06 capability evidence, D04 programme response and D10 external value; avoid duplicate signal scoring.</t>
        </is>
      </c>
      <c r="U111" s="2" t="inlineStr">
        <is>
          <t>Career/Industry Engagement owner</t>
        </is>
      </c>
      <c r="V111" s="2" t="inlineStr">
        <is>
          <t>GREEN — REMEDIATED</t>
        </is>
      </c>
      <c r="W111" s="2" t="inlineStr">
        <is>
          <t>Measurement path explicit at metric level. This GREEN status means architecture completeness, not empirical validation of the index.</t>
        </is>
      </c>
    </row>
    <row r="112">
      <c r="A112" s="2" t="inlineStr">
        <is>
          <t>D09</t>
        </is>
      </c>
      <c r="B112" s="2" t="inlineStr">
        <is>
          <t>I08</t>
        </is>
      </c>
      <c r="C112" s="2" t="inlineStr">
        <is>
          <t>AI-Era Employability Readiness</t>
        </is>
      </c>
      <c r="D112" s="2" t="inlineStr">
        <is>
          <t>Preparation for AI-augmented and AI-disrupted work.</t>
        </is>
      </c>
      <c r="E112" s="2" t="inlineStr">
        <is>
          <t>Career/Industry Engagement owner</t>
        </is>
      </c>
      <c r="F112" s="2" t="inlineStr">
        <is>
          <t>NEW</t>
        </is>
      </c>
      <c r="G112" s="2" t="inlineStr">
        <is>
          <t>D09.2</t>
        </is>
      </c>
      <c r="H112" s="2" t="inlineStr">
        <is>
          <t>Existing architecture; metric-level extraction rule added here.</t>
        </is>
      </c>
      <c r="I112" s="2" t="inlineStr">
        <is>
          <t>Capability/process demonstration rubric + evidence</t>
        </is>
      </c>
      <c r="J112" s="2" t="inlineStr">
        <is>
          <t>0–5</t>
        </is>
      </c>
      <c r="K11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2" s="2" t="inlineStr">
        <is>
          <t>Current state + most recent completed academic year; 24-month window for change/experimentation metrics</t>
        </is>
      </c>
      <c r="M112" s="2" t="inlineStr">
        <is>
          <t>Use D09_Maturity_Anchors and score observable metric behaviour: 0 absent; 1 isolated/reactive; 2 emerging/selected; 3 structured/repeatable; 4 integrated/outcome-visible; 5 adaptive/continuously improving.</t>
        </is>
      </c>
      <c r="N112" s="2" t="inlineStr">
        <is>
          <t>0–5 on existence → operating use → repeatability → integration → measured improvement/learning. Policy publication, attendance or isolated pilots cannot establish high depth.</t>
        </is>
      </c>
      <c r="O112" s="2" t="inlineStr">
        <is>
          <t>Use only where a legitimate observable outcome exists. If no valid outcome exists, Outcome=N/A and renormalise maturity/implementation; never invent an outcome.</t>
        </is>
      </c>
      <c r="P112" s="2" t="inlineStr">
        <is>
          <t>Minimum E2 evidence. For score ≥3 require a dated operating example plus corroboration; outcome claims use E3; E4 preferred for independent/high-stakes claims.</t>
        </is>
      </c>
      <c r="Q112" s="2" t="inlineStr">
        <is>
          <t>Report E0–E4 confidence separately from capability score. E0/E1 cannot substantiate maturity ≥3; E2 supports routine practice; E3 outcome; E4 independent/triangulated.</t>
        </is>
      </c>
      <c r="R112" s="2" t="inlineStr">
        <is>
          <t>N/A only for genuine mandate/context inapplicability with assessor approval. Missing data or poor performance is not N/A; approved N/A is excluded from denominator and reported.</t>
        </is>
      </c>
      <c r="S112" s="2" t="inlineStr">
        <is>
          <t>No narrative-only uplift. Require dated artefact/process/work sample and cross-check against a second source, outcome or independent evidence. Policy-only evidence caps maturity at 2.</t>
        </is>
      </c>
      <c r="T112" s="2" t="inlineStr">
        <is>
          <t>Check D06 capability evidence, D04 programme response and D10 external value; avoid duplicate signal scoring.</t>
        </is>
      </c>
      <c r="U112" s="2" t="inlineStr">
        <is>
          <t>Career/Industry Engagement owner</t>
        </is>
      </c>
      <c r="V112" s="2" t="inlineStr">
        <is>
          <t>GREEN — REMEDIATED</t>
        </is>
      </c>
      <c r="W112" s="2" t="inlineStr">
        <is>
          <t>Measurement path explicit at metric level. This GREEN status means architecture completeness, not empirical validation of the index.</t>
        </is>
      </c>
    </row>
    <row r="113">
      <c r="A113" s="2" t="inlineStr">
        <is>
          <t>D09</t>
        </is>
      </c>
      <c r="B113" s="2" t="inlineStr">
        <is>
          <t>I09</t>
        </is>
      </c>
      <c r="C113" s="2" t="inlineStr">
        <is>
          <t>Capability Signalling</t>
        </is>
      </c>
      <c r="D113" s="2" t="inlineStr">
        <is>
          <t>Student ability to demonstrate capability through portfolios, projects and evidence.</t>
        </is>
      </c>
      <c r="E113" s="2" t="inlineStr">
        <is>
          <t>Career/Industry Engagement owner</t>
        </is>
      </c>
      <c r="F113" s="2" t="inlineStr">
        <is>
          <t>NEW</t>
        </is>
      </c>
      <c r="G113" s="2" t="inlineStr">
        <is>
          <t>NEW</t>
        </is>
      </c>
      <c r="H113" s="2" t="inlineStr">
        <is>
          <t>Capability Signalling Test</t>
        </is>
      </c>
      <c r="I113" s="2" t="inlineStr">
        <is>
          <t>Capability/process demonstration rubric + evidence</t>
        </is>
      </c>
      <c r="J113" s="2" t="inlineStr">
        <is>
          <t>0–5</t>
        </is>
      </c>
      <c r="K11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3" s="2" t="inlineStr">
        <is>
          <t>Current state + most recent completed academic year; 24-month window for change/experimentation metrics</t>
        </is>
      </c>
      <c r="M113" s="2" t="inlineStr">
        <is>
          <t>Use D09_Maturity_Anchors and score observable metric behaviour: 0 absent; 1 isolated/reactive; 2 emerging/selected; 3 structured/repeatable; 4 integrated/outcome-visible; 5 adaptive/continuously improving.</t>
        </is>
      </c>
      <c r="N113" s="2" t="inlineStr">
        <is>
          <t>0–5 on existence → operating use → repeatability → integration → measured improvement/learning. Policy publication, attendance or isolated pilots cannot establish high depth.</t>
        </is>
      </c>
      <c r="O113" s="2" t="inlineStr">
        <is>
          <t>Use only where a legitimate observable outcome exists. If no valid outcome exists, Outcome=N/A and renormalise maturity/implementation; never invent an outcome.</t>
        </is>
      </c>
      <c r="P113" s="2" t="inlineStr">
        <is>
          <t>Minimum E2 evidence. For score ≥3 require a dated operating example plus corroboration; outcome claims use E3; E4 preferred for independent/high-stakes claims.</t>
        </is>
      </c>
      <c r="Q113" s="2" t="inlineStr">
        <is>
          <t>Report E0–E4 confidence separately from capability score. E0/E1 cannot substantiate maturity ≥3; E2 supports routine practice; E3 outcome; E4 independent/triangulated.</t>
        </is>
      </c>
      <c r="R113" s="2" t="inlineStr">
        <is>
          <t>N/A only for genuine mandate/context inapplicability with assessor approval. Missing data or poor performance is not N/A; approved N/A is excluded from denominator and reported.</t>
        </is>
      </c>
      <c r="S113" s="2" t="inlineStr">
        <is>
          <t>No narrative-only uplift. Require dated artefact/process/work sample and cross-check against a second source, outcome or independent evidence. Policy-only evidence caps maturity at 2.</t>
        </is>
      </c>
      <c r="T113" s="2" t="inlineStr">
        <is>
          <t>Check D06 capability evidence, D04 programme response and D10 external value; avoid duplicate signal scoring.</t>
        </is>
      </c>
      <c r="U113" s="2" t="inlineStr">
        <is>
          <t>Career/Industry Engagement owner</t>
        </is>
      </c>
      <c r="V113" s="2" t="inlineStr">
        <is>
          <t>GREEN — REMEDIATED</t>
        </is>
      </c>
      <c r="W113" s="2" t="inlineStr">
        <is>
          <t>Measurement path explicit at metric level. This GREEN status means architecture completeness, not empirical validation of the index.</t>
        </is>
      </c>
    </row>
    <row r="114">
      <c r="A114" s="2" t="inlineStr">
        <is>
          <t>D09</t>
        </is>
      </c>
      <c r="B114" s="2" t="inlineStr">
        <is>
          <t>I10</t>
        </is>
      </c>
      <c r="C114" s="2" t="inlineStr">
        <is>
          <t>Industry Co-Creation</t>
        </is>
      </c>
      <c r="D114" s="2" t="inlineStr">
        <is>
          <t>Extent to which industry participates in learning, projects, mentoring and innovation.</t>
        </is>
      </c>
      <c r="E114" s="2" t="inlineStr">
        <is>
          <t>Career/Industry Engagement owner</t>
        </is>
      </c>
      <c r="F114" s="2" t="inlineStr">
        <is>
          <t>NEW</t>
        </is>
      </c>
      <c r="G114" s="2" t="inlineStr">
        <is>
          <t>D09.3</t>
        </is>
      </c>
      <c r="H114" s="2" t="inlineStr">
        <is>
          <t>Existing architecture; metric-level extraction rule added here.</t>
        </is>
      </c>
      <c r="I114" s="2" t="inlineStr">
        <is>
          <t>Capability/process demonstration rubric + evidence</t>
        </is>
      </c>
      <c r="J114" s="2" t="inlineStr">
        <is>
          <t>0–5</t>
        </is>
      </c>
      <c r="K11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4" s="2" t="inlineStr">
        <is>
          <t>Current state + most recent completed academic year; 24-month window for change/experimentation metrics</t>
        </is>
      </c>
      <c r="M114" s="2" t="inlineStr">
        <is>
          <t>Use D09_Maturity_Anchors and score observable metric behaviour: 0 absent; 1 isolated/reactive; 2 emerging/selected; 3 structured/repeatable; 4 integrated/outcome-visible; 5 adaptive/continuously improving.</t>
        </is>
      </c>
      <c r="N114" s="2" t="inlineStr">
        <is>
          <t>0–5 on existence → operating use → repeatability → integration → measured improvement/learning. Policy publication, attendance or isolated pilots cannot establish high depth.</t>
        </is>
      </c>
      <c r="O114" s="2" t="inlineStr">
        <is>
          <t>Use only where a legitimate observable outcome exists. If no valid outcome exists, Outcome=N/A and renormalise maturity/implementation; never invent an outcome.</t>
        </is>
      </c>
      <c r="P114" s="2" t="inlineStr">
        <is>
          <t>Minimum E2 evidence. For score ≥3 require a dated operating example plus corroboration; outcome claims use E3; E4 preferred for independent/high-stakes claims.</t>
        </is>
      </c>
      <c r="Q114" s="2" t="inlineStr">
        <is>
          <t>Report E0–E4 confidence separately from capability score. E0/E1 cannot substantiate maturity ≥3; E2 supports routine practice; E3 outcome; E4 independent/triangulated.</t>
        </is>
      </c>
      <c r="R114" s="2" t="inlineStr">
        <is>
          <t>N/A only for genuine mandate/context inapplicability with assessor approval. Missing data or poor performance is not N/A; approved N/A is excluded from denominator and reported.</t>
        </is>
      </c>
      <c r="S114" s="2" t="inlineStr">
        <is>
          <t>No narrative-only uplift. Require dated artefact/process/work sample and cross-check against a second source, outcome or independent evidence. Policy-only evidence caps maturity at 2.</t>
        </is>
      </c>
      <c r="T114" s="2" t="inlineStr">
        <is>
          <t>Check D06 capability evidence, D04 programme response and D10 external value; avoid duplicate signal scoring.</t>
        </is>
      </c>
      <c r="U114" s="2" t="inlineStr">
        <is>
          <t>Career/Industry Engagement owner</t>
        </is>
      </c>
      <c r="V114" s="2" t="inlineStr">
        <is>
          <t>GREEN — REMEDIATED</t>
        </is>
      </c>
      <c r="W114" s="2" t="inlineStr">
        <is>
          <t>Measurement path explicit at metric level. This GREEN status means architecture completeness, not empirical validation of the index.</t>
        </is>
      </c>
    </row>
    <row r="115">
      <c r="A115" s="2" t="inlineStr">
        <is>
          <t>D09</t>
        </is>
      </c>
      <c r="B115" s="2" t="inlineStr">
        <is>
          <t>I11</t>
        </is>
      </c>
      <c r="C115" s="2" t="inlineStr">
        <is>
          <t>Regional/Economic Relevance</t>
        </is>
      </c>
      <c r="D115" s="2" t="inlineStr">
        <is>
          <t>Alignment with the economic and social context in which the institution operates.</t>
        </is>
      </c>
      <c r="E115" s="2" t="inlineStr">
        <is>
          <t>Career/Industry Engagement owner</t>
        </is>
      </c>
      <c r="F115" s="2" t="inlineStr">
        <is>
          <t>NEW</t>
        </is>
      </c>
      <c r="G115" s="2" t="inlineStr">
        <is>
          <t>NEW</t>
        </is>
      </c>
      <c r="H115" s="2" t="inlineStr">
        <is>
          <t>Regional Economic Relevance Test</t>
        </is>
      </c>
      <c r="I115" s="2" t="inlineStr">
        <is>
          <t>Capability/process demonstration rubric + evidence</t>
        </is>
      </c>
      <c r="J115" s="2" t="inlineStr">
        <is>
          <t>0–5</t>
        </is>
      </c>
      <c r="K11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5" s="2" t="inlineStr">
        <is>
          <t>Current state + most recent completed academic year; 24-month window for change/experimentation metrics</t>
        </is>
      </c>
      <c r="M115" s="2" t="inlineStr">
        <is>
          <t>Use D09_Maturity_Anchors and score observable metric behaviour: 0 absent; 1 isolated/reactive; 2 emerging/selected; 3 structured/repeatable; 4 integrated/outcome-visible; 5 adaptive/continuously improving.</t>
        </is>
      </c>
      <c r="N115" s="2" t="inlineStr">
        <is>
          <t>0–5 on existence → operating use → repeatability → integration → measured improvement/learning. Policy publication, attendance or isolated pilots cannot establish high depth.</t>
        </is>
      </c>
      <c r="O115" s="2" t="inlineStr">
        <is>
          <t>Use only where a legitimate observable outcome exists. If no valid outcome exists, Outcome=N/A and renormalise maturity/implementation; never invent an outcome.</t>
        </is>
      </c>
      <c r="P115" s="2" t="inlineStr">
        <is>
          <t>Minimum E2 evidence. For score ≥3 require a dated operating example plus corroboration; outcome claims use E3; E4 preferred for independent/high-stakes claims.</t>
        </is>
      </c>
      <c r="Q115" s="2" t="inlineStr">
        <is>
          <t>Report E0–E4 confidence separately from capability score. E0/E1 cannot substantiate maturity ≥3; E2 supports routine practice; E3 outcome; E4 independent/triangulated.</t>
        </is>
      </c>
      <c r="R115" s="2" t="inlineStr">
        <is>
          <t>N/A only for genuine mandate/context inapplicability with assessor approval. Missing data or poor performance is not N/A; approved N/A is excluded from denominator and reported.</t>
        </is>
      </c>
      <c r="S115" s="2" t="inlineStr">
        <is>
          <t>No narrative-only uplift. Require dated artefact/process/work sample and cross-check against a second source, outcome or independent evidence. Policy-only evidence caps maturity at 2.</t>
        </is>
      </c>
      <c r="T115" s="2" t="inlineStr">
        <is>
          <t>Check D06 capability evidence, D04 programme response and D10 external value; avoid duplicate signal scoring.</t>
        </is>
      </c>
      <c r="U115" s="2" t="inlineStr">
        <is>
          <t>Career/Industry Engagement owner</t>
        </is>
      </c>
      <c r="V115" s="2" t="inlineStr">
        <is>
          <t>GREEN — REMEDIATED</t>
        </is>
      </c>
      <c r="W115" s="2" t="inlineStr">
        <is>
          <t>Measurement path explicit at metric level. This GREEN status means architecture completeness, not empirical validation of the index.</t>
        </is>
      </c>
    </row>
    <row r="116">
      <c r="A116" s="2" t="inlineStr">
        <is>
          <t>D09</t>
        </is>
      </c>
      <c r="B116" s="2" t="inlineStr">
        <is>
          <t>I12</t>
        </is>
      </c>
      <c r="C116" s="2" t="inlineStr">
        <is>
          <t>Alumni Career Intelligence</t>
        </is>
      </c>
      <c r="D116" s="2" t="inlineStr">
        <is>
          <t>Use of alumni trajectories to understand and improve graduate outcomes.</t>
        </is>
      </c>
      <c r="E116" s="2" t="inlineStr">
        <is>
          <t>Career/Industry Engagement owner</t>
        </is>
      </c>
      <c r="F116" s="2" t="inlineStr">
        <is>
          <t>NEW</t>
        </is>
      </c>
      <c r="G116" s="2" t="inlineStr">
        <is>
          <t>D09.4</t>
        </is>
      </c>
      <c r="H116" s="2" t="inlineStr">
        <is>
          <t>Existing architecture; metric-level extraction rule added here.</t>
        </is>
      </c>
      <c r="I116" s="2" t="inlineStr">
        <is>
          <t>Capability/process demonstration rubric + evidence</t>
        </is>
      </c>
      <c r="J116" s="2" t="inlineStr">
        <is>
          <t>0–5</t>
        </is>
      </c>
      <c r="K11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6" s="2" t="inlineStr">
        <is>
          <t>Current state + most recent completed academic year; 24-month window for change/experimentation metrics</t>
        </is>
      </c>
      <c r="M116" s="2" t="inlineStr">
        <is>
          <t>Use D09_Maturity_Anchors and score observable metric behaviour: 0 absent; 1 isolated/reactive; 2 emerging/selected; 3 structured/repeatable; 4 integrated/outcome-visible; 5 adaptive/continuously improving.</t>
        </is>
      </c>
      <c r="N116" s="2" t="inlineStr">
        <is>
          <t>0–5 on existence → operating use → repeatability → integration → measured improvement/learning. Policy publication, attendance or isolated pilots cannot establish high depth.</t>
        </is>
      </c>
      <c r="O116" s="2" t="inlineStr">
        <is>
          <t>Use only where a legitimate observable outcome exists. If no valid outcome exists, Outcome=N/A and renormalise maturity/implementation; never invent an outcome.</t>
        </is>
      </c>
      <c r="P116" s="2" t="inlineStr">
        <is>
          <t>Minimum E2 evidence. For score ≥3 require a dated operating example plus corroboration; outcome claims use E3; E4 preferred for independent/high-stakes claims.</t>
        </is>
      </c>
      <c r="Q116" s="2" t="inlineStr">
        <is>
          <t>Report E0–E4 confidence separately from capability score. E0/E1 cannot substantiate maturity ≥3; E2 supports routine practice; E3 outcome; E4 independent/triangulated.</t>
        </is>
      </c>
      <c r="R116" s="2" t="inlineStr">
        <is>
          <t>N/A only for genuine mandate/context inapplicability with assessor approval. Missing data or poor performance is not N/A; approved N/A is excluded from denominator and reported.</t>
        </is>
      </c>
      <c r="S116" s="2" t="inlineStr">
        <is>
          <t>No narrative-only uplift. Require dated artefact/process/work sample and cross-check against a second source, outcome or independent evidence. Policy-only evidence caps maturity at 2.</t>
        </is>
      </c>
      <c r="T116" s="2" t="inlineStr">
        <is>
          <t>Check D06 capability evidence, D04 programme response and D10 external value; avoid duplicate signal scoring.</t>
        </is>
      </c>
      <c r="U116" s="2" t="inlineStr">
        <is>
          <t>Career/Industry Engagement owner</t>
        </is>
      </c>
      <c r="V116" s="2" t="inlineStr">
        <is>
          <t>GREEN — REMEDIATED</t>
        </is>
      </c>
      <c r="W116" s="2" t="inlineStr">
        <is>
          <t>Measurement path explicit at metric level. This GREEN status means architecture completeness, not empirical validation of the index.</t>
        </is>
      </c>
    </row>
    <row r="117">
      <c r="A117" s="2" t="inlineStr">
        <is>
          <t>D10</t>
        </is>
      </c>
      <c r="B117" s="2" t="inlineStr">
        <is>
          <t>I01</t>
        </is>
      </c>
      <c r="C117" s="2" t="inlineStr">
        <is>
          <t>Research Strategy Maturity</t>
        </is>
      </c>
      <c r="D117" s="2" t="inlineStr">
        <is>
          <t>Whether research priorities are strategically defined and connected to institutional purpose and emerging needs.</t>
        </is>
      </c>
      <c r="E117" s="2" t="inlineStr">
        <is>
          <t>Research Office/Research leadership</t>
        </is>
      </c>
      <c r="F117" s="2" t="inlineStr">
        <is>
          <t>NEW</t>
        </is>
      </c>
      <c r="G117" s="2" t="inlineStr">
        <is>
          <t>D10.1</t>
        </is>
      </c>
      <c r="H117" s="2" t="inlineStr">
        <is>
          <t>Existing architecture; metric-level extraction rule added here.</t>
        </is>
      </c>
      <c r="I117" s="2" t="inlineStr">
        <is>
          <t>Coverage/rate + 0–5 rubric</t>
        </is>
      </c>
      <c r="J117" s="2" t="inlineStr">
        <is>
          <t>percentage + 0–5</t>
        </is>
      </c>
      <c r="K11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7" s="2" t="inlineStr">
        <is>
          <t>Current state + most recent completed academic year; 24-month window for change/experimentation metrics</t>
        </is>
      </c>
      <c r="M117" s="2" t="inlineStr">
        <is>
          <t>Use D10_Maturity_Anchors and score observable metric behaviour: 0 absent; 1 isolated/reactive; 2 emerging/selected; 3 structured/repeatable; 4 integrated/outcome-visible; 5 adaptive/continuously improving.</t>
        </is>
      </c>
      <c r="N117" s="2" t="inlineStr">
        <is>
          <t>0–5 on existence → operating use → repeatability → integration → measured improvement/learning. Policy publication, attendance or isolated pilots cannot establish high depth.</t>
        </is>
      </c>
      <c r="O117" s="2" t="inlineStr">
        <is>
          <t>Use only where a legitimate observable outcome exists. If no valid outcome exists, Outcome=N/A and renormalise maturity/implementation; never invent an outcome.</t>
        </is>
      </c>
      <c r="P117" s="2" t="inlineStr">
        <is>
          <t>Minimum E2 evidence. For score ≥3 require a dated operating example plus corroboration; outcome claims use E3; E4 preferred for independent/high-stakes claims.</t>
        </is>
      </c>
      <c r="Q117" s="2" t="inlineStr">
        <is>
          <t>Report E0–E4 confidence separately from capability score. E0/E1 cannot substantiate maturity ≥3; E2 supports routine practice; E3 outcome; E4 independent/triangulated.</t>
        </is>
      </c>
      <c r="R117" s="2" t="inlineStr">
        <is>
          <t>N/A only for genuine mandate/context inapplicability with assessor approval. Missing data or poor performance is not N/A; approved N/A is excluded from denominator and reported.</t>
        </is>
      </c>
      <c r="S117" s="2" t="inlineStr">
        <is>
          <t>No narrative-only uplift. Require dated artefact/process/work sample and cross-check against a second source, outcome or independent evidence. Policy-only evidence caps maturity at 2.</t>
        </is>
      </c>
      <c r="T117" s="2" t="inlineStr">
        <is>
          <t>Check D03 student capability, D09 external value and D11 learning; activity alone is not adaptation.</t>
        </is>
      </c>
      <c r="U117" s="2" t="inlineStr">
        <is>
          <t>Research Office/Research leadership</t>
        </is>
      </c>
      <c r="V117" s="2" t="inlineStr">
        <is>
          <t>GREEN — EXISTING PATH RETAINED</t>
        </is>
      </c>
      <c r="W117" s="2" t="inlineStr">
        <is>
          <t>Measurement path explicit at metric level. This GREEN status means architecture completeness, not empirical validation of the index.</t>
        </is>
      </c>
    </row>
    <row r="118">
      <c r="A118" s="2" t="inlineStr">
        <is>
          <t>D10</t>
        </is>
      </c>
      <c r="B118" s="2" t="inlineStr">
        <is>
          <t>I02</t>
        </is>
      </c>
      <c r="C118" s="2" t="inlineStr">
        <is>
          <t>Research Portfolio Balance</t>
        </is>
      </c>
      <c r="D118" s="2" t="inlineStr">
        <is>
          <t>Breadth, depth, concentration and strategic coherence of the research portfolio.</t>
        </is>
      </c>
      <c r="E118" s="2" t="inlineStr">
        <is>
          <t>Research Office/Research leadership</t>
        </is>
      </c>
      <c r="F118" s="2" t="inlineStr">
        <is>
          <t>NEW</t>
        </is>
      </c>
      <c r="G118" s="2" t="inlineStr">
        <is>
          <t>D10.1</t>
        </is>
      </c>
      <c r="H118" s="2" t="inlineStr">
        <is>
          <t>Existing architecture; metric-level extraction rule added here.</t>
        </is>
      </c>
      <c r="I118" s="2" t="inlineStr">
        <is>
          <t>Capability/process demonstration rubric + evidence</t>
        </is>
      </c>
      <c r="J118" s="2" t="inlineStr">
        <is>
          <t>0–5</t>
        </is>
      </c>
      <c r="K11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8" s="2" t="inlineStr">
        <is>
          <t>Current state + most recent completed academic year; 24-month window for change/experimentation metrics</t>
        </is>
      </c>
      <c r="M118" s="2" t="inlineStr">
        <is>
          <t>Use D10_Maturity_Anchors and score observable metric behaviour: 0 absent; 1 isolated/reactive; 2 emerging/selected; 3 structured/repeatable; 4 integrated/outcome-visible; 5 adaptive/continuously improving.</t>
        </is>
      </c>
      <c r="N118" s="2" t="inlineStr">
        <is>
          <t>0–5 on existence → operating use → repeatability → integration → measured improvement/learning. Policy publication, attendance or isolated pilots cannot establish high depth.</t>
        </is>
      </c>
      <c r="O118" s="2" t="inlineStr">
        <is>
          <t>Use only where a legitimate observable outcome exists. If no valid outcome exists, Outcome=N/A and renormalise maturity/implementation; never invent an outcome.</t>
        </is>
      </c>
      <c r="P118" s="2" t="inlineStr">
        <is>
          <t>Minimum E2 evidence. For score ≥3 require a dated operating example plus corroboration; outcome claims use E3; E4 preferred for independent/high-stakes claims.</t>
        </is>
      </c>
      <c r="Q118" s="2" t="inlineStr">
        <is>
          <t>Report E0–E4 confidence separately from capability score. E0/E1 cannot substantiate maturity ≥3; E2 supports routine practice; E3 outcome; E4 independent/triangulated.</t>
        </is>
      </c>
      <c r="R118" s="2" t="inlineStr">
        <is>
          <t>N/A only for genuine mandate/context inapplicability with assessor approval. Missing data or poor performance is not N/A; approved N/A is excluded from denominator and reported.</t>
        </is>
      </c>
      <c r="S118" s="2" t="inlineStr">
        <is>
          <t>No narrative-only uplift. Require dated artefact/process/work sample and cross-check against a second source, outcome or independent evidence. Policy-only evidence caps maturity at 2.</t>
        </is>
      </c>
      <c r="T118" s="2" t="inlineStr">
        <is>
          <t>Check D03 student capability, D09 external value and D11 learning; activity alone is not adaptation.</t>
        </is>
      </c>
      <c r="U118" s="2" t="inlineStr">
        <is>
          <t>Research Office/Research leadership</t>
        </is>
      </c>
      <c r="V118" s="2" t="inlineStr">
        <is>
          <t>GREEN — EXISTING PATH RETAINED</t>
        </is>
      </c>
      <c r="W118" s="2" t="inlineStr">
        <is>
          <t>Measurement path explicit at metric level. This GREEN status means architecture completeness, not empirical validation of the index.</t>
        </is>
      </c>
    </row>
    <row r="119">
      <c r="A119" s="2" t="inlineStr">
        <is>
          <t>D10</t>
        </is>
      </c>
      <c r="B119" s="2" t="inlineStr">
        <is>
          <t>I03</t>
        </is>
      </c>
      <c r="C119" s="2" t="inlineStr">
        <is>
          <t>Interdisciplinary Research Capability</t>
        </is>
      </c>
      <c r="D119" s="2" t="inlineStr">
        <is>
          <t>Ability to bring disciplines together around meaningful questions.</t>
        </is>
      </c>
      <c r="E119" s="2" t="inlineStr">
        <is>
          <t>Research Office/Research leadership</t>
        </is>
      </c>
      <c r="F119" s="2" t="inlineStr">
        <is>
          <t>NEW</t>
        </is>
      </c>
      <c r="G119" s="2" t="inlineStr">
        <is>
          <t>D10.3</t>
        </is>
      </c>
      <c r="H119" s="2" t="inlineStr">
        <is>
          <t>Existing architecture; metric-level extraction rule added here.</t>
        </is>
      </c>
      <c r="I119" s="2" t="inlineStr">
        <is>
          <t>Capability/process demonstration rubric + evidence</t>
        </is>
      </c>
      <c r="J119" s="2" t="inlineStr">
        <is>
          <t>0–5</t>
        </is>
      </c>
      <c r="K11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9" s="2" t="inlineStr">
        <is>
          <t>Current state + most recent completed academic year; 24-month window for change/experimentation metrics</t>
        </is>
      </c>
      <c r="M119" s="2" t="inlineStr">
        <is>
          <t>Use D10_Maturity_Anchors and score observable metric behaviour: 0 absent; 1 isolated/reactive; 2 emerging/selected; 3 structured/repeatable; 4 integrated/outcome-visible; 5 adaptive/continuously improving.</t>
        </is>
      </c>
      <c r="N119" s="2" t="inlineStr">
        <is>
          <t>0–5 on existence → operating use → repeatability → integration → measured improvement/learning. Policy publication, attendance or isolated pilots cannot establish high depth.</t>
        </is>
      </c>
      <c r="O119" s="2" t="inlineStr">
        <is>
          <t>Use only where a legitimate observable outcome exists. If no valid outcome exists, Outcome=N/A and renormalise maturity/implementation; never invent an outcome.</t>
        </is>
      </c>
      <c r="P119" s="2" t="inlineStr">
        <is>
          <t>Minimum E2 evidence. For score ≥3 require a dated operating example plus corroboration; outcome claims use E3; E4 preferred for independent/high-stakes claims.</t>
        </is>
      </c>
      <c r="Q119" s="2" t="inlineStr">
        <is>
          <t>Report E0–E4 confidence separately from capability score. E0/E1 cannot substantiate maturity ≥3; E2 supports routine practice; E3 outcome; E4 independent/triangulated.</t>
        </is>
      </c>
      <c r="R119" s="2" t="inlineStr">
        <is>
          <t>N/A only for genuine mandate/context inapplicability with assessor approval. Missing data or poor performance is not N/A; approved N/A is excluded from denominator and reported.</t>
        </is>
      </c>
      <c r="S119" s="2" t="inlineStr">
        <is>
          <t>No narrative-only uplift. Require dated artefact/process/work sample and cross-check against a second source, outcome or independent evidence. Policy-only evidence caps maturity at 2.</t>
        </is>
      </c>
      <c r="T119" s="2" t="inlineStr">
        <is>
          <t>Check D03 student capability, D09 external value and D11 learning; activity alone is not adaptation.</t>
        </is>
      </c>
      <c r="U119" s="2" t="inlineStr">
        <is>
          <t>Research Office/Research leadership</t>
        </is>
      </c>
      <c r="V119" s="2" t="inlineStr">
        <is>
          <t>GREEN — REMEDIATED</t>
        </is>
      </c>
      <c r="W119" s="2" t="inlineStr">
        <is>
          <t>Measurement path explicit at metric level. This GREEN status means architecture completeness, not empirical validation of the index.</t>
        </is>
      </c>
    </row>
    <row r="120">
      <c r="A120" s="2" t="inlineStr">
        <is>
          <t>D10</t>
        </is>
      </c>
      <c r="B120" s="2" t="inlineStr">
        <is>
          <t>I04</t>
        </is>
      </c>
      <c r="C120" s="2" t="inlineStr">
        <is>
          <t>AI-Enabled Research Capability</t>
        </is>
      </c>
      <c r="D120" s="2" t="inlineStr">
        <is>
          <t>Responsible use of AI across discovery, analysis, experimentation and knowledge creation.</t>
        </is>
      </c>
      <c r="E120" s="2" t="inlineStr">
        <is>
          <t>Research Office/Research leadership</t>
        </is>
      </c>
      <c r="F120" s="2" t="inlineStr">
        <is>
          <t>NEW</t>
        </is>
      </c>
      <c r="G120" s="2" t="inlineStr">
        <is>
          <t>D10.4</t>
        </is>
      </c>
      <c r="H120" s="2" t="inlineStr">
        <is>
          <t>Existing architecture; metric-level extraction rule added here.</t>
        </is>
      </c>
      <c r="I120" s="2" t="inlineStr">
        <is>
          <t>Capability/process demonstration rubric + evidence</t>
        </is>
      </c>
      <c r="J120" s="2" t="inlineStr">
        <is>
          <t>0–5</t>
        </is>
      </c>
      <c r="K12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0" s="2" t="inlineStr">
        <is>
          <t>Current state + most recent completed academic year; 24-month window for change/experimentation metrics</t>
        </is>
      </c>
      <c r="M120" s="2" t="inlineStr">
        <is>
          <t>Use D10_Maturity_Anchors and score observable metric behaviour: 0 absent; 1 isolated/reactive; 2 emerging/selected; 3 structured/repeatable; 4 integrated/outcome-visible; 5 adaptive/continuously improving.</t>
        </is>
      </c>
      <c r="N120" s="2" t="inlineStr">
        <is>
          <t>0–5 on existence → operating use → repeatability → integration → measured improvement/learning. Policy publication, attendance or isolated pilots cannot establish high depth.</t>
        </is>
      </c>
      <c r="O120" s="2" t="inlineStr">
        <is>
          <t>Use only where a legitimate observable outcome exists. If no valid outcome exists, Outcome=N/A and renormalise maturity/implementation; never invent an outcome.</t>
        </is>
      </c>
      <c r="P120" s="2" t="inlineStr">
        <is>
          <t>Minimum E2 evidence. For score ≥3 require a dated operating example plus corroboration; outcome claims use E3; E4 preferred for independent/high-stakes claims.</t>
        </is>
      </c>
      <c r="Q120" s="2" t="inlineStr">
        <is>
          <t>Report E0–E4 confidence separately from capability score. E0/E1 cannot substantiate maturity ≥3; E2 supports routine practice; E3 outcome; E4 independent/triangulated.</t>
        </is>
      </c>
      <c r="R120" s="2" t="inlineStr">
        <is>
          <t>N/A only for genuine mandate/context inapplicability with assessor approval. Missing data or poor performance is not N/A; approved N/A is excluded from denominator and reported.</t>
        </is>
      </c>
      <c r="S120" s="2" t="inlineStr">
        <is>
          <t>No narrative-only uplift. Require dated artefact/process/work sample and cross-check against a second source, outcome or independent evidence. Policy-only evidence caps maturity at 2.</t>
        </is>
      </c>
      <c r="T120" s="2" t="inlineStr">
        <is>
          <t>Check D03 student capability, D09 external value and D11 learning; activity alone is not adaptation.</t>
        </is>
      </c>
      <c r="U120" s="2" t="inlineStr">
        <is>
          <t>Research Office/Research leadership</t>
        </is>
      </c>
      <c r="V120" s="2" t="inlineStr">
        <is>
          <t>GREEN — REMEDIATED</t>
        </is>
      </c>
      <c r="W120" s="2" t="inlineStr">
        <is>
          <t>Measurement path explicit at metric level. This GREEN status means architecture completeness, not empirical validation of the index.</t>
        </is>
      </c>
    </row>
    <row r="121">
      <c r="A121" s="2" t="inlineStr">
        <is>
          <t>D10</t>
        </is>
      </c>
      <c r="B121" s="2" t="inlineStr">
        <is>
          <t>I05</t>
        </is>
      </c>
      <c r="C121" s="2" t="inlineStr">
        <is>
          <t>Research Infrastructure Readiness</t>
        </is>
      </c>
      <c r="D121" s="2" t="inlineStr">
        <is>
          <t>Adequacy and accessibility of research infrastructure, data and tools.</t>
        </is>
      </c>
      <c r="E121" s="2" t="inlineStr">
        <is>
          <t>Research Office/Research leadership</t>
        </is>
      </c>
      <c r="F121" s="2" t="inlineStr">
        <is>
          <t>NEW</t>
        </is>
      </c>
      <c r="G121" s="2" t="inlineStr">
        <is>
          <t>NEW</t>
        </is>
      </c>
      <c r="H121" s="2" t="inlineStr">
        <is>
          <t>Research Infrastructure Test</t>
        </is>
      </c>
      <c r="I121" s="2" t="inlineStr">
        <is>
          <t>Coverage/access + 0–5 rubric</t>
        </is>
      </c>
      <c r="J121" s="2" t="inlineStr">
        <is>
          <t>coverage/access % + 0–5</t>
        </is>
      </c>
      <c r="K12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1" s="2" t="inlineStr">
        <is>
          <t>Current state + most recent completed academic year; 24-month window for change/experimentation metrics</t>
        </is>
      </c>
      <c r="M121" s="2" t="inlineStr">
        <is>
          <t>Use D10_Maturity_Anchors and score observable metric behaviour: 0 absent; 1 isolated/reactive; 2 emerging/selected; 3 structured/repeatable; 4 integrated/outcome-visible; 5 adaptive/continuously improving.</t>
        </is>
      </c>
      <c r="N121" s="2" t="inlineStr">
        <is>
          <t>0–5 on existence → operating use → repeatability → integration → measured improvement/learning. Policy publication, attendance or isolated pilots cannot establish high depth.</t>
        </is>
      </c>
      <c r="O121" s="2" t="inlineStr">
        <is>
          <t>Use only where a legitimate observable outcome exists. If no valid outcome exists, Outcome=N/A and renormalise maturity/implementation; never invent an outcome.</t>
        </is>
      </c>
      <c r="P121" s="2" t="inlineStr">
        <is>
          <t>Minimum E2 evidence. For score ≥3 require a dated operating example plus corroboration; outcome claims use E3; E4 preferred for independent/high-stakes claims.</t>
        </is>
      </c>
      <c r="Q121" s="2" t="inlineStr">
        <is>
          <t>Report E0–E4 confidence separately from capability score. E0/E1 cannot substantiate maturity ≥3; E2 supports routine practice; E3 outcome; E4 independent/triangulated.</t>
        </is>
      </c>
      <c r="R121" s="2" t="inlineStr">
        <is>
          <t>N/A only for genuine mandate/context inapplicability with assessor approval. Missing data or poor performance is not N/A; approved N/A is excluded from denominator and reported.</t>
        </is>
      </c>
      <c r="S121" s="2" t="inlineStr">
        <is>
          <t>No narrative-only uplift. Require dated artefact/process/work sample and cross-check against a second source, outcome or independent evidence. Policy-only evidence caps maturity at 2.</t>
        </is>
      </c>
      <c r="T121" s="2" t="inlineStr">
        <is>
          <t>Check D03 student capability, D09 external value and D11 learning; activity alone is not adaptation.</t>
        </is>
      </c>
      <c r="U121" s="2" t="inlineStr">
        <is>
          <t>Research Office/Research leadership</t>
        </is>
      </c>
      <c r="V121" s="2" t="inlineStr">
        <is>
          <t>GREEN — REMEDIATED</t>
        </is>
      </c>
      <c r="W121" s="2" t="inlineStr">
        <is>
          <t>Measurement path explicit at metric level. This GREEN status means architecture completeness, not empirical validation of the index.</t>
        </is>
      </c>
    </row>
    <row r="122">
      <c r="A122" s="2" t="inlineStr">
        <is>
          <t>D10</t>
        </is>
      </c>
      <c r="B122" s="2" t="inlineStr">
        <is>
          <t>I06</t>
        </is>
      </c>
      <c r="C122" s="2" t="inlineStr">
        <is>
          <t>Researcher Capability</t>
        </is>
      </c>
      <c r="D122" s="2" t="inlineStr">
        <is>
          <t>Ability to develop and retain researchers and research-active faculty.</t>
        </is>
      </c>
      <c r="E122" s="2" t="inlineStr">
        <is>
          <t>Research Office/Research leadership</t>
        </is>
      </c>
      <c r="F122" s="2" t="inlineStr">
        <is>
          <t>NEW</t>
        </is>
      </c>
      <c r="G122" s="2" t="inlineStr">
        <is>
          <t>NEW</t>
        </is>
      </c>
      <c r="H122" s="2" t="inlineStr">
        <is>
          <t>Researcher Capability Test</t>
        </is>
      </c>
      <c r="I122" s="2" t="inlineStr">
        <is>
          <t>Capability/process demonstration rubric + evidence</t>
        </is>
      </c>
      <c r="J122" s="2" t="inlineStr">
        <is>
          <t>0–5</t>
        </is>
      </c>
      <c r="K12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2" s="2" t="inlineStr">
        <is>
          <t>Current state + most recent completed academic year; 24-month window for change/experimentation metrics</t>
        </is>
      </c>
      <c r="M122" s="2" t="inlineStr">
        <is>
          <t>Use D10_Maturity_Anchors and score observable metric behaviour: 0 absent; 1 isolated/reactive; 2 emerging/selected; 3 structured/repeatable; 4 integrated/outcome-visible; 5 adaptive/continuously improving.</t>
        </is>
      </c>
      <c r="N122" s="2" t="inlineStr">
        <is>
          <t>0–5 on existence → operating use → repeatability → integration → measured improvement/learning. Policy publication, attendance or isolated pilots cannot establish high depth.</t>
        </is>
      </c>
      <c r="O122" s="2" t="inlineStr">
        <is>
          <t>Use only where a legitimate observable outcome exists. If no valid outcome exists, Outcome=N/A and renormalise maturity/implementation; never invent an outcome.</t>
        </is>
      </c>
      <c r="P122" s="2" t="inlineStr">
        <is>
          <t>Minimum E2 evidence. For score ≥3 require a dated operating example plus corroboration; outcome claims use E3; E4 preferred for independent/high-stakes claims.</t>
        </is>
      </c>
      <c r="Q122" s="2" t="inlineStr">
        <is>
          <t>Report E0–E4 confidence separately from capability score. E0/E1 cannot substantiate maturity ≥3; E2 supports routine practice; E3 outcome; E4 independent/triangulated.</t>
        </is>
      </c>
      <c r="R122" s="2" t="inlineStr">
        <is>
          <t>N/A only for genuine mandate/context inapplicability with assessor approval. Missing data or poor performance is not N/A; approved N/A is excluded from denominator and reported.</t>
        </is>
      </c>
      <c r="S122" s="2" t="inlineStr">
        <is>
          <t>No narrative-only uplift. Require dated artefact/process/work sample and cross-check against a second source, outcome or independent evidence. Policy-only evidence caps maturity at 2.</t>
        </is>
      </c>
      <c r="T122" s="2" t="inlineStr">
        <is>
          <t>Check D03 student capability, D09 external value and D11 learning; activity alone is not adaptation.</t>
        </is>
      </c>
      <c r="U122" s="2" t="inlineStr">
        <is>
          <t>Research Office/Research leadership</t>
        </is>
      </c>
      <c r="V122" s="2" t="inlineStr">
        <is>
          <t>GREEN — REMEDIATED</t>
        </is>
      </c>
      <c r="W122" s="2" t="inlineStr">
        <is>
          <t>Measurement path explicit at metric level. This GREEN status means architecture completeness, not empirical validation of the index.</t>
        </is>
      </c>
    </row>
    <row r="123">
      <c r="A123" s="2" t="inlineStr">
        <is>
          <t>D10</t>
        </is>
      </c>
      <c r="B123" s="2" t="inlineStr">
        <is>
          <t>I07</t>
        </is>
      </c>
      <c r="C123" s="2" t="inlineStr">
        <is>
          <t>Research Funding Capability</t>
        </is>
      </c>
      <c r="D123" s="2" t="inlineStr">
        <is>
          <t>Ability to identify, develop and secure competitive research resources.</t>
        </is>
      </c>
      <c r="E123" s="2" t="inlineStr">
        <is>
          <t>Research Office/Research leadership</t>
        </is>
      </c>
      <c r="F123" s="2" t="inlineStr">
        <is>
          <t>NEW</t>
        </is>
      </c>
      <c r="G123" s="2" t="inlineStr">
        <is>
          <t>NEW</t>
        </is>
      </c>
      <c r="H123" s="2" t="inlineStr">
        <is>
          <t>Research Funding Capability Test</t>
        </is>
      </c>
      <c r="I123" s="2" t="inlineStr">
        <is>
          <t>Pipeline/outcome + 0–5 rubric</t>
        </is>
      </c>
      <c r="J123" s="2" t="inlineStr">
        <is>
          <t>conversion rate + 0–5</t>
        </is>
      </c>
      <c r="K12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3" s="2" t="inlineStr">
        <is>
          <t>Current state + most recent completed academic year; 24-month window for change/experimentation metrics</t>
        </is>
      </c>
      <c r="M123" s="2" t="inlineStr">
        <is>
          <t>Use D10_Maturity_Anchors and score observable metric behaviour: 0 absent; 1 isolated/reactive; 2 emerging/selected; 3 structured/repeatable; 4 integrated/outcome-visible; 5 adaptive/continuously improving.</t>
        </is>
      </c>
      <c r="N123" s="2" t="inlineStr">
        <is>
          <t>0–5 on existence → operating use → repeatability → integration → measured improvement/learning. Policy publication, attendance or isolated pilots cannot establish high depth.</t>
        </is>
      </c>
      <c r="O123" s="2" t="inlineStr">
        <is>
          <t>Use only where a legitimate observable outcome exists. If no valid outcome exists, Outcome=N/A and renormalise maturity/implementation; never invent an outcome.</t>
        </is>
      </c>
      <c r="P123" s="2" t="inlineStr">
        <is>
          <t>Minimum E2 evidence. For score ≥3 require a dated operating example plus corroboration; outcome claims use E3; E4 preferred for independent/high-stakes claims.</t>
        </is>
      </c>
      <c r="Q123" s="2" t="inlineStr">
        <is>
          <t>Report E0–E4 confidence separately from capability score. E0/E1 cannot substantiate maturity ≥3; E2 supports routine practice; E3 outcome; E4 independent/triangulated.</t>
        </is>
      </c>
      <c r="R123" s="2" t="inlineStr">
        <is>
          <t>N/A only for genuine mandate/context inapplicability with assessor approval. Missing data or poor performance is not N/A; approved N/A is excluded from denominator and reported.</t>
        </is>
      </c>
      <c r="S123" s="2" t="inlineStr">
        <is>
          <t>No narrative-only uplift. Require dated artefact/process/work sample and cross-check against a second source, outcome or independent evidence. Policy-only evidence caps maturity at 2.</t>
        </is>
      </c>
      <c r="T123" s="2" t="inlineStr">
        <is>
          <t>Check D03 student capability, D09 external value and D11 learning; activity alone is not adaptation.</t>
        </is>
      </c>
      <c r="U123" s="2" t="inlineStr">
        <is>
          <t>Research Office/Research leadership</t>
        </is>
      </c>
      <c r="V123" s="2" t="inlineStr">
        <is>
          <t>GREEN — REMEDIATED</t>
        </is>
      </c>
      <c r="W123" s="2" t="inlineStr">
        <is>
          <t>Measurement path explicit at metric level. This GREEN status means architecture completeness, not empirical validation of the index.</t>
        </is>
      </c>
    </row>
    <row r="124">
      <c r="A124" s="2" t="inlineStr">
        <is>
          <t>D10</t>
        </is>
      </c>
      <c r="B124" s="2" t="inlineStr">
        <is>
          <t>I08</t>
        </is>
      </c>
      <c r="C124" s="2" t="inlineStr">
        <is>
          <t>Knowledge Translation Capability</t>
        </is>
      </c>
      <c r="D124" s="2" t="inlineStr">
        <is>
          <t>Movement from research findings to application, policy, practice or public value.</t>
        </is>
      </c>
      <c r="E124" s="2" t="inlineStr">
        <is>
          <t>Research Office/Research leadership</t>
        </is>
      </c>
      <c r="F124" s="2" t="inlineStr">
        <is>
          <t>NEW</t>
        </is>
      </c>
      <c r="G124" s="2" t="inlineStr">
        <is>
          <t>D10.2</t>
        </is>
      </c>
      <c r="H124" s="2" t="inlineStr">
        <is>
          <t>Existing architecture; metric-level extraction rule added here.</t>
        </is>
      </c>
      <c r="I124" s="2" t="inlineStr">
        <is>
          <t>Capability/process demonstration rubric + evidence</t>
        </is>
      </c>
      <c r="J124" s="2" t="inlineStr">
        <is>
          <t>0–5</t>
        </is>
      </c>
      <c r="K12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4" s="2" t="inlineStr">
        <is>
          <t>Current state + most recent completed academic year; 24-month window for change/experimentation metrics</t>
        </is>
      </c>
      <c r="M124" s="2" t="inlineStr">
        <is>
          <t>Use D10_Maturity_Anchors and score observable metric behaviour: 0 absent; 1 isolated/reactive; 2 emerging/selected; 3 structured/repeatable; 4 integrated/outcome-visible; 5 adaptive/continuously improving.</t>
        </is>
      </c>
      <c r="N124" s="2" t="inlineStr">
        <is>
          <t>0–5 on existence → operating use → repeatability → integration → measured improvement/learning. Policy publication, attendance or isolated pilots cannot establish high depth.</t>
        </is>
      </c>
      <c r="O124" s="2" t="inlineStr">
        <is>
          <t>Use only where a legitimate observable outcome exists. If no valid outcome exists, Outcome=N/A and renormalise maturity/implementation; never invent an outcome.</t>
        </is>
      </c>
      <c r="P124" s="2" t="inlineStr">
        <is>
          <t>Minimum E2 evidence. For score ≥3 require a dated operating example plus corroboration; outcome claims use E3; E4 preferred for independent/high-stakes claims.</t>
        </is>
      </c>
      <c r="Q124" s="2" t="inlineStr">
        <is>
          <t>Report E0–E4 confidence separately from capability score. E0/E1 cannot substantiate maturity ≥3; E2 supports routine practice; E3 outcome; E4 independent/triangulated.</t>
        </is>
      </c>
      <c r="R124" s="2" t="inlineStr">
        <is>
          <t>N/A only for genuine mandate/context inapplicability with assessor approval. Missing data or poor performance is not N/A; approved N/A is excluded from denominator and reported.</t>
        </is>
      </c>
      <c r="S124" s="2" t="inlineStr">
        <is>
          <t>No narrative-only uplift. Require dated artefact/process/work sample and cross-check against a second source, outcome or independent evidence. Policy-only evidence caps maturity at 2.</t>
        </is>
      </c>
      <c r="T124" s="2" t="inlineStr">
        <is>
          <t>Check D03 student capability, D09 external value and D11 learning; activity alone is not adaptation.</t>
        </is>
      </c>
      <c r="U124" s="2" t="inlineStr">
        <is>
          <t>Research Office/Research leadership</t>
        </is>
      </c>
      <c r="V124" s="2" t="inlineStr">
        <is>
          <t>GREEN — REMEDIATED</t>
        </is>
      </c>
      <c r="W124" s="2" t="inlineStr">
        <is>
          <t>Measurement path explicit at metric level. This GREEN status means architecture completeness, not empirical validation of the index.</t>
        </is>
      </c>
    </row>
    <row r="125">
      <c r="A125" s="2" t="inlineStr">
        <is>
          <t>D10</t>
        </is>
      </c>
      <c r="B125" s="2" t="inlineStr">
        <is>
          <t>I09</t>
        </is>
      </c>
      <c r="C125" s="2" t="inlineStr">
        <is>
          <t>Industry-Linked Research</t>
        </is>
      </c>
      <c r="D125" s="2" t="inlineStr">
        <is>
          <t>Depth of meaningful research collaboration with industry and external organisations.</t>
        </is>
      </c>
      <c r="E125" s="2" t="inlineStr">
        <is>
          <t>Research Office/Research leadership</t>
        </is>
      </c>
      <c r="F125" s="2" t="inlineStr">
        <is>
          <t>NEW</t>
        </is>
      </c>
      <c r="G125" s="2" t="inlineStr">
        <is>
          <t>NEW</t>
        </is>
      </c>
      <c r="H125" s="2" t="inlineStr">
        <is>
          <t>Industry-Linked Research Test</t>
        </is>
      </c>
      <c r="I125" s="2" t="inlineStr">
        <is>
          <t>Capability/process demonstration rubric + evidence</t>
        </is>
      </c>
      <c r="J125" s="2" t="inlineStr">
        <is>
          <t>0–5</t>
        </is>
      </c>
      <c r="K12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5" s="2" t="inlineStr">
        <is>
          <t>Current state + most recent completed academic year; 24-month window for change/experimentation metrics</t>
        </is>
      </c>
      <c r="M125" s="2" t="inlineStr">
        <is>
          <t>Use D10_Maturity_Anchors and score observable metric behaviour: 0 absent; 1 isolated/reactive; 2 emerging/selected; 3 structured/repeatable; 4 integrated/outcome-visible; 5 adaptive/continuously improving.</t>
        </is>
      </c>
      <c r="N125" s="2" t="inlineStr">
        <is>
          <t>0–5 on existence → operating use → repeatability → integration → measured improvement/learning. Policy publication, attendance or isolated pilots cannot establish high depth.</t>
        </is>
      </c>
      <c r="O125" s="2" t="inlineStr">
        <is>
          <t>Use only where a legitimate observable outcome exists. If no valid outcome exists, Outcome=N/A and renormalise maturity/implementation; never invent an outcome.</t>
        </is>
      </c>
      <c r="P125" s="2" t="inlineStr">
        <is>
          <t>Minimum E2 evidence. For score ≥3 require a dated operating example plus corroboration; outcome claims use E3; E4 preferred for independent/high-stakes claims.</t>
        </is>
      </c>
      <c r="Q125" s="2" t="inlineStr">
        <is>
          <t>Report E0–E4 confidence separately from capability score. E0/E1 cannot substantiate maturity ≥3; E2 supports routine practice; E3 outcome; E4 independent/triangulated.</t>
        </is>
      </c>
      <c r="R125" s="2" t="inlineStr">
        <is>
          <t>N/A only for genuine mandate/context inapplicability with assessor approval. Missing data or poor performance is not N/A; approved N/A is excluded from denominator and reported.</t>
        </is>
      </c>
      <c r="S125" s="2" t="inlineStr">
        <is>
          <t>No narrative-only uplift. Require dated artefact/process/work sample and cross-check against a second source, outcome or independent evidence. Policy-only evidence caps maturity at 2.</t>
        </is>
      </c>
      <c r="T125" s="2" t="inlineStr">
        <is>
          <t>Check D03 student capability, D09 external value and D11 learning; activity alone is not adaptation.</t>
        </is>
      </c>
      <c r="U125" s="2" t="inlineStr">
        <is>
          <t>Research Office/Research leadership</t>
        </is>
      </c>
      <c r="V125" s="2" t="inlineStr">
        <is>
          <t>GREEN — REMEDIATED</t>
        </is>
      </c>
      <c r="W125" s="2" t="inlineStr">
        <is>
          <t>Measurement path explicit at metric level. This GREEN status means architecture completeness, not empirical validation of the index.</t>
        </is>
      </c>
    </row>
    <row r="126">
      <c r="A126" s="2" t="inlineStr">
        <is>
          <t>D10</t>
        </is>
      </c>
      <c r="B126" s="2" t="inlineStr">
        <is>
          <t>I10</t>
        </is>
      </c>
      <c r="C126" s="2" t="inlineStr">
        <is>
          <t>Research-to-Innovation Pipeline</t>
        </is>
      </c>
      <c r="D126" s="2" t="inlineStr">
        <is>
          <t>Ability to move promising research toward prototypes, ventures, IP or implementation.</t>
        </is>
      </c>
      <c r="E126" s="2" t="inlineStr">
        <is>
          <t>Research Office/Research leadership</t>
        </is>
      </c>
      <c r="F126" s="2" t="inlineStr">
        <is>
          <t>NEW</t>
        </is>
      </c>
      <c r="G126" s="2" t="inlineStr">
        <is>
          <t>D10.2</t>
        </is>
      </c>
      <c r="H126" s="2" t="inlineStr">
        <is>
          <t>Existing architecture; metric-level extraction rule added here.</t>
        </is>
      </c>
      <c r="I126" s="2" t="inlineStr">
        <is>
          <t>Capability/process demonstration rubric + evidence</t>
        </is>
      </c>
      <c r="J126" s="2" t="inlineStr">
        <is>
          <t>0–5</t>
        </is>
      </c>
      <c r="K12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6" s="2" t="inlineStr">
        <is>
          <t>Current state + most recent completed academic year; 24-month window for change/experimentation metrics</t>
        </is>
      </c>
      <c r="M126" s="2" t="inlineStr">
        <is>
          <t>Use D10_Maturity_Anchors and score observable metric behaviour: 0 absent; 1 isolated/reactive; 2 emerging/selected; 3 structured/repeatable; 4 integrated/outcome-visible; 5 adaptive/continuously improving.</t>
        </is>
      </c>
      <c r="N126" s="2" t="inlineStr">
        <is>
          <t>0–5 on existence → operating use → repeatability → integration → measured improvement/learning. Policy publication, attendance or isolated pilots cannot establish high depth.</t>
        </is>
      </c>
      <c r="O126" s="2" t="inlineStr">
        <is>
          <t>Use only where a legitimate observable outcome exists. If no valid outcome exists, Outcome=N/A and renormalise maturity/implementation; never invent an outcome.</t>
        </is>
      </c>
      <c r="P126" s="2" t="inlineStr">
        <is>
          <t>Minimum E2 evidence. For score ≥3 require a dated operating example plus corroboration; outcome claims use E3; E4 preferred for independent/high-stakes claims.</t>
        </is>
      </c>
      <c r="Q126" s="2" t="inlineStr">
        <is>
          <t>Report E0–E4 confidence separately from capability score. E0/E1 cannot substantiate maturity ≥3; E2 supports routine practice; E3 outcome; E4 independent/triangulated.</t>
        </is>
      </c>
      <c r="R126" s="2" t="inlineStr">
        <is>
          <t>N/A only for genuine mandate/context inapplicability with assessor approval. Missing data or poor performance is not N/A; approved N/A is excluded from denominator and reported.</t>
        </is>
      </c>
      <c r="S126" s="2" t="inlineStr">
        <is>
          <t>No narrative-only uplift. Require dated artefact/process/work sample and cross-check against a second source, outcome or independent evidence. Policy-only evidence caps maturity at 2.</t>
        </is>
      </c>
      <c r="T126" s="2" t="inlineStr">
        <is>
          <t>Check D03 student capability, D09 external value and D11 learning; activity alone is not adaptation.</t>
        </is>
      </c>
      <c r="U126" s="2" t="inlineStr">
        <is>
          <t>Research Office/Research leadership</t>
        </is>
      </c>
      <c r="V126" s="2" t="inlineStr">
        <is>
          <t>GREEN — REMEDIATED</t>
        </is>
      </c>
      <c r="W126" s="2" t="inlineStr">
        <is>
          <t>Measurement path explicit at metric level. This GREEN status means architecture completeness, not empirical validation of the index.</t>
        </is>
      </c>
    </row>
    <row r="127">
      <c r="A127" s="2" t="inlineStr">
        <is>
          <t>D10</t>
        </is>
      </c>
      <c r="B127" s="2" t="inlineStr">
        <is>
          <t>I11</t>
        </is>
      </c>
      <c r="C127" s="2" t="inlineStr">
        <is>
          <t>IP &amp; Knowledge Assets</t>
        </is>
      </c>
      <c r="D127" s="2" t="inlineStr">
        <is>
          <t>Quality and strategic management of intellectual property and other knowledge assets.</t>
        </is>
      </c>
      <c r="E127" s="2" t="inlineStr">
        <is>
          <t>Research Office/Research leadership</t>
        </is>
      </c>
      <c r="F127" s="2" t="inlineStr">
        <is>
          <t>NEW</t>
        </is>
      </c>
      <c r="G127" s="2" t="inlineStr">
        <is>
          <t>NEW</t>
        </is>
      </c>
      <c r="H127" s="2" t="inlineStr">
        <is>
          <t>IP &amp; Knowledge Assets Test</t>
        </is>
      </c>
      <c r="I127" s="2" t="inlineStr">
        <is>
          <t>Control-effectiveness rubric + evidence-coded score</t>
        </is>
      </c>
      <c r="J127" s="2" t="inlineStr">
        <is>
          <t>0–5</t>
        </is>
      </c>
      <c r="K12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7" s="2" t="inlineStr">
        <is>
          <t>Current state + most recent completed academic year; 24-month window for change/experimentation metrics</t>
        </is>
      </c>
      <c r="M127" s="2" t="inlineStr">
        <is>
          <t>Use D10_Maturity_Anchors and score observable metric behaviour: 0 absent; 1 isolated/reactive; 2 emerging/selected; 3 structured/repeatable; 4 integrated/outcome-visible; 5 adaptive/continuously improving.</t>
        </is>
      </c>
      <c r="N127" s="2" t="inlineStr">
        <is>
          <t>0–5 on existence → operating use → repeatability → integration → measured improvement/learning. Policy publication, attendance or isolated pilots cannot establish high depth.</t>
        </is>
      </c>
      <c r="O127" s="2" t="inlineStr">
        <is>
          <t>Use only where a legitimate observable outcome exists. If no valid outcome exists, Outcome=N/A and renormalise maturity/implementation; never invent an outcome.</t>
        </is>
      </c>
      <c r="P127" s="2" t="inlineStr">
        <is>
          <t>Minimum E2 evidence. For score ≥3 require a dated operating example plus corroboration; outcome claims use E3; E4 preferred for independent/high-stakes claims.</t>
        </is>
      </c>
      <c r="Q127" s="2" t="inlineStr">
        <is>
          <t>Report E0–E4 confidence separately from capability score. E0/E1 cannot substantiate maturity ≥3; E2 supports routine practice; E3 outcome; E4 independent/triangulated.</t>
        </is>
      </c>
      <c r="R127" s="2" t="inlineStr">
        <is>
          <t>N/A only for genuine mandate/context inapplicability with assessor approval. Missing data or poor performance is not N/A; approved N/A is excluded from denominator and reported.</t>
        </is>
      </c>
      <c r="S127" s="2" t="inlineStr">
        <is>
          <t>No narrative-only uplift. Require dated artefact/process/work sample and cross-check against a second source, outcome or independent evidence. Policy-only evidence caps maturity at 2.</t>
        </is>
      </c>
      <c r="T127" s="2" t="inlineStr">
        <is>
          <t>Check D03 student capability, D09 external value and D11 learning; activity alone is not adaptation.</t>
        </is>
      </c>
      <c r="U127" s="2" t="inlineStr">
        <is>
          <t>Research Office/Research leadership</t>
        </is>
      </c>
      <c r="V127" s="2" t="inlineStr">
        <is>
          <t>GREEN — REMEDIATED</t>
        </is>
      </c>
      <c r="W127" s="2" t="inlineStr">
        <is>
          <t>Measurement path explicit at metric level. This GREEN status means architecture completeness, not empirical validation of the index.</t>
        </is>
      </c>
    </row>
    <row r="128">
      <c r="A128" s="2" t="inlineStr">
        <is>
          <t>D10</t>
        </is>
      </c>
      <c r="B128" s="2" t="inlineStr">
        <is>
          <t>I12</t>
        </is>
      </c>
      <c r="C128" s="2" t="inlineStr">
        <is>
          <t>Research Integrity &amp; Responsible AI</t>
        </is>
      </c>
      <c r="D128" s="2" t="inlineStr">
        <is>
          <t>Integrity, reproducibility, ethics, authorship, data and responsible AI practices.</t>
        </is>
      </c>
      <c r="E128" s="2" t="inlineStr">
        <is>
          <t>Research Office/Research leadership</t>
        </is>
      </c>
      <c r="F128" s="2" t="inlineStr">
        <is>
          <t>NEW</t>
        </is>
      </c>
      <c r="G128" s="2" t="inlineStr">
        <is>
          <t>D10.4</t>
        </is>
      </c>
      <c r="H128" s="2" t="inlineStr">
        <is>
          <t>Existing architecture; metric-level extraction rule added here.</t>
        </is>
      </c>
      <c r="I128" s="2" t="inlineStr">
        <is>
          <t>Control-effectiveness rubric + evidence-coded score</t>
        </is>
      </c>
      <c r="J128" s="2" t="inlineStr">
        <is>
          <t>0–5</t>
        </is>
      </c>
      <c r="K12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8" s="2" t="inlineStr">
        <is>
          <t>Current state + most recent completed academic year; 24-month window for change/experimentation metrics</t>
        </is>
      </c>
      <c r="M128" s="2" t="inlineStr">
        <is>
          <t>Use D10_Maturity_Anchors and score observable metric behaviour: 0 absent; 1 isolated/reactive; 2 emerging/selected; 3 structured/repeatable; 4 integrated/outcome-visible; 5 adaptive/continuously improving.</t>
        </is>
      </c>
      <c r="N128" s="2" t="inlineStr">
        <is>
          <t>0–5 on existence → operating use → repeatability → integration → measured improvement/learning. Policy publication, attendance or isolated pilots cannot establish high depth.</t>
        </is>
      </c>
      <c r="O128" s="2" t="inlineStr">
        <is>
          <t>Use only where a legitimate observable outcome exists. If no valid outcome exists, Outcome=N/A and renormalise maturity/implementation; never invent an outcome.</t>
        </is>
      </c>
      <c r="P128" s="2" t="inlineStr">
        <is>
          <t>Minimum E2 evidence. For score ≥3 require a dated operating example plus corroboration; outcome claims use E3; E4 preferred for independent/high-stakes claims.</t>
        </is>
      </c>
      <c r="Q128" s="2" t="inlineStr">
        <is>
          <t>Report E0–E4 confidence separately from capability score. E0/E1 cannot substantiate maturity ≥3; E2 supports routine practice; E3 outcome; E4 independent/triangulated.</t>
        </is>
      </c>
      <c r="R128" s="2" t="inlineStr">
        <is>
          <t>N/A only for genuine mandate/context inapplicability with assessor approval. Missing data or poor performance is not N/A; approved N/A is excluded from denominator and reported.</t>
        </is>
      </c>
      <c r="S128" s="2" t="inlineStr">
        <is>
          <t>No narrative-only uplift. Require dated artefact/process/work sample and cross-check against a second source, outcome or independent evidence. Policy-only evidence caps maturity at 2.</t>
        </is>
      </c>
      <c r="T128" s="2" t="inlineStr">
        <is>
          <t>Check D03 student capability, D09 external value and D11 learning; activity alone is not adaptation.</t>
        </is>
      </c>
      <c r="U128" s="2" t="inlineStr">
        <is>
          <t>Research Office/Research leadership</t>
        </is>
      </c>
      <c r="V128" s="2" t="inlineStr">
        <is>
          <t>GREEN — REMEDIATED</t>
        </is>
      </c>
      <c r="W128" s="2" t="inlineStr">
        <is>
          <t>Measurement path explicit at metric level. This GREEN status means architecture completeness, not empirical validation of the index.</t>
        </is>
      </c>
    </row>
    <row r="129">
      <c r="A129" s="2" t="inlineStr">
        <is>
          <t>D10</t>
        </is>
      </c>
      <c r="B129" s="2" t="inlineStr">
        <is>
          <t>I13</t>
        </is>
      </c>
      <c r="C129" s="2" t="inlineStr">
        <is>
          <t>Research Impact Evidence</t>
        </is>
      </c>
      <c r="D129" s="2" t="inlineStr">
        <is>
          <t>Evidence of scholarly, economic, social, technological or policy impact.</t>
        </is>
      </c>
      <c r="E129" s="2" t="inlineStr">
        <is>
          <t>Research Office/Research leadership</t>
        </is>
      </c>
      <c r="F129" s="2" t="inlineStr">
        <is>
          <t>NEW</t>
        </is>
      </c>
      <c r="G129" s="2" t="inlineStr">
        <is>
          <t>D10.2</t>
        </is>
      </c>
      <c r="H129" s="2" t="inlineStr">
        <is>
          <t>Existing architecture; metric-level extraction rule added here.</t>
        </is>
      </c>
      <c r="I129" s="2" t="inlineStr">
        <is>
          <t>Validated outcome/evidence + 0–5 rubric</t>
        </is>
      </c>
      <c r="J129" s="2" t="inlineStr">
        <is>
          <t>defined statistic + 0–5</t>
        </is>
      </c>
      <c r="K12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9" s="2" t="inlineStr">
        <is>
          <t>Current state + most recent completed academic year; 24-month window for change/experimentation metrics</t>
        </is>
      </c>
      <c r="M129" s="2" t="inlineStr">
        <is>
          <t>Use D10_Maturity_Anchors and score observable metric behaviour: 0 absent; 1 isolated/reactive; 2 emerging/selected; 3 structured/repeatable; 4 integrated/outcome-visible; 5 adaptive/continuously improving.</t>
        </is>
      </c>
      <c r="N129" s="2" t="inlineStr">
        <is>
          <t>0–5 on existence → operating use → repeatability → integration → measured improvement/learning. Policy publication, attendance or isolated pilots cannot establish high depth.</t>
        </is>
      </c>
      <c r="O129" s="2" t="inlineStr">
        <is>
          <t>Use only where a legitimate observable outcome exists. If no valid outcome exists, Outcome=N/A and renormalise maturity/implementation; never invent an outcome.</t>
        </is>
      </c>
      <c r="P129" s="2" t="inlineStr">
        <is>
          <t>Minimum E2 evidence. For score ≥3 require a dated operating example plus corroboration; outcome claims use E3; E4 preferred for independent/high-stakes claims.</t>
        </is>
      </c>
      <c r="Q129" s="2" t="inlineStr">
        <is>
          <t>Report E0–E4 confidence separately from capability score. E0/E1 cannot substantiate maturity ≥3; E2 supports routine practice; E3 outcome; E4 independent/triangulated.</t>
        </is>
      </c>
      <c r="R129" s="2" t="inlineStr">
        <is>
          <t>N/A only for genuine mandate/context inapplicability with assessor approval. Missing data or poor performance is not N/A; approved N/A is excluded from denominator and reported.</t>
        </is>
      </c>
      <c r="S129" s="2" t="inlineStr">
        <is>
          <t>No narrative-only uplift. Require dated artefact/process/work sample and cross-check against a second source, outcome or independent evidence. Policy-only evidence caps maturity at 2.</t>
        </is>
      </c>
      <c r="T129" s="2" t="inlineStr">
        <is>
          <t>Check D03 student capability, D09 external value and D11 learning; activity alone is not adaptation.</t>
        </is>
      </c>
      <c r="U129" s="2" t="inlineStr">
        <is>
          <t>Research Office/Research leadership</t>
        </is>
      </c>
      <c r="V129" s="2" t="inlineStr">
        <is>
          <t>GREEN — REMEDIATED</t>
        </is>
      </c>
      <c r="W129" s="2" t="inlineStr">
        <is>
          <t>Measurement path explicit at metric level. This GREEN status means architecture completeness, not empirical validation of the index.</t>
        </is>
      </c>
    </row>
    <row r="130">
      <c r="A130" s="2" t="inlineStr">
        <is>
          <t>D10</t>
        </is>
      </c>
      <c r="B130" s="2" t="inlineStr">
        <is>
          <t>I14</t>
        </is>
      </c>
      <c r="C130" s="2" t="inlineStr">
        <is>
          <t>Student Research Capability</t>
        </is>
      </c>
      <c r="D130" s="2" t="inlineStr">
        <is>
          <t>Extent to which students participate meaningfully in research and knowledge creation.</t>
        </is>
      </c>
      <c r="E130" s="2" t="inlineStr">
        <is>
          <t>Research Office/Research leadership</t>
        </is>
      </c>
      <c r="F130" s="2" t="inlineStr">
        <is>
          <t>NEW</t>
        </is>
      </c>
      <c r="G130" s="2" t="inlineStr">
        <is>
          <t>D10.5</t>
        </is>
      </c>
      <c r="H130" s="2" t="inlineStr">
        <is>
          <t>Existing architecture; metric-level extraction rule added here.</t>
        </is>
      </c>
      <c r="I130" s="2" t="inlineStr">
        <is>
          <t>Capability/process demonstration rubric + evidence</t>
        </is>
      </c>
      <c r="J130" s="2" t="inlineStr">
        <is>
          <t>0–5</t>
        </is>
      </c>
      <c r="K13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0" s="2" t="inlineStr">
        <is>
          <t>Current state + most recent completed academic year; 24-month window for change/experimentation metrics</t>
        </is>
      </c>
      <c r="M130" s="2" t="inlineStr">
        <is>
          <t>Use D10_Maturity_Anchors and score observable metric behaviour: 0 absent; 1 isolated/reactive; 2 emerging/selected; 3 structured/repeatable; 4 integrated/outcome-visible; 5 adaptive/continuously improving.</t>
        </is>
      </c>
      <c r="N130" s="2" t="inlineStr">
        <is>
          <t>0–5 on existence → operating use → repeatability → integration → measured improvement/learning. Policy publication, attendance or isolated pilots cannot establish high depth.</t>
        </is>
      </c>
      <c r="O130" s="2" t="inlineStr">
        <is>
          <t>Use only where a legitimate observable outcome exists. If no valid outcome exists, Outcome=N/A and renormalise maturity/implementation; never invent an outcome.</t>
        </is>
      </c>
      <c r="P130" s="2" t="inlineStr">
        <is>
          <t>Minimum E2 evidence. For score ≥3 require a dated operating example plus corroboration; outcome claims use E3; E4 preferred for independent/high-stakes claims.</t>
        </is>
      </c>
      <c r="Q130" s="2" t="inlineStr">
        <is>
          <t>Report E0–E4 confidence separately from capability score. E0/E1 cannot substantiate maturity ≥3; E2 supports routine practice; E3 outcome; E4 independent/triangulated.</t>
        </is>
      </c>
      <c r="R130" s="2" t="inlineStr">
        <is>
          <t>N/A only for genuine mandate/context inapplicability with assessor approval. Missing data or poor performance is not N/A; approved N/A is excluded from denominator and reported.</t>
        </is>
      </c>
      <c r="S130" s="2" t="inlineStr">
        <is>
          <t>No narrative-only uplift. Require dated artefact/process/work sample and cross-check against a second source, outcome or independent evidence. Policy-only evidence caps maturity at 2.</t>
        </is>
      </c>
      <c r="T130" s="2" t="inlineStr">
        <is>
          <t>Check D03 student capability, D09 external value and D11 learning; activity alone is not adaptation.</t>
        </is>
      </c>
      <c r="U130" s="2" t="inlineStr">
        <is>
          <t>Research Office/Research leadership</t>
        </is>
      </c>
      <c r="V130" s="2" t="inlineStr">
        <is>
          <t>GREEN — REMEDIATED</t>
        </is>
      </c>
      <c r="W130" s="2" t="inlineStr">
        <is>
          <t>Measurement path explicit at metric level. This GREEN status means architecture completeness, not empirical validation of the index.</t>
        </is>
      </c>
    </row>
    <row r="131">
      <c r="A131" s="2" t="inlineStr">
        <is>
          <t>D11</t>
        </is>
      </c>
      <c r="B131" s="2" t="inlineStr">
        <is>
          <t>I01</t>
        </is>
      </c>
      <c r="C131" s="2" t="inlineStr">
        <is>
          <t>External Change Sensing</t>
        </is>
      </c>
      <c r="D131" s="2" t="inlineStr">
        <is>
          <t>Ability to detect technological, economic, demographic, policy and learner changes.</t>
        </is>
      </c>
      <c r="E131" s="2" t="inlineStr">
        <is>
          <t>Institutional Strategy/Transformation owner</t>
        </is>
      </c>
      <c r="F131" s="2" t="inlineStr">
        <is>
          <t>NEW</t>
        </is>
      </c>
      <c r="G131" s="2" t="inlineStr">
        <is>
          <t>D11.1</t>
        </is>
      </c>
      <c r="H131" s="2" t="inlineStr">
        <is>
          <t>Existing architecture; metric-level extraction rule added here.</t>
        </is>
      </c>
      <c r="I131" s="2" t="inlineStr">
        <is>
          <t>Capability/process demonstration rubric + evidence</t>
        </is>
      </c>
      <c r="J131" s="2" t="inlineStr">
        <is>
          <t>0–5</t>
        </is>
      </c>
      <c r="K13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1" s="2" t="inlineStr">
        <is>
          <t>Current state + most recent completed academic year; 24-month window for change/experimentation metrics</t>
        </is>
      </c>
      <c r="M131" s="2" t="inlineStr">
        <is>
          <t>Use D11_Maturity_Anchors and score observable metric behaviour: 0 absent; 1 isolated/reactive; 2 emerging/selected; 3 structured/repeatable; 4 integrated/outcome-visible; 5 adaptive/continuously improving.</t>
        </is>
      </c>
      <c r="N131" s="2" t="inlineStr">
        <is>
          <t>0–5 on existence → operating use → repeatability → integration → measured improvement/learning. Policy publication, attendance or isolated pilots cannot establish high depth.</t>
        </is>
      </c>
      <c r="O131" s="2" t="inlineStr">
        <is>
          <t>Use only where a legitimate observable outcome exists. If no valid outcome exists, Outcome=N/A and renormalise maturity/implementation; never invent an outcome.</t>
        </is>
      </c>
      <c r="P131" s="2" t="inlineStr">
        <is>
          <t>Minimum E2 evidence. For score ≥3 require a dated operating example plus corroboration; outcome claims use E3; E4 preferred for independent/high-stakes claims.</t>
        </is>
      </c>
      <c r="Q131" s="2" t="inlineStr">
        <is>
          <t>Report E0–E4 confidence separately from capability score. E0/E1 cannot substantiate maturity ≥3; E2 supports routine practice; E3 outcome; E4 independent/triangulated.</t>
        </is>
      </c>
      <c r="R131" s="2" t="inlineStr">
        <is>
          <t>N/A only for genuine mandate/context inapplicability with assessor approval. Missing data or poor performance is not N/A; approved N/A is excluded from denominator and reported.</t>
        </is>
      </c>
      <c r="S131" s="2" t="inlineStr">
        <is>
          <t>No narrative-only uplift. Require dated artefact/process/work sample and cross-check against a second source, outcome or independent evidence. Policy-only evidence caps maturity at 2.</t>
        </is>
      </c>
      <c r="T131" s="2" t="inlineStr">
        <is>
          <t>Check D01 strategy, D04/D05/D06 response and D08 enabling data; D11 is meta-capability.</t>
        </is>
      </c>
      <c r="U131" s="2" t="inlineStr">
        <is>
          <t>Institutional Strategy/Transformation owner</t>
        </is>
      </c>
      <c r="V131" s="2" t="inlineStr">
        <is>
          <t>GREEN — EXISTING PATH RETAINED</t>
        </is>
      </c>
      <c r="W131" s="2" t="inlineStr">
        <is>
          <t>Measurement path explicit at metric level. This GREEN status means architecture completeness, not empirical validation of the index.</t>
        </is>
      </c>
    </row>
    <row r="132">
      <c r="A132" s="2" t="inlineStr">
        <is>
          <t>D11</t>
        </is>
      </c>
      <c r="B132" s="2" t="inlineStr">
        <is>
          <t>I02</t>
        </is>
      </c>
      <c r="C132" s="2" t="inlineStr">
        <is>
          <t>Strategic Response Agility</t>
        </is>
      </c>
      <c r="D132" s="2" t="inlineStr">
        <is>
          <t>Speed and quality with which significant changes become institutional decisions.</t>
        </is>
      </c>
      <c r="E132" s="2" t="inlineStr">
        <is>
          <t>Institutional Strategy/Transformation owner</t>
        </is>
      </c>
      <c r="F132" s="2" t="inlineStr">
        <is>
          <t>NEW</t>
        </is>
      </c>
      <c r="G132" s="2" t="inlineStr">
        <is>
          <t>D11.1; D11.4</t>
        </is>
      </c>
      <c r="H132" s="2" t="inlineStr">
        <is>
          <t>Existing architecture; metric-level extraction rule added here.</t>
        </is>
      </c>
      <c r="I132" s="2" t="inlineStr">
        <is>
          <t>Coverage/rate + 0–5 rubric</t>
        </is>
      </c>
      <c r="J132" s="2" t="inlineStr">
        <is>
          <t>percentage + 0–5</t>
        </is>
      </c>
      <c r="K13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2" s="2" t="inlineStr">
        <is>
          <t>Current state + most recent completed academic year; 24-month window for change/experimentation metrics</t>
        </is>
      </c>
      <c r="M132" s="2" t="inlineStr">
        <is>
          <t>Use D11_Maturity_Anchors and score observable metric behaviour: 0 absent; 1 isolated/reactive; 2 emerging/selected; 3 structured/repeatable; 4 integrated/outcome-visible; 5 adaptive/continuously improving.</t>
        </is>
      </c>
      <c r="N132" s="2" t="inlineStr">
        <is>
          <t>0–5 on existence → operating use → repeatability → integration → measured improvement/learning. Policy publication, attendance or isolated pilots cannot establish high depth.</t>
        </is>
      </c>
      <c r="O132" s="2" t="inlineStr">
        <is>
          <t>Use only where a legitimate observable outcome exists. If no valid outcome exists, Outcome=N/A and renormalise maturity/implementation; never invent an outcome.</t>
        </is>
      </c>
      <c r="P132" s="2" t="inlineStr">
        <is>
          <t>Minimum E2 evidence. For score ≥3 require a dated operating example plus corroboration; outcome claims use E3; E4 preferred for independent/high-stakes claims.</t>
        </is>
      </c>
      <c r="Q132" s="2" t="inlineStr">
        <is>
          <t>Report E0–E4 confidence separately from capability score. E0/E1 cannot substantiate maturity ≥3; E2 supports routine practice; E3 outcome; E4 independent/triangulated.</t>
        </is>
      </c>
      <c r="R132" s="2" t="inlineStr">
        <is>
          <t>N/A only for genuine mandate/context inapplicability with assessor approval. Missing data or poor performance is not N/A; approved N/A is excluded from denominator and reported.</t>
        </is>
      </c>
      <c r="S132" s="2" t="inlineStr">
        <is>
          <t>No narrative-only uplift. Require dated artefact/process/work sample and cross-check against a second source, outcome or independent evidence. Policy-only evidence caps maturity at 2.</t>
        </is>
      </c>
      <c r="T132" s="2" t="inlineStr">
        <is>
          <t>Check D01 strategy, D04/D05/D06 response and D08 enabling data; D11 is meta-capability.</t>
        </is>
      </c>
      <c r="U132" s="2" t="inlineStr">
        <is>
          <t>Institutional Strategy/Transformation owner</t>
        </is>
      </c>
      <c r="V132" s="2" t="inlineStr">
        <is>
          <t>GREEN — EXISTING PATH RETAINED</t>
        </is>
      </c>
      <c r="W132" s="2" t="inlineStr">
        <is>
          <t>Measurement path explicit at metric level. This GREEN status means architecture completeness, not empirical validation of the index.</t>
        </is>
      </c>
    </row>
    <row r="133">
      <c r="A133" s="2" t="inlineStr">
        <is>
          <t>D11</t>
        </is>
      </c>
      <c r="B133" s="2" t="inlineStr">
        <is>
          <t>I03</t>
        </is>
      </c>
      <c r="C133" s="2" t="inlineStr">
        <is>
          <t>Adaptive Decision Architecture</t>
        </is>
      </c>
      <c r="D133" s="2" t="inlineStr">
        <is>
          <t>Clarity of who can act, escalate and allocate resources when circumstances change.</t>
        </is>
      </c>
      <c r="E133" s="2" t="inlineStr">
        <is>
          <t>Institutional Strategy/Transformation owner</t>
        </is>
      </c>
      <c r="F133" s="2" t="inlineStr">
        <is>
          <t>NEW</t>
        </is>
      </c>
      <c r="G133" s="2" t="inlineStr">
        <is>
          <t>D11.1</t>
        </is>
      </c>
      <c r="H133" s="2" t="inlineStr">
        <is>
          <t>Existing architecture; metric-level extraction rule added here.</t>
        </is>
      </c>
      <c r="I133" s="2" t="inlineStr">
        <is>
          <t>Capability/process demonstration rubric + evidence</t>
        </is>
      </c>
      <c r="J133" s="2" t="inlineStr">
        <is>
          <t>0–5</t>
        </is>
      </c>
      <c r="K13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3" s="2" t="inlineStr">
        <is>
          <t>Current state + most recent completed academic year; 24-month window for change/experimentation metrics</t>
        </is>
      </c>
      <c r="M133" s="2" t="inlineStr">
        <is>
          <t>Use D11_Maturity_Anchors and score observable metric behaviour: 0 absent; 1 isolated/reactive; 2 emerging/selected; 3 structured/repeatable; 4 integrated/outcome-visible; 5 adaptive/continuously improving.</t>
        </is>
      </c>
      <c r="N133" s="2" t="inlineStr">
        <is>
          <t>0–5 on existence → operating use → repeatability → integration → measured improvement/learning. Policy publication, attendance or isolated pilots cannot establish high depth.</t>
        </is>
      </c>
      <c r="O133" s="2" t="inlineStr">
        <is>
          <t>Use only where a legitimate observable outcome exists. If no valid outcome exists, Outcome=N/A and renormalise maturity/implementation; never invent an outcome.</t>
        </is>
      </c>
      <c r="P133" s="2" t="inlineStr">
        <is>
          <t>Minimum E2 evidence. For score ≥3 require a dated operating example plus corroboration; outcome claims use E3; E4 preferred for independent/high-stakes claims.</t>
        </is>
      </c>
      <c r="Q133" s="2" t="inlineStr">
        <is>
          <t>Report E0–E4 confidence separately from capability score. E0/E1 cannot substantiate maturity ≥3; E2 supports routine practice; E3 outcome; E4 independent/triangulated.</t>
        </is>
      </c>
      <c r="R133" s="2" t="inlineStr">
        <is>
          <t>N/A only for genuine mandate/context inapplicability with assessor approval. Missing data or poor performance is not N/A; approved N/A is excluded from denominator and reported.</t>
        </is>
      </c>
      <c r="S133" s="2" t="inlineStr">
        <is>
          <t>No narrative-only uplift. Require dated artefact/process/work sample and cross-check against a second source, outcome or independent evidence. Policy-only evidence caps maturity at 2.</t>
        </is>
      </c>
      <c r="T133" s="2" t="inlineStr">
        <is>
          <t>Check D01 strategy, D04/D05/D06 response and D08 enabling data; D11 is meta-capability.</t>
        </is>
      </c>
      <c r="U133" s="2" t="inlineStr">
        <is>
          <t>Institutional Strategy/Transformation owner</t>
        </is>
      </c>
      <c r="V133" s="2" t="inlineStr">
        <is>
          <t>GREEN — EXISTING PATH RETAINED</t>
        </is>
      </c>
      <c r="W133" s="2" t="inlineStr">
        <is>
          <t>Measurement path explicit at metric level. This GREEN status means architecture completeness, not empirical validation of the index.</t>
        </is>
      </c>
    </row>
    <row r="134">
      <c r="A134" s="2" t="inlineStr">
        <is>
          <t>D11</t>
        </is>
      </c>
      <c r="B134" s="2" t="inlineStr">
        <is>
          <t>I04</t>
        </is>
      </c>
      <c r="C134" s="2" t="inlineStr">
        <is>
          <t>Resource Reallocation Agility</t>
        </is>
      </c>
      <c r="D134" s="2" t="inlineStr">
        <is>
          <t>Ability to redirect people, money, infrastructure and attention toward emerging priorities.</t>
        </is>
      </c>
      <c r="E134" s="2" t="inlineStr">
        <is>
          <t>Institutional Strategy/Transformation owner</t>
        </is>
      </c>
      <c r="F134" s="2" t="inlineStr">
        <is>
          <t>NEW</t>
        </is>
      </c>
      <c r="G134" s="2" t="inlineStr">
        <is>
          <t>D11.2; D11.4</t>
        </is>
      </c>
      <c r="H134" s="2" t="inlineStr">
        <is>
          <t>Existing architecture; metric-level extraction rule added here.</t>
        </is>
      </c>
      <c r="I134" s="2" t="inlineStr">
        <is>
          <t>Process-to-action rubric + event evidence</t>
        </is>
      </c>
      <c r="J134" s="2" t="inlineStr">
        <is>
          <t>0–5 + cycle time where available</t>
        </is>
      </c>
      <c r="K13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4" s="2" t="inlineStr">
        <is>
          <t>Current state + most recent completed academic year; 24-month window for change/experimentation metrics</t>
        </is>
      </c>
      <c r="M134" s="2" t="inlineStr">
        <is>
          <t>Use D11_Maturity_Anchors and score observable metric behaviour: 0 absent; 1 isolated/reactive; 2 emerging/selected; 3 structured/repeatable; 4 integrated/outcome-visible; 5 adaptive/continuously improving.</t>
        </is>
      </c>
      <c r="N134" s="2" t="inlineStr">
        <is>
          <t>0–5 on existence → operating use → repeatability → integration → measured improvement/learning. Policy publication, attendance or isolated pilots cannot establish high depth.</t>
        </is>
      </c>
      <c r="O134" s="2" t="inlineStr">
        <is>
          <t>Use only where a legitimate observable outcome exists. If no valid outcome exists, Outcome=N/A and renormalise maturity/implementation; never invent an outcome.</t>
        </is>
      </c>
      <c r="P134" s="2" t="inlineStr">
        <is>
          <t>Minimum E2 evidence. For score ≥3 require a dated operating example plus corroboration; outcome claims use E3; E4 preferred for independent/high-stakes claims.</t>
        </is>
      </c>
      <c r="Q134" s="2" t="inlineStr">
        <is>
          <t>Report E0–E4 confidence separately from capability score. E0/E1 cannot substantiate maturity ≥3; E2 supports routine practice; E3 outcome; E4 independent/triangulated.</t>
        </is>
      </c>
      <c r="R134" s="2" t="inlineStr">
        <is>
          <t>N/A only for genuine mandate/context inapplicability with assessor approval. Missing data or poor performance is not N/A; approved N/A is excluded from denominator and reported.</t>
        </is>
      </c>
      <c r="S134" s="2" t="inlineStr">
        <is>
          <t>No narrative-only uplift. Require dated artefact/process/work sample and cross-check against a second source, outcome or independent evidence. Policy-only evidence caps maturity at 2.</t>
        </is>
      </c>
      <c r="T134" s="2" t="inlineStr">
        <is>
          <t>Check D01 strategy, D04/D05/D06 response and D08 enabling data; D11 is meta-capability.</t>
        </is>
      </c>
      <c r="U134" s="2" t="inlineStr">
        <is>
          <t>Institutional Strategy/Transformation owner</t>
        </is>
      </c>
      <c r="V134" s="2" t="inlineStr">
        <is>
          <t>GREEN — REMEDIATED</t>
        </is>
      </c>
      <c r="W134" s="2" t="inlineStr">
        <is>
          <t>Measurement path explicit at metric level. This GREEN status means architecture completeness, not empirical validation of the index.</t>
        </is>
      </c>
    </row>
    <row r="135">
      <c r="A135" s="2" t="inlineStr">
        <is>
          <t>D11</t>
        </is>
      </c>
      <c r="B135" s="2" t="inlineStr">
        <is>
          <t>I05</t>
        </is>
      </c>
      <c r="C135" s="2" t="inlineStr">
        <is>
          <t>Institutional Experimentation</t>
        </is>
      </c>
      <c r="D135" s="2" t="inlineStr">
        <is>
          <t>Ability to test new approaches without turning every experiment into a large programme.</t>
        </is>
      </c>
      <c r="E135" s="2" t="inlineStr">
        <is>
          <t>Institutional Strategy/Transformation owner</t>
        </is>
      </c>
      <c r="F135" s="2" t="inlineStr">
        <is>
          <t>NEW</t>
        </is>
      </c>
      <c r="G135" s="2" t="inlineStr">
        <is>
          <t>NEW</t>
        </is>
      </c>
      <c r="H135" s="2" t="inlineStr">
        <is>
          <t>Institutional Experimentation Test</t>
        </is>
      </c>
      <c r="I135" s="2" t="inlineStr">
        <is>
          <t>Process-to-action rubric + event evidence</t>
        </is>
      </c>
      <c r="J135" s="2" t="inlineStr">
        <is>
          <t>0–5 + cycle time where available</t>
        </is>
      </c>
      <c r="K13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5" s="2" t="inlineStr">
        <is>
          <t>Current state + most recent completed academic year; 24-month window for change/experimentation metrics</t>
        </is>
      </c>
      <c r="M135" s="2" t="inlineStr">
        <is>
          <t>Use D11_Maturity_Anchors and score observable metric behaviour: 0 absent; 1 isolated/reactive; 2 emerging/selected; 3 structured/repeatable; 4 integrated/outcome-visible; 5 adaptive/continuously improving.</t>
        </is>
      </c>
      <c r="N135" s="2" t="inlineStr">
        <is>
          <t>0–5 on existence → operating use → repeatability → integration → measured improvement/learning. Policy publication, attendance or isolated pilots cannot establish high depth.</t>
        </is>
      </c>
      <c r="O135" s="2" t="inlineStr">
        <is>
          <t>Use only where a legitimate observable outcome exists. If no valid outcome exists, Outcome=N/A and renormalise maturity/implementation; never invent an outcome.</t>
        </is>
      </c>
      <c r="P135" s="2" t="inlineStr">
        <is>
          <t>Minimum E2 evidence. For score ≥3 require a dated operating example plus corroboration; outcome claims use E3; E4 preferred for independent/high-stakes claims.</t>
        </is>
      </c>
      <c r="Q135" s="2" t="inlineStr">
        <is>
          <t>Report E0–E4 confidence separately from capability score. E0/E1 cannot substantiate maturity ≥3; E2 supports routine practice; E3 outcome; E4 independent/triangulated.</t>
        </is>
      </c>
      <c r="R135" s="2" t="inlineStr">
        <is>
          <t>N/A only for genuine mandate/context inapplicability with assessor approval. Missing data or poor performance is not N/A; approved N/A is excluded from denominator and reported.</t>
        </is>
      </c>
      <c r="S135" s="2" t="inlineStr">
        <is>
          <t>No narrative-only uplift. Require dated artefact/process/work sample and cross-check against a second source, outcome or independent evidence. Policy-only evidence caps maturity at 2.</t>
        </is>
      </c>
      <c r="T135" s="2" t="inlineStr">
        <is>
          <t>Check D01 strategy, D04/D05/D06 response and D08 enabling data; D11 is meta-capability.</t>
        </is>
      </c>
      <c r="U135" s="2" t="inlineStr">
        <is>
          <t>Institutional Strategy/Transformation owner</t>
        </is>
      </c>
      <c r="V135" s="2" t="inlineStr">
        <is>
          <t>GREEN — REMEDIATED</t>
        </is>
      </c>
      <c r="W135" s="2" t="inlineStr">
        <is>
          <t>Measurement path explicit at metric level. This GREEN status means architecture completeness, not empirical validation of the index.</t>
        </is>
      </c>
    </row>
    <row r="136">
      <c r="A136" s="2" t="inlineStr">
        <is>
          <t>D11</t>
        </is>
      </c>
      <c r="B136" s="2" t="inlineStr">
        <is>
          <t>I06</t>
        </is>
      </c>
      <c r="C136" s="2" t="inlineStr">
        <is>
          <t>Failure-to-Learning Capability</t>
        </is>
      </c>
      <c r="D136" s="2" t="inlineStr">
        <is>
          <t>Whether unsuccessful initiatives produce institutional learning and changed practice.</t>
        </is>
      </c>
      <c r="E136" s="2" t="inlineStr">
        <is>
          <t>Institutional Strategy/Transformation owner</t>
        </is>
      </c>
      <c r="F136" s="2" t="inlineStr">
        <is>
          <t>NEW</t>
        </is>
      </c>
      <c r="G136" s="2" t="inlineStr">
        <is>
          <t>D11.3</t>
        </is>
      </c>
      <c r="H136" s="2" t="inlineStr">
        <is>
          <t>Existing architecture; metric-level extraction rule added here.</t>
        </is>
      </c>
      <c r="I136" s="2" t="inlineStr">
        <is>
          <t>Capability/process demonstration rubric + evidence</t>
        </is>
      </c>
      <c r="J136" s="2" t="inlineStr">
        <is>
          <t>0–5</t>
        </is>
      </c>
      <c r="K13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6" s="2" t="inlineStr">
        <is>
          <t>Current state + most recent completed academic year; 24-month window for change/experimentation metrics</t>
        </is>
      </c>
      <c r="M136" s="2" t="inlineStr">
        <is>
          <t>Use D11_Maturity_Anchors and score observable metric behaviour: 0 absent; 1 isolated/reactive; 2 emerging/selected; 3 structured/repeatable; 4 integrated/outcome-visible; 5 adaptive/continuously improving.</t>
        </is>
      </c>
      <c r="N136" s="2" t="inlineStr">
        <is>
          <t>0–5 on existence → operating use → repeatability → integration → measured improvement/learning. Policy publication, attendance or isolated pilots cannot establish high depth.</t>
        </is>
      </c>
      <c r="O136" s="2" t="inlineStr">
        <is>
          <t>Use only where a legitimate observable outcome exists. If no valid outcome exists, Outcome=N/A and renormalise maturity/implementation; never invent an outcome.</t>
        </is>
      </c>
      <c r="P136" s="2" t="inlineStr">
        <is>
          <t>Minimum E2 evidence. For score ≥3 require a dated operating example plus corroboration; outcome claims use E3; E4 preferred for independent/high-stakes claims.</t>
        </is>
      </c>
      <c r="Q136" s="2" t="inlineStr">
        <is>
          <t>Report E0–E4 confidence separately from capability score. E0/E1 cannot substantiate maturity ≥3; E2 supports routine practice; E3 outcome; E4 independent/triangulated.</t>
        </is>
      </c>
      <c r="R136" s="2" t="inlineStr">
        <is>
          <t>N/A only for genuine mandate/context inapplicability with assessor approval. Missing data or poor performance is not N/A; approved N/A is excluded from denominator and reported.</t>
        </is>
      </c>
      <c r="S136" s="2" t="inlineStr">
        <is>
          <t>No narrative-only uplift. Require dated artefact/process/work sample and cross-check against a second source, outcome or independent evidence. Policy-only evidence caps maturity at 2.</t>
        </is>
      </c>
      <c r="T136" s="2" t="inlineStr">
        <is>
          <t>Check D01 strategy, D04/D05/D06 response and D08 enabling data; D11 is meta-capability.</t>
        </is>
      </c>
      <c r="U136" s="2" t="inlineStr">
        <is>
          <t>Institutional Strategy/Transformation owner</t>
        </is>
      </c>
      <c r="V136" s="2" t="inlineStr">
        <is>
          <t>GREEN — REMEDIATED</t>
        </is>
      </c>
      <c r="W136" s="2" t="inlineStr">
        <is>
          <t>Measurement path explicit at metric level. This GREEN status means architecture completeness, not empirical validation of the index.</t>
        </is>
      </c>
    </row>
    <row r="137">
      <c r="A137" s="2" t="inlineStr">
        <is>
          <t>D11</t>
        </is>
      </c>
      <c r="B137" s="2" t="inlineStr">
        <is>
          <t>I07</t>
        </is>
      </c>
      <c r="C137" s="2" t="inlineStr">
        <is>
          <t>Change Management Capacity</t>
        </is>
      </c>
      <c r="D137" s="2" t="inlineStr">
        <is>
          <t>Ability to move people and systems through meaningful institutional change.</t>
        </is>
      </c>
      <c r="E137" s="2" t="inlineStr">
        <is>
          <t>Institutional Strategy/Transformation owner</t>
        </is>
      </c>
      <c r="F137" s="2" t="inlineStr">
        <is>
          <t>NEW</t>
        </is>
      </c>
      <c r="G137" s="2" t="inlineStr">
        <is>
          <t>D11.4</t>
        </is>
      </c>
      <c r="H137" s="2" t="inlineStr">
        <is>
          <t>Existing architecture; metric-level extraction rule added here.</t>
        </is>
      </c>
      <c r="I137" s="2" t="inlineStr">
        <is>
          <t>Capability/process demonstration rubric + evidence</t>
        </is>
      </c>
      <c r="J137" s="2" t="inlineStr">
        <is>
          <t>0–5</t>
        </is>
      </c>
      <c r="K13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7" s="2" t="inlineStr">
        <is>
          <t>Current state + most recent completed academic year; 24-month window for change/experimentation metrics</t>
        </is>
      </c>
      <c r="M137" s="2" t="inlineStr">
        <is>
          <t>Use D11_Maturity_Anchors and score observable metric behaviour: 0 absent; 1 isolated/reactive; 2 emerging/selected; 3 structured/repeatable; 4 integrated/outcome-visible; 5 adaptive/continuously improving.</t>
        </is>
      </c>
      <c r="N137" s="2" t="inlineStr">
        <is>
          <t>0–5 on existence → operating use → repeatability → integration → measured improvement/learning. Policy publication, attendance or isolated pilots cannot establish high depth.</t>
        </is>
      </c>
      <c r="O137" s="2" t="inlineStr">
        <is>
          <t>Use only where a legitimate observable outcome exists. If no valid outcome exists, Outcome=N/A and renormalise maturity/implementation; never invent an outcome.</t>
        </is>
      </c>
      <c r="P137" s="2" t="inlineStr">
        <is>
          <t>Minimum E2 evidence. For score ≥3 require a dated operating example plus corroboration; outcome claims use E3; E4 preferred for independent/high-stakes claims.</t>
        </is>
      </c>
      <c r="Q137" s="2" t="inlineStr">
        <is>
          <t>Report E0–E4 confidence separately from capability score. E0/E1 cannot substantiate maturity ≥3; E2 supports routine practice; E3 outcome; E4 independent/triangulated.</t>
        </is>
      </c>
      <c r="R137" s="2" t="inlineStr">
        <is>
          <t>N/A only for genuine mandate/context inapplicability with assessor approval. Missing data or poor performance is not N/A; approved N/A is excluded from denominator and reported.</t>
        </is>
      </c>
      <c r="S137" s="2" t="inlineStr">
        <is>
          <t>No narrative-only uplift. Require dated artefact/process/work sample and cross-check against a second source, outcome or independent evidence. Policy-only evidence caps maturity at 2.</t>
        </is>
      </c>
      <c r="T137" s="2" t="inlineStr">
        <is>
          <t>Check D01 strategy, D04/D05/D06 response and D08 enabling data; D11 is meta-capability.</t>
        </is>
      </c>
      <c r="U137" s="2" t="inlineStr">
        <is>
          <t>Institutional Strategy/Transformation owner</t>
        </is>
      </c>
      <c r="V137" s="2" t="inlineStr">
        <is>
          <t>GREEN — REMEDIATED</t>
        </is>
      </c>
      <c r="W137" s="2" t="inlineStr">
        <is>
          <t>Measurement path explicit at metric level. This GREEN status means architecture completeness, not empirical validation of the index.</t>
        </is>
      </c>
    </row>
    <row r="138">
      <c r="A138" s="2" t="inlineStr">
        <is>
          <t>D11</t>
        </is>
      </c>
      <c r="B138" s="2" t="inlineStr">
        <is>
          <t>I08</t>
        </is>
      </c>
      <c r="C138" s="2" t="inlineStr">
        <is>
          <t>Adaptive Leadership Alignment</t>
        </is>
      </c>
      <c r="D138" s="2" t="inlineStr">
        <is>
          <t>Extent to which leadership can align around changing priorities.</t>
        </is>
      </c>
      <c r="E138" s="2" t="inlineStr">
        <is>
          <t>Institutional Strategy/Transformation owner</t>
        </is>
      </c>
      <c r="F138" s="2" t="inlineStr">
        <is>
          <t>NEW</t>
        </is>
      </c>
      <c r="G138" s="2" t="inlineStr">
        <is>
          <t>NEW</t>
        </is>
      </c>
      <c r="H138" s="2" t="inlineStr">
        <is>
          <t>Adaptive Leadership Alignment Test</t>
        </is>
      </c>
      <c r="I138" s="2" t="inlineStr">
        <is>
          <t>Capability/process demonstration rubric + evidence</t>
        </is>
      </c>
      <c r="J138" s="2" t="inlineStr">
        <is>
          <t>0–5</t>
        </is>
      </c>
      <c r="K13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8" s="2" t="inlineStr">
        <is>
          <t>Current state + most recent completed academic year; 24-month window for change/experimentation metrics</t>
        </is>
      </c>
      <c r="M138" s="2" t="inlineStr">
        <is>
          <t>Use D11_Maturity_Anchors and score observable metric behaviour: 0 absent; 1 isolated/reactive; 2 emerging/selected; 3 structured/repeatable; 4 integrated/outcome-visible; 5 adaptive/continuously improving.</t>
        </is>
      </c>
      <c r="N138" s="2" t="inlineStr">
        <is>
          <t>0–5 on existence → operating use → repeatability → integration → measured improvement/learning. Policy publication, attendance or isolated pilots cannot establish high depth.</t>
        </is>
      </c>
      <c r="O138" s="2" t="inlineStr">
        <is>
          <t>Use only where a legitimate observable outcome exists. If no valid outcome exists, Outcome=N/A and renormalise maturity/implementation; never invent an outcome.</t>
        </is>
      </c>
      <c r="P138" s="2" t="inlineStr">
        <is>
          <t>Minimum E2 evidence. For score ≥3 require a dated operating example plus corroboration; outcome claims use E3; E4 preferred for independent/high-stakes claims.</t>
        </is>
      </c>
      <c r="Q138" s="2" t="inlineStr">
        <is>
          <t>Report E0–E4 confidence separately from capability score. E0/E1 cannot substantiate maturity ≥3; E2 supports routine practice; E3 outcome; E4 independent/triangulated.</t>
        </is>
      </c>
      <c r="R138" s="2" t="inlineStr">
        <is>
          <t>N/A only for genuine mandate/context inapplicability with assessor approval. Missing data or poor performance is not N/A; approved N/A is excluded from denominator and reported.</t>
        </is>
      </c>
      <c r="S138" s="2" t="inlineStr">
        <is>
          <t>No narrative-only uplift. Require dated artefact/process/work sample and cross-check against a second source, outcome or independent evidence. Policy-only evidence caps maturity at 2.</t>
        </is>
      </c>
      <c r="T138" s="2" t="inlineStr">
        <is>
          <t>Check D01 strategy, D04/D05/D06 response and D08 enabling data; D11 is meta-capability.</t>
        </is>
      </c>
      <c r="U138" s="2" t="inlineStr">
        <is>
          <t>Institutional Strategy/Transformation owner</t>
        </is>
      </c>
      <c r="V138" s="2" t="inlineStr">
        <is>
          <t>GREEN — REMEDIATED</t>
        </is>
      </c>
      <c r="W138" s="2" t="inlineStr">
        <is>
          <t>Measurement path explicit at metric level. This GREEN status means architecture completeness, not empirical validation of the index.</t>
        </is>
      </c>
    </row>
    <row r="139">
      <c r="A139" s="2" t="inlineStr">
        <is>
          <t>D11</t>
        </is>
      </c>
      <c r="B139" s="2" t="inlineStr">
        <is>
          <t>I09</t>
        </is>
      </c>
      <c r="C139" s="2" t="inlineStr">
        <is>
          <t>Learner Signal Responsiveness</t>
        </is>
      </c>
      <c r="D139" s="2" t="inlineStr">
        <is>
          <t>Ability to detect and respond to changing student expectations and experience.</t>
        </is>
      </c>
      <c r="E139" s="2" t="inlineStr">
        <is>
          <t>Institutional Strategy/Transformation owner</t>
        </is>
      </c>
      <c r="F139" s="2" t="inlineStr">
        <is>
          <t>NEW</t>
        </is>
      </c>
      <c r="G139" s="2" t="inlineStr">
        <is>
          <t>NEW</t>
        </is>
      </c>
      <c r="H139" s="2" t="inlineStr">
        <is>
          <t>Learner Signal Responsiveness Test</t>
        </is>
      </c>
      <c r="I139" s="2" t="inlineStr">
        <is>
          <t>Process-to-action rubric + event evidence</t>
        </is>
      </c>
      <c r="J139" s="2" t="inlineStr">
        <is>
          <t>0–5 + cycle time where available</t>
        </is>
      </c>
      <c r="K13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9" s="2" t="inlineStr">
        <is>
          <t>Current state + most recent completed academic year; 24-month window for change/experimentation metrics</t>
        </is>
      </c>
      <c r="M139" s="2" t="inlineStr">
        <is>
          <t>Use D11_Maturity_Anchors and score observable metric behaviour: 0 absent; 1 isolated/reactive; 2 emerging/selected; 3 structured/repeatable; 4 integrated/outcome-visible; 5 adaptive/continuously improving.</t>
        </is>
      </c>
      <c r="N139" s="2" t="inlineStr">
        <is>
          <t>0–5 on existence → operating use → repeatability → integration → measured improvement/learning. Policy publication, attendance or isolated pilots cannot establish high depth.</t>
        </is>
      </c>
      <c r="O139" s="2" t="inlineStr">
        <is>
          <t>Use only where a legitimate observable outcome exists. If no valid outcome exists, Outcome=N/A and renormalise maturity/implementation; never invent an outcome.</t>
        </is>
      </c>
      <c r="P139" s="2" t="inlineStr">
        <is>
          <t>Minimum E2 evidence. For score ≥3 require a dated operating example plus corroboration; outcome claims use E3; E4 preferred for independent/high-stakes claims.</t>
        </is>
      </c>
      <c r="Q139" s="2" t="inlineStr">
        <is>
          <t>Report E0–E4 confidence separately from capability score. E0/E1 cannot substantiate maturity ≥3; E2 supports routine practice; E3 outcome; E4 independent/triangulated.</t>
        </is>
      </c>
      <c r="R139" s="2" t="inlineStr">
        <is>
          <t>N/A only for genuine mandate/context inapplicability with assessor approval. Missing data or poor performance is not N/A; approved N/A is excluded from denominator and reported.</t>
        </is>
      </c>
      <c r="S139" s="2" t="inlineStr">
        <is>
          <t>No narrative-only uplift. Require dated artefact/process/work sample and cross-check against a second source, outcome or independent evidence. Policy-only evidence caps maturity at 2.</t>
        </is>
      </c>
      <c r="T139" s="2" t="inlineStr">
        <is>
          <t>Check D01 strategy, D04/D05/D06 response and D08 enabling data; D11 is meta-capability.</t>
        </is>
      </c>
      <c r="U139" s="2" t="inlineStr">
        <is>
          <t>Institutional Strategy/Transformation owner</t>
        </is>
      </c>
      <c r="V139" s="2" t="inlineStr">
        <is>
          <t>GREEN — REMEDIATED</t>
        </is>
      </c>
      <c r="W139" s="2" t="inlineStr">
        <is>
          <t>Measurement path explicit at metric level. This GREEN status means architecture completeness, not empirical validation of the index.</t>
        </is>
      </c>
    </row>
    <row r="140">
      <c r="A140" s="2" t="inlineStr">
        <is>
          <t>D11</t>
        </is>
      </c>
      <c r="B140" s="2" t="inlineStr">
        <is>
          <t>I10</t>
        </is>
      </c>
      <c r="C140" s="2" t="inlineStr">
        <is>
          <t>Economic &amp; Workforce Responsiveness</t>
        </is>
      </c>
      <c r="D140" s="2" t="inlineStr">
        <is>
          <t>Ability to respond to changing industry and workforce conditions.</t>
        </is>
      </c>
      <c r="E140" s="2" t="inlineStr">
        <is>
          <t>Institutional Strategy/Transformation owner</t>
        </is>
      </c>
      <c r="F140" s="2" t="inlineStr">
        <is>
          <t>NEW</t>
        </is>
      </c>
      <c r="G140" s="2" t="inlineStr">
        <is>
          <t>D11.4</t>
        </is>
      </c>
      <c r="H140" s="2" t="inlineStr">
        <is>
          <t>Existing architecture; metric-level extraction rule added here.</t>
        </is>
      </c>
      <c r="I140" s="2" t="inlineStr">
        <is>
          <t>Process-to-action rubric + event evidence</t>
        </is>
      </c>
      <c r="J140" s="2" t="inlineStr">
        <is>
          <t>0–5 + cycle time where available</t>
        </is>
      </c>
      <c r="K14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0" s="2" t="inlineStr">
        <is>
          <t>Current state + most recent completed academic year; 24-month window for change/experimentation metrics</t>
        </is>
      </c>
      <c r="M140" s="2" t="inlineStr">
        <is>
          <t>Use D11_Maturity_Anchors and score observable metric behaviour: 0 absent; 1 isolated/reactive; 2 emerging/selected; 3 structured/repeatable; 4 integrated/outcome-visible; 5 adaptive/continuously improving.</t>
        </is>
      </c>
      <c r="N140" s="2" t="inlineStr">
        <is>
          <t>0–5 on existence → operating use → repeatability → integration → measured improvement/learning. Policy publication, attendance or isolated pilots cannot establish high depth.</t>
        </is>
      </c>
      <c r="O140" s="2" t="inlineStr">
        <is>
          <t>Use only where a legitimate observable outcome exists. If no valid outcome exists, Outcome=N/A and renormalise maturity/implementation; never invent an outcome.</t>
        </is>
      </c>
      <c r="P140" s="2" t="inlineStr">
        <is>
          <t>Minimum E2 evidence. For score ≥3 require a dated operating example plus corroboration; outcome claims use E3; E4 preferred for independent/high-stakes claims.</t>
        </is>
      </c>
      <c r="Q140" s="2" t="inlineStr">
        <is>
          <t>Report E0–E4 confidence separately from capability score. E0/E1 cannot substantiate maturity ≥3; E2 supports routine practice; E3 outcome; E4 independent/triangulated.</t>
        </is>
      </c>
      <c r="R140" s="2" t="inlineStr">
        <is>
          <t>N/A only for genuine mandate/context inapplicability with assessor approval. Missing data or poor performance is not N/A; approved N/A is excluded from denominator and reported.</t>
        </is>
      </c>
      <c r="S140" s="2" t="inlineStr">
        <is>
          <t>No narrative-only uplift. Require dated artefact/process/work sample and cross-check against a second source, outcome or independent evidence. Policy-only evidence caps maturity at 2.</t>
        </is>
      </c>
      <c r="T140" s="2" t="inlineStr">
        <is>
          <t>Check D01 strategy, D04/D05/D06 response and D08 enabling data; D11 is meta-capability.</t>
        </is>
      </c>
      <c r="U140" s="2" t="inlineStr">
        <is>
          <t>Institutional Strategy/Transformation owner</t>
        </is>
      </c>
      <c r="V140" s="2" t="inlineStr">
        <is>
          <t>GREEN — REMEDIATED</t>
        </is>
      </c>
      <c r="W140" s="2" t="inlineStr">
        <is>
          <t>Measurement path explicit at metric level. This GREEN status means architecture completeness, not empirical validation of the index.</t>
        </is>
      </c>
    </row>
    <row r="141">
      <c r="A141" s="2" t="inlineStr">
        <is>
          <t>D11</t>
        </is>
      </c>
      <c r="B141" s="2" t="inlineStr">
        <is>
          <t>I11</t>
        </is>
      </c>
      <c r="C141" s="2" t="inlineStr">
        <is>
          <t>Scenario Planning Capability</t>
        </is>
      </c>
      <c r="D141" s="2" t="inlineStr">
        <is>
          <t>Ability to prepare for multiple plausible futures rather than one forecast.</t>
        </is>
      </c>
      <c r="E141" s="2" t="inlineStr">
        <is>
          <t>Institutional Strategy/Transformation owner</t>
        </is>
      </c>
      <c r="F141" s="2" t="inlineStr">
        <is>
          <t>NEW</t>
        </is>
      </c>
      <c r="G141" s="2" t="inlineStr">
        <is>
          <t>NEW</t>
        </is>
      </c>
      <c r="H141" s="2" t="inlineStr">
        <is>
          <t>Scenario Planning Test</t>
        </is>
      </c>
      <c r="I141" s="2" t="inlineStr">
        <is>
          <t>Capability/process demonstration rubric + evidence</t>
        </is>
      </c>
      <c r="J141" s="2" t="inlineStr">
        <is>
          <t>0–5</t>
        </is>
      </c>
      <c r="K14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1" s="2" t="inlineStr">
        <is>
          <t>Current state + most recent completed academic year; 24-month window for change/experimentation metrics</t>
        </is>
      </c>
      <c r="M141" s="2" t="inlineStr">
        <is>
          <t>Use D11_Maturity_Anchors and score observable metric behaviour: 0 absent; 1 isolated/reactive; 2 emerging/selected; 3 structured/repeatable; 4 integrated/outcome-visible; 5 adaptive/continuously improving.</t>
        </is>
      </c>
      <c r="N141" s="2" t="inlineStr">
        <is>
          <t>0–5 on existence → operating use → repeatability → integration → measured improvement/learning. Policy publication, attendance or isolated pilots cannot establish high depth.</t>
        </is>
      </c>
      <c r="O141" s="2" t="inlineStr">
        <is>
          <t>Use only where a legitimate observable outcome exists. If no valid outcome exists, Outcome=N/A and renormalise maturity/implementation; never invent an outcome.</t>
        </is>
      </c>
      <c r="P141" s="2" t="inlineStr">
        <is>
          <t>Minimum E2 evidence. For score ≥3 require a dated operating example plus corroboration; outcome claims use E3; E4 preferred for independent/high-stakes claims.</t>
        </is>
      </c>
      <c r="Q141" s="2" t="inlineStr">
        <is>
          <t>Report E0–E4 confidence separately from capability score. E0/E1 cannot substantiate maturity ≥3; E2 supports routine practice; E3 outcome; E4 independent/triangulated.</t>
        </is>
      </c>
      <c r="R141" s="2" t="inlineStr">
        <is>
          <t>N/A only for genuine mandate/context inapplicability with assessor approval. Missing data or poor performance is not N/A; approved N/A is excluded from denominator and reported.</t>
        </is>
      </c>
      <c r="S141" s="2" t="inlineStr">
        <is>
          <t>No narrative-only uplift. Require dated artefact/process/work sample and cross-check against a second source, outcome or independent evidence. Policy-only evidence caps maturity at 2.</t>
        </is>
      </c>
      <c r="T141" s="2" t="inlineStr">
        <is>
          <t>Check D01 strategy, D04/D05/D06 response and D08 enabling data; D11 is meta-capability.</t>
        </is>
      </c>
      <c r="U141" s="2" t="inlineStr">
        <is>
          <t>Institutional Strategy/Transformation owner</t>
        </is>
      </c>
      <c r="V141" s="2" t="inlineStr">
        <is>
          <t>GREEN — REMEDIATED</t>
        </is>
      </c>
      <c r="W141" s="2" t="inlineStr">
        <is>
          <t>Measurement path explicit at metric level. This GREEN status means architecture completeness, not empirical validation of the index.</t>
        </is>
      </c>
    </row>
    <row r="142">
      <c r="A142" s="2" t="inlineStr">
        <is>
          <t>D11</t>
        </is>
      </c>
      <c r="B142" s="2" t="inlineStr">
        <is>
          <t>I12</t>
        </is>
      </c>
      <c r="C142" s="2" t="inlineStr">
        <is>
          <t>Institutional Resilience</t>
        </is>
      </c>
      <c r="D142" s="2" t="inlineStr">
        <is>
          <t>Ability to maintain core educational quality while adapting to disruption.</t>
        </is>
      </c>
      <c r="E142" s="2" t="inlineStr">
        <is>
          <t>Institutional Strategy/Transformation owner</t>
        </is>
      </c>
      <c r="F142" s="2" t="inlineStr">
        <is>
          <t>NEW</t>
        </is>
      </c>
      <c r="G142" s="2" t="inlineStr">
        <is>
          <t>D11.5</t>
        </is>
      </c>
      <c r="H142" s="2" t="inlineStr">
        <is>
          <t>Existing architecture; metric-level extraction rule added here.</t>
        </is>
      </c>
      <c r="I142" s="2" t="inlineStr">
        <is>
          <t>Capability/process demonstration rubric + evidence</t>
        </is>
      </c>
      <c r="J142" s="2" t="inlineStr">
        <is>
          <t>0–5</t>
        </is>
      </c>
      <c r="K14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2" s="2" t="inlineStr">
        <is>
          <t>Current state + most recent completed academic year; 24-month window for change/experimentation metrics</t>
        </is>
      </c>
      <c r="M142" s="2" t="inlineStr">
        <is>
          <t>Use D11_Maturity_Anchors and score observable metric behaviour: 0 absent; 1 isolated/reactive; 2 emerging/selected; 3 structured/repeatable; 4 integrated/outcome-visible; 5 adaptive/continuously improving.</t>
        </is>
      </c>
      <c r="N142" s="2" t="inlineStr">
        <is>
          <t>0–5 on existence → operating use → repeatability → integration → measured improvement/learning. Policy publication, attendance or isolated pilots cannot establish high depth.</t>
        </is>
      </c>
      <c r="O142" s="2" t="inlineStr">
        <is>
          <t>Use only where a legitimate observable outcome exists. If no valid outcome exists, Outcome=N/A and renormalise maturity/implementation; never invent an outcome.</t>
        </is>
      </c>
      <c r="P142" s="2" t="inlineStr">
        <is>
          <t>Minimum E2 evidence. For score ≥3 require a dated operating example plus corroboration; outcome claims use E3; E4 preferred for independent/high-stakes claims.</t>
        </is>
      </c>
      <c r="Q142" s="2" t="inlineStr">
        <is>
          <t>Report E0–E4 confidence separately from capability score. E0/E1 cannot substantiate maturity ≥3; E2 supports routine practice; E3 outcome; E4 independent/triangulated.</t>
        </is>
      </c>
      <c r="R142" s="2" t="inlineStr">
        <is>
          <t>N/A only for genuine mandate/context inapplicability with assessor approval. Missing data or poor performance is not N/A; approved N/A is excluded from denominator and reported.</t>
        </is>
      </c>
      <c r="S142" s="2" t="inlineStr">
        <is>
          <t>No narrative-only uplift. Require dated artefact/process/work sample and cross-check against a second source, outcome or independent evidence. Policy-only evidence caps maturity at 2.</t>
        </is>
      </c>
      <c r="T142" s="2" t="inlineStr">
        <is>
          <t>Check D01 strategy, D04/D05/D06 response and D08 enabling data; D11 is meta-capability.</t>
        </is>
      </c>
      <c r="U142" s="2" t="inlineStr">
        <is>
          <t>Institutional Strategy/Transformation owner</t>
        </is>
      </c>
      <c r="V142" s="2" t="inlineStr">
        <is>
          <t>GREEN — REMEDIATED</t>
        </is>
      </c>
      <c r="W142" s="2" t="inlineStr">
        <is>
          <t>Measurement path explicit at metric level. This GREEN status means architecture completeness, not empirical validation of the index.</t>
        </is>
      </c>
    </row>
    <row r="143">
      <c r="A143" s="2" t="inlineStr">
        <is>
          <t>D11</t>
        </is>
      </c>
      <c r="B143" s="2" t="inlineStr">
        <is>
          <t>I13</t>
        </is>
      </c>
      <c r="C143" s="2" t="inlineStr">
        <is>
          <t>Institutional Learning System</t>
        </is>
      </c>
      <c r="D143" s="2" t="inlineStr">
        <is>
          <t>Ability to turn evidence, experience and external signals into repeated improvement.</t>
        </is>
      </c>
      <c r="E143" s="2" t="inlineStr">
        <is>
          <t>Institutional Strategy/Transformation owner</t>
        </is>
      </c>
      <c r="F143" s="2" t="inlineStr">
        <is>
          <t>NEW</t>
        </is>
      </c>
      <c r="G143" s="2" t="inlineStr">
        <is>
          <t>D11.3</t>
        </is>
      </c>
      <c r="H143" s="2" t="inlineStr">
        <is>
          <t>Existing architecture; metric-level extraction rule added here.</t>
        </is>
      </c>
      <c r="I143" s="2" t="inlineStr">
        <is>
          <t>Process-to-action rubric + event evidence</t>
        </is>
      </c>
      <c r="J143" s="2" t="inlineStr">
        <is>
          <t>0–5 + cycle time where available</t>
        </is>
      </c>
      <c r="K14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3" s="2" t="inlineStr">
        <is>
          <t>Current state + most recent completed academic year; 24-month window for change/experimentation metrics</t>
        </is>
      </c>
      <c r="M143" s="2" t="inlineStr">
        <is>
          <t>Use D11_Maturity_Anchors and score observable metric behaviour: 0 absent; 1 isolated/reactive; 2 emerging/selected; 3 structured/repeatable; 4 integrated/outcome-visible; 5 adaptive/continuously improving.</t>
        </is>
      </c>
      <c r="N143" s="2" t="inlineStr">
        <is>
          <t>0–5 on existence → operating use → repeatability → integration → measured improvement/learning. Policy publication, attendance or isolated pilots cannot establish high depth.</t>
        </is>
      </c>
      <c r="O143" s="2" t="inlineStr">
        <is>
          <t>Use only where a legitimate observable outcome exists. If no valid outcome exists, Outcome=N/A and renormalise maturity/implementation; never invent an outcome.</t>
        </is>
      </c>
      <c r="P143" s="2" t="inlineStr">
        <is>
          <t>Minimum E2 evidence. For score ≥3 require a dated operating example plus corroboration; outcome claims use E3; E4 preferred for independent/high-stakes claims.</t>
        </is>
      </c>
      <c r="Q143" s="2" t="inlineStr">
        <is>
          <t>Report E0–E4 confidence separately from capability score. E0/E1 cannot substantiate maturity ≥3; E2 supports routine practice; E3 outcome; E4 independent/triangulated.</t>
        </is>
      </c>
      <c r="R143" s="2" t="inlineStr">
        <is>
          <t>N/A only for genuine mandate/context inapplicability with assessor approval. Missing data or poor performance is not N/A; approved N/A is excluded from denominator and reported.</t>
        </is>
      </c>
      <c r="S143" s="2" t="inlineStr">
        <is>
          <t>No narrative-only uplift. Require dated artefact/process/work sample and cross-check against a second source, outcome or independent evidence. Policy-only evidence caps maturity at 2.</t>
        </is>
      </c>
      <c r="T143" s="2" t="inlineStr">
        <is>
          <t>Check D01 strategy, D04/D05/D06 response and D08 enabling data; D11 is meta-capability.</t>
        </is>
      </c>
      <c r="U143" s="2" t="inlineStr">
        <is>
          <t>Institutional Strategy/Transformation owner</t>
        </is>
      </c>
      <c r="V143" s="2" t="inlineStr">
        <is>
          <t>GREEN — REMEDIATED</t>
        </is>
      </c>
      <c r="W143" s="2" t="inlineStr">
        <is>
          <t>Measurement path explicit at metric level. This GREEN status means architecture completeness, not empirical validation of the index.</t>
        </is>
      </c>
    </row>
    <row r="144">
      <c r="A144" s="2" t="inlineStr">
        <is>
          <t>D11</t>
        </is>
      </c>
      <c r="B144" s="2" t="inlineStr">
        <is>
          <t>I14</t>
        </is>
      </c>
      <c r="C144" s="2" t="inlineStr">
        <is>
          <t>Future Transformation Capacity</t>
        </is>
      </c>
      <c r="D144" s="2" t="inlineStr">
        <is>
          <t>Overall ability to redesign the institution before external pressure forces change.</t>
        </is>
      </c>
      <c r="E144" s="2" t="inlineStr">
        <is>
          <t>Institutional Strategy/Transformation owner</t>
        </is>
      </c>
      <c r="F144" s="2" t="inlineStr">
        <is>
          <t>NEW</t>
        </is>
      </c>
      <c r="G144" s="2" t="inlineStr">
        <is>
          <t>D11.4; D11.5</t>
        </is>
      </c>
      <c r="H144" s="2" t="inlineStr">
        <is>
          <t>Existing architecture; metric-level extraction rule added here.</t>
        </is>
      </c>
      <c r="I144" s="2" t="inlineStr">
        <is>
          <t>Capability/process demonstration rubric + evidence</t>
        </is>
      </c>
      <c r="J144" s="2" t="inlineStr">
        <is>
          <t>0–5</t>
        </is>
      </c>
      <c r="K14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4" s="2" t="inlineStr">
        <is>
          <t>Current state + most recent completed academic year; 24-month window for change/experimentation metrics</t>
        </is>
      </c>
      <c r="M144" s="2" t="inlineStr">
        <is>
          <t>Use D11_Maturity_Anchors and score observable metric behaviour: 0 absent; 1 isolated/reactive; 2 emerging/selected; 3 structured/repeatable; 4 integrated/outcome-visible; 5 adaptive/continuously improving.</t>
        </is>
      </c>
      <c r="N144" s="2" t="inlineStr">
        <is>
          <t>0–5 on existence → operating use → repeatability → integration → measured improvement/learning. Policy publication, attendance or isolated pilots cannot establish high depth.</t>
        </is>
      </c>
      <c r="O144" s="2" t="inlineStr">
        <is>
          <t>Use only where a legitimate observable outcome exists. If no valid outcome exists, Outcome=N/A and renormalise maturity/implementation; never invent an outcome.</t>
        </is>
      </c>
      <c r="P144" s="2" t="inlineStr">
        <is>
          <t>Minimum E2 evidence. For score ≥3 require a dated operating example plus corroboration; outcome claims use E3; E4 preferred for independent/high-stakes claims.</t>
        </is>
      </c>
      <c r="Q144" s="2" t="inlineStr">
        <is>
          <t>Report E0–E4 confidence separately from capability score. E0/E1 cannot substantiate maturity ≥3; E2 supports routine practice; E3 outcome; E4 independent/triangulated.</t>
        </is>
      </c>
      <c r="R144" s="2" t="inlineStr">
        <is>
          <t>N/A only for genuine mandate/context inapplicability with assessor approval. Missing data or poor performance is not N/A; approved N/A is excluded from denominator and reported.</t>
        </is>
      </c>
      <c r="S144" s="2" t="inlineStr">
        <is>
          <t>No narrative-only uplift. Require dated artefact/process/work sample and cross-check against a second source, outcome or independent evidence. Policy-only evidence caps maturity at 2.</t>
        </is>
      </c>
      <c r="T144" s="2" t="inlineStr">
        <is>
          <t>Check D01 strategy, D04/D05/D06 response and D08 enabling data; D11 is meta-capability.</t>
        </is>
      </c>
      <c r="U144" s="2" t="inlineStr">
        <is>
          <t>Institutional Strategy/Transformation owner</t>
        </is>
      </c>
      <c r="V144" s="2" t="inlineStr">
        <is>
          <t>GREEN — REMEDIATED</t>
        </is>
      </c>
      <c r="W144" s="2" t="inlineStr">
        <is>
          <t>Measurement path explicit at metric level. This GREEN status means architecture completeness, not empirical validation of the index.</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144"/>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8.7109375" customWidth="1" min="3" max="3"/>
    <col width="60.7109375" customWidth="1" min="4" max="4"/>
    <col width="25.7109375" customWidth="1" min="5" max="6"/>
    <col width="28.7109375" customWidth="1" min="7" max="9"/>
    <col width="42.7109375" customWidth="1" min="10" max="10"/>
    <col width="12.7109375" customWidth="1" min="11" max="11"/>
    <col width="60.7109375" customWidth="1" min="12" max="12"/>
  </cols>
  <sheetData>
    <row r="1">
      <c r="A1" s="23" t="inlineStr">
        <is>
          <t>Domain</t>
        </is>
      </c>
      <c r="B1" s="23" t="inlineStr">
        <is>
          <t>Metric ID</t>
        </is>
      </c>
      <c r="C1" s="23" t="inlineStr">
        <is>
          <t>Metric</t>
        </is>
      </c>
      <c r="D1" s="23" t="inlineStr">
        <is>
          <t>Definition</t>
        </is>
      </c>
      <c r="E1" s="23" t="inlineStr">
        <is>
          <t>Assessment Card(s)</t>
        </is>
      </c>
      <c r="F1" s="23" t="inlineStr">
        <is>
          <t>Question Bank Item(s)</t>
        </is>
      </c>
      <c r="G1" s="23" t="inlineStr">
        <is>
          <t>Evidence Requirement Match</t>
        </is>
      </c>
      <c r="H1" s="23" t="inlineStr">
        <is>
          <t>Institutional Data Match</t>
        </is>
      </c>
      <c r="I1" s="23" t="inlineStr">
        <is>
          <t>Measurement Inputs</t>
        </is>
      </c>
      <c r="J1" s="23" t="inlineStr">
        <is>
          <t>Recommended Measurement Type</t>
        </is>
      </c>
      <c r="K1" s="23" t="inlineStr">
        <is>
          <t>Status</t>
        </is>
      </c>
      <c r="L1" s="23" t="inlineStr">
        <is>
          <t>Required Action</t>
        </is>
      </c>
    </row>
    <row r="2">
      <c r="A2" s="2" t="inlineStr">
        <is>
          <t>D01</t>
        </is>
      </c>
      <c r="B2" s="2" t="inlineStr">
        <is>
          <t>I01</t>
        </is>
      </c>
      <c r="C2" s="2" t="inlineStr">
        <is>
          <t>Strategic AI Integration</t>
        </is>
      </c>
      <c r="D2" s="2" t="inlineStr">
        <is>
          <t>Actual AI/future influence on institutional decisions</t>
        </is>
      </c>
      <c r="E2" s="2" t="inlineStr">
        <is>
          <t>D01</t>
        </is>
      </c>
      <c r="F2" s="2" t="inlineStr">
        <is>
          <t>D01; D01</t>
        </is>
      </c>
      <c r="G2" s="2" t="inlineStr">
        <is>
          <t>D01</t>
        </is>
      </c>
      <c r="H2" s="2" t="inlineStr">
        <is>
          <t>—</t>
        </is>
      </c>
      <c r="I2" s="2" t="inlineStr">
        <is>
          <t>Assessment Card; Question Bank; Evidence</t>
        </is>
      </c>
      <c r="J2" s="2" t="inlineStr">
        <is>
          <t>Rubric + evidence anchored ordinal score (0–5)</t>
        </is>
      </c>
      <c r="K2" s="2" t="inlineStr">
        <is>
          <t>GREEN</t>
        </is>
      </c>
      <c r="L2" s="2" t="inlineStr">
        <is>
          <t>Formalise the existing measurement path; assign evidence and scoring rule.</t>
        </is>
      </c>
    </row>
    <row r="3">
      <c r="A3" s="2" t="inlineStr">
        <is>
          <t>D01</t>
        </is>
      </c>
      <c r="B3" s="2" t="inlineStr">
        <is>
          <t>I02</t>
        </is>
      </c>
      <c r="C3" s="2" t="inlineStr">
        <is>
          <t>Future Foresight Maturity</t>
        </is>
      </c>
      <c r="D3" s="2" t="inlineStr">
        <is>
          <t>Ability to test assumptions and detect change early</t>
        </is>
      </c>
      <c r="E3" s="2" t="inlineStr">
        <is>
          <t>—</t>
        </is>
      </c>
      <c r="F3" s="2" t="inlineStr">
        <is>
          <t>D01; D01</t>
        </is>
      </c>
      <c r="G3" s="2" t="inlineStr">
        <is>
          <t>D01; D01</t>
        </is>
      </c>
      <c r="H3" s="2" t="inlineStr">
        <is>
          <t>—</t>
        </is>
      </c>
      <c r="I3" s="2" t="inlineStr">
        <is>
          <t>Question Bank; Evidence</t>
        </is>
      </c>
      <c r="J3" s="2" t="inlineStr">
        <is>
          <t>Rubric + evidence anchored ordinal score (0–5)</t>
        </is>
      </c>
      <c r="K3" s="2" t="inlineStr">
        <is>
          <t>GREEN</t>
        </is>
      </c>
      <c r="L3" s="2" t="inlineStr">
        <is>
          <t>Formalise the existing measurement path; assign evidence and scoring rule.</t>
        </is>
      </c>
    </row>
    <row r="4">
      <c r="A4" s="2" t="inlineStr">
        <is>
          <t>D01</t>
        </is>
      </c>
      <c r="B4" s="2" t="inlineStr">
        <is>
          <t>I03</t>
        </is>
      </c>
      <c r="C4" s="2" t="inlineStr">
        <is>
          <t>Strategic Translation Rate</t>
        </is>
      </c>
      <c r="D4" s="2" t="inlineStr">
        <is>
          <t>Identified issues translated into actual decisions</t>
        </is>
      </c>
      <c r="E4" s="2" t="inlineStr">
        <is>
          <t>—</t>
        </is>
      </c>
      <c r="F4" s="2" t="inlineStr">
        <is>
          <t>D01</t>
        </is>
      </c>
      <c r="G4" s="2" t="inlineStr">
        <is>
          <t>D01</t>
        </is>
      </c>
      <c r="H4" s="2" t="inlineStr">
        <is>
          <t>—</t>
        </is>
      </c>
      <c r="I4" s="2" t="inlineStr">
        <is>
          <t>Question Bank; Evidence</t>
        </is>
      </c>
      <c r="J4" s="2" t="inlineStr">
        <is>
          <t>Rubric + evidence anchored ordinal score (0–5)</t>
        </is>
      </c>
      <c r="K4" s="2" t="inlineStr">
        <is>
          <t>GREEN</t>
        </is>
      </c>
      <c r="L4" s="2" t="inlineStr">
        <is>
          <t>Formalise the existing measurement path; assign evidence and scoring rule.</t>
        </is>
      </c>
    </row>
    <row r="5">
      <c r="A5" s="2" t="inlineStr">
        <is>
          <t>D01</t>
        </is>
      </c>
      <c r="B5" s="2" t="inlineStr">
        <is>
          <t>I04</t>
        </is>
      </c>
      <c r="C5" s="2" t="inlineStr">
        <is>
          <t>Programme Future-Review Coverage</t>
        </is>
      </c>
      <c r="D5" s="2" t="inlineStr">
        <is>
          <t>Programme reviews considering AI/future-of-work</t>
        </is>
      </c>
      <c r="E5" s="2" t="inlineStr">
        <is>
          <t>—</t>
        </is>
      </c>
      <c r="F5" s="2" t="inlineStr">
        <is>
          <t>—</t>
        </is>
      </c>
      <c r="G5" s="2" t="inlineStr">
        <is>
          <t>D01</t>
        </is>
      </c>
      <c r="H5" s="2" t="inlineStr">
        <is>
          <t>—</t>
        </is>
      </c>
      <c r="I5" s="2" t="inlineStr">
        <is>
          <t>Evidence</t>
        </is>
      </c>
      <c r="J5" s="2" t="inlineStr">
        <is>
          <t>Rubric + evidence anchored ordinal score (0–5)</t>
        </is>
      </c>
      <c r="K5" s="2" t="inlineStr">
        <is>
          <t>AMBER</t>
        </is>
      </c>
      <c r="L5" s="2" t="inlineStr">
        <is>
          <t>Define explicit metric-level measurement specification before scoring freeze.</t>
        </is>
      </c>
    </row>
    <row r="6">
      <c r="A6" s="2" t="inlineStr">
        <is>
          <t>D01</t>
        </is>
      </c>
      <c r="B6" s="2" t="inlineStr">
        <is>
          <t>I05</t>
        </is>
      </c>
      <c r="C6" s="2" t="inlineStr">
        <is>
          <t>Strategic Differentiation Clarity</t>
        </is>
      </c>
      <c r="D6" s="2" t="inlineStr">
        <is>
          <t>Evidence-backed future value proposition</t>
        </is>
      </c>
      <c r="E6" s="2" t="inlineStr">
        <is>
          <t>—</t>
        </is>
      </c>
      <c r="F6" s="2" t="inlineStr">
        <is>
          <t>D01</t>
        </is>
      </c>
      <c r="G6" s="2" t="inlineStr">
        <is>
          <t>—</t>
        </is>
      </c>
      <c r="H6" s="2" t="inlineStr">
        <is>
          <t>—</t>
        </is>
      </c>
      <c r="I6" s="2" t="inlineStr">
        <is>
          <t>Question Bank</t>
        </is>
      </c>
      <c r="J6" s="2" t="inlineStr">
        <is>
          <t>Rubric + evidence anchored ordinal score (0–5)</t>
        </is>
      </c>
      <c r="K6" s="2" t="inlineStr">
        <is>
          <t>AMBER</t>
        </is>
      </c>
      <c r="L6" s="2" t="inlineStr">
        <is>
          <t>Define explicit metric-level measurement specification before scoring freeze.</t>
        </is>
      </c>
    </row>
    <row r="7">
      <c r="A7" s="2" t="inlineStr">
        <is>
          <t>D01</t>
        </is>
      </c>
      <c r="B7" s="2" t="inlineStr">
        <is>
          <t>I06</t>
        </is>
      </c>
      <c r="C7" s="2" t="inlineStr">
        <is>
          <t>Foresight Response Architecture</t>
        </is>
      </c>
      <c r="D7" s="2" t="inlineStr">
        <is>
          <t>Detect→interpret→decide→act→learn mechanism</t>
        </is>
      </c>
      <c r="E7" s="2" t="inlineStr">
        <is>
          <t>—</t>
        </is>
      </c>
      <c r="F7" s="2" t="inlineStr">
        <is>
          <t>D01</t>
        </is>
      </c>
      <c r="G7" s="2" t="inlineStr">
        <is>
          <t>D01</t>
        </is>
      </c>
      <c r="H7" s="2" t="inlineStr">
        <is>
          <t>—</t>
        </is>
      </c>
      <c r="I7" s="2" t="inlineStr">
        <is>
          <t>Question Bank; Evidence</t>
        </is>
      </c>
      <c r="J7" s="2" t="inlineStr">
        <is>
          <t>Rubric + evidence anchored ordinal score (0–5)</t>
        </is>
      </c>
      <c r="K7" s="2" t="inlineStr">
        <is>
          <t>GREEN</t>
        </is>
      </c>
      <c r="L7" s="2" t="inlineStr">
        <is>
          <t>Formalise the existing measurement path; assign evidence and scoring rule.</t>
        </is>
      </c>
    </row>
    <row r="8">
      <c r="A8" s="2" t="inlineStr">
        <is>
          <t>D01</t>
        </is>
      </c>
      <c r="B8" s="2" t="inlineStr">
        <is>
          <t>I07</t>
        </is>
      </c>
      <c r="C8" s="2" t="inlineStr">
        <is>
          <t>Resource Alignment</t>
        </is>
      </c>
      <c r="D8" s="2" t="inlineStr">
        <is>
          <t>Strategic priority vs resource movement</t>
        </is>
      </c>
      <c r="E8" s="2" t="inlineStr">
        <is>
          <t>—</t>
        </is>
      </c>
      <c r="F8" s="2" t="inlineStr">
        <is>
          <t>—</t>
        </is>
      </c>
      <c r="G8" s="2" t="inlineStr">
        <is>
          <t>—</t>
        </is>
      </c>
      <c r="H8" s="2" t="inlineStr">
        <is>
          <t>—</t>
        </is>
      </c>
      <c r="I8" s="2" t="inlineStr">
        <is>
          <t>NONE</t>
        </is>
      </c>
      <c r="J8" s="2" t="inlineStr">
        <is>
          <t>Rubric + evidence anchored ordinal score (0–5)</t>
        </is>
      </c>
      <c r="K8" s="2" t="inlineStr">
        <is>
          <t>RED</t>
        </is>
      </c>
      <c r="L8" s="2" t="inlineStr">
        <is>
          <t>Define explicit metric-level measurement specification before scoring freeze.</t>
        </is>
      </c>
    </row>
    <row r="9">
      <c r="A9" s="2" t="inlineStr">
        <is>
          <t>D01</t>
        </is>
      </c>
      <c r="B9" s="2" t="inlineStr">
        <is>
          <t>I08</t>
        </is>
      </c>
      <c r="C9" s="2" t="inlineStr">
        <is>
          <t>Leadership Alignment</t>
        </is>
      </c>
      <c r="D9" s="2" t="inlineStr">
        <is>
          <t>Cross-functional strategic ownership</t>
        </is>
      </c>
      <c r="E9" s="2" t="inlineStr">
        <is>
          <t>D01</t>
        </is>
      </c>
      <c r="F9" s="2" t="inlineStr">
        <is>
          <t>D01; D01</t>
        </is>
      </c>
      <c r="G9" s="2" t="inlineStr">
        <is>
          <t>—</t>
        </is>
      </c>
      <c r="H9" s="2" t="inlineStr">
        <is>
          <t>—</t>
        </is>
      </c>
      <c r="I9" s="2" t="inlineStr">
        <is>
          <t>Assessment Card; Question Bank</t>
        </is>
      </c>
      <c r="J9" s="2" t="inlineStr">
        <is>
          <t>Rubric + evidence anchored ordinal score (0–5)</t>
        </is>
      </c>
      <c r="K9" s="2" t="inlineStr">
        <is>
          <t>GREEN</t>
        </is>
      </c>
      <c r="L9" s="2" t="inlineStr">
        <is>
          <t>Formalise the existing measurement path; assign evidence and scoring rule.</t>
        </is>
      </c>
    </row>
    <row r="10">
      <c r="A10" s="2" t="inlineStr">
        <is>
          <t>D01</t>
        </is>
      </c>
      <c r="B10" s="2" t="inlineStr">
        <is>
          <t>I09</t>
        </is>
      </c>
      <c r="C10" s="2" t="inlineStr">
        <is>
          <t>Experimentation Effectiveness</t>
        </is>
      </c>
      <c r="D10" s="2" t="inlineStr">
        <is>
          <t>Pilot evaluation, scaling/stopping and learning</t>
        </is>
      </c>
      <c r="E10" s="2" t="inlineStr">
        <is>
          <t>—</t>
        </is>
      </c>
      <c r="F10" s="2" t="inlineStr">
        <is>
          <t>D01</t>
        </is>
      </c>
      <c r="G10" s="2" t="inlineStr">
        <is>
          <t>D01</t>
        </is>
      </c>
      <c r="H10" s="2" t="inlineStr">
        <is>
          <t>—</t>
        </is>
      </c>
      <c r="I10" s="2" t="inlineStr">
        <is>
          <t>Question Bank; Evidence</t>
        </is>
      </c>
      <c r="J10" s="2" t="inlineStr">
        <is>
          <t>Rubric + evidence anchored ordinal score (0–5)</t>
        </is>
      </c>
      <c r="K10" s="2" t="inlineStr">
        <is>
          <t>GREEN</t>
        </is>
      </c>
      <c r="L10" s="2" t="inlineStr">
        <is>
          <t>Formalise the existing measurement path; assign evidence and scoring rule.</t>
        </is>
      </c>
    </row>
    <row r="11">
      <c r="A11" s="2" t="inlineStr">
        <is>
          <t>D01</t>
        </is>
      </c>
      <c r="B11" s="2" t="inlineStr">
        <is>
          <t>I10</t>
        </is>
      </c>
      <c r="C11" s="2" t="inlineStr">
        <is>
          <t>Strategic Learning Rate</t>
        </is>
      </c>
      <c r="D11" s="2" t="inlineStr">
        <is>
          <t>Strategy changes after evidence/review</t>
        </is>
      </c>
      <c r="E11" s="2" t="inlineStr">
        <is>
          <t>—</t>
        </is>
      </c>
      <c r="F11" s="2" t="inlineStr">
        <is>
          <t>—</t>
        </is>
      </c>
      <c r="G11" s="2" t="inlineStr">
        <is>
          <t>—</t>
        </is>
      </c>
      <c r="H11" s="2" t="inlineStr">
        <is>
          <t>—</t>
        </is>
      </c>
      <c r="I11" s="2" t="inlineStr">
        <is>
          <t>NONE</t>
        </is>
      </c>
      <c r="J11" s="2" t="inlineStr">
        <is>
          <t>Rubric + evidence anchored ordinal score (0–5)</t>
        </is>
      </c>
      <c r="K11" s="2" t="inlineStr">
        <is>
          <t>RED</t>
        </is>
      </c>
      <c r="L11" s="2" t="inlineStr">
        <is>
          <t>Define explicit metric-level measurement specification before scoring freeze.</t>
        </is>
      </c>
    </row>
    <row r="12">
      <c r="A12" s="2" t="inlineStr">
        <is>
          <t>D02</t>
        </is>
      </c>
      <c r="B12" s="2" t="inlineStr">
        <is>
          <t>I01</t>
        </is>
      </c>
      <c r="C12" s="2" t="inlineStr">
        <is>
          <t>Governance Ownership</t>
        </is>
      </c>
      <c r="D12" s="2" t="inlineStr">
        <is>
          <t>Decision rights for consequential AI</t>
        </is>
      </c>
      <c r="E12" s="2" t="inlineStr">
        <is>
          <t>D02</t>
        </is>
      </c>
      <c r="F12" s="2" t="inlineStr">
        <is>
          <t>D02</t>
        </is>
      </c>
      <c r="G12" s="2" t="inlineStr">
        <is>
          <t>D02</t>
        </is>
      </c>
      <c r="H12" s="2" t="inlineStr">
        <is>
          <t>—</t>
        </is>
      </c>
      <c r="I12" s="2" t="inlineStr">
        <is>
          <t>Assessment Card; Question Bank; Evidence</t>
        </is>
      </c>
      <c r="J12" s="2" t="inlineStr">
        <is>
          <t>Defined rubric / evidence-coded score</t>
        </is>
      </c>
      <c r="K12" s="2" t="inlineStr">
        <is>
          <t>GREEN</t>
        </is>
      </c>
      <c r="L12" s="2" t="inlineStr">
        <is>
          <t>Formalise the existing measurement path; assign evidence and scoring rule.</t>
        </is>
      </c>
    </row>
    <row r="13">
      <c r="A13" s="2" t="inlineStr">
        <is>
          <t>D02</t>
        </is>
      </c>
      <c r="B13" s="2" t="inlineStr">
        <is>
          <t>I02</t>
        </is>
      </c>
      <c r="C13" s="2" t="inlineStr">
        <is>
          <t>Decision Architecture</t>
        </is>
      </c>
      <c r="D13" s="2" t="inlineStr">
        <is>
          <t>Approval/review/escalation workflow</t>
        </is>
      </c>
      <c r="E13" s="2" t="inlineStr">
        <is>
          <t>—</t>
        </is>
      </c>
      <c r="F13" s="2" t="inlineStr">
        <is>
          <t>D02</t>
        </is>
      </c>
      <c r="G13" s="2" t="inlineStr">
        <is>
          <t>D02</t>
        </is>
      </c>
      <c r="H13" s="2" t="inlineStr">
        <is>
          <t>—</t>
        </is>
      </c>
      <c r="I13" s="2" t="inlineStr">
        <is>
          <t>Question Bank; Evidence</t>
        </is>
      </c>
      <c r="J13" s="2" t="inlineStr">
        <is>
          <t>Rubric + evidence anchored ordinal score (0–5)</t>
        </is>
      </c>
      <c r="K13" s="2" t="inlineStr">
        <is>
          <t>GREEN</t>
        </is>
      </c>
      <c r="L13" s="2" t="inlineStr">
        <is>
          <t>Formalise the existing measurement path; assign evidence and scoring rule.</t>
        </is>
      </c>
    </row>
    <row r="14">
      <c r="A14" s="2" t="inlineStr">
        <is>
          <t>D02</t>
        </is>
      </c>
      <c r="B14" s="2" t="inlineStr">
        <is>
          <t>I03</t>
        </is>
      </c>
      <c r="C14" s="2" t="inlineStr">
        <is>
          <t>Responsible AI Maturity</t>
        </is>
      </c>
      <c r="D14" s="2" t="inlineStr">
        <is>
          <t>Operational ethics, fairness, transparency, accountability</t>
        </is>
      </c>
      <c r="E14" s="2" t="inlineStr">
        <is>
          <t>—</t>
        </is>
      </c>
      <c r="F14" s="2" t="inlineStr">
        <is>
          <t>D02</t>
        </is>
      </c>
      <c r="G14" s="2" t="inlineStr">
        <is>
          <t>D02</t>
        </is>
      </c>
      <c r="H14" s="2" t="inlineStr">
        <is>
          <t>—</t>
        </is>
      </c>
      <c r="I14" s="2" t="inlineStr">
        <is>
          <t>Question Bank; Evidence</t>
        </is>
      </c>
      <c r="J14" s="2" t="inlineStr">
        <is>
          <t>Rubric + evidence anchored ordinal score (0–5)</t>
        </is>
      </c>
      <c r="K14" s="2" t="inlineStr">
        <is>
          <t>GREEN</t>
        </is>
      </c>
      <c r="L14" s="2" t="inlineStr">
        <is>
          <t>Formalise the existing measurement path; assign evidence and scoring rule.</t>
        </is>
      </c>
    </row>
    <row r="15">
      <c r="A15" s="2" t="inlineStr">
        <is>
          <t>D02</t>
        </is>
      </c>
      <c r="B15" s="2" t="inlineStr">
        <is>
          <t>I04</t>
        </is>
      </c>
      <c r="C15" s="2" t="inlineStr">
        <is>
          <t>Data Governance Readiness</t>
        </is>
      </c>
      <c r="D15" s="2" t="inlineStr">
        <is>
          <t>Controls for data used by AI</t>
        </is>
      </c>
      <c r="E15" s="2" t="inlineStr">
        <is>
          <t>—</t>
        </is>
      </c>
      <c r="F15" s="2" t="inlineStr">
        <is>
          <t>D02</t>
        </is>
      </c>
      <c r="G15" s="2" t="inlineStr">
        <is>
          <t>D02</t>
        </is>
      </c>
      <c r="H15" s="2" t="inlineStr">
        <is>
          <t>—</t>
        </is>
      </c>
      <c r="I15" s="2" t="inlineStr">
        <is>
          <t>Question Bank; Evidence</t>
        </is>
      </c>
      <c r="J15" s="2" t="inlineStr">
        <is>
          <t>Rubric + evidence anchored ordinal score (0–5)</t>
        </is>
      </c>
      <c r="K15" s="2" t="inlineStr">
        <is>
          <t>GREEN</t>
        </is>
      </c>
      <c r="L15" s="2" t="inlineStr">
        <is>
          <t>Formalise the existing measurement path; assign evidence and scoring rule.</t>
        </is>
      </c>
    </row>
    <row r="16">
      <c r="A16" s="2" t="inlineStr">
        <is>
          <t>D02</t>
        </is>
      </c>
      <c r="B16" s="2" t="inlineStr">
        <is>
          <t>I05</t>
        </is>
      </c>
      <c r="C16" s="2" t="inlineStr">
        <is>
          <t>Academic Integrity Governance</t>
        </is>
      </c>
      <c r="D16" s="2" t="inlineStr">
        <is>
          <t>AI-use rules and institutional response</t>
        </is>
      </c>
      <c r="E16" s="2" t="inlineStr">
        <is>
          <t>—</t>
        </is>
      </c>
      <c r="F16" s="2" t="inlineStr">
        <is>
          <t>D02</t>
        </is>
      </c>
      <c r="G16" s="2" t="inlineStr">
        <is>
          <t>D02</t>
        </is>
      </c>
      <c r="H16" s="2" t="inlineStr">
        <is>
          <t>—</t>
        </is>
      </c>
      <c r="I16" s="2" t="inlineStr">
        <is>
          <t>Question Bank; Evidence</t>
        </is>
      </c>
      <c r="J16" s="2" t="inlineStr">
        <is>
          <t>Defined rubric / evidence-coded score</t>
        </is>
      </c>
      <c r="K16" s="2" t="inlineStr">
        <is>
          <t>GREEN</t>
        </is>
      </c>
      <c r="L16" s="2" t="inlineStr">
        <is>
          <t>Formalise the existing measurement path; assign evidence and scoring rule.</t>
        </is>
      </c>
    </row>
    <row r="17">
      <c r="A17" s="2" t="inlineStr">
        <is>
          <t>D02</t>
        </is>
      </c>
      <c r="B17" s="2" t="inlineStr">
        <is>
          <t>I06</t>
        </is>
      </c>
      <c r="C17" s="2" t="inlineStr">
        <is>
          <t>Assessment Governance</t>
        </is>
      </c>
      <c r="D17" s="2" t="inlineStr">
        <is>
          <t>Validity/human oversight under AI</t>
        </is>
      </c>
      <c r="E17" s="2" t="inlineStr">
        <is>
          <t>—</t>
        </is>
      </c>
      <c r="F17" s="2" t="inlineStr">
        <is>
          <t>—</t>
        </is>
      </c>
      <c r="G17" s="2" t="inlineStr">
        <is>
          <t>D02</t>
        </is>
      </c>
      <c r="H17" s="2" t="inlineStr">
        <is>
          <t>—</t>
        </is>
      </c>
      <c r="I17" s="2" t="inlineStr">
        <is>
          <t>Evidence</t>
        </is>
      </c>
      <c r="J17" s="2" t="inlineStr">
        <is>
          <t>Defined rubric / evidence-coded score</t>
        </is>
      </c>
      <c r="K17" s="2" t="inlineStr">
        <is>
          <t>AMBER</t>
        </is>
      </c>
      <c r="L17" s="2" t="inlineStr">
        <is>
          <t>Define explicit metric-level measurement specification before scoring freeze.</t>
        </is>
      </c>
    </row>
    <row r="18">
      <c r="A18" s="2" t="inlineStr">
        <is>
          <t>D02</t>
        </is>
      </c>
      <c r="B18" s="2" t="inlineStr">
        <is>
          <t>I07</t>
        </is>
      </c>
      <c r="C18" s="2" t="inlineStr">
        <is>
          <t>AI Risk Management</t>
        </is>
      </c>
      <c r="D18" s="2" t="inlineStr">
        <is>
          <t>Identify, assess, treat and monitor risk</t>
        </is>
      </c>
      <c r="E18" s="2" t="inlineStr">
        <is>
          <t>—</t>
        </is>
      </c>
      <c r="F18" s="2" t="inlineStr">
        <is>
          <t>—</t>
        </is>
      </c>
      <c r="G18" s="2" t="inlineStr">
        <is>
          <t>—</t>
        </is>
      </c>
      <c r="H18" s="2" t="inlineStr">
        <is>
          <t>—</t>
        </is>
      </c>
      <c r="I18" s="2" t="inlineStr">
        <is>
          <t>NONE</t>
        </is>
      </c>
      <c r="J18" s="2" t="inlineStr">
        <is>
          <t>Defined rubric / evidence-coded score</t>
        </is>
      </c>
      <c r="K18" s="2" t="inlineStr">
        <is>
          <t>RED</t>
        </is>
      </c>
      <c r="L18" s="2" t="inlineStr">
        <is>
          <t>Define explicit metric-level measurement specification before scoring freeze.</t>
        </is>
      </c>
    </row>
    <row r="19">
      <c r="A19" s="2" t="inlineStr">
        <is>
          <t>D02</t>
        </is>
      </c>
      <c r="B19" s="2" t="inlineStr">
        <is>
          <t>I08</t>
        </is>
      </c>
      <c r="C19" s="2" t="inlineStr">
        <is>
          <t>Incident Responsiveness</t>
        </is>
      </c>
      <c r="D19" s="2" t="inlineStr">
        <is>
          <t>Detection→action→learning</t>
        </is>
      </c>
      <c r="E19" s="2" t="inlineStr">
        <is>
          <t>—</t>
        </is>
      </c>
      <c r="F19" s="2" t="inlineStr">
        <is>
          <t>D02</t>
        </is>
      </c>
      <c r="G19" s="2" t="inlineStr">
        <is>
          <t>D02</t>
        </is>
      </c>
      <c r="H19" s="2" t="inlineStr">
        <is>
          <t>—</t>
        </is>
      </c>
      <c r="I19" s="2" t="inlineStr">
        <is>
          <t>Question Bank; Evidence</t>
        </is>
      </c>
      <c r="J19" s="2" t="inlineStr">
        <is>
          <t>Rubric + evidence anchored ordinal score (0–5)</t>
        </is>
      </c>
      <c r="K19" s="2" t="inlineStr">
        <is>
          <t>GREEN</t>
        </is>
      </c>
      <c r="L19" s="2" t="inlineStr">
        <is>
          <t>Formalise the existing measurement path; assign evidence and scoring rule.</t>
        </is>
      </c>
    </row>
    <row r="20">
      <c r="A20" s="2" t="inlineStr">
        <is>
          <t>D02</t>
        </is>
      </c>
      <c r="B20" s="2" t="inlineStr">
        <is>
          <t>I09</t>
        </is>
      </c>
      <c r="C20" s="2" t="inlineStr">
        <is>
          <t>Human Accountability</t>
        </is>
      </c>
      <c r="D20" s="2" t="inlineStr">
        <is>
          <t>Review/override of consequential outputs</t>
        </is>
      </c>
      <c r="E20" s="2" t="inlineStr">
        <is>
          <t>—</t>
        </is>
      </c>
      <c r="F20" s="2" t="inlineStr">
        <is>
          <t>D02</t>
        </is>
      </c>
      <c r="G20" s="2" t="inlineStr">
        <is>
          <t>—</t>
        </is>
      </c>
      <c r="H20" s="2" t="inlineStr">
        <is>
          <t>—</t>
        </is>
      </c>
      <c r="I20" s="2" t="inlineStr">
        <is>
          <t>Question Bank</t>
        </is>
      </c>
      <c r="J20" s="2" t="inlineStr">
        <is>
          <t>Defined rubric / evidence-coded score</t>
        </is>
      </c>
      <c r="K20" s="2" t="inlineStr">
        <is>
          <t>AMBER</t>
        </is>
      </c>
      <c r="L20" s="2" t="inlineStr">
        <is>
          <t>Define explicit metric-level measurement specification before scoring freeze.</t>
        </is>
      </c>
    </row>
    <row r="21">
      <c r="A21" s="2" t="inlineStr">
        <is>
          <t>D02</t>
        </is>
      </c>
      <c r="B21" s="2" t="inlineStr">
        <is>
          <t>I10</t>
        </is>
      </c>
      <c r="C21" s="2" t="inlineStr">
        <is>
          <t>Vendor/Tool Governance</t>
        </is>
      </c>
      <c r="D21" s="2" t="inlineStr">
        <is>
          <t>Lifecycle due diligence</t>
        </is>
      </c>
      <c r="E21" s="2" t="inlineStr">
        <is>
          <t>—</t>
        </is>
      </c>
      <c r="F21" s="2" t="inlineStr">
        <is>
          <t>D02</t>
        </is>
      </c>
      <c r="G21" s="2" t="inlineStr">
        <is>
          <t>D02</t>
        </is>
      </c>
      <c r="H21" s="2" t="inlineStr">
        <is>
          <t>—</t>
        </is>
      </c>
      <c r="I21" s="2" t="inlineStr">
        <is>
          <t>Question Bank; Evidence</t>
        </is>
      </c>
      <c r="J21" s="2" t="inlineStr">
        <is>
          <t>Defined rubric / evidence-coded score</t>
        </is>
      </c>
      <c r="K21" s="2" t="inlineStr">
        <is>
          <t>GREEN</t>
        </is>
      </c>
      <c r="L21" s="2" t="inlineStr">
        <is>
          <t>Formalise the existing measurement path; assign evidence and scoring rule.</t>
        </is>
      </c>
    </row>
    <row r="22">
      <c r="A22" s="2" t="inlineStr">
        <is>
          <t>D02</t>
        </is>
      </c>
      <c r="B22" s="2" t="inlineStr">
        <is>
          <t>I11</t>
        </is>
      </c>
      <c r="C22" s="2" t="inlineStr">
        <is>
          <t>IP Governance</t>
        </is>
      </c>
      <c r="D22" s="2" t="inlineStr">
        <is>
          <t>AI-related IP/copyright/authorship</t>
        </is>
      </c>
      <c r="E22" s="2" t="inlineStr">
        <is>
          <t>—</t>
        </is>
      </c>
      <c r="F22" s="2" t="inlineStr">
        <is>
          <t>—</t>
        </is>
      </c>
      <c r="G22" s="2" t="inlineStr">
        <is>
          <t>—</t>
        </is>
      </c>
      <c r="H22" s="2" t="inlineStr">
        <is>
          <t>—</t>
        </is>
      </c>
      <c r="I22" s="2" t="inlineStr">
        <is>
          <t>NONE</t>
        </is>
      </c>
      <c r="J22" s="2" t="inlineStr">
        <is>
          <t>Defined rubric / evidence-coded score</t>
        </is>
      </c>
      <c r="K22" s="2" t="inlineStr">
        <is>
          <t>RED</t>
        </is>
      </c>
      <c r="L22" s="2" t="inlineStr">
        <is>
          <t>Define explicit metric-level measurement specification before scoring freeze.</t>
        </is>
      </c>
    </row>
    <row r="23">
      <c r="A23" s="2" t="inlineStr">
        <is>
          <t>D02</t>
        </is>
      </c>
      <c r="B23" s="2" t="inlineStr">
        <is>
          <t>I12</t>
        </is>
      </c>
      <c r="C23" s="2" t="inlineStr">
        <is>
          <t>Research AI Governance</t>
        </is>
      </c>
      <c r="D23" s="2" t="inlineStr">
        <is>
          <t>Responsible AI in research</t>
        </is>
      </c>
      <c r="E23" s="2" t="inlineStr">
        <is>
          <t>—</t>
        </is>
      </c>
      <c r="F23" s="2" t="inlineStr">
        <is>
          <t>—</t>
        </is>
      </c>
      <c r="G23" s="2" t="inlineStr">
        <is>
          <t>—</t>
        </is>
      </c>
      <c r="H23" s="2" t="inlineStr">
        <is>
          <t>—</t>
        </is>
      </c>
      <c r="I23" s="2" t="inlineStr">
        <is>
          <t>NONE</t>
        </is>
      </c>
      <c r="J23" s="2" t="inlineStr">
        <is>
          <t>Defined rubric / evidence-coded score</t>
        </is>
      </c>
      <c r="K23" s="2" t="inlineStr">
        <is>
          <t>RED</t>
        </is>
      </c>
      <c r="L23" s="2" t="inlineStr">
        <is>
          <t>Define explicit metric-level measurement specification before scoring freeze.</t>
        </is>
      </c>
    </row>
    <row r="24">
      <c r="A24" s="2" t="inlineStr">
        <is>
          <t>D02</t>
        </is>
      </c>
      <c r="B24" s="2" t="inlineStr">
        <is>
          <t>I13</t>
        </is>
      </c>
      <c r="C24" s="2" t="inlineStr">
        <is>
          <t>Governance Review Adaptability</t>
        </is>
      </c>
      <c r="D24" s="2" t="inlineStr">
        <is>
          <t>Review frequency and change triggers</t>
        </is>
      </c>
      <c r="E24" s="2" t="inlineStr">
        <is>
          <t>—</t>
        </is>
      </c>
      <c r="F24" s="2" t="inlineStr">
        <is>
          <t>D02</t>
        </is>
      </c>
      <c r="G24" s="2" t="inlineStr">
        <is>
          <t>—</t>
        </is>
      </c>
      <c r="H24" s="2" t="inlineStr">
        <is>
          <t>—</t>
        </is>
      </c>
      <c r="I24" s="2" t="inlineStr">
        <is>
          <t>Question Bank</t>
        </is>
      </c>
      <c r="J24" s="2" t="inlineStr">
        <is>
          <t>Rubric + evidence anchored ordinal score (0–5)</t>
        </is>
      </c>
      <c r="K24" s="2" t="inlineStr">
        <is>
          <t>AMBER</t>
        </is>
      </c>
      <c r="L24" s="2" t="inlineStr">
        <is>
          <t>Define explicit metric-level measurement specification before scoring freeze.</t>
        </is>
      </c>
    </row>
    <row r="25">
      <c r="A25" s="2" t="inlineStr">
        <is>
          <t>D02</t>
        </is>
      </c>
      <c r="B25" s="2" t="inlineStr">
        <is>
          <t>I14</t>
        </is>
      </c>
      <c r="C25" s="2" t="inlineStr">
        <is>
          <t>Governance Effectiveness</t>
        </is>
      </c>
      <c r="D25" s="2" t="inlineStr">
        <is>
          <t>Functioning governance vs paper policy</t>
        </is>
      </c>
      <c r="E25" s="2" t="inlineStr">
        <is>
          <t>—</t>
        </is>
      </c>
      <c r="F25" s="2" t="inlineStr">
        <is>
          <t>D02</t>
        </is>
      </c>
      <c r="G25" s="2" t="inlineStr">
        <is>
          <t>D02</t>
        </is>
      </c>
      <c r="H25" s="2" t="inlineStr">
        <is>
          <t>—</t>
        </is>
      </c>
      <c r="I25" s="2" t="inlineStr">
        <is>
          <t>Question Bank; Evidence</t>
        </is>
      </c>
      <c r="J25" s="2" t="inlineStr">
        <is>
          <t>Rubric + evidence anchored ordinal score (0–5)</t>
        </is>
      </c>
      <c r="K25" s="2" t="inlineStr">
        <is>
          <t>GREEN</t>
        </is>
      </c>
      <c r="L25" s="2" t="inlineStr">
        <is>
          <t>Formalise the existing measurement path; assign evidence and scoring rule.</t>
        </is>
      </c>
    </row>
    <row r="26">
      <c r="A26" s="2" t="inlineStr">
        <is>
          <t>D03</t>
        </is>
      </c>
      <c r="B26" s="2" t="inlineStr">
        <is>
          <t>I01</t>
        </is>
      </c>
      <c r="C26" s="2" t="inlineStr">
        <is>
          <t>Foundational Knowledge Depth</t>
        </is>
      </c>
      <c r="D26" s="2" t="inlineStr">
        <is>
          <t>Knowledge substrate for judgement</t>
        </is>
      </c>
      <c r="E26" s="2" t="inlineStr">
        <is>
          <t>D03</t>
        </is>
      </c>
      <c r="F26" s="2" t="inlineStr">
        <is>
          <t>D03; D03</t>
        </is>
      </c>
      <c r="G26" s="2" t="inlineStr">
        <is>
          <t>D03</t>
        </is>
      </c>
      <c r="H26" s="2" t="inlineStr">
        <is>
          <t>—</t>
        </is>
      </c>
      <c r="I26" s="2" t="inlineStr">
        <is>
          <t>Assessment Card; Question Bank; Evidence</t>
        </is>
      </c>
      <c r="J26" s="2" t="inlineStr">
        <is>
          <t>Rubric + evidence anchored ordinal score (0–5)</t>
        </is>
      </c>
      <c r="K26" s="2" t="inlineStr">
        <is>
          <t>GREEN</t>
        </is>
      </c>
      <c r="L26" s="2" t="inlineStr">
        <is>
          <t>Formalise the existing measurement path; assign evidence and scoring rule.</t>
        </is>
      </c>
    </row>
    <row r="27">
      <c r="A27" s="2" t="inlineStr">
        <is>
          <t>D03</t>
        </is>
      </c>
      <c r="B27" s="2" t="inlineStr">
        <is>
          <t>I02</t>
        </is>
      </c>
      <c r="C27" s="2" t="inlineStr">
        <is>
          <t>Critical Reasoning Development</t>
        </is>
      </c>
      <c r="D27" s="2" t="inlineStr">
        <is>
          <t>Development and demonstration of reasoning</t>
        </is>
      </c>
      <c r="E27" s="2" t="inlineStr">
        <is>
          <t>—</t>
        </is>
      </c>
      <c r="F27" s="2" t="inlineStr">
        <is>
          <t>D03; D03; D03; D03</t>
        </is>
      </c>
      <c r="G27" s="2" t="inlineStr">
        <is>
          <t>D03; D03</t>
        </is>
      </c>
      <c r="H27" s="2" t="inlineStr">
        <is>
          <t>—</t>
        </is>
      </c>
      <c r="I27" s="2" t="inlineStr">
        <is>
          <t>Question Bank; Evidence</t>
        </is>
      </c>
      <c r="J27" s="2" t="inlineStr">
        <is>
          <t>Defined rubric / evidence-coded score</t>
        </is>
      </c>
      <c r="K27" s="2" t="inlineStr">
        <is>
          <t>GREEN</t>
        </is>
      </c>
      <c r="L27" s="2" t="inlineStr">
        <is>
          <t>Formalise the existing measurement path; assign evidence and scoring rule.</t>
        </is>
      </c>
    </row>
    <row r="28">
      <c r="A28" s="2" t="inlineStr">
        <is>
          <t>D03</t>
        </is>
      </c>
      <c r="B28" s="2" t="inlineStr">
        <is>
          <t>I03</t>
        </is>
      </c>
      <c r="C28" s="2" t="inlineStr">
        <is>
          <t>Question Formulation</t>
        </is>
      </c>
      <c r="D28" s="2" t="inlineStr">
        <is>
          <t>Ability to formulate meaningful inquiry</t>
        </is>
      </c>
      <c r="E28" s="2" t="inlineStr">
        <is>
          <t>—</t>
        </is>
      </c>
      <c r="F28" s="2" t="inlineStr">
        <is>
          <t>D03; D03</t>
        </is>
      </c>
      <c r="G28" s="2" t="inlineStr">
        <is>
          <t>—</t>
        </is>
      </c>
      <c r="H28" s="2" t="inlineStr">
        <is>
          <t>—</t>
        </is>
      </c>
      <c r="I28" s="2" t="inlineStr">
        <is>
          <t>Question Bank</t>
        </is>
      </c>
      <c r="J28" s="2" t="inlineStr">
        <is>
          <t>Defined rubric / evidence-coded score</t>
        </is>
      </c>
      <c r="K28" s="2" t="inlineStr">
        <is>
          <t>AMBER</t>
        </is>
      </c>
      <c r="L28" s="2" t="inlineStr">
        <is>
          <t>Define explicit metric-level measurement specification before scoring freeze.</t>
        </is>
      </c>
    </row>
    <row r="29">
      <c r="A29" s="2" t="inlineStr">
        <is>
          <t>D03</t>
        </is>
      </c>
      <c r="B29" s="2" t="inlineStr">
        <is>
          <t>I04</t>
        </is>
      </c>
      <c r="C29" s="2" t="inlineStr">
        <is>
          <t>Analytical Reasoning</t>
        </is>
      </c>
      <c r="D29" s="2" t="inlineStr">
        <is>
          <t>Evidence-based reasoning</t>
        </is>
      </c>
      <c r="E29" s="2" t="inlineStr">
        <is>
          <t>—</t>
        </is>
      </c>
      <c r="F29" s="2" t="inlineStr">
        <is>
          <t>D03; D03; D03; D03</t>
        </is>
      </c>
      <c r="G29" s="2" t="inlineStr">
        <is>
          <t>D03; D03</t>
        </is>
      </c>
      <c r="H29" s="2" t="inlineStr">
        <is>
          <t>—</t>
        </is>
      </c>
      <c r="I29" s="2" t="inlineStr">
        <is>
          <t>Question Bank; Evidence</t>
        </is>
      </c>
      <c r="J29" s="2" t="inlineStr">
        <is>
          <t>Defined rubric / evidence-coded score</t>
        </is>
      </c>
      <c r="K29" s="2" t="inlineStr">
        <is>
          <t>GREEN</t>
        </is>
      </c>
      <c r="L29" s="2" t="inlineStr">
        <is>
          <t>Formalise the existing measurement path; assign evidence and scoring rule.</t>
        </is>
      </c>
    </row>
    <row r="30">
      <c r="A30" s="2" t="inlineStr">
        <is>
          <t>D03</t>
        </is>
      </c>
      <c r="B30" s="2" t="inlineStr">
        <is>
          <t>I05</t>
        </is>
      </c>
      <c r="C30" s="2" t="inlineStr">
        <is>
          <t>Problem Formulation</t>
        </is>
      </c>
      <c r="D30" s="2" t="inlineStr">
        <is>
          <t>Framing ambiguous problems</t>
        </is>
      </c>
      <c r="E30" s="2" t="inlineStr">
        <is>
          <t>—</t>
        </is>
      </c>
      <c r="F30" s="2" t="inlineStr">
        <is>
          <t>D03; D03; D03</t>
        </is>
      </c>
      <c r="G30" s="2" t="inlineStr">
        <is>
          <t>—</t>
        </is>
      </c>
      <c r="H30" s="2" t="inlineStr">
        <is>
          <t>—</t>
        </is>
      </c>
      <c r="I30" s="2" t="inlineStr">
        <is>
          <t>Question Bank</t>
        </is>
      </c>
      <c r="J30" s="2" t="inlineStr">
        <is>
          <t>Defined rubric / evidence-coded score</t>
        </is>
      </c>
      <c r="K30" s="2" t="inlineStr">
        <is>
          <t>AMBER</t>
        </is>
      </c>
      <c r="L30" s="2" t="inlineStr">
        <is>
          <t>Define explicit metric-level measurement specification before scoring freeze.</t>
        </is>
      </c>
    </row>
    <row r="31">
      <c r="A31" s="2" t="inlineStr">
        <is>
          <t>D03</t>
        </is>
      </c>
      <c r="B31" s="2" t="inlineStr">
        <is>
          <t>I06</t>
        </is>
      </c>
      <c r="C31" s="2" t="inlineStr">
        <is>
          <t>Creativity &amp; Originality</t>
        </is>
      </c>
      <c r="D31" s="2" t="inlineStr">
        <is>
          <t>Creation of original value</t>
        </is>
      </c>
      <c r="E31" s="2" t="inlineStr">
        <is>
          <t>—</t>
        </is>
      </c>
      <c r="F31" s="2" t="inlineStr">
        <is>
          <t>D03; D03</t>
        </is>
      </c>
      <c r="G31" s="2" t="inlineStr">
        <is>
          <t>—</t>
        </is>
      </c>
      <c r="H31" s="2" t="inlineStr">
        <is>
          <t>—</t>
        </is>
      </c>
      <c r="I31" s="2" t="inlineStr">
        <is>
          <t>Question Bank</t>
        </is>
      </c>
      <c r="J31" s="2" t="inlineStr">
        <is>
          <t>Defined rubric / evidence-coded score</t>
        </is>
      </c>
      <c r="K31" s="2" t="inlineStr">
        <is>
          <t>AMBER</t>
        </is>
      </c>
      <c r="L31" s="2" t="inlineStr">
        <is>
          <t>Define explicit metric-level measurement specification before scoring freeze.</t>
        </is>
      </c>
    </row>
    <row r="32">
      <c r="A32" s="2" t="inlineStr">
        <is>
          <t>D03</t>
        </is>
      </c>
      <c r="B32" s="2" t="inlineStr">
        <is>
          <t>I07</t>
        </is>
      </c>
      <c r="C32" s="2" t="inlineStr">
        <is>
          <t>Judgement Capability</t>
        </is>
      </c>
      <c r="D32" s="2" t="inlineStr">
        <is>
          <t>Contextual/professional/ethical decisions</t>
        </is>
      </c>
      <c r="E32" s="2" t="inlineStr">
        <is>
          <t>—</t>
        </is>
      </c>
      <c r="F32" s="2" t="inlineStr">
        <is>
          <t>D03; D03; D03; D03; D03</t>
        </is>
      </c>
      <c r="G32" s="2" t="inlineStr">
        <is>
          <t>D03; D03</t>
        </is>
      </c>
      <c r="H32" s="2" t="inlineStr">
        <is>
          <t>—</t>
        </is>
      </c>
      <c r="I32" s="2" t="inlineStr">
        <is>
          <t>Question Bank; Evidence</t>
        </is>
      </c>
      <c r="J32" s="2" t="inlineStr">
        <is>
          <t>Rubric + evidence anchored ordinal score (0–5)</t>
        </is>
      </c>
      <c r="K32" s="2" t="inlineStr">
        <is>
          <t>GREEN</t>
        </is>
      </c>
      <c r="L32" s="2" t="inlineStr">
        <is>
          <t>Formalise the existing measurement path; assign evidence and scoring rule.</t>
        </is>
      </c>
    </row>
    <row r="33">
      <c r="A33" s="2" t="inlineStr">
        <is>
          <t>D03</t>
        </is>
      </c>
      <c r="B33" s="2" t="inlineStr">
        <is>
          <t>I08</t>
        </is>
      </c>
      <c r="C33" s="2" t="inlineStr">
        <is>
          <t>AI Verification Capability</t>
        </is>
      </c>
      <c r="D33" s="2" t="inlineStr">
        <is>
          <t>Challenge, verify, contextualise AI output</t>
        </is>
      </c>
      <c r="E33" s="2" t="inlineStr">
        <is>
          <t>—</t>
        </is>
      </c>
      <c r="F33" s="2" t="inlineStr">
        <is>
          <t>D03; D03; D03</t>
        </is>
      </c>
      <c r="G33" s="2" t="inlineStr">
        <is>
          <t>D03</t>
        </is>
      </c>
      <c r="H33" s="2" t="inlineStr">
        <is>
          <t>—</t>
        </is>
      </c>
      <c r="I33" s="2" t="inlineStr">
        <is>
          <t>Question Bank; Evidence</t>
        </is>
      </c>
      <c r="J33" s="2" t="inlineStr">
        <is>
          <t>Rubric + evidence anchored ordinal score (0–5)</t>
        </is>
      </c>
      <c r="K33" s="2" t="inlineStr">
        <is>
          <t>GREEN</t>
        </is>
      </c>
      <c r="L33" s="2" t="inlineStr">
        <is>
          <t>Formalise the existing measurement path; assign evidence and scoring rule.</t>
        </is>
      </c>
    </row>
    <row r="34">
      <c r="A34" s="2" t="inlineStr">
        <is>
          <t>D03</t>
        </is>
      </c>
      <c r="B34" s="2" t="inlineStr">
        <is>
          <t>I09</t>
        </is>
      </c>
      <c r="C34" s="2" t="inlineStr">
        <is>
          <t>Metacognitive Capability</t>
        </is>
      </c>
      <c r="D34" s="2" t="inlineStr">
        <is>
          <t>Reflection and self-correction</t>
        </is>
      </c>
      <c r="E34" s="2" t="inlineStr">
        <is>
          <t>—</t>
        </is>
      </c>
      <c r="F34" s="2" t="inlineStr">
        <is>
          <t>D03; D03</t>
        </is>
      </c>
      <c r="G34" s="2" t="inlineStr">
        <is>
          <t>—</t>
        </is>
      </c>
      <c r="H34" s="2" t="inlineStr">
        <is>
          <t>—</t>
        </is>
      </c>
      <c r="I34" s="2" t="inlineStr">
        <is>
          <t>Question Bank</t>
        </is>
      </c>
      <c r="J34" s="2" t="inlineStr">
        <is>
          <t>Rubric + evidence anchored ordinal score (0–5)</t>
        </is>
      </c>
      <c r="K34" s="2" t="inlineStr">
        <is>
          <t>AMBER</t>
        </is>
      </c>
      <c r="L34" s="2" t="inlineStr">
        <is>
          <t>Define explicit metric-level measurement specification before scoring freeze.</t>
        </is>
      </c>
    </row>
    <row r="35">
      <c r="A35" s="2" t="inlineStr">
        <is>
          <t>D03</t>
        </is>
      </c>
      <c r="B35" s="2" t="inlineStr">
        <is>
          <t>I10</t>
        </is>
      </c>
      <c r="C35" s="2" t="inlineStr">
        <is>
          <t>Human-AI Collaboration</t>
        </is>
      </c>
      <c r="D35" s="2" t="inlineStr">
        <is>
          <t>Appropriate task allocation and iteration</t>
        </is>
      </c>
      <c r="E35" s="2" t="inlineStr">
        <is>
          <t>—</t>
        </is>
      </c>
      <c r="F35" s="2" t="inlineStr">
        <is>
          <t>D03; D03</t>
        </is>
      </c>
      <c r="G35" s="2" t="inlineStr">
        <is>
          <t>—</t>
        </is>
      </c>
      <c r="H35" s="2" t="inlineStr">
        <is>
          <t>—</t>
        </is>
      </c>
      <c r="I35" s="2" t="inlineStr">
        <is>
          <t>Question Bank</t>
        </is>
      </c>
      <c r="J35" s="2" t="inlineStr">
        <is>
          <t>Defined rubric / evidence-coded score</t>
        </is>
      </c>
      <c r="K35" s="2" t="inlineStr">
        <is>
          <t>AMBER</t>
        </is>
      </c>
      <c r="L35" s="2" t="inlineStr">
        <is>
          <t>Define explicit metric-level measurement specification before scoring freeze.</t>
        </is>
      </c>
    </row>
    <row r="36">
      <c r="A36" s="2" t="inlineStr">
        <is>
          <t>D03</t>
        </is>
      </c>
      <c r="B36" s="2" t="inlineStr">
        <is>
          <t>I11</t>
        </is>
      </c>
      <c r="C36" s="2" t="inlineStr">
        <is>
          <t>Communication &amp; Defence</t>
        </is>
      </c>
      <c r="D36" s="2" t="inlineStr">
        <is>
          <t>Explain and defend reasoning</t>
        </is>
      </c>
      <c r="E36" s="2" t="inlineStr">
        <is>
          <t>—</t>
        </is>
      </c>
      <c r="F36" s="2" t="inlineStr">
        <is>
          <t>D03; D03</t>
        </is>
      </c>
      <c r="G36" s="2" t="inlineStr">
        <is>
          <t>—</t>
        </is>
      </c>
      <c r="H36" s="2" t="inlineStr">
        <is>
          <t>—</t>
        </is>
      </c>
      <c r="I36" s="2" t="inlineStr">
        <is>
          <t>Question Bank</t>
        </is>
      </c>
      <c r="J36" s="2" t="inlineStr">
        <is>
          <t>Defined rubric / evidence-coded score</t>
        </is>
      </c>
      <c r="K36" s="2" t="inlineStr">
        <is>
          <t>AMBER</t>
        </is>
      </c>
      <c r="L36" s="2" t="inlineStr">
        <is>
          <t>Define explicit metric-level measurement specification before scoring freeze.</t>
        </is>
      </c>
    </row>
    <row r="37">
      <c r="A37" s="2" t="inlineStr">
        <is>
          <t>D03</t>
        </is>
      </c>
      <c r="B37" s="2" t="inlineStr">
        <is>
          <t>I12</t>
        </is>
      </c>
      <c r="C37" s="2" t="inlineStr">
        <is>
          <t>Collaboration Capability</t>
        </is>
      </c>
      <c r="D37" s="2" t="inlineStr">
        <is>
          <t>Human/interdisciplinary collaboration</t>
        </is>
      </c>
      <c r="E37" s="2" t="inlineStr">
        <is>
          <t>—</t>
        </is>
      </c>
      <c r="F37" s="2" t="inlineStr">
        <is>
          <t>D03; D03</t>
        </is>
      </c>
      <c r="G37" s="2" t="inlineStr">
        <is>
          <t>—</t>
        </is>
      </c>
      <c r="H37" s="2" t="inlineStr">
        <is>
          <t>—</t>
        </is>
      </c>
      <c r="I37" s="2" t="inlineStr">
        <is>
          <t>Question Bank</t>
        </is>
      </c>
      <c r="J37" s="2" t="inlineStr">
        <is>
          <t>Rubric + evidence anchored ordinal score (0–5)</t>
        </is>
      </c>
      <c r="K37" s="2" t="inlineStr">
        <is>
          <t>AMBER</t>
        </is>
      </c>
      <c r="L37" s="2" t="inlineStr">
        <is>
          <t>Define explicit metric-level measurement specification before scoring freeze.</t>
        </is>
      </c>
    </row>
    <row r="38">
      <c r="A38" s="2" t="inlineStr">
        <is>
          <t>D03</t>
        </is>
      </c>
      <c r="B38" s="2" t="inlineStr">
        <is>
          <t>I13</t>
        </is>
      </c>
      <c r="C38" s="2" t="inlineStr">
        <is>
          <t>Practical Capability</t>
        </is>
      </c>
      <c r="D38" s="2" t="inlineStr">
        <is>
          <t>Real-world/embodied competence</t>
        </is>
      </c>
      <c r="E38" s="2" t="inlineStr">
        <is>
          <t>—</t>
        </is>
      </c>
      <c r="F38" s="2" t="inlineStr">
        <is>
          <t>D03; D03</t>
        </is>
      </c>
      <c r="G38" s="2" t="inlineStr">
        <is>
          <t>—</t>
        </is>
      </c>
      <c r="H38" s="2" t="inlineStr">
        <is>
          <t>—</t>
        </is>
      </c>
      <c r="I38" s="2" t="inlineStr">
        <is>
          <t>Question Bank</t>
        </is>
      </c>
      <c r="J38" s="2" t="inlineStr">
        <is>
          <t>Rubric + evidence anchored ordinal score (0–5)</t>
        </is>
      </c>
      <c r="K38" s="2" t="inlineStr">
        <is>
          <t>AMBER</t>
        </is>
      </c>
      <c r="L38" s="2" t="inlineStr">
        <is>
          <t>Define explicit metric-level measurement specification before scoring freeze.</t>
        </is>
      </c>
    </row>
    <row r="39">
      <c r="A39" s="2" t="inlineStr">
        <is>
          <t>D03</t>
        </is>
      </c>
      <c r="B39" s="2" t="inlineStr">
        <is>
          <t>I14</t>
        </is>
      </c>
      <c r="C39" s="2" t="inlineStr">
        <is>
          <t>Ethical/Social Judgement</t>
        </is>
      </c>
      <c r="D39" s="2" t="inlineStr">
        <is>
          <t>Consequences, values, responsibility</t>
        </is>
      </c>
      <c r="E39" s="2" t="inlineStr">
        <is>
          <t>—</t>
        </is>
      </c>
      <c r="F39" s="2" t="inlineStr">
        <is>
          <t>D03; D03</t>
        </is>
      </c>
      <c r="G39" s="2" t="inlineStr">
        <is>
          <t>—</t>
        </is>
      </c>
      <c r="H39" s="2" t="inlineStr">
        <is>
          <t>—</t>
        </is>
      </c>
      <c r="I39" s="2" t="inlineStr">
        <is>
          <t>Question Bank</t>
        </is>
      </c>
      <c r="J39" s="2" t="inlineStr">
        <is>
          <t>Defined rubric / evidence-coded score</t>
        </is>
      </c>
      <c r="K39" s="2" t="inlineStr">
        <is>
          <t>AMBER</t>
        </is>
      </c>
      <c r="L39" s="2" t="inlineStr">
        <is>
          <t>Define explicit metric-level measurement specification before scoring freeze.</t>
        </is>
      </c>
    </row>
    <row r="40">
      <c r="A40" s="2" t="inlineStr">
        <is>
          <t>D03</t>
        </is>
      </c>
      <c r="B40" s="2" t="inlineStr">
        <is>
          <t>I15</t>
        </is>
      </c>
      <c r="C40" s="2" t="inlineStr">
        <is>
          <t>Intellectual Agency</t>
        </is>
      </c>
      <c r="D40" s="2" t="inlineStr">
        <is>
          <t>Independent inquiry and challenge</t>
        </is>
      </c>
      <c r="E40" s="2" t="inlineStr">
        <is>
          <t>—</t>
        </is>
      </c>
      <c r="F40" s="2" t="inlineStr">
        <is>
          <t>D03; D03; D03; D03</t>
        </is>
      </c>
      <c r="G40" s="2" t="inlineStr">
        <is>
          <t>—</t>
        </is>
      </c>
      <c r="H40" s="2" t="inlineStr">
        <is>
          <t>—</t>
        </is>
      </c>
      <c r="I40" s="2" t="inlineStr">
        <is>
          <t>Question Bank</t>
        </is>
      </c>
      <c r="J40" s="2" t="inlineStr">
        <is>
          <t>Defined rubric / evidence-coded score</t>
        </is>
      </c>
      <c r="K40" s="2" t="inlineStr">
        <is>
          <t>AMBER</t>
        </is>
      </c>
      <c r="L40" s="2" t="inlineStr">
        <is>
          <t>Define explicit metric-level measurement specification before scoring freeze.</t>
        </is>
      </c>
    </row>
    <row r="41">
      <c r="A41" s="2" t="inlineStr">
        <is>
          <t>D03</t>
        </is>
      </c>
      <c r="B41" s="2" t="inlineStr">
        <is>
          <t>I16</t>
        </is>
      </c>
      <c r="C41" s="2" t="inlineStr">
        <is>
          <t>Transfer Capability</t>
        </is>
      </c>
      <c r="D41" s="2" t="inlineStr">
        <is>
          <t>Unfamiliar/ambiguous application</t>
        </is>
      </c>
      <c r="E41" s="2" t="inlineStr">
        <is>
          <t>—</t>
        </is>
      </c>
      <c r="F41" s="2" t="inlineStr">
        <is>
          <t>D03; D03; D03; D03; D03</t>
        </is>
      </c>
      <c r="G41" s="2" t="inlineStr">
        <is>
          <t>—</t>
        </is>
      </c>
      <c r="H41" s="2" t="inlineStr">
        <is>
          <t>—</t>
        </is>
      </c>
      <c r="I41" s="2" t="inlineStr">
        <is>
          <t>Question Bank</t>
        </is>
      </c>
      <c r="J41" s="2" t="inlineStr">
        <is>
          <t>Rubric + evidence anchored ordinal score (0–5)</t>
        </is>
      </c>
      <c r="K41" s="2" t="inlineStr">
        <is>
          <t>AMBER</t>
        </is>
      </c>
      <c r="L41" s="2" t="inlineStr">
        <is>
          <t>Define explicit metric-level measurement specification before scoring freeze.</t>
        </is>
      </c>
    </row>
    <row r="42">
      <c r="A42" s="2" t="inlineStr">
        <is>
          <t>D03</t>
        </is>
      </c>
      <c r="B42" s="2" t="inlineStr">
        <is>
          <t>I17</t>
        </is>
      </c>
      <c r="C42" s="2" t="inlineStr">
        <is>
          <t>Non-Technical Discipline AI Capability</t>
        </is>
      </c>
      <c r="D42" s="2" t="inlineStr">
        <is>
          <t>Discipline-relevant AI capability beyond prompting</t>
        </is>
      </c>
      <c r="E42" s="2" t="inlineStr">
        <is>
          <t>—</t>
        </is>
      </c>
      <c r="F42" s="2" t="inlineStr">
        <is>
          <t>D03; D03; D03</t>
        </is>
      </c>
      <c r="G42" s="2" t="inlineStr">
        <is>
          <t>D03</t>
        </is>
      </c>
      <c r="H42" s="2" t="inlineStr">
        <is>
          <t>—</t>
        </is>
      </c>
      <c r="I42" s="2" t="inlineStr">
        <is>
          <t>Question Bank; Evidence</t>
        </is>
      </c>
      <c r="J42" s="2" t="inlineStr">
        <is>
          <t>Rubric + evidence anchored ordinal score (0–5)</t>
        </is>
      </c>
      <c r="K42" s="2" t="inlineStr">
        <is>
          <t>GREEN</t>
        </is>
      </c>
      <c r="L42" s="2" t="inlineStr">
        <is>
          <t>Formalise the existing measurement path; assign evidence and scoring rule.</t>
        </is>
      </c>
    </row>
    <row r="43">
      <c r="A43" s="2" t="inlineStr">
        <is>
          <t>D04</t>
        </is>
      </c>
      <c r="B43" s="2" t="inlineStr">
        <is>
          <t>I01</t>
        </is>
      </c>
      <c r="C43" s="2" t="inlineStr">
        <is>
          <t>Curriculum Sensing Maturity</t>
        </is>
      </c>
      <c r="D43" s="2" t="inlineStr">
        <is>
          <t>How systematically programme teams detect disciplinary, technological and labour-market change</t>
        </is>
      </c>
      <c r="E43" s="2" t="inlineStr">
        <is>
          <t>D04</t>
        </is>
      </c>
      <c r="F43" s="2" t="inlineStr">
        <is>
          <t>D04</t>
        </is>
      </c>
      <c r="G43" s="2" t="inlineStr">
        <is>
          <t>—</t>
        </is>
      </c>
      <c r="H43" s="2" t="inlineStr">
        <is>
          <t>—</t>
        </is>
      </c>
      <c r="I43" s="2" t="inlineStr">
        <is>
          <t>Assessment Card; Question Bank</t>
        </is>
      </c>
      <c r="J43" s="2" t="inlineStr">
        <is>
          <t>Rubric + evidence anchored ordinal score (0–5)</t>
        </is>
      </c>
      <c r="K43" s="2" t="inlineStr">
        <is>
          <t>GREEN</t>
        </is>
      </c>
      <c r="L43" s="2" t="inlineStr">
        <is>
          <t>Formalise the existing measurement path; assign evidence and scoring rule.</t>
        </is>
      </c>
    </row>
    <row r="44">
      <c r="A44" s="2" t="inlineStr">
        <is>
          <t>D04</t>
        </is>
      </c>
      <c r="B44" s="2" t="inlineStr">
        <is>
          <t>I02</t>
        </is>
      </c>
      <c r="C44" s="2" t="inlineStr">
        <is>
          <t>Future Learning Outcome Alignment</t>
        </is>
      </c>
      <c r="D44" s="2" t="inlineStr">
        <is>
          <t>Extent to which outcomes reflect future professional/human capabilities</t>
        </is>
      </c>
      <c r="E44" s="2" t="inlineStr">
        <is>
          <t>—</t>
        </is>
      </c>
      <c r="F44" s="2" t="inlineStr">
        <is>
          <t>D04</t>
        </is>
      </c>
      <c r="G44" s="2" t="inlineStr">
        <is>
          <t>—</t>
        </is>
      </c>
      <c r="H44" s="2" t="inlineStr">
        <is>
          <t>—</t>
        </is>
      </c>
      <c r="I44" s="2" t="inlineStr">
        <is>
          <t>Question Bank</t>
        </is>
      </c>
      <c r="J44" s="2" t="inlineStr">
        <is>
          <t>Rubric + evidence anchored ordinal score (0–5)</t>
        </is>
      </c>
      <c r="K44" s="2" t="inlineStr">
        <is>
          <t>AMBER</t>
        </is>
      </c>
      <c r="L44" s="2" t="inlineStr">
        <is>
          <t>Define explicit metric-level measurement specification before scoring freeze.</t>
        </is>
      </c>
    </row>
    <row r="45">
      <c r="A45" s="2" t="inlineStr">
        <is>
          <t>D04</t>
        </is>
      </c>
      <c r="B45" s="2" t="inlineStr">
        <is>
          <t>I03</t>
        </is>
      </c>
      <c r="C45" s="2" t="inlineStr">
        <is>
          <t>Programme Review Effectiveness</t>
        </is>
      </c>
      <c r="D45" s="2" t="inlineStr">
        <is>
          <t>Whether review produces substantive AI/future-related changes</t>
        </is>
      </c>
      <c r="E45" s="2" t="inlineStr">
        <is>
          <t>D04</t>
        </is>
      </c>
      <c r="F45" s="2" t="inlineStr">
        <is>
          <t>D04; D04</t>
        </is>
      </c>
      <c r="G45" s="2" t="inlineStr">
        <is>
          <t>—</t>
        </is>
      </c>
      <c r="H45" s="2" t="inlineStr">
        <is>
          <t>—</t>
        </is>
      </c>
      <c r="I45" s="2" t="inlineStr">
        <is>
          <t>Assessment Card; Question Bank</t>
        </is>
      </c>
      <c r="J45" s="2" t="inlineStr">
        <is>
          <t>Rubric + evidence anchored ordinal score (0–5)</t>
        </is>
      </c>
      <c r="K45" s="2" t="inlineStr">
        <is>
          <t>GREEN</t>
        </is>
      </c>
      <c r="L45" s="2" t="inlineStr">
        <is>
          <t>Formalise the existing measurement path; assign evidence and scoring rule.</t>
        </is>
      </c>
    </row>
    <row r="46">
      <c r="A46" s="2" t="inlineStr">
        <is>
          <t>D04</t>
        </is>
      </c>
      <c r="B46" s="2" t="inlineStr">
        <is>
          <t>I04</t>
        </is>
      </c>
      <c r="C46" s="2" t="inlineStr">
        <is>
          <t>Disciplinary AI Integration Depth</t>
        </is>
      </c>
      <c r="D46" s="2" t="inlineStr">
        <is>
          <t>AI integration appropriate to discipline rather than generic AI exposure</t>
        </is>
      </c>
      <c r="E46" s="2" t="inlineStr">
        <is>
          <t>—</t>
        </is>
      </c>
      <c r="F46" s="2" t="inlineStr">
        <is>
          <t>D04</t>
        </is>
      </c>
      <c r="G46" s="2" t="inlineStr">
        <is>
          <t>—</t>
        </is>
      </c>
      <c r="H46" s="2" t="inlineStr">
        <is>
          <t>—</t>
        </is>
      </c>
      <c r="I46" s="2" t="inlineStr">
        <is>
          <t>Question Bank</t>
        </is>
      </c>
      <c r="J46" s="2" t="inlineStr">
        <is>
          <t>Rubric + evidence anchored ordinal score (0–5)</t>
        </is>
      </c>
      <c r="K46" s="2" t="inlineStr">
        <is>
          <t>AMBER</t>
        </is>
      </c>
      <c r="L46" s="2" t="inlineStr">
        <is>
          <t>Define explicit metric-level measurement specification before scoring freeze.</t>
        </is>
      </c>
    </row>
    <row r="47">
      <c r="A47" s="2" t="inlineStr">
        <is>
          <t>D04</t>
        </is>
      </c>
      <c r="B47" s="2" t="inlineStr">
        <is>
          <t>I05</t>
        </is>
      </c>
      <c r="C47" s="2" t="inlineStr">
        <is>
          <t>Content Obsolescence Response</t>
        </is>
      </c>
      <c r="D47" s="2" t="inlineStr">
        <is>
          <t>Speed and quality of response when content/tasks become less valuable</t>
        </is>
      </c>
      <c r="E47" s="2" t="inlineStr">
        <is>
          <t>D04</t>
        </is>
      </c>
      <c r="F47" s="2" t="inlineStr">
        <is>
          <t>D04; D04</t>
        </is>
      </c>
      <c r="G47" s="2" t="inlineStr">
        <is>
          <t>—</t>
        </is>
      </c>
      <c r="H47" s="2" t="inlineStr">
        <is>
          <t>—</t>
        </is>
      </c>
      <c r="I47" s="2" t="inlineStr">
        <is>
          <t>Assessment Card; Question Bank</t>
        </is>
      </c>
      <c r="J47" s="2" t="inlineStr">
        <is>
          <t>Defined rubric / evidence-coded score</t>
        </is>
      </c>
      <c r="K47" s="2" t="inlineStr">
        <is>
          <t>GREEN</t>
        </is>
      </c>
      <c r="L47" s="2" t="inlineStr">
        <is>
          <t>Formalise the existing measurement path; assign evidence and scoring rule.</t>
        </is>
      </c>
    </row>
    <row r="48">
      <c r="A48" s="2" t="inlineStr">
        <is>
          <t>D04</t>
        </is>
      </c>
      <c r="B48" s="2" t="inlineStr">
        <is>
          <t>I06</t>
        </is>
      </c>
      <c r="C48" s="2" t="inlineStr">
        <is>
          <t>Experiential Learning Strength</t>
        </is>
      </c>
      <c r="D48" s="2" t="inlineStr">
        <is>
          <t>Extent of projects, labs, fieldwork, practice and authentic tasks</t>
        </is>
      </c>
      <c r="E48" s="2" t="inlineStr">
        <is>
          <t>—</t>
        </is>
      </c>
      <c r="F48" s="2" t="inlineStr">
        <is>
          <t>D04</t>
        </is>
      </c>
      <c r="G48" s="2" t="inlineStr">
        <is>
          <t>—</t>
        </is>
      </c>
      <c r="H48" s="2" t="inlineStr">
        <is>
          <t>—</t>
        </is>
      </c>
      <c r="I48" s="2" t="inlineStr">
        <is>
          <t>Question Bank</t>
        </is>
      </c>
      <c r="J48" s="2" t="inlineStr">
        <is>
          <t>Rubric + evidence anchored ordinal score (0–5)</t>
        </is>
      </c>
      <c r="K48" s="2" t="inlineStr">
        <is>
          <t>AMBER</t>
        </is>
      </c>
      <c r="L48" s="2" t="inlineStr">
        <is>
          <t>Define explicit metric-level measurement specification before scoring freeze.</t>
        </is>
      </c>
    </row>
    <row r="49">
      <c r="A49" s="2" t="inlineStr">
        <is>
          <t>D04</t>
        </is>
      </c>
      <c r="B49" s="2" t="inlineStr">
        <is>
          <t>I07</t>
        </is>
      </c>
      <c r="C49" s="2" t="inlineStr">
        <is>
          <t>Interdisciplinary Flexibility</t>
        </is>
      </c>
      <c r="D49" s="2" t="inlineStr">
        <is>
          <t>Ability for students to learn/work across boundaries</t>
        </is>
      </c>
      <c r="E49" s="2" t="inlineStr">
        <is>
          <t>—</t>
        </is>
      </c>
      <c r="F49" s="2" t="inlineStr">
        <is>
          <t>D04</t>
        </is>
      </c>
      <c r="G49" s="2" t="inlineStr">
        <is>
          <t>—</t>
        </is>
      </c>
      <c r="H49" s="2" t="inlineStr">
        <is>
          <t>—</t>
        </is>
      </c>
      <c r="I49" s="2" t="inlineStr">
        <is>
          <t>Question Bank</t>
        </is>
      </c>
      <c r="J49" s="2" t="inlineStr">
        <is>
          <t>Defined rubric / evidence-coded score</t>
        </is>
      </c>
      <c r="K49" s="2" t="inlineStr">
        <is>
          <t>AMBER</t>
        </is>
      </c>
      <c r="L49" s="2" t="inlineStr">
        <is>
          <t>Define explicit metric-level measurement specification before scoring freeze.</t>
        </is>
      </c>
    </row>
    <row r="50">
      <c r="A50" s="2" t="inlineStr">
        <is>
          <t>D04</t>
        </is>
      </c>
      <c r="B50" s="2" t="inlineStr">
        <is>
          <t>I08</t>
        </is>
      </c>
      <c r="C50" s="2" t="inlineStr">
        <is>
          <t>Programme Agility</t>
        </is>
      </c>
      <c r="D50" s="2" t="inlineStr">
        <is>
          <t>Ability to modify modules, electives, pathways and learning experiences</t>
        </is>
      </c>
      <c r="E50" s="2" t="inlineStr">
        <is>
          <t>—</t>
        </is>
      </c>
      <c r="F50" s="2" t="inlineStr">
        <is>
          <t>D04; D04</t>
        </is>
      </c>
      <c r="G50" s="2" t="inlineStr">
        <is>
          <t>—</t>
        </is>
      </c>
      <c r="H50" s="2" t="inlineStr">
        <is>
          <t>—</t>
        </is>
      </c>
      <c r="I50" s="2" t="inlineStr">
        <is>
          <t>Question Bank</t>
        </is>
      </c>
      <c r="J50" s="2" t="inlineStr">
        <is>
          <t>Rubric + evidence anchored ordinal score (0–5)</t>
        </is>
      </c>
      <c r="K50" s="2" t="inlineStr">
        <is>
          <t>AMBER</t>
        </is>
      </c>
      <c r="L50" s="2" t="inlineStr">
        <is>
          <t>Define explicit metric-level measurement specification before scoring freeze.</t>
        </is>
      </c>
    </row>
    <row r="51">
      <c r="A51" s="2" t="inlineStr">
        <is>
          <t>D04</t>
        </is>
      </c>
      <c r="B51" s="2" t="inlineStr">
        <is>
          <t>I09</t>
        </is>
      </c>
      <c r="C51" s="2" t="inlineStr">
        <is>
          <t>External Validation Strength</t>
        </is>
      </c>
      <c r="D51" s="2" t="inlineStr">
        <is>
          <t>Use of employers/professionals/alumni/disciplinary experts in programme evolution</t>
        </is>
      </c>
      <c r="E51" s="2" t="inlineStr">
        <is>
          <t>—</t>
        </is>
      </c>
      <c r="F51" s="2" t="inlineStr">
        <is>
          <t>D04</t>
        </is>
      </c>
      <c r="G51" s="2" t="inlineStr">
        <is>
          <t>—</t>
        </is>
      </c>
      <c r="H51" s="2" t="inlineStr">
        <is>
          <t>—</t>
        </is>
      </c>
      <c r="I51" s="2" t="inlineStr">
        <is>
          <t>Question Bank</t>
        </is>
      </c>
      <c r="J51" s="2" t="inlineStr">
        <is>
          <t>Rubric + evidence anchored ordinal score (0–5)</t>
        </is>
      </c>
      <c r="K51" s="2" t="inlineStr">
        <is>
          <t>AMBER</t>
        </is>
      </c>
      <c r="L51" s="2" t="inlineStr">
        <is>
          <t>Define explicit metric-level measurement specification before scoring freeze.</t>
        </is>
      </c>
    </row>
    <row r="52">
      <c r="A52" s="2" t="inlineStr">
        <is>
          <t>D04</t>
        </is>
      </c>
      <c r="B52" s="2" t="inlineStr">
        <is>
          <t>I10</t>
        </is>
      </c>
      <c r="C52" s="2" t="inlineStr">
        <is>
          <t>External Learning Ecosystem</t>
        </is>
      </c>
      <c r="D52" s="2" t="inlineStr">
        <is>
          <t>Use of industry, research, community and external platforms as learning environments</t>
        </is>
      </c>
      <c r="E52" s="2" t="inlineStr">
        <is>
          <t>—</t>
        </is>
      </c>
      <c r="F52" s="2" t="inlineStr">
        <is>
          <t>—</t>
        </is>
      </c>
      <c r="G52" s="2" t="inlineStr">
        <is>
          <t>—</t>
        </is>
      </c>
      <c r="H52" s="2" t="inlineStr">
        <is>
          <t>—</t>
        </is>
      </c>
      <c r="I52" s="2" t="inlineStr">
        <is>
          <t>NONE</t>
        </is>
      </c>
      <c r="J52" s="2" t="inlineStr">
        <is>
          <t>Defined rubric / evidence-coded score</t>
        </is>
      </c>
      <c r="K52" s="2" t="inlineStr">
        <is>
          <t>RED</t>
        </is>
      </c>
      <c r="L52" s="2" t="inlineStr">
        <is>
          <t>Define explicit metric-level measurement specification before scoring freeze.</t>
        </is>
      </c>
    </row>
    <row r="53">
      <c r="A53" s="2" t="inlineStr">
        <is>
          <t>D04</t>
        </is>
      </c>
      <c r="B53" s="2" t="inlineStr">
        <is>
          <t>I11</t>
        </is>
      </c>
      <c r="C53" s="2" t="inlineStr">
        <is>
          <t>Transfer Capability</t>
        </is>
      </c>
      <c r="D53" s="2" t="inlineStr">
        <is>
          <t>Extent students apply learning to unfamiliar/real situations</t>
        </is>
      </c>
      <c r="E53" s="2" t="inlineStr">
        <is>
          <t>—</t>
        </is>
      </c>
      <c r="F53" s="2" t="inlineStr">
        <is>
          <t>D04; D04</t>
        </is>
      </c>
      <c r="G53" s="2" t="inlineStr">
        <is>
          <t>—</t>
        </is>
      </c>
      <c r="H53" s="2" t="inlineStr">
        <is>
          <t>—</t>
        </is>
      </c>
      <c r="I53" s="2" t="inlineStr">
        <is>
          <t>Question Bank</t>
        </is>
      </c>
      <c r="J53" s="2" t="inlineStr">
        <is>
          <t>Rubric + evidence anchored ordinal score (0–5)</t>
        </is>
      </c>
      <c r="K53" s="2" t="inlineStr">
        <is>
          <t>AMBER</t>
        </is>
      </c>
      <c r="L53" s="2" t="inlineStr">
        <is>
          <t>Define explicit metric-level measurement specification before scoring freeze.</t>
        </is>
      </c>
    </row>
    <row r="54">
      <c r="A54" s="2" t="inlineStr">
        <is>
          <t>D04</t>
        </is>
      </c>
      <c r="B54" s="2" t="inlineStr">
        <is>
          <t>I12</t>
        </is>
      </c>
      <c r="C54" s="2" t="inlineStr">
        <is>
          <t>Portfolio Foresight</t>
        </is>
      </c>
      <c r="D54" s="2" t="inlineStr">
        <is>
          <t>Whether programme portfolio remains aligned with institutional future direction</t>
        </is>
      </c>
      <c r="E54" s="2" t="inlineStr">
        <is>
          <t>—</t>
        </is>
      </c>
      <c r="F54" s="2" t="inlineStr">
        <is>
          <t>D04</t>
        </is>
      </c>
      <c r="G54" s="2" t="inlineStr">
        <is>
          <t>—</t>
        </is>
      </c>
      <c r="H54" s="2" t="inlineStr">
        <is>
          <t>—</t>
        </is>
      </c>
      <c r="I54" s="2" t="inlineStr">
        <is>
          <t>Question Bank</t>
        </is>
      </c>
      <c r="J54" s="2" t="inlineStr">
        <is>
          <t>Defined rubric / evidence-coded score</t>
        </is>
      </c>
      <c r="K54" s="2" t="inlineStr">
        <is>
          <t>AMBER</t>
        </is>
      </c>
      <c r="L54" s="2" t="inlineStr">
        <is>
          <t>Define explicit metric-level measurement specification before scoring freeze.</t>
        </is>
      </c>
    </row>
    <row r="55">
      <c r="A55" s="2" t="inlineStr">
        <is>
          <t>D05</t>
        </is>
      </c>
      <c r="B55" s="2" t="inlineStr">
        <is>
          <t>I01</t>
        </is>
      </c>
      <c r="C55" s="2" t="inlineStr">
        <is>
          <t>Faculty AI Literacy Maturity</t>
        </is>
      </c>
      <c r="D55" s="2" t="inlineStr">
        <is>
          <t>Ability to understand AI capabilities, limits, risks and appropriate use</t>
        </is>
      </c>
      <c r="E55" s="2" t="inlineStr">
        <is>
          <t>D05</t>
        </is>
      </c>
      <c r="F55" s="2" t="inlineStr">
        <is>
          <t>D05; D05</t>
        </is>
      </c>
      <c r="G55" s="2" t="inlineStr">
        <is>
          <t>—</t>
        </is>
      </c>
      <c r="H55" s="2" t="inlineStr">
        <is>
          <t>—</t>
        </is>
      </c>
      <c r="I55" s="2" t="inlineStr">
        <is>
          <t>Assessment Card; Question Bank</t>
        </is>
      </c>
      <c r="J55" s="2" t="inlineStr">
        <is>
          <t>Rubric + evidence anchored ordinal score (0–5)</t>
        </is>
      </c>
      <c r="K55" s="2" t="inlineStr">
        <is>
          <t>GREEN</t>
        </is>
      </c>
      <c r="L55" s="2" t="inlineStr">
        <is>
          <t>Formalise the existing measurement path; assign evidence and scoring rule.</t>
        </is>
      </c>
    </row>
    <row r="56">
      <c r="A56" s="2" t="inlineStr">
        <is>
          <t>D05</t>
        </is>
      </c>
      <c r="B56" s="2" t="inlineStr">
        <is>
          <t>I02</t>
        </is>
      </c>
      <c r="C56" s="2" t="inlineStr">
        <is>
          <t>Discipline-Specific AI Practice</t>
        </is>
      </c>
      <c r="D56" s="2" t="inlineStr">
        <is>
          <t>Use of AI in ways meaningful to the discipline</t>
        </is>
      </c>
      <c r="E56" s="2" t="inlineStr">
        <is>
          <t>D05</t>
        </is>
      </c>
      <c r="F56" s="2" t="inlineStr">
        <is>
          <t>D05; D05</t>
        </is>
      </c>
      <c r="G56" s="2" t="inlineStr">
        <is>
          <t>—</t>
        </is>
      </c>
      <c r="H56" s="2" t="inlineStr">
        <is>
          <t>—</t>
        </is>
      </c>
      <c r="I56" s="2" t="inlineStr">
        <is>
          <t>Assessment Card; Question Bank</t>
        </is>
      </c>
      <c r="J56" s="2" t="inlineStr">
        <is>
          <t>Defined rubric / evidence-coded score</t>
        </is>
      </c>
      <c r="K56" s="2" t="inlineStr">
        <is>
          <t>GREEN</t>
        </is>
      </c>
      <c r="L56" s="2" t="inlineStr">
        <is>
          <t>Formalise the existing measurement path; assign evidence and scoring rule.</t>
        </is>
      </c>
    </row>
    <row r="57">
      <c r="A57" s="2" t="inlineStr">
        <is>
          <t>D05</t>
        </is>
      </c>
      <c r="B57" s="2" t="inlineStr">
        <is>
          <t>I03</t>
        </is>
      </c>
      <c r="C57" s="2" t="inlineStr">
        <is>
          <t>AI-Enhanced Pedagogy</t>
        </is>
      </c>
      <c r="D57" s="2" t="inlineStr">
        <is>
          <t>Ability to redesign learning around AI rather than merely add tools</t>
        </is>
      </c>
      <c r="E57" s="2" t="inlineStr">
        <is>
          <t>D05</t>
        </is>
      </c>
      <c r="F57" s="2" t="inlineStr">
        <is>
          <t>D05; D05</t>
        </is>
      </c>
      <c r="G57" s="2" t="inlineStr">
        <is>
          <t>—</t>
        </is>
      </c>
      <c r="H57" s="2" t="inlineStr">
        <is>
          <t>—</t>
        </is>
      </c>
      <c r="I57" s="2" t="inlineStr">
        <is>
          <t>Assessment Card; Question Bank</t>
        </is>
      </c>
      <c r="J57" s="2" t="inlineStr">
        <is>
          <t>Defined rubric / evidence-coded score</t>
        </is>
      </c>
      <c r="K57" s="2" t="inlineStr">
        <is>
          <t>GREEN</t>
        </is>
      </c>
      <c r="L57" s="2" t="inlineStr">
        <is>
          <t>Formalise the existing measurement path; assign evidence and scoring rule.</t>
        </is>
      </c>
    </row>
    <row r="58">
      <c r="A58" s="2" t="inlineStr">
        <is>
          <t>D05</t>
        </is>
      </c>
      <c r="B58" s="2" t="inlineStr">
        <is>
          <t>I04</t>
        </is>
      </c>
      <c r="C58" s="2" t="inlineStr">
        <is>
          <t>Assessment Redesign Capability</t>
        </is>
      </c>
      <c r="D58" s="2" t="inlineStr">
        <is>
          <t>Faculty ability to redesign tasks so genuine capability remains visible</t>
        </is>
      </c>
      <c r="E58" s="2" t="inlineStr">
        <is>
          <t>—</t>
        </is>
      </c>
      <c r="F58" s="2" t="inlineStr">
        <is>
          <t>D05</t>
        </is>
      </c>
      <c r="G58" s="2" t="inlineStr">
        <is>
          <t>—</t>
        </is>
      </c>
      <c r="H58" s="2" t="inlineStr">
        <is>
          <t>—</t>
        </is>
      </c>
      <c r="I58" s="2" t="inlineStr">
        <is>
          <t>Question Bank</t>
        </is>
      </c>
      <c r="J58" s="2" t="inlineStr">
        <is>
          <t>Rubric + evidence anchored ordinal score (0–5)</t>
        </is>
      </c>
      <c r="K58" s="2" t="inlineStr">
        <is>
          <t>AMBER</t>
        </is>
      </c>
      <c r="L58" s="2" t="inlineStr">
        <is>
          <t>Define explicit metric-level measurement specification before scoring freeze.</t>
        </is>
      </c>
    </row>
    <row r="59">
      <c r="A59" s="2" t="inlineStr">
        <is>
          <t>D05</t>
        </is>
      </c>
      <c r="B59" s="2" t="inlineStr">
        <is>
          <t>I05</t>
        </is>
      </c>
      <c r="C59" s="2" t="inlineStr">
        <is>
          <t>Faculty Learning &amp; Development Effectiveness</t>
        </is>
      </c>
      <c r="D59" s="2" t="inlineStr">
        <is>
          <t>Conversion of training into sustained academic practice</t>
        </is>
      </c>
      <c r="E59" s="2" t="inlineStr">
        <is>
          <t>—</t>
        </is>
      </c>
      <c r="F59" s="2" t="inlineStr">
        <is>
          <t>D05</t>
        </is>
      </c>
      <c r="G59" s="2" t="inlineStr">
        <is>
          <t>—</t>
        </is>
      </c>
      <c r="H59" s="2" t="inlineStr">
        <is>
          <t>—</t>
        </is>
      </c>
      <c r="I59" s="2" t="inlineStr">
        <is>
          <t>Question Bank</t>
        </is>
      </c>
      <c r="J59" s="2" t="inlineStr">
        <is>
          <t>Rubric + evidence anchored ordinal score (0–5)</t>
        </is>
      </c>
      <c r="K59" s="2" t="inlineStr">
        <is>
          <t>AMBER</t>
        </is>
      </c>
      <c r="L59" s="2" t="inlineStr">
        <is>
          <t>Define explicit metric-level measurement specification before scoring freeze.</t>
        </is>
      </c>
    </row>
    <row r="60">
      <c r="A60" s="2" t="inlineStr">
        <is>
          <t>D05</t>
        </is>
      </c>
      <c r="B60" s="2" t="inlineStr">
        <is>
          <t>I06</t>
        </is>
      </c>
      <c r="C60" s="2" t="inlineStr">
        <is>
          <t>Peer Learning &amp; Communities</t>
        </is>
      </c>
      <c r="D60" s="2" t="inlineStr">
        <is>
          <t>Institutional mechanisms for sharing AI practice</t>
        </is>
      </c>
      <c r="E60" s="2" t="inlineStr">
        <is>
          <t>—</t>
        </is>
      </c>
      <c r="F60" s="2" t="inlineStr">
        <is>
          <t>D05</t>
        </is>
      </c>
      <c r="G60" s="2" t="inlineStr">
        <is>
          <t>—</t>
        </is>
      </c>
      <c r="H60" s="2" t="inlineStr">
        <is>
          <t>—</t>
        </is>
      </c>
      <c r="I60" s="2" t="inlineStr">
        <is>
          <t>Question Bank</t>
        </is>
      </c>
      <c r="J60" s="2" t="inlineStr">
        <is>
          <t>Defined rubric / evidence-coded score</t>
        </is>
      </c>
      <c r="K60" s="2" t="inlineStr">
        <is>
          <t>AMBER</t>
        </is>
      </c>
      <c r="L60" s="2" t="inlineStr">
        <is>
          <t>Define explicit metric-level measurement specification before scoring freeze.</t>
        </is>
      </c>
    </row>
    <row r="61">
      <c r="A61" s="2" t="inlineStr">
        <is>
          <t>D05</t>
        </is>
      </c>
      <c r="B61" s="2" t="inlineStr">
        <is>
          <t>I07</t>
        </is>
      </c>
      <c r="C61" s="2" t="inlineStr">
        <is>
          <t>AI Research &amp; Knowledge Creation</t>
        </is>
      </c>
      <c r="D61" s="2" t="inlineStr">
        <is>
          <t>Faculty use AI responsibly for research, analysis, scholarship and knowledge creation</t>
        </is>
      </c>
      <c r="E61" s="2" t="inlineStr">
        <is>
          <t>—</t>
        </is>
      </c>
      <c r="F61" s="2" t="inlineStr">
        <is>
          <t>D05</t>
        </is>
      </c>
      <c r="G61" s="2" t="inlineStr">
        <is>
          <t>—</t>
        </is>
      </c>
      <c r="H61" s="2" t="inlineStr">
        <is>
          <t>—</t>
        </is>
      </c>
      <c r="I61" s="2" t="inlineStr">
        <is>
          <t>Question Bank</t>
        </is>
      </c>
      <c r="J61" s="2" t="inlineStr">
        <is>
          <t>Defined rubric / evidence-coded score</t>
        </is>
      </c>
      <c r="K61" s="2" t="inlineStr">
        <is>
          <t>AMBER</t>
        </is>
      </c>
      <c r="L61" s="2" t="inlineStr">
        <is>
          <t>Define explicit metric-level measurement specification before scoring freeze.</t>
        </is>
      </c>
    </row>
    <row r="62">
      <c r="A62" s="2" t="inlineStr">
        <is>
          <t>D05</t>
        </is>
      </c>
      <c r="B62" s="2" t="inlineStr">
        <is>
          <t>I08</t>
        </is>
      </c>
      <c r="C62" s="2" t="inlineStr">
        <is>
          <t>Academic Role Redesign</t>
        </is>
      </c>
      <c r="D62" s="2" t="inlineStr">
        <is>
          <t>Whether AI-driven changes in academic work are anticipated and supported</t>
        </is>
      </c>
      <c r="E62" s="2" t="inlineStr">
        <is>
          <t>—</t>
        </is>
      </c>
      <c r="F62" s="2" t="inlineStr">
        <is>
          <t>D05; D05</t>
        </is>
      </c>
      <c r="G62" s="2" t="inlineStr">
        <is>
          <t>—</t>
        </is>
      </c>
      <c r="H62" s="2" t="inlineStr">
        <is>
          <t>—</t>
        </is>
      </c>
      <c r="I62" s="2" t="inlineStr">
        <is>
          <t>Question Bank</t>
        </is>
      </c>
      <c r="J62" s="2" t="inlineStr">
        <is>
          <t>Defined rubric / evidence-coded score</t>
        </is>
      </c>
      <c r="K62" s="2" t="inlineStr">
        <is>
          <t>AMBER</t>
        </is>
      </c>
      <c r="L62" s="2" t="inlineStr">
        <is>
          <t>Define explicit metric-level measurement specification before scoring freeze.</t>
        </is>
      </c>
    </row>
    <row r="63">
      <c r="A63" s="2" t="inlineStr">
        <is>
          <t>D05</t>
        </is>
      </c>
      <c r="B63" s="2" t="inlineStr">
        <is>
          <t>I09</t>
        </is>
      </c>
      <c r="C63" s="2" t="inlineStr">
        <is>
          <t>Workload &amp; Workflow Transformation</t>
        </is>
      </c>
      <c r="D63" s="2" t="inlineStr">
        <is>
          <t>Use of AI to reduce low-value work while protecting academic quality</t>
        </is>
      </c>
      <c r="E63" s="2" t="inlineStr">
        <is>
          <t>—</t>
        </is>
      </c>
      <c r="F63" s="2" t="inlineStr">
        <is>
          <t>D05</t>
        </is>
      </c>
      <c r="G63" s="2" t="inlineStr">
        <is>
          <t>—</t>
        </is>
      </c>
      <c r="H63" s="2" t="inlineStr">
        <is>
          <t>—</t>
        </is>
      </c>
      <c r="I63" s="2" t="inlineStr">
        <is>
          <t>Question Bank</t>
        </is>
      </c>
      <c r="J63" s="2" t="inlineStr">
        <is>
          <t>Defined rubric / evidence-coded score</t>
        </is>
      </c>
      <c r="K63" s="2" t="inlineStr">
        <is>
          <t>AMBER</t>
        </is>
      </c>
      <c r="L63" s="2" t="inlineStr">
        <is>
          <t>Define explicit metric-level measurement specification before scoring freeze.</t>
        </is>
      </c>
    </row>
    <row r="64">
      <c r="A64" s="2" t="inlineStr">
        <is>
          <t>D05</t>
        </is>
      </c>
      <c r="B64" s="2" t="inlineStr">
        <is>
          <t>I10</t>
        </is>
      </c>
      <c r="C64" s="2" t="inlineStr">
        <is>
          <t>Faculty Support Infrastructure</t>
        </is>
      </c>
      <c r="D64" s="2" t="inlineStr">
        <is>
          <t>Access to tools, guidance, help, exemplars and technical support</t>
        </is>
      </c>
      <c r="E64" s="2" t="inlineStr">
        <is>
          <t>—</t>
        </is>
      </c>
      <c r="F64" s="2" t="inlineStr">
        <is>
          <t>D05</t>
        </is>
      </c>
      <c r="G64" s="2" t="inlineStr">
        <is>
          <t>—</t>
        </is>
      </c>
      <c r="H64" s="2" t="inlineStr">
        <is>
          <t>—</t>
        </is>
      </c>
      <c r="I64" s="2" t="inlineStr">
        <is>
          <t>Question Bank</t>
        </is>
      </c>
      <c r="J64" s="2" t="inlineStr">
        <is>
          <t>Defined rubric / evidence-coded score</t>
        </is>
      </c>
      <c r="K64" s="2" t="inlineStr">
        <is>
          <t>AMBER</t>
        </is>
      </c>
      <c r="L64" s="2" t="inlineStr">
        <is>
          <t>Define explicit metric-level measurement specification before scoring freeze.</t>
        </is>
      </c>
    </row>
    <row r="65">
      <c r="A65" s="2" t="inlineStr">
        <is>
          <t>D05</t>
        </is>
      </c>
      <c r="B65" s="2" t="inlineStr">
        <is>
          <t>I11</t>
        </is>
      </c>
      <c r="C65" s="2" t="inlineStr">
        <is>
          <t>Academic Leadership for AI</t>
        </is>
      </c>
      <c r="D65" s="2" t="inlineStr">
        <is>
          <t>Department/school leaders translating AI change into academic action</t>
        </is>
      </c>
      <c r="E65" s="2" t="inlineStr">
        <is>
          <t>—</t>
        </is>
      </c>
      <c r="F65" s="2" t="inlineStr">
        <is>
          <t>D05</t>
        </is>
      </c>
      <c r="G65" s="2" t="inlineStr">
        <is>
          <t>—</t>
        </is>
      </c>
      <c r="H65" s="2" t="inlineStr">
        <is>
          <t>—</t>
        </is>
      </c>
      <c r="I65" s="2" t="inlineStr">
        <is>
          <t>Question Bank</t>
        </is>
      </c>
      <c r="J65" s="2" t="inlineStr">
        <is>
          <t>Defined rubric / evidence-coded score</t>
        </is>
      </c>
      <c r="K65" s="2" t="inlineStr">
        <is>
          <t>AMBER</t>
        </is>
      </c>
      <c r="L65" s="2" t="inlineStr">
        <is>
          <t>Define explicit metric-level measurement specification before scoring freeze.</t>
        </is>
      </c>
    </row>
    <row r="66">
      <c r="A66" s="2" t="inlineStr">
        <is>
          <t>D05</t>
        </is>
      </c>
      <c r="B66" s="2" t="inlineStr">
        <is>
          <t>I12</t>
        </is>
      </c>
      <c r="C66" s="2" t="inlineStr">
        <is>
          <t>Faculty Adoption Learning Loop</t>
        </is>
      </c>
      <c r="D66" s="2" t="inlineStr">
        <is>
          <t>Institution learns from adoption, resistance, failure and emerging practice</t>
        </is>
      </c>
      <c r="E66" s="2" t="inlineStr">
        <is>
          <t>—</t>
        </is>
      </c>
      <c r="F66" s="2" t="inlineStr">
        <is>
          <t>D05; D05</t>
        </is>
      </c>
      <c r="G66" s="2" t="inlineStr">
        <is>
          <t>—</t>
        </is>
      </c>
      <c r="H66" s="2" t="inlineStr">
        <is>
          <t>—</t>
        </is>
      </c>
      <c r="I66" s="2" t="inlineStr">
        <is>
          <t>Question Bank</t>
        </is>
      </c>
      <c r="J66" s="2" t="inlineStr">
        <is>
          <t>Defined rubric / evidence-coded score</t>
        </is>
      </c>
      <c r="K66" s="2" t="inlineStr">
        <is>
          <t>AMBER</t>
        </is>
      </c>
      <c r="L66" s="2" t="inlineStr">
        <is>
          <t>Define explicit metric-level measurement specification before scoring freeze.</t>
        </is>
      </c>
    </row>
    <row r="67">
      <c r="A67" s="2" t="inlineStr">
        <is>
          <t>D06</t>
        </is>
      </c>
      <c r="B67" s="2" t="inlineStr">
        <is>
          <t>I01</t>
        </is>
      </c>
      <c r="C67" s="2" t="inlineStr">
        <is>
          <t>Student AI Literacy</t>
        </is>
      </c>
      <c r="D67" s="2" t="inlineStr">
        <is>
          <t>Students understand capabilities, limits, responsible use and verification</t>
        </is>
      </c>
      <c r="E67" s="2" t="inlineStr">
        <is>
          <t>D06</t>
        </is>
      </c>
      <c r="F67" s="2" t="inlineStr">
        <is>
          <t>D06</t>
        </is>
      </c>
      <c r="G67" s="2" t="inlineStr">
        <is>
          <t>—</t>
        </is>
      </c>
      <c r="H67" s="2" t="inlineStr">
        <is>
          <t>—</t>
        </is>
      </c>
      <c r="I67" s="2" t="inlineStr">
        <is>
          <t>Assessment Card; Question Bank</t>
        </is>
      </c>
      <c r="J67" s="2" t="inlineStr">
        <is>
          <t>Defined rubric / evidence-coded score</t>
        </is>
      </c>
      <c r="K67" s="2" t="inlineStr">
        <is>
          <t>GREEN</t>
        </is>
      </c>
      <c r="L67" s="2" t="inlineStr">
        <is>
          <t>Formalise the existing measurement path; assign evidence and scoring rule.</t>
        </is>
      </c>
    </row>
    <row r="68">
      <c r="A68" s="2" t="inlineStr">
        <is>
          <t>D06</t>
        </is>
      </c>
      <c r="B68" s="2" t="inlineStr">
        <is>
          <t>I02</t>
        </is>
      </c>
      <c r="C68" s="2" t="inlineStr">
        <is>
          <t>Critical AI Evaluation</t>
        </is>
      </c>
      <c r="D68" s="2" t="inlineStr">
        <is>
          <t>Students can interrogate, verify and challenge AI outputs</t>
        </is>
      </c>
      <c r="E68" s="2" t="inlineStr">
        <is>
          <t>D06</t>
        </is>
      </c>
      <c r="F68" s="2" t="inlineStr">
        <is>
          <t>D06; D06</t>
        </is>
      </c>
      <c r="G68" s="2" t="inlineStr">
        <is>
          <t>—</t>
        </is>
      </c>
      <c r="H68" s="2" t="inlineStr">
        <is>
          <t>—</t>
        </is>
      </c>
      <c r="I68" s="2" t="inlineStr">
        <is>
          <t>Assessment Card; Question Bank</t>
        </is>
      </c>
      <c r="J68" s="2" t="inlineStr">
        <is>
          <t>Defined rubric / evidence-coded score</t>
        </is>
      </c>
      <c r="K68" s="2" t="inlineStr">
        <is>
          <t>GREEN</t>
        </is>
      </c>
      <c r="L68" s="2" t="inlineStr">
        <is>
          <t>Formalise the existing measurement path; assign evidence and scoring rule.</t>
        </is>
      </c>
    </row>
    <row r="69">
      <c r="A69" s="2" t="inlineStr">
        <is>
          <t>D06</t>
        </is>
      </c>
      <c r="B69" s="2" t="inlineStr">
        <is>
          <t>I03</t>
        </is>
      </c>
      <c r="C69" s="2" t="inlineStr">
        <is>
          <t>Learning Agency</t>
        </is>
      </c>
      <c r="D69" s="2" t="inlineStr">
        <is>
          <t>Students use AI to extend learning without surrendering intellectual responsibility</t>
        </is>
      </c>
      <c r="E69" s="2" t="inlineStr">
        <is>
          <t>D06</t>
        </is>
      </c>
      <c r="F69" s="2" t="inlineStr">
        <is>
          <t>D06</t>
        </is>
      </c>
      <c r="G69" s="2" t="inlineStr">
        <is>
          <t>—</t>
        </is>
      </c>
      <c r="H69" s="2" t="inlineStr">
        <is>
          <t>—</t>
        </is>
      </c>
      <c r="I69" s="2" t="inlineStr">
        <is>
          <t>Assessment Card; Question Bank</t>
        </is>
      </c>
      <c r="J69" s="2" t="inlineStr">
        <is>
          <t>Defined rubric / evidence-coded score</t>
        </is>
      </c>
      <c r="K69" s="2" t="inlineStr">
        <is>
          <t>GREEN</t>
        </is>
      </c>
      <c r="L69" s="2" t="inlineStr">
        <is>
          <t>Formalise the existing measurement path; assign evidence and scoring rule.</t>
        </is>
      </c>
    </row>
    <row r="70">
      <c r="A70" s="2" t="inlineStr">
        <is>
          <t>D06</t>
        </is>
      </c>
      <c r="B70" s="2" t="inlineStr">
        <is>
          <t>I04</t>
        </is>
      </c>
      <c r="C70" s="2" t="inlineStr">
        <is>
          <t>Independent Intellectual Agency</t>
        </is>
      </c>
      <c r="D70" s="2" t="inlineStr">
        <is>
          <t>Students can formulate positions, questions and solutions independently</t>
        </is>
      </c>
      <c r="E70" s="2" t="inlineStr">
        <is>
          <t>—</t>
        </is>
      </c>
      <c r="F70" s="2" t="inlineStr">
        <is>
          <t>D06; D06</t>
        </is>
      </c>
      <c r="G70" s="2" t="inlineStr">
        <is>
          <t>—</t>
        </is>
      </c>
      <c r="H70" s="2" t="inlineStr">
        <is>
          <t>—</t>
        </is>
      </c>
      <c r="I70" s="2" t="inlineStr">
        <is>
          <t>Question Bank</t>
        </is>
      </c>
      <c r="J70" s="2" t="inlineStr">
        <is>
          <t>Defined rubric / evidence-coded score</t>
        </is>
      </c>
      <c r="K70" s="2" t="inlineStr">
        <is>
          <t>AMBER</t>
        </is>
      </c>
      <c r="L70" s="2" t="inlineStr">
        <is>
          <t>Define explicit metric-level measurement specification before scoring freeze.</t>
        </is>
      </c>
    </row>
    <row r="71">
      <c r="A71" s="2" t="inlineStr">
        <is>
          <t>D06</t>
        </is>
      </c>
      <c r="B71" s="2" t="inlineStr">
        <is>
          <t>I05</t>
        </is>
      </c>
      <c r="C71" s="2" t="inlineStr">
        <is>
          <t>Communication &amp; Defence</t>
        </is>
      </c>
      <c r="D71" s="2" t="inlineStr">
        <is>
          <t>Students can explain and defend their reasoning, sources and decisions</t>
        </is>
      </c>
      <c r="E71" s="2" t="inlineStr">
        <is>
          <t>—</t>
        </is>
      </c>
      <c r="F71" s="2" t="inlineStr">
        <is>
          <t>D06</t>
        </is>
      </c>
      <c r="G71" s="2" t="inlineStr">
        <is>
          <t>—</t>
        </is>
      </c>
      <c r="H71" s="2" t="inlineStr">
        <is>
          <t>—</t>
        </is>
      </c>
      <c r="I71" s="2" t="inlineStr">
        <is>
          <t>Question Bank</t>
        </is>
      </c>
      <c r="J71" s="2" t="inlineStr">
        <is>
          <t>Defined rubric / evidence-coded score</t>
        </is>
      </c>
      <c r="K71" s="2" t="inlineStr">
        <is>
          <t>AMBER</t>
        </is>
      </c>
      <c r="L71" s="2" t="inlineStr">
        <is>
          <t>Define explicit metric-level measurement specification before scoring freeze.</t>
        </is>
      </c>
    </row>
    <row r="72">
      <c r="A72" s="2" t="inlineStr">
        <is>
          <t>D06</t>
        </is>
      </c>
      <c r="B72" s="2" t="inlineStr">
        <is>
          <t>I06</t>
        </is>
      </c>
      <c r="C72" s="2" t="inlineStr">
        <is>
          <t>Collaboration Capability</t>
        </is>
      </c>
      <c r="D72" s="2" t="inlineStr">
        <is>
          <t>Students collaborate with people and AI appropriately</t>
        </is>
      </c>
      <c r="E72" s="2" t="inlineStr">
        <is>
          <t>—</t>
        </is>
      </c>
      <c r="F72" s="2" t="inlineStr">
        <is>
          <t>—</t>
        </is>
      </c>
      <c r="G72" s="2" t="inlineStr">
        <is>
          <t>—</t>
        </is>
      </c>
      <c r="H72" s="2" t="inlineStr">
        <is>
          <t>—</t>
        </is>
      </c>
      <c r="I72" s="2" t="inlineStr">
        <is>
          <t>NONE</t>
        </is>
      </c>
      <c r="J72" s="2" t="inlineStr">
        <is>
          <t>Rubric + evidence anchored ordinal score (0–5)</t>
        </is>
      </c>
      <c r="K72" s="2" t="inlineStr">
        <is>
          <t>RED</t>
        </is>
      </c>
      <c r="L72" s="2" t="inlineStr">
        <is>
          <t>Define explicit metric-level measurement specification before scoring freeze.</t>
        </is>
      </c>
    </row>
    <row r="73">
      <c r="A73" s="2" t="inlineStr">
        <is>
          <t>D06</t>
        </is>
      </c>
      <c r="B73" s="2" t="inlineStr">
        <is>
          <t>I07</t>
        </is>
      </c>
      <c r="C73" s="2" t="inlineStr">
        <is>
          <t>Practical Capability</t>
        </is>
      </c>
      <c r="D73" s="2" t="inlineStr">
        <is>
          <t>Students can act in real or simulated contexts beyond content generation</t>
        </is>
      </c>
      <c r="E73" s="2" t="inlineStr">
        <is>
          <t>—</t>
        </is>
      </c>
      <c r="F73" s="2" t="inlineStr">
        <is>
          <t>D06</t>
        </is>
      </c>
      <c r="G73" s="2" t="inlineStr">
        <is>
          <t>—</t>
        </is>
      </c>
      <c r="H73" s="2" t="inlineStr">
        <is>
          <t>—</t>
        </is>
      </c>
      <c r="I73" s="2" t="inlineStr">
        <is>
          <t>Question Bank</t>
        </is>
      </c>
      <c r="J73" s="2" t="inlineStr">
        <is>
          <t>Rubric + evidence anchored ordinal score (0–5)</t>
        </is>
      </c>
      <c r="K73" s="2" t="inlineStr">
        <is>
          <t>AMBER</t>
        </is>
      </c>
      <c r="L73" s="2" t="inlineStr">
        <is>
          <t>Define explicit metric-level measurement specification before scoring freeze.</t>
        </is>
      </c>
    </row>
    <row r="74">
      <c r="A74" s="2" t="inlineStr">
        <is>
          <t>D06</t>
        </is>
      </c>
      <c r="B74" s="2" t="inlineStr">
        <is>
          <t>I08</t>
        </is>
      </c>
      <c r="C74" s="2" t="inlineStr">
        <is>
          <t>Career Adaptability</t>
        </is>
      </c>
      <c r="D74" s="2" t="inlineStr">
        <is>
          <t>Students can interpret changing work requirements and update capabilities</t>
        </is>
      </c>
      <c r="E74" s="2" t="inlineStr">
        <is>
          <t>—</t>
        </is>
      </c>
      <c r="F74" s="2" t="inlineStr">
        <is>
          <t>D06</t>
        </is>
      </c>
      <c r="G74" s="2" t="inlineStr">
        <is>
          <t>—</t>
        </is>
      </c>
      <c r="H74" s="2" t="inlineStr">
        <is>
          <t>—</t>
        </is>
      </c>
      <c r="I74" s="2" t="inlineStr">
        <is>
          <t>Question Bank</t>
        </is>
      </c>
      <c r="J74" s="2" t="inlineStr">
        <is>
          <t>Rubric + evidence anchored ordinal score (0–5)</t>
        </is>
      </c>
      <c r="K74" s="2" t="inlineStr">
        <is>
          <t>AMBER</t>
        </is>
      </c>
      <c r="L74" s="2" t="inlineStr">
        <is>
          <t>Define explicit metric-level measurement specification before scoring freeze.</t>
        </is>
      </c>
    </row>
    <row r="75">
      <c r="A75" s="2" t="inlineStr">
        <is>
          <t>D06</t>
        </is>
      </c>
      <c r="B75" s="2" t="inlineStr">
        <is>
          <t>I09</t>
        </is>
      </c>
      <c r="C75" s="2" t="inlineStr">
        <is>
          <t>Portfolio &amp; Capability Signalling</t>
        </is>
      </c>
      <c r="D75" s="2" t="inlineStr">
        <is>
          <t>Students can show credible evidence of what they can do</t>
        </is>
      </c>
      <c r="E75" s="2" t="inlineStr">
        <is>
          <t>—</t>
        </is>
      </c>
      <c r="F75" s="2" t="inlineStr">
        <is>
          <t>D06</t>
        </is>
      </c>
      <c r="G75" s="2" t="inlineStr">
        <is>
          <t>—</t>
        </is>
      </c>
      <c r="H75" s="2" t="inlineStr">
        <is>
          <t>—</t>
        </is>
      </c>
      <c r="I75" s="2" t="inlineStr">
        <is>
          <t>Question Bank</t>
        </is>
      </c>
      <c r="J75" s="2" t="inlineStr">
        <is>
          <t>Rubric + evidence anchored ordinal score (0–5)</t>
        </is>
      </c>
      <c r="K75" s="2" t="inlineStr">
        <is>
          <t>AMBER</t>
        </is>
      </c>
      <c r="L75" s="2" t="inlineStr">
        <is>
          <t>Define explicit metric-level measurement specification before scoring freeze.</t>
        </is>
      </c>
    </row>
    <row r="76">
      <c r="A76" s="2" t="inlineStr">
        <is>
          <t>D06</t>
        </is>
      </c>
      <c r="B76" s="2" t="inlineStr">
        <is>
          <t>I10</t>
        </is>
      </c>
      <c r="C76" s="2" t="inlineStr">
        <is>
          <t>Problem Solving &amp; Transfer</t>
        </is>
      </c>
      <c r="D76" s="2" t="inlineStr">
        <is>
          <t>Students apply learning to unfamiliar/ambiguous problems</t>
        </is>
      </c>
      <c r="E76" s="2" t="inlineStr">
        <is>
          <t>—</t>
        </is>
      </c>
      <c r="F76" s="2" t="inlineStr">
        <is>
          <t>D06</t>
        </is>
      </c>
      <c r="G76" s="2" t="inlineStr">
        <is>
          <t>—</t>
        </is>
      </c>
      <c r="H76" s="2" t="inlineStr">
        <is>
          <t>—</t>
        </is>
      </c>
      <c r="I76" s="2" t="inlineStr">
        <is>
          <t>Question Bank</t>
        </is>
      </c>
      <c r="J76" s="2" t="inlineStr">
        <is>
          <t>Defined rubric / evidence-coded score</t>
        </is>
      </c>
      <c r="K76" s="2" t="inlineStr">
        <is>
          <t>AMBER</t>
        </is>
      </c>
      <c r="L76" s="2" t="inlineStr">
        <is>
          <t>Define explicit metric-level measurement specification before scoring freeze.</t>
        </is>
      </c>
    </row>
    <row r="77">
      <c r="A77" s="2" t="inlineStr">
        <is>
          <t>D06</t>
        </is>
      </c>
      <c r="B77" s="2" t="inlineStr">
        <is>
          <t>I11</t>
        </is>
      </c>
      <c r="C77" s="2" t="inlineStr">
        <is>
          <t>Creator &amp; Entrepreneurial Agency</t>
        </is>
      </c>
      <c r="D77" s="2" t="inlineStr">
        <is>
          <t>Students use AI to create, prototype, innovate or build value</t>
        </is>
      </c>
      <c r="E77" s="2" t="inlineStr">
        <is>
          <t>—</t>
        </is>
      </c>
      <c r="F77" s="2" t="inlineStr">
        <is>
          <t>D06</t>
        </is>
      </c>
      <c r="G77" s="2" t="inlineStr">
        <is>
          <t>—</t>
        </is>
      </c>
      <c r="H77" s="2" t="inlineStr">
        <is>
          <t>—</t>
        </is>
      </c>
      <c r="I77" s="2" t="inlineStr">
        <is>
          <t>Question Bank</t>
        </is>
      </c>
      <c r="J77" s="2" t="inlineStr">
        <is>
          <t>Defined rubric / evidence-coded score</t>
        </is>
      </c>
      <c r="K77" s="2" t="inlineStr">
        <is>
          <t>AMBER</t>
        </is>
      </c>
      <c r="L77" s="2" t="inlineStr">
        <is>
          <t>Define explicit metric-level measurement specification before scoring freeze.</t>
        </is>
      </c>
    </row>
    <row r="78">
      <c r="A78" s="2" t="inlineStr">
        <is>
          <t>D06</t>
        </is>
      </c>
      <c r="B78" s="2" t="inlineStr">
        <is>
          <t>I12</t>
        </is>
      </c>
      <c r="C78" s="2" t="inlineStr">
        <is>
          <t>Digital Citizenship &amp; Responsible Use</t>
        </is>
      </c>
      <c r="D78" s="2" t="inlineStr">
        <is>
          <t>Students understand privacy, IP, bias, integrity and social consequences</t>
        </is>
      </c>
      <c r="E78" s="2" t="inlineStr">
        <is>
          <t>—</t>
        </is>
      </c>
      <c r="F78" s="2" t="inlineStr">
        <is>
          <t>—</t>
        </is>
      </c>
      <c r="G78" s="2" t="inlineStr">
        <is>
          <t>—</t>
        </is>
      </c>
      <c r="H78" s="2" t="inlineStr">
        <is>
          <t>—</t>
        </is>
      </c>
      <c r="I78" s="2" t="inlineStr">
        <is>
          <t>NONE</t>
        </is>
      </c>
      <c r="J78" s="2" t="inlineStr">
        <is>
          <t>Defined rubric / evidence-coded score</t>
        </is>
      </c>
      <c r="K78" s="2" t="inlineStr">
        <is>
          <t>RED</t>
        </is>
      </c>
      <c r="L78" s="2" t="inlineStr">
        <is>
          <t>Define explicit metric-level measurement specification before scoring freeze.</t>
        </is>
      </c>
    </row>
    <row r="79">
      <c r="A79" s="2" t="inlineStr">
        <is>
          <t>D06</t>
        </is>
      </c>
      <c r="B79" s="2" t="inlineStr">
        <is>
          <t>I13</t>
        </is>
      </c>
      <c r="C79" s="2" t="inlineStr">
        <is>
          <t>Equitable AI Access</t>
        </is>
      </c>
      <c r="D79" s="2" t="inlineStr">
        <is>
          <t>Institution identifies and mitigates unequal access/capability barriers</t>
        </is>
      </c>
      <c r="E79" s="2" t="inlineStr">
        <is>
          <t>—</t>
        </is>
      </c>
      <c r="F79" s="2" t="inlineStr">
        <is>
          <t>D06</t>
        </is>
      </c>
      <c r="G79" s="2" t="inlineStr">
        <is>
          <t>—</t>
        </is>
      </c>
      <c r="H79" s="2" t="inlineStr">
        <is>
          <t>—</t>
        </is>
      </c>
      <c r="I79" s="2" t="inlineStr">
        <is>
          <t>Question Bank</t>
        </is>
      </c>
      <c r="J79" s="2" t="inlineStr">
        <is>
          <t>Defined rubric / evidence-coded score</t>
        </is>
      </c>
      <c r="K79" s="2" t="inlineStr">
        <is>
          <t>AMBER</t>
        </is>
      </c>
      <c r="L79" s="2" t="inlineStr">
        <is>
          <t>Define explicit metric-level measurement specification before scoring freeze.</t>
        </is>
      </c>
    </row>
    <row r="80">
      <c r="A80" s="2" t="inlineStr">
        <is>
          <t>D06</t>
        </is>
      </c>
      <c r="B80" s="2" t="inlineStr">
        <is>
          <t>I14</t>
        </is>
      </c>
      <c r="C80" s="2" t="inlineStr">
        <is>
          <t>Student Voice &amp; Feedback Loop</t>
        </is>
      </c>
      <c r="D80" s="2" t="inlineStr">
        <is>
          <t>Student experience informs AI-era curriculum and capability design</t>
        </is>
      </c>
      <c r="E80" s="2" t="inlineStr">
        <is>
          <t>—</t>
        </is>
      </c>
      <c r="F80" s="2" t="inlineStr">
        <is>
          <t>D06</t>
        </is>
      </c>
      <c r="G80" s="2" t="inlineStr">
        <is>
          <t>—</t>
        </is>
      </c>
      <c r="H80" s="2" t="inlineStr">
        <is>
          <t>—</t>
        </is>
      </c>
      <c r="I80" s="2" t="inlineStr">
        <is>
          <t>Question Bank</t>
        </is>
      </c>
      <c r="J80" s="2" t="inlineStr">
        <is>
          <t>Defined rubric / evidence-coded score</t>
        </is>
      </c>
      <c r="K80" s="2" t="inlineStr">
        <is>
          <t>AMBER</t>
        </is>
      </c>
      <c r="L80" s="2" t="inlineStr">
        <is>
          <t>Define explicit metric-level measurement specification before scoring freeze.</t>
        </is>
      </c>
    </row>
    <row r="81">
      <c r="A81" s="2" t="inlineStr">
        <is>
          <t>D07</t>
        </is>
      </c>
      <c r="B81" s="2" t="inlineStr">
        <is>
          <t>I01</t>
        </is>
      </c>
      <c r="C81" s="2" t="inlineStr">
        <is>
          <t>Assessment Design Maturity</t>
        </is>
      </c>
      <c r="D81" s="2" t="inlineStr">
        <is>
          <t>Whether assessment is deliberately designed around intended capabilities rather than answer production.</t>
        </is>
      </c>
      <c r="E81" s="2" t="inlineStr">
        <is>
          <t>D07</t>
        </is>
      </c>
      <c r="F81" s="2" t="inlineStr">
        <is>
          <t>D07</t>
        </is>
      </c>
      <c r="G81" s="2" t="inlineStr">
        <is>
          <t>—</t>
        </is>
      </c>
      <c r="H81" s="2" t="inlineStr">
        <is>
          <t>—</t>
        </is>
      </c>
      <c r="I81" s="2" t="inlineStr">
        <is>
          <t>Assessment Card; Question Bank</t>
        </is>
      </c>
      <c r="J81" s="2" t="inlineStr">
        <is>
          <t>Rubric + evidence anchored ordinal score (0–5)</t>
        </is>
      </c>
      <c r="K81" s="2" t="inlineStr">
        <is>
          <t>GREEN</t>
        </is>
      </c>
      <c r="L81" s="2" t="inlineStr">
        <is>
          <t>Formalise the existing measurement path; assign evidence and scoring rule.</t>
        </is>
      </c>
    </row>
    <row r="82">
      <c r="A82" s="2" t="inlineStr">
        <is>
          <t>D07</t>
        </is>
      </c>
      <c r="B82" s="2" t="inlineStr">
        <is>
          <t>I02</t>
        </is>
      </c>
      <c r="C82" s="2" t="inlineStr">
        <is>
          <t>Cognitive Demonstration Depth</t>
        </is>
      </c>
      <c r="D82" s="2" t="inlineStr">
        <is>
          <t>Extent to which students must demonstrate reasoning, judgement, interpretation and problem-solving.</t>
        </is>
      </c>
      <c r="E82" s="2" t="inlineStr">
        <is>
          <t>D07</t>
        </is>
      </c>
      <c r="F82" s="2" t="inlineStr">
        <is>
          <t>D07; D07</t>
        </is>
      </c>
      <c r="G82" s="2" t="inlineStr">
        <is>
          <t>—</t>
        </is>
      </c>
      <c r="H82" s="2" t="inlineStr">
        <is>
          <t>—</t>
        </is>
      </c>
      <c r="I82" s="2" t="inlineStr">
        <is>
          <t>Assessment Card; Question Bank</t>
        </is>
      </c>
      <c r="J82" s="2" t="inlineStr">
        <is>
          <t>Rubric + evidence anchored ordinal score (0–5)</t>
        </is>
      </c>
      <c r="K82" s="2" t="inlineStr">
        <is>
          <t>GREEN</t>
        </is>
      </c>
      <c r="L82" s="2" t="inlineStr">
        <is>
          <t>Formalise the existing measurement path; assign evidence and scoring rule.</t>
        </is>
      </c>
    </row>
    <row r="83">
      <c r="A83" s="2" t="inlineStr">
        <is>
          <t>D07</t>
        </is>
      </c>
      <c r="B83" s="2" t="inlineStr">
        <is>
          <t>I03</t>
        </is>
      </c>
      <c r="C83" s="2" t="inlineStr">
        <is>
          <t>Authenticity of Demonstration</t>
        </is>
      </c>
      <c r="D83" s="2" t="inlineStr">
        <is>
          <t>Use of real, unfamiliar, contextual and practice-linked tasks.</t>
        </is>
      </c>
      <c r="E83" s="2" t="inlineStr">
        <is>
          <t>D07</t>
        </is>
      </c>
      <c r="F83" s="2" t="inlineStr">
        <is>
          <t>D07; D07</t>
        </is>
      </c>
      <c r="G83" s="2" t="inlineStr">
        <is>
          <t>—</t>
        </is>
      </c>
      <c r="H83" s="2" t="inlineStr">
        <is>
          <t>—</t>
        </is>
      </c>
      <c r="I83" s="2" t="inlineStr">
        <is>
          <t>Assessment Card; Question Bank</t>
        </is>
      </c>
      <c r="J83" s="2" t="inlineStr">
        <is>
          <t>Defined rubric / evidence-coded score</t>
        </is>
      </c>
      <c r="K83" s="2" t="inlineStr">
        <is>
          <t>GREEN</t>
        </is>
      </c>
      <c r="L83" s="2" t="inlineStr">
        <is>
          <t>Formalise the existing measurement path; assign evidence and scoring rule.</t>
        </is>
      </c>
    </row>
    <row r="84">
      <c r="A84" s="2" t="inlineStr">
        <is>
          <t>D07</t>
        </is>
      </c>
      <c r="B84" s="2" t="inlineStr">
        <is>
          <t>I04</t>
        </is>
      </c>
      <c r="C84" s="2" t="inlineStr">
        <is>
          <t>AI-Aware Assessment Maturity</t>
        </is>
      </c>
      <c r="D84" s="2" t="inlineStr">
        <is>
          <t>Extent to which assessment design responds intelligently to generative AI availability.</t>
        </is>
      </c>
      <c r="E84" s="2" t="inlineStr">
        <is>
          <t>—</t>
        </is>
      </c>
      <c r="F84" s="2" t="inlineStr">
        <is>
          <t>D07</t>
        </is>
      </c>
      <c r="G84" s="2" t="inlineStr">
        <is>
          <t>—</t>
        </is>
      </c>
      <c r="H84" s="2" t="inlineStr">
        <is>
          <t>—</t>
        </is>
      </c>
      <c r="I84" s="2" t="inlineStr">
        <is>
          <t>Question Bank</t>
        </is>
      </c>
      <c r="J84" s="2" t="inlineStr">
        <is>
          <t>Rubric + evidence anchored ordinal score (0–5)</t>
        </is>
      </c>
      <c r="K84" s="2" t="inlineStr">
        <is>
          <t>AMBER</t>
        </is>
      </c>
      <c r="L84" s="2" t="inlineStr">
        <is>
          <t>Define explicit metric-level measurement specification before scoring freeze.</t>
        </is>
      </c>
    </row>
    <row r="85">
      <c r="A85" s="2" t="inlineStr">
        <is>
          <t>D07</t>
        </is>
      </c>
      <c r="B85" s="2" t="inlineStr">
        <is>
          <t>I05</t>
        </is>
      </c>
      <c r="C85" s="2" t="inlineStr">
        <is>
          <t>Verification &amp; Defence</t>
        </is>
      </c>
      <c r="D85" s="2" t="inlineStr">
        <is>
          <t>Ability of students to explain, defend and interrogate their own work.</t>
        </is>
      </c>
      <c r="E85" s="2" t="inlineStr">
        <is>
          <t>—</t>
        </is>
      </c>
      <c r="F85" s="2" t="inlineStr">
        <is>
          <t>D07</t>
        </is>
      </c>
      <c r="G85" s="2" t="inlineStr">
        <is>
          <t>—</t>
        </is>
      </c>
      <c r="H85" s="2" t="inlineStr">
        <is>
          <t>—</t>
        </is>
      </c>
      <c r="I85" s="2" t="inlineStr">
        <is>
          <t>Question Bank</t>
        </is>
      </c>
      <c r="J85" s="2" t="inlineStr">
        <is>
          <t>Defined rubric / evidence-coded score</t>
        </is>
      </c>
      <c r="K85" s="2" t="inlineStr">
        <is>
          <t>AMBER</t>
        </is>
      </c>
      <c r="L85" s="2" t="inlineStr">
        <is>
          <t>Define explicit metric-level measurement specification before scoring freeze.</t>
        </is>
      </c>
    </row>
    <row r="86">
      <c r="A86" s="2" t="inlineStr">
        <is>
          <t>D07</t>
        </is>
      </c>
      <c r="B86" s="2" t="inlineStr">
        <is>
          <t>I06</t>
        </is>
      </c>
      <c r="C86" s="2" t="inlineStr">
        <is>
          <t>Feedback Intelligence</t>
        </is>
      </c>
      <c r="D86" s="2" t="inlineStr">
        <is>
          <t>Use of feedback to improve capability rather than merely correct answers.</t>
        </is>
      </c>
      <c r="E86" s="2" t="inlineStr">
        <is>
          <t>—</t>
        </is>
      </c>
      <c r="F86" s="2" t="inlineStr">
        <is>
          <t>D07</t>
        </is>
      </c>
      <c r="G86" s="2" t="inlineStr">
        <is>
          <t>—</t>
        </is>
      </c>
      <c r="H86" s="2" t="inlineStr">
        <is>
          <t>—</t>
        </is>
      </c>
      <c r="I86" s="2" t="inlineStr">
        <is>
          <t>Question Bank</t>
        </is>
      </c>
      <c r="J86" s="2" t="inlineStr">
        <is>
          <t>Rubric + evidence anchored ordinal score (0–5)</t>
        </is>
      </c>
      <c r="K86" s="2" t="inlineStr">
        <is>
          <t>AMBER</t>
        </is>
      </c>
      <c r="L86" s="2" t="inlineStr">
        <is>
          <t>Define explicit metric-level measurement specification before scoring freeze.</t>
        </is>
      </c>
    </row>
    <row r="87">
      <c r="A87" s="2" t="inlineStr">
        <is>
          <t>D07</t>
        </is>
      </c>
      <c r="B87" s="2" t="inlineStr">
        <is>
          <t>I07</t>
        </is>
      </c>
      <c r="C87" s="2" t="inlineStr">
        <is>
          <t>Evidence of Learning</t>
        </is>
      </c>
      <c r="D87" s="2" t="inlineStr">
        <is>
          <t>Quality of institutional evidence showing that intended learning actually occurred.</t>
        </is>
      </c>
      <c r="E87" s="2" t="inlineStr">
        <is>
          <t>—</t>
        </is>
      </c>
      <c r="F87" s="2" t="inlineStr">
        <is>
          <t>D07</t>
        </is>
      </c>
      <c r="G87" s="2" t="inlineStr">
        <is>
          <t>—</t>
        </is>
      </c>
      <c r="H87" s="2" t="inlineStr">
        <is>
          <t>—</t>
        </is>
      </c>
      <c r="I87" s="2" t="inlineStr">
        <is>
          <t>Question Bank</t>
        </is>
      </c>
      <c r="J87" s="2" t="inlineStr">
        <is>
          <t>Defined rubric / evidence-coded score</t>
        </is>
      </c>
      <c r="K87" s="2" t="inlineStr">
        <is>
          <t>AMBER</t>
        </is>
      </c>
      <c r="L87" s="2" t="inlineStr">
        <is>
          <t>Define explicit metric-level measurement specification before scoring freeze.</t>
        </is>
      </c>
    </row>
    <row r="88">
      <c r="A88" s="2" t="inlineStr">
        <is>
          <t>D07</t>
        </is>
      </c>
      <c r="B88" s="2" t="inlineStr">
        <is>
          <t>I08</t>
        </is>
      </c>
      <c r="C88" s="2" t="inlineStr">
        <is>
          <t>Capability Outcome Measurement</t>
        </is>
      </c>
      <c r="D88" s="2" t="inlineStr">
        <is>
          <t>Extent to which learning outcomes are measured with meaningful evidence.</t>
        </is>
      </c>
      <c r="E88" s="2" t="inlineStr">
        <is>
          <t>—</t>
        </is>
      </c>
      <c r="F88" s="2" t="inlineStr">
        <is>
          <t>D07</t>
        </is>
      </c>
      <c r="G88" s="2" t="inlineStr">
        <is>
          <t>—</t>
        </is>
      </c>
      <c r="H88" s="2" t="inlineStr">
        <is>
          <t>—</t>
        </is>
      </c>
      <c r="I88" s="2" t="inlineStr">
        <is>
          <t>Question Bank</t>
        </is>
      </c>
      <c r="J88" s="2" t="inlineStr">
        <is>
          <t>Rubric + evidence anchored ordinal score (0–5)</t>
        </is>
      </c>
      <c r="K88" s="2" t="inlineStr">
        <is>
          <t>AMBER</t>
        </is>
      </c>
      <c r="L88" s="2" t="inlineStr">
        <is>
          <t>Define explicit metric-level measurement specification before scoring freeze.</t>
        </is>
      </c>
    </row>
    <row r="89">
      <c r="A89" s="2" t="inlineStr">
        <is>
          <t>D07</t>
        </is>
      </c>
      <c r="B89" s="2" t="inlineStr">
        <is>
          <t>I09</t>
        </is>
      </c>
      <c r="C89" s="2" t="inlineStr">
        <is>
          <t>Assessment Equity &amp; Access</t>
        </is>
      </c>
      <c r="D89" s="2" t="inlineStr">
        <is>
          <t>Ability to assess capability fairly across diverse student contexts and access conditions.</t>
        </is>
      </c>
      <c r="E89" s="2" t="inlineStr">
        <is>
          <t>—</t>
        </is>
      </c>
      <c r="F89" s="2" t="inlineStr">
        <is>
          <t>D07</t>
        </is>
      </c>
      <c r="G89" s="2" t="inlineStr">
        <is>
          <t>—</t>
        </is>
      </c>
      <c r="H89" s="2" t="inlineStr">
        <is>
          <t>—</t>
        </is>
      </c>
      <c r="I89" s="2" t="inlineStr">
        <is>
          <t>Question Bank</t>
        </is>
      </c>
      <c r="J89" s="2" t="inlineStr">
        <is>
          <t>Defined rubric / evidence-coded score</t>
        </is>
      </c>
      <c r="K89" s="2" t="inlineStr">
        <is>
          <t>AMBER</t>
        </is>
      </c>
      <c r="L89" s="2" t="inlineStr">
        <is>
          <t>Define explicit metric-level measurement specification before scoring freeze.</t>
        </is>
      </c>
    </row>
    <row r="90">
      <c r="A90" s="2" t="inlineStr">
        <is>
          <t>D07</t>
        </is>
      </c>
      <c r="B90" s="2" t="inlineStr">
        <is>
          <t>I10</t>
        </is>
      </c>
      <c r="C90" s="2" t="inlineStr">
        <is>
          <t>Assessment Governance</t>
        </is>
      </c>
      <c r="D90" s="2" t="inlineStr">
        <is>
          <t>Institutional oversight of assessment quality, integrity and consistency.</t>
        </is>
      </c>
      <c r="E90" s="2" t="inlineStr">
        <is>
          <t>—</t>
        </is>
      </c>
      <c r="F90" s="2" t="inlineStr">
        <is>
          <t>—</t>
        </is>
      </c>
      <c r="G90" s="2" t="inlineStr">
        <is>
          <t>—</t>
        </is>
      </c>
      <c r="H90" s="2" t="inlineStr">
        <is>
          <t>—</t>
        </is>
      </c>
      <c r="I90" s="2" t="inlineStr">
        <is>
          <t>NONE</t>
        </is>
      </c>
      <c r="J90" s="2" t="inlineStr">
        <is>
          <t>Defined rubric / evidence-coded score</t>
        </is>
      </c>
      <c r="K90" s="2" t="inlineStr">
        <is>
          <t>RED</t>
        </is>
      </c>
      <c r="L90" s="2" t="inlineStr">
        <is>
          <t>Define explicit metric-level measurement specification before scoring freeze.</t>
        </is>
      </c>
    </row>
    <row r="91">
      <c r="A91" s="2" t="inlineStr">
        <is>
          <t>D07</t>
        </is>
      </c>
      <c r="B91" s="2" t="inlineStr">
        <is>
          <t>I11</t>
        </is>
      </c>
      <c r="C91" s="2" t="inlineStr">
        <is>
          <t>Assessment Innovation</t>
        </is>
      </c>
      <c r="D91" s="2" t="inlineStr">
        <is>
          <t>Ability to experiment with and evaluate new assessment models.</t>
        </is>
      </c>
      <c r="E91" s="2" t="inlineStr">
        <is>
          <t>—</t>
        </is>
      </c>
      <c r="F91" s="2" t="inlineStr">
        <is>
          <t>D07</t>
        </is>
      </c>
      <c r="G91" s="2" t="inlineStr">
        <is>
          <t>—</t>
        </is>
      </c>
      <c r="H91" s="2" t="inlineStr">
        <is>
          <t>—</t>
        </is>
      </c>
      <c r="I91" s="2" t="inlineStr">
        <is>
          <t>Question Bank</t>
        </is>
      </c>
      <c r="J91" s="2" t="inlineStr">
        <is>
          <t>Defined rubric / evidence-coded score</t>
        </is>
      </c>
      <c r="K91" s="2" t="inlineStr">
        <is>
          <t>AMBER</t>
        </is>
      </c>
      <c r="L91" s="2" t="inlineStr">
        <is>
          <t>Define explicit metric-level measurement specification before scoring freeze.</t>
        </is>
      </c>
    </row>
    <row r="92">
      <c r="A92" s="2" t="inlineStr">
        <is>
          <t>D07</t>
        </is>
      </c>
      <c r="B92" s="2" t="inlineStr">
        <is>
          <t>I12</t>
        </is>
      </c>
      <c r="C92" s="2" t="inlineStr">
        <is>
          <t>Learning Evidence Analytics</t>
        </is>
      </c>
      <c r="D92" s="2" t="inlineStr">
        <is>
          <t>Use of data to identify capability gaps and improve learning design.</t>
        </is>
      </c>
      <c r="E92" s="2" t="inlineStr">
        <is>
          <t>—</t>
        </is>
      </c>
      <c r="F92" s="2" t="inlineStr">
        <is>
          <t>—</t>
        </is>
      </c>
      <c r="G92" s="2" t="inlineStr">
        <is>
          <t>—</t>
        </is>
      </c>
      <c r="H92" s="2" t="inlineStr">
        <is>
          <t>—</t>
        </is>
      </c>
      <c r="I92" s="2" t="inlineStr">
        <is>
          <t>NONE</t>
        </is>
      </c>
      <c r="J92" s="2" t="inlineStr">
        <is>
          <t>Defined rubric / evidence-coded score</t>
        </is>
      </c>
      <c r="K92" s="2" t="inlineStr">
        <is>
          <t>RED</t>
        </is>
      </c>
      <c r="L92" s="2" t="inlineStr">
        <is>
          <t>Define explicit metric-level measurement specification before scoring freeze.</t>
        </is>
      </c>
    </row>
    <row r="93">
      <c r="A93" s="2" t="inlineStr">
        <is>
          <t>D08</t>
        </is>
      </c>
      <c r="B93" s="2" t="inlineStr">
        <is>
          <t>I01</t>
        </is>
      </c>
      <c r="C93" s="2" t="inlineStr">
        <is>
          <t>Digital Environment Readiness</t>
        </is>
      </c>
      <c r="D93" s="2" t="inlineStr">
        <is>
          <t>Suitability of the institutional digital environment for emerging academic and administrative needs.</t>
        </is>
      </c>
      <c r="E93" s="2" t="inlineStr">
        <is>
          <t>—</t>
        </is>
      </c>
      <c r="F93" s="2" t="inlineStr">
        <is>
          <t>D08</t>
        </is>
      </c>
      <c r="G93" s="2" t="inlineStr">
        <is>
          <t>—</t>
        </is>
      </c>
      <c r="H93" s="2" t="inlineStr">
        <is>
          <t>—</t>
        </is>
      </c>
      <c r="I93" s="2" t="inlineStr">
        <is>
          <t>Question Bank</t>
        </is>
      </c>
      <c r="J93" s="2" t="inlineStr">
        <is>
          <t>Rubric + evidence anchored ordinal score (0–5)</t>
        </is>
      </c>
      <c r="K93" s="2" t="inlineStr">
        <is>
          <t>AMBER</t>
        </is>
      </c>
      <c r="L93" s="2" t="inlineStr">
        <is>
          <t>Define explicit metric-level measurement specification before scoring freeze.</t>
        </is>
      </c>
    </row>
    <row r="94">
      <c r="A94" s="2" t="inlineStr">
        <is>
          <t>D08</t>
        </is>
      </c>
      <c r="B94" s="2" t="inlineStr">
        <is>
          <t>I02</t>
        </is>
      </c>
      <c r="C94" s="2" t="inlineStr">
        <is>
          <t>Institutional Data Architecture</t>
        </is>
      </c>
      <c r="D94" s="2" t="inlineStr">
        <is>
          <t>Degree to which important institutional data are structured, connected and usable.</t>
        </is>
      </c>
      <c r="E94" s="2" t="inlineStr">
        <is>
          <t>D08</t>
        </is>
      </c>
      <c r="F94" s="2" t="inlineStr">
        <is>
          <t>D08; D08</t>
        </is>
      </c>
      <c r="G94" s="2" t="inlineStr">
        <is>
          <t>—</t>
        </is>
      </c>
      <c r="H94" s="2" t="inlineStr">
        <is>
          <t>—</t>
        </is>
      </c>
      <c r="I94" s="2" t="inlineStr">
        <is>
          <t>Assessment Card; Question Bank</t>
        </is>
      </c>
      <c r="J94" s="2" t="inlineStr">
        <is>
          <t>Rubric + evidence anchored ordinal score (0–5)</t>
        </is>
      </c>
      <c r="K94" s="2" t="inlineStr">
        <is>
          <t>GREEN</t>
        </is>
      </c>
      <c r="L94" s="2" t="inlineStr">
        <is>
          <t>Formalise the existing measurement path; assign evidence and scoring rule.</t>
        </is>
      </c>
    </row>
    <row r="95">
      <c r="A95" s="2" t="inlineStr">
        <is>
          <t>D08</t>
        </is>
      </c>
      <c r="B95" s="2" t="inlineStr">
        <is>
          <t>I03</t>
        </is>
      </c>
      <c r="C95" s="2" t="inlineStr">
        <is>
          <t>Data Quality &amp; Integrity</t>
        </is>
      </c>
      <c r="D95" s="2" t="inlineStr">
        <is>
          <t>Reliability, completeness, consistency and stewardship of institutional data.</t>
        </is>
      </c>
      <c r="E95" s="2" t="inlineStr">
        <is>
          <t>—</t>
        </is>
      </c>
      <c r="F95" s="2" t="inlineStr">
        <is>
          <t>D08</t>
        </is>
      </c>
      <c r="G95" s="2" t="inlineStr">
        <is>
          <t>—</t>
        </is>
      </c>
      <c r="H95" s="2" t="inlineStr">
        <is>
          <t>—</t>
        </is>
      </c>
      <c r="I95" s="2" t="inlineStr">
        <is>
          <t>Question Bank</t>
        </is>
      </c>
      <c r="J95" s="2" t="inlineStr">
        <is>
          <t>Rubric + evidence anchored ordinal score (0–5)</t>
        </is>
      </c>
      <c r="K95" s="2" t="inlineStr">
        <is>
          <t>AMBER</t>
        </is>
      </c>
      <c r="L95" s="2" t="inlineStr">
        <is>
          <t>Define explicit metric-level measurement specification before scoring freeze.</t>
        </is>
      </c>
    </row>
    <row r="96">
      <c r="A96" s="2" t="inlineStr">
        <is>
          <t>D08</t>
        </is>
      </c>
      <c r="B96" s="2" t="inlineStr">
        <is>
          <t>I04</t>
        </is>
      </c>
      <c r="C96" s="2" t="inlineStr">
        <is>
          <t>System Interoperability</t>
        </is>
      </c>
      <c r="D96" s="2" t="inlineStr">
        <is>
          <t>Ability of institutional systems to exchange and use information coherently.</t>
        </is>
      </c>
      <c r="E96" s="2" t="inlineStr">
        <is>
          <t>—</t>
        </is>
      </c>
      <c r="F96" s="2" t="inlineStr">
        <is>
          <t>D08</t>
        </is>
      </c>
      <c r="G96" s="2" t="inlineStr">
        <is>
          <t>—</t>
        </is>
      </c>
      <c r="H96" s="2" t="inlineStr">
        <is>
          <t>—</t>
        </is>
      </c>
      <c r="I96" s="2" t="inlineStr">
        <is>
          <t>Question Bank</t>
        </is>
      </c>
      <c r="J96" s="2" t="inlineStr">
        <is>
          <t>Defined rubric / evidence-coded score</t>
        </is>
      </c>
      <c r="K96" s="2" t="inlineStr">
        <is>
          <t>AMBER</t>
        </is>
      </c>
      <c r="L96" s="2" t="inlineStr">
        <is>
          <t>Define explicit metric-level measurement specification before scoring freeze.</t>
        </is>
      </c>
    </row>
    <row r="97">
      <c r="A97" s="2" t="inlineStr">
        <is>
          <t>D08</t>
        </is>
      </c>
      <c r="B97" s="2" t="inlineStr">
        <is>
          <t>I05</t>
        </is>
      </c>
      <c r="C97" s="2" t="inlineStr">
        <is>
          <t>Decision Intelligence</t>
        </is>
      </c>
      <c r="D97" s="2" t="inlineStr">
        <is>
          <t>Use of institutional data and analytics in leadership and operational decisions.</t>
        </is>
      </c>
      <c r="E97" s="2" t="inlineStr">
        <is>
          <t>D08</t>
        </is>
      </c>
      <c r="F97" s="2" t="inlineStr">
        <is>
          <t>D08; D08</t>
        </is>
      </c>
      <c r="G97" s="2" t="inlineStr">
        <is>
          <t>—</t>
        </is>
      </c>
      <c r="H97" s="2" t="inlineStr">
        <is>
          <t>—</t>
        </is>
      </c>
      <c r="I97" s="2" t="inlineStr">
        <is>
          <t>Assessment Card; Question Bank</t>
        </is>
      </c>
      <c r="J97" s="2" t="inlineStr">
        <is>
          <t>Rubric + evidence anchored ordinal score (0–5)</t>
        </is>
      </c>
      <c r="K97" s="2" t="inlineStr">
        <is>
          <t>GREEN</t>
        </is>
      </c>
      <c r="L97" s="2" t="inlineStr">
        <is>
          <t>Formalise the existing measurement path; assign evidence and scoring rule.</t>
        </is>
      </c>
    </row>
    <row r="98">
      <c r="A98" s="2" t="inlineStr">
        <is>
          <t>D08</t>
        </is>
      </c>
      <c r="B98" s="2" t="inlineStr">
        <is>
          <t>I06</t>
        </is>
      </c>
      <c r="C98" s="2" t="inlineStr">
        <is>
          <t>AI Enablement Readiness</t>
        </is>
      </c>
      <c r="D98" s="2" t="inlineStr">
        <is>
          <t>Whether infrastructure and data can responsibly support AI-enabled activity.</t>
        </is>
      </c>
      <c r="E98" s="2" t="inlineStr">
        <is>
          <t>—</t>
        </is>
      </c>
      <c r="F98" s="2" t="inlineStr">
        <is>
          <t>D08</t>
        </is>
      </c>
      <c r="G98" s="2" t="inlineStr">
        <is>
          <t>—</t>
        </is>
      </c>
      <c r="H98" s="2" t="inlineStr">
        <is>
          <t>—</t>
        </is>
      </c>
      <c r="I98" s="2" t="inlineStr">
        <is>
          <t>Question Bank</t>
        </is>
      </c>
      <c r="J98" s="2" t="inlineStr">
        <is>
          <t>Rubric + evidence anchored ordinal score (0–5)</t>
        </is>
      </c>
      <c r="K98" s="2" t="inlineStr">
        <is>
          <t>AMBER</t>
        </is>
      </c>
      <c r="L98" s="2" t="inlineStr">
        <is>
          <t>Define explicit metric-level measurement specification before scoring freeze.</t>
        </is>
      </c>
    </row>
    <row r="99">
      <c r="A99" s="2" t="inlineStr">
        <is>
          <t>D08</t>
        </is>
      </c>
      <c r="B99" s="2" t="inlineStr">
        <is>
          <t>I07</t>
        </is>
      </c>
      <c r="C99" s="2" t="inlineStr">
        <is>
          <t>Cyber &amp; Information Security</t>
        </is>
      </c>
      <c r="D99" s="2" t="inlineStr">
        <is>
          <t>Protection of institutional information, systems and users.</t>
        </is>
      </c>
      <c r="E99" s="2" t="inlineStr">
        <is>
          <t>—</t>
        </is>
      </c>
      <c r="F99" s="2" t="inlineStr">
        <is>
          <t>D08</t>
        </is>
      </c>
      <c r="G99" s="2" t="inlineStr">
        <is>
          <t>—</t>
        </is>
      </c>
      <c r="H99" s="2" t="inlineStr">
        <is>
          <t>—</t>
        </is>
      </c>
      <c r="I99" s="2" t="inlineStr">
        <is>
          <t>Question Bank</t>
        </is>
      </c>
      <c r="J99" s="2" t="inlineStr">
        <is>
          <t>Defined rubric / evidence-coded score</t>
        </is>
      </c>
      <c r="K99" s="2" t="inlineStr">
        <is>
          <t>AMBER</t>
        </is>
      </c>
      <c r="L99" s="2" t="inlineStr">
        <is>
          <t>Define explicit metric-level measurement specification before scoring freeze.</t>
        </is>
      </c>
    </row>
    <row r="100">
      <c r="A100" s="2" t="inlineStr">
        <is>
          <t>D08</t>
        </is>
      </c>
      <c r="B100" s="2" t="inlineStr">
        <is>
          <t>I08</t>
        </is>
      </c>
      <c r="C100" s="2" t="inlineStr">
        <is>
          <t>Data Privacy Readiness</t>
        </is>
      </c>
      <c r="D100" s="2" t="inlineStr">
        <is>
          <t>Controls governing sensitive student, faculty and research information.</t>
        </is>
      </c>
      <c r="E100" s="2" t="inlineStr">
        <is>
          <t>—</t>
        </is>
      </c>
      <c r="F100" s="2" t="inlineStr">
        <is>
          <t>D08</t>
        </is>
      </c>
      <c r="G100" s="2" t="inlineStr">
        <is>
          <t>—</t>
        </is>
      </c>
      <c r="H100" s="2" t="inlineStr">
        <is>
          <t>—</t>
        </is>
      </c>
      <c r="I100" s="2" t="inlineStr">
        <is>
          <t>Question Bank</t>
        </is>
      </c>
      <c r="J100" s="2" t="inlineStr">
        <is>
          <t>Rubric + evidence anchored ordinal score (0–5)</t>
        </is>
      </c>
      <c r="K100" s="2" t="inlineStr">
        <is>
          <t>AMBER</t>
        </is>
      </c>
      <c r="L100" s="2" t="inlineStr">
        <is>
          <t>Define explicit metric-level measurement specification before scoring freeze.</t>
        </is>
      </c>
    </row>
    <row r="101">
      <c r="A101" s="2" t="inlineStr">
        <is>
          <t>D08</t>
        </is>
      </c>
      <c r="B101" s="2" t="inlineStr">
        <is>
          <t>I09</t>
        </is>
      </c>
      <c r="C101" s="2" t="inlineStr">
        <is>
          <t>Digital Equity &amp; Access</t>
        </is>
      </c>
      <c r="D101" s="2" t="inlineStr">
        <is>
          <t>Ability to provide appropriate digital/AI access across student groups.</t>
        </is>
      </c>
      <c r="E101" s="2" t="inlineStr">
        <is>
          <t>—</t>
        </is>
      </c>
      <c r="F101" s="2" t="inlineStr">
        <is>
          <t>D08</t>
        </is>
      </c>
      <c r="G101" s="2" t="inlineStr">
        <is>
          <t>—</t>
        </is>
      </c>
      <c r="H101" s="2" t="inlineStr">
        <is>
          <t>—</t>
        </is>
      </c>
      <c r="I101" s="2" t="inlineStr">
        <is>
          <t>Question Bank</t>
        </is>
      </c>
      <c r="J101" s="2" t="inlineStr">
        <is>
          <t>Defined rubric / evidence-coded score</t>
        </is>
      </c>
      <c r="K101" s="2" t="inlineStr">
        <is>
          <t>AMBER</t>
        </is>
      </c>
      <c r="L101" s="2" t="inlineStr">
        <is>
          <t>Define explicit metric-level measurement specification before scoring freeze.</t>
        </is>
      </c>
    </row>
    <row r="102">
      <c r="A102" s="2" t="inlineStr">
        <is>
          <t>D08</t>
        </is>
      </c>
      <c r="B102" s="2" t="inlineStr">
        <is>
          <t>I10</t>
        </is>
      </c>
      <c r="C102" s="2" t="inlineStr">
        <is>
          <t>Technology Decision Governance</t>
        </is>
      </c>
      <c r="D102" s="2" t="inlineStr">
        <is>
          <t>How technology choices are evaluated, prioritised and governed.</t>
        </is>
      </c>
      <c r="E102" s="2" t="inlineStr">
        <is>
          <t>—</t>
        </is>
      </c>
      <c r="F102" s="2" t="inlineStr">
        <is>
          <t>—</t>
        </is>
      </c>
      <c r="G102" s="2" t="inlineStr">
        <is>
          <t>—</t>
        </is>
      </c>
      <c r="H102" s="2" t="inlineStr">
        <is>
          <t>—</t>
        </is>
      </c>
      <c r="I102" s="2" t="inlineStr">
        <is>
          <t>NONE</t>
        </is>
      </c>
      <c r="J102" s="2" t="inlineStr">
        <is>
          <t>Defined rubric / evidence-coded score</t>
        </is>
      </c>
      <c r="K102" s="2" t="inlineStr">
        <is>
          <t>RED</t>
        </is>
      </c>
      <c r="L102" s="2" t="inlineStr">
        <is>
          <t>Define explicit metric-level measurement specification before scoring freeze.</t>
        </is>
      </c>
    </row>
    <row r="103">
      <c r="A103" s="2" t="inlineStr">
        <is>
          <t>D08</t>
        </is>
      </c>
      <c r="B103" s="2" t="inlineStr">
        <is>
          <t>I11</t>
        </is>
      </c>
      <c r="C103" s="2" t="inlineStr">
        <is>
          <t>Digital Process Maturity</t>
        </is>
      </c>
      <c r="D103" s="2" t="inlineStr">
        <is>
          <t>Extent to which institutional workflows are digitally enabled and intelligently designed.</t>
        </is>
      </c>
      <c r="E103" s="2" t="inlineStr">
        <is>
          <t>—</t>
        </is>
      </c>
      <c r="F103" s="2" t="inlineStr">
        <is>
          <t>—</t>
        </is>
      </c>
      <c r="G103" s="2" t="inlineStr">
        <is>
          <t>—</t>
        </is>
      </c>
      <c r="H103" s="2" t="inlineStr">
        <is>
          <t>—</t>
        </is>
      </c>
      <c r="I103" s="2" t="inlineStr">
        <is>
          <t>NONE</t>
        </is>
      </c>
      <c r="J103" s="2" t="inlineStr">
        <is>
          <t>Rubric + evidence anchored ordinal score (0–5)</t>
        </is>
      </c>
      <c r="K103" s="2" t="inlineStr">
        <is>
          <t>RED</t>
        </is>
      </c>
      <c r="L103" s="2" t="inlineStr">
        <is>
          <t>Define explicit metric-level measurement specification before scoring freeze.</t>
        </is>
      </c>
    </row>
    <row r="104">
      <c r="A104" s="2" t="inlineStr">
        <is>
          <t>D08</t>
        </is>
      </c>
      <c r="B104" s="2" t="inlineStr">
        <is>
          <t>I12</t>
        </is>
      </c>
      <c r="C104" s="2" t="inlineStr">
        <is>
          <t>Institutional Intelligence Capability</t>
        </is>
      </c>
      <c r="D104" s="2" t="inlineStr">
        <is>
          <t>Ability to turn fragmented data into actionable institutional understanding.</t>
        </is>
      </c>
      <c r="E104" s="2" t="inlineStr">
        <is>
          <t>D08</t>
        </is>
      </c>
      <c r="F104" s="2" t="inlineStr">
        <is>
          <t>D08; D08</t>
        </is>
      </c>
      <c r="G104" s="2" t="inlineStr">
        <is>
          <t>—</t>
        </is>
      </c>
      <c r="H104" s="2" t="inlineStr">
        <is>
          <t>—</t>
        </is>
      </c>
      <c r="I104" s="2" t="inlineStr">
        <is>
          <t>Assessment Card; Question Bank</t>
        </is>
      </c>
      <c r="J104" s="2" t="inlineStr">
        <is>
          <t>Rubric + evidence anchored ordinal score (0–5)</t>
        </is>
      </c>
      <c r="K104" s="2" t="inlineStr">
        <is>
          <t>GREEN</t>
        </is>
      </c>
      <c r="L104" s="2" t="inlineStr">
        <is>
          <t>Formalise the existing measurement path; assign evidence and scoring rule.</t>
        </is>
      </c>
    </row>
    <row r="105">
      <c r="A105" s="2" t="inlineStr">
        <is>
          <t>D09</t>
        </is>
      </c>
      <c r="B105" s="2" t="inlineStr">
        <is>
          <t>I01</t>
        </is>
      </c>
      <c r="C105" s="2" t="inlineStr">
        <is>
          <t>Employer Demand Sensing</t>
        </is>
      </c>
      <c r="D105" s="2" t="inlineStr">
        <is>
          <t>How systematically the institution understands changing employer and sector capability needs.</t>
        </is>
      </c>
      <c r="E105" s="2" t="inlineStr">
        <is>
          <t>D09</t>
        </is>
      </c>
      <c r="F105" s="2" t="inlineStr">
        <is>
          <t>D09</t>
        </is>
      </c>
      <c r="G105" s="2" t="inlineStr">
        <is>
          <t>—</t>
        </is>
      </c>
      <c r="H105" s="2" t="inlineStr">
        <is>
          <t>—</t>
        </is>
      </c>
      <c r="I105" s="2" t="inlineStr">
        <is>
          <t>Assessment Card; Question Bank</t>
        </is>
      </c>
      <c r="J105" s="2" t="inlineStr">
        <is>
          <t>Defined rubric / evidence-coded score</t>
        </is>
      </c>
      <c r="K105" s="2" t="inlineStr">
        <is>
          <t>GREEN</t>
        </is>
      </c>
      <c r="L105" s="2" t="inlineStr">
        <is>
          <t>Formalise the existing measurement path; assign evidence and scoring rule.</t>
        </is>
      </c>
    </row>
    <row r="106">
      <c r="A106" s="2" t="inlineStr">
        <is>
          <t>D09</t>
        </is>
      </c>
      <c r="B106" s="2" t="inlineStr">
        <is>
          <t>I02</t>
        </is>
      </c>
      <c r="C106" s="2" t="inlineStr">
        <is>
          <t>Employability Capability Architecture</t>
        </is>
      </c>
      <c r="D106" s="2" t="inlineStr">
        <is>
          <t>Clarity of capabilities graduates are expected to possess beyond credentials.</t>
        </is>
      </c>
      <c r="E106" s="2" t="inlineStr">
        <is>
          <t>—</t>
        </is>
      </c>
      <c r="F106" s="2" t="inlineStr">
        <is>
          <t>D09</t>
        </is>
      </c>
      <c r="G106" s="2" t="inlineStr">
        <is>
          <t>—</t>
        </is>
      </c>
      <c r="H106" s="2" t="inlineStr">
        <is>
          <t>—</t>
        </is>
      </c>
      <c r="I106" s="2" t="inlineStr">
        <is>
          <t>Question Bank</t>
        </is>
      </c>
      <c r="J106" s="2" t="inlineStr">
        <is>
          <t>Rubric + evidence anchored ordinal score (0–5)</t>
        </is>
      </c>
      <c r="K106" s="2" t="inlineStr">
        <is>
          <t>AMBER</t>
        </is>
      </c>
      <c r="L106" s="2" t="inlineStr">
        <is>
          <t>Define explicit metric-level measurement specification before scoring freeze.</t>
        </is>
      </c>
    </row>
    <row r="107">
      <c r="A107" s="2" t="inlineStr">
        <is>
          <t>D09</t>
        </is>
      </c>
      <c r="B107" s="2" t="inlineStr">
        <is>
          <t>I03</t>
        </is>
      </c>
      <c r="C107" s="2" t="inlineStr">
        <is>
          <t>Industry-Validated Curriculum</t>
        </is>
      </c>
      <c r="D107" s="2" t="inlineStr">
        <is>
          <t>Depth of meaningful industry/professional input into programme design.</t>
        </is>
      </c>
      <c r="E107" s="2" t="inlineStr">
        <is>
          <t>—</t>
        </is>
      </c>
      <c r="F107" s="2" t="inlineStr">
        <is>
          <t>D09; D09</t>
        </is>
      </c>
      <c r="G107" s="2" t="inlineStr">
        <is>
          <t>—</t>
        </is>
      </c>
      <c r="H107" s="2" t="inlineStr">
        <is>
          <t>—</t>
        </is>
      </c>
      <c r="I107" s="2" t="inlineStr">
        <is>
          <t>Question Bank</t>
        </is>
      </c>
      <c r="J107" s="2" t="inlineStr">
        <is>
          <t>Defined rubric / evidence-coded score</t>
        </is>
      </c>
      <c r="K107" s="2" t="inlineStr">
        <is>
          <t>AMBER</t>
        </is>
      </c>
      <c r="L107" s="2" t="inlineStr">
        <is>
          <t>Define explicit metric-level measurement specification before scoring freeze.</t>
        </is>
      </c>
    </row>
    <row r="108">
      <c r="A108" s="2" t="inlineStr">
        <is>
          <t>D09</t>
        </is>
      </c>
      <c r="B108" s="2" t="inlineStr">
        <is>
          <t>I04</t>
        </is>
      </c>
      <c r="C108" s="2" t="inlineStr">
        <is>
          <t>Practice-Based Learning</t>
        </is>
      </c>
      <c r="D108" s="2" t="inlineStr">
        <is>
          <t>Extent of authentic projects, internships, field exposure and live problem-solving.</t>
        </is>
      </c>
      <c r="E108" s="2" t="inlineStr">
        <is>
          <t>—</t>
        </is>
      </c>
      <c r="F108" s="2" t="inlineStr">
        <is>
          <t>D09</t>
        </is>
      </c>
      <c r="G108" s="2" t="inlineStr">
        <is>
          <t>—</t>
        </is>
      </c>
      <c r="H108" s="2" t="inlineStr">
        <is>
          <t>—</t>
        </is>
      </c>
      <c r="I108" s="2" t="inlineStr">
        <is>
          <t>Question Bank</t>
        </is>
      </c>
      <c r="J108" s="2" t="inlineStr">
        <is>
          <t>Defined rubric / evidence-coded score</t>
        </is>
      </c>
      <c r="K108" s="2" t="inlineStr">
        <is>
          <t>AMBER</t>
        </is>
      </c>
      <c r="L108" s="2" t="inlineStr">
        <is>
          <t>Define explicit metric-level measurement specification before scoring freeze.</t>
        </is>
      </c>
    </row>
    <row r="109">
      <c r="A109" s="2" t="inlineStr">
        <is>
          <t>D09</t>
        </is>
      </c>
      <c r="B109" s="2" t="inlineStr">
        <is>
          <t>I05</t>
        </is>
      </c>
      <c r="C109" s="2" t="inlineStr">
        <is>
          <t>Recruiter Confidence</t>
        </is>
      </c>
      <c r="D109" s="2" t="inlineStr">
        <is>
          <t>Strength and quality of recurring employer relationships.</t>
        </is>
      </c>
      <c r="E109" s="2" t="inlineStr">
        <is>
          <t>—</t>
        </is>
      </c>
      <c r="F109" s="2" t="inlineStr">
        <is>
          <t>D09</t>
        </is>
      </c>
      <c r="G109" s="2" t="inlineStr">
        <is>
          <t>—</t>
        </is>
      </c>
      <c r="H109" s="2" t="inlineStr">
        <is>
          <t>—</t>
        </is>
      </c>
      <c r="I109" s="2" t="inlineStr">
        <is>
          <t>Question Bank</t>
        </is>
      </c>
      <c r="J109" s="2" t="inlineStr">
        <is>
          <t>Outcome/evidence metric with defined denominator or validated rubric</t>
        </is>
      </c>
      <c r="K109" s="2" t="inlineStr">
        <is>
          <t>AMBER</t>
        </is>
      </c>
      <c r="L109" s="2" t="inlineStr">
        <is>
          <t>Define explicit metric-level measurement specification before scoring freeze.</t>
        </is>
      </c>
    </row>
    <row r="110">
      <c r="A110" s="2" t="inlineStr">
        <is>
          <t>D09</t>
        </is>
      </c>
      <c r="B110" s="2" t="inlineStr">
        <is>
          <t>I06</t>
        </is>
      </c>
      <c r="C110" s="2" t="inlineStr">
        <is>
          <t>Placement Outcome Quality</t>
        </is>
      </c>
      <c r="D110" s="2" t="inlineStr">
        <is>
          <t>Quality, relevance and transparency of employment outcomes.</t>
        </is>
      </c>
      <c r="E110" s="2" t="inlineStr">
        <is>
          <t>—</t>
        </is>
      </c>
      <c r="F110" s="2" t="inlineStr">
        <is>
          <t>D09</t>
        </is>
      </c>
      <c r="G110" s="2" t="inlineStr">
        <is>
          <t>—</t>
        </is>
      </c>
      <c r="H110" s="2" t="inlineStr">
        <is>
          <t>—</t>
        </is>
      </c>
      <c r="I110" s="2" t="inlineStr">
        <is>
          <t>Question Bank</t>
        </is>
      </c>
      <c r="J110" s="2" t="inlineStr">
        <is>
          <t>Rubric + evidence anchored ordinal score (0–5)</t>
        </is>
      </c>
      <c r="K110" s="2" t="inlineStr">
        <is>
          <t>AMBER</t>
        </is>
      </c>
      <c r="L110" s="2" t="inlineStr">
        <is>
          <t>Define explicit metric-level measurement specification before scoring freeze.</t>
        </is>
      </c>
    </row>
    <row r="111">
      <c r="A111" s="2" t="inlineStr">
        <is>
          <t>D09</t>
        </is>
      </c>
      <c r="B111" s="2" t="inlineStr">
        <is>
          <t>I07</t>
        </is>
      </c>
      <c r="C111" s="2" t="inlineStr">
        <is>
          <t>Career Adaptability</t>
        </is>
      </c>
      <c r="D111" s="2" t="inlineStr">
        <is>
          <t>Preparation for changing roles, sectors and skill requirements.</t>
        </is>
      </c>
      <c r="E111" s="2" t="inlineStr">
        <is>
          <t>—</t>
        </is>
      </c>
      <c r="F111" s="2" t="inlineStr">
        <is>
          <t>D09</t>
        </is>
      </c>
      <c r="G111" s="2" t="inlineStr">
        <is>
          <t>—</t>
        </is>
      </c>
      <c r="H111" s="2" t="inlineStr">
        <is>
          <t>—</t>
        </is>
      </c>
      <c r="I111" s="2" t="inlineStr">
        <is>
          <t>Question Bank</t>
        </is>
      </c>
      <c r="J111" s="2" t="inlineStr">
        <is>
          <t>Rubric + evidence anchored ordinal score (0–5)</t>
        </is>
      </c>
      <c r="K111" s="2" t="inlineStr">
        <is>
          <t>AMBER</t>
        </is>
      </c>
      <c r="L111" s="2" t="inlineStr">
        <is>
          <t>Define explicit metric-level measurement specification before scoring freeze.</t>
        </is>
      </c>
    </row>
    <row r="112">
      <c r="A112" s="2" t="inlineStr">
        <is>
          <t>D09</t>
        </is>
      </c>
      <c r="B112" s="2" t="inlineStr">
        <is>
          <t>I08</t>
        </is>
      </c>
      <c r="C112" s="2" t="inlineStr">
        <is>
          <t>AI-Era Employability Readiness</t>
        </is>
      </c>
      <c r="D112" s="2" t="inlineStr">
        <is>
          <t>Preparation for AI-augmented and AI-disrupted work.</t>
        </is>
      </c>
      <c r="E112" s="2" t="inlineStr">
        <is>
          <t>—</t>
        </is>
      </c>
      <c r="F112" s="2" t="inlineStr">
        <is>
          <t>D09</t>
        </is>
      </c>
      <c r="G112" s="2" t="inlineStr">
        <is>
          <t>—</t>
        </is>
      </c>
      <c r="H112" s="2" t="inlineStr">
        <is>
          <t>—</t>
        </is>
      </c>
      <c r="I112" s="2" t="inlineStr">
        <is>
          <t>Question Bank</t>
        </is>
      </c>
      <c r="J112" s="2" t="inlineStr">
        <is>
          <t>Rubric + evidence anchored ordinal score (0–5)</t>
        </is>
      </c>
      <c r="K112" s="2" t="inlineStr">
        <is>
          <t>AMBER</t>
        </is>
      </c>
      <c r="L112" s="2" t="inlineStr">
        <is>
          <t>Define explicit metric-level measurement specification before scoring freeze.</t>
        </is>
      </c>
    </row>
    <row r="113">
      <c r="A113" s="2" t="inlineStr">
        <is>
          <t>D09</t>
        </is>
      </c>
      <c r="B113" s="2" t="inlineStr">
        <is>
          <t>I09</t>
        </is>
      </c>
      <c r="C113" s="2" t="inlineStr">
        <is>
          <t>Capability Signalling</t>
        </is>
      </c>
      <c r="D113" s="2" t="inlineStr">
        <is>
          <t>Student ability to demonstrate capability through portfolios, projects and evidence.</t>
        </is>
      </c>
      <c r="E113" s="2" t="inlineStr">
        <is>
          <t>—</t>
        </is>
      </c>
      <c r="F113" s="2" t="inlineStr">
        <is>
          <t>—</t>
        </is>
      </c>
      <c r="G113" s="2" t="inlineStr">
        <is>
          <t>—</t>
        </is>
      </c>
      <c r="H113" s="2" t="inlineStr">
        <is>
          <t>—</t>
        </is>
      </c>
      <c r="I113" s="2" t="inlineStr">
        <is>
          <t>NONE</t>
        </is>
      </c>
      <c r="J113" s="2" t="inlineStr">
        <is>
          <t>Rubric + evidence anchored ordinal score (0–5)</t>
        </is>
      </c>
      <c r="K113" s="2" t="inlineStr">
        <is>
          <t>RED</t>
        </is>
      </c>
      <c r="L113" s="2" t="inlineStr">
        <is>
          <t>Define explicit metric-level measurement specification before scoring freeze.</t>
        </is>
      </c>
    </row>
    <row r="114">
      <c r="A114" s="2" t="inlineStr">
        <is>
          <t>D09</t>
        </is>
      </c>
      <c r="B114" s="2" t="inlineStr">
        <is>
          <t>I10</t>
        </is>
      </c>
      <c r="C114" s="2" t="inlineStr">
        <is>
          <t>Industry Co-Creation</t>
        </is>
      </c>
      <c r="D114" s="2" t="inlineStr">
        <is>
          <t>Extent to which industry participates in learning, projects, mentoring and innovation.</t>
        </is>
      </c>
      <c r="E114" s="2" t="inlineStr">
        <is>
          <t>—</t>
        </is>
      </c>
      <c r="F114" s="2" t="inlineStr">
        <is>
          <t>D09</t>
        </is>
      </c>
      <c r="G114" s="2" t="inlineStr">
        <is>
          <t>—</t>
        </is>
      </c>
      <c r="H114" s="2" t="inlineStr">
        <is>
          <t>—</t>
        </is>
      </c>
      <c r="I114" s="2" t="inlineStr">
        <is>
          <t>Question Bank</t>
        </is>
      </c>
      <c r="J114" s="2" t="inlineStr">
        <is>
          <t>Defined rubric / evidence-coded score</t>
        </is>
      </c>
      <c r="K114" s="2" t="inlineStr">
        <is>
          <t>AMBER</t>
        </is>
      </c>
      <c r="L114" s="2" t="inlineStr">
        <is>
          <t>Define explicit metric-level measurement specification before scoring freeze.</t>
        </is>
      </c>
    </row>
    <row r="115">
      <c r="A115" s="2" t="inlineStr">
        <is>
          <t>D09</t>
        </is>
      </c>
      <c r="B115" s="2" t="inlineStr">
        <is>
          <t>I11</t>
        </is>
      </c>
      <c r="C115" s="2" t="inlineStr">
        <is>
          <t>Regional/Economic Relevance</t>
        </is>
      </c>
      <c r="D115" s="2" t="inlineStr">
        <is>
          <t>Alignment with the economic and social context in which the institution operates.</t>
        </is>
      </c>
      <c r="E115" s="2" t="inlineStr">
        <is>
          <t>—</t>
        </is>
      </c>
      <c r="F115" s="2" t="inlineStr">
        <is>
          <t>—</t>
        </is>
      </c>
      <c r="G115" s="2" t="inlineStr">
        <is>
          <t>—</t>
        </is>
      </c>
      <c r="H115" s="2" t="inlineStr">
        <is>
          <t>—</t>
        </is>
      </c>
      <c r="I115" s="2" t="inlineStr">
        <is>
          <t>NONE</t>
        </is>
      </c>
      <c r="J115" s="2" t="inlineStr">
        <is>
          <t>Defined rubric / evidence-coded score</t>
        </is>
      </c>
      <c r="K115" s="2" t="inlineStr">
        <is>
          <t>RED</t>
        </is>
      </c>
      <c r="L115" s="2" t="inlineStr">
        <is>
          <t>Define explicit metric-level measurement specification before scoring freeze.</t>
        </is>
      </c>
    </row>
    <row r="116">
      <c r="A116" s="2" t="inlineStr">
        <is>
          <t>D09</t>
        </is>
      </c>
      <c r="B116" s="2" t="inlineStr">
        <is>
          <t>I12</t>
        </is>
      </c>
      <c r="C116" s="2" t="inlineStr">
        <is>
          <t>Alumni Career Intelligence</t>
        </is>
      </c>
      <c r="D116" s="2" t="inlineStr">
        <is>
          <t>Use of alumni trajectories to understand and improve graduate outcomes.</t>
        </is>
      </c>
      <c r="E116" s="2" t="inlineStr">
        <is>
          <t>—</t>
        </is>
      </c>
      <c r="F116" s="2" t="inlineStr">
        <is>
          <t>D09</t>
        </is>
      </c>
      <c r="G116" s="2" t="inlineStr">
        <is>
          <t>—</t>
        </is>
      </c>
      <c r="H116" s="2" t="inlineStr">
        <is>
          <t>—</t>
        </is>
      </c>
      <c r="I116" s="2" t="inlineStr">
        <is>
          <t>Question Bank</t>
        </is>
      </c>
      <c r="J116" s="2" t="inlineStr">
        <is>
          <t>Rubric + evidence anchored ordinal score (0–5)</t>
        </is>
      </c>
      <c r="K116" s="2" t="inlineStr">
        <is>
          <t>AMBER</t>
        </is>
      </c>
      <c r="L116" s="2" t="inlineStr">
        <is>
          <t>Define explicit metric-level measurement specification before scoring freeze.</t>
        </is>
      </c>
    </row>
    <row r="117">
      <c r="A117" s="2" t="inlineStr">
        <is>
          <t>D10</t>
        </is>
      </c>
      <c r="B117" s="2" t="inlineStr">
        <is>
          <t>I01</t>
        </is>
      </c>
      <c r="C117" s="2" t="inlineStr">
        <is>
          <t>Research Strategy Maturity</t>
        </is>
      </c>
      <c r="D117" s="2" t="inlineStr">
        <is>
          <t>Whether research priorities are strategically defined and connected to institutional purpose and emerging needs.</t>
        </is>
      </c>
      <c r="E117" s="2" t="inlineStr">
        <is>
          <t>D10</t>
        </is>
      </c>
      <c r="F117" s="2" t="inlineStr">
        <is>
          <t>D10</t>
        </is>
      </c>
      <c r="G117" s="2" t="inlineStr">
        <is>
          <t>—</t>
        </is>
      </c>
      <c r="H117" s="2" t="inlineStr">
        <is>
          <t>—</t>
        </is>
      </c>
      <c r="I117" s="2" t="inlineStr">
        <is>
          <t>Assessment Card; Question Bank</t>
        </is>
      </c>
      <c r="J117" s="2" t="inlineStr">
        <is>
          <t>Rubric + evidence anchored ordinal score (0–5)</t>
        </is>
      </c>
      <c r="K117" s="2" t="inlineStr">
        <is>
          <t>GREEN</t>
        </is>
      </c>
      <c r="L117" s="2" t="inlineStr">
        <is>
          <t>Formalise the existing measurement path; assign evidence and scoring rule.</t>
        </is>
      </c>
    </row>
    <row r="118">
      <c r="A118" s="2" t="inlineStr">
        <is>
          <t>D10</t>
        </is>
      </c>
      <c r="B118" s="2" t="inlineStr">
        <is>
          <t>I02</t>
        </is>
      </c>
      <c r="C118" s="2" t="inlineStr">
        <is>
          <t>Research Portfolio Balance</t>
        </is>
      </c>
      <c r="D118" s="2" t="inlineStr">
        <is>
          <t>Breadth, depth, concentration and strategic coherence of the research portfolio.</t>
        </is>
      </c>
      <c r="E118" s="2" t="inlineStr">
        <is>
          <t>D10</t>
        </is>
      </c>
      <c r="F118" s="2" t="inlineStr">
        <is>
          <t>D10</t>
        </is>
      </c>
      <c r="G118" s="2" t="inlineStr">
        <is>
          <t>—</t>
        </is>
      </c>
      <c r="H118" s="2" t="inlineStr">
        <is>
          <t>—</t>
        </is>
      </c>
      <c r="I118" s="2" t="inlineStr">
        <is>
          <t>Assessment Card; Question Bank</t>
        </is>
      </c>
      <c r="J118" s="2" t="inlineStr">
        <is>
          <t>Defined rubric / evidence-coded score</t>
        </is>
      </c>
      <c r="K118" s="2" t="inlineStr">
        <is>
          <t>GREEN</t>
        </is>
      </c>
      <c r="L118" s="2" t="inlineStr">
        <is>
          <t>Formalise the existing measurement path; assign evidence and scoring rule.</t>
        </is>
      </c>
    </row>
    <row r="119">
      <c r="A119" s="2" t="inlineStr">
        <is>
          <t>D10</t>
        </is>
      </c>
      <c r="B119" s="2" t="inlineStr">
        <is>
          <t>I03</t>
        </is>
      </c>
      <c r="C119" s="2" t="inlineStr">
        <is>
          <t>Interdisciplinary Research Capability</t>
        </is>
      </c>
      <c r="D119" s="2" t="inlineStr">
        <is>
          <t>Ability to bring disciplines together around meaningful questions.</t>
        </is>
      </c>
      <c r="E119" s="2" t="inlineStr">
        <is>
          <t>—</t>
        </is>
      </c>
      <c r="F119" s="2" t="inlineStr">
        <is>
          <t>D10</t>
        </is>
      </c>
      <c r="G119" s="2" t="inlineStr">
        <is>
          <t>—</t>
        </is>
      </c>
      <c r="H119" s="2" t="inlineStr">
        <is>
          <t>—</t>
        </is>
      </c>
      <c r="I119" s="2" t="inlineStr">
        <is>
          <t>Question Bank</t>
        </is>
      </c>
      <c r="J119" s="2" t="inlineStr">
        <is>
          <t>Rubric + evidence anchored ordinal score (0–5)</t>
        </is>
      </c>
      <c r="K119" s="2" t="inlineStr">
        <is>
          <t>AMBER</t>
        </is>
      </c>
      <c r="L119" s="2" t="inlineStr">
        <is>
          <t>Define explicit metric-level measurement specification before scoring freeze.</t>
        </is>
      </c>
    </row>
    <row r="120">
      <c r="A120" s="2" t="inlineStr">
        <is>
          <t>D10</t>
        </is>
      </c>
      <c r="B120" s="2" t="inlineStr">
        <is>
          <t>I04</t>
        </is>
      </c>
      <c r="C120" s="2" t="inlineStr">
        <is>
          <t>AI-Enabled Research Capability</t>
        </is>
      </c>
      <c r="D120" s="2" t="inlineStr">
        <is>
          <t>Responsible use of AI across discovery, analysis, experimentation and knowledge creation.</t>
        </is>
      </c>
      <c r="E120" s="2" t="inlineStr">
        <is>
          <t>—</t>
        </is>
      </c>
      <c r="F120" s="2" t="inlineStr">
        <is>
          <t>D10</t>
        </is>
      </c>
      <c r="G120" s="2" t="inlineStr">
        <is>
          <t>—</t>
        </is>
      </c>
      <c r="H120" s="2" t="inlineStr">
        <is>
          <t>—</t>
        </is>
      </c>
      <c r="I120" s="2" t="inlineStr">
        <is>
          <t>Question Bank</t>
        </is>
      </c>
      <c r="J120" s="2" t="inlineStr">
        <is>
          <t>Rubric + evidence anchored ordinal score (0–5)</t>
        </is>
      </c>
      <c r="K120" s="2" t="inlineStr">
        <is>
          <t>AMBER</t>
        </is>
      </c>
      <c r="L120" s="2" t="inlineStr">
        <is>
          <t>Define explicit metric-level measurement specification before scoring freeze.</t>
        </is>
      </c>
    </row>
    <row r="121">
      <c r="A121" s="2" t="inlineStr">
        <is>
          <t>D10</t>
        </is>
      </c>
      <c r="B121" s="2" t="inlineStr">
        <is>
          <t>I05</t>
        </is>
      </c>
      <c r="C121" s="2" t="inlineStr">
        <is>
          <t>Research Infrastructure Readiness</t>
        </is>
      </c>
      <c r="D121" s="2" t="inlineStr">
        <is>
          <t>Adequacy and accessibility of research infrastructure, data and tools.</t>
        </is>
      </c>
      <c r="E121" s="2" t="inlineStr">
        <is>
          <t>—</t>
        </is>
      </c>
      <c r="F121" s="2" t="inlineStr">
        <is>
          <t>—</t>
        </is>
      </c>
      <c r="G121" s="2" t="inlineStr">
        <is>
          <t>—</t>
        </is>
      </c>
      <c r="H121" s="2" t="inlineStr">
        <is>
          <t>—</t>
        </is>
      </c>
      <c r="I121" s="2" t="inlineStr">
        <is>
          <t>NONE</t>
        </is>
      </c>
      <c r="J121" s="2" t="inlineStr">
        <is>
          <t>Rubric + evidence anchored ordinal score (0–5)</t>
        </is>
      </c>
      <c r="K121" s="2" t="inlineStr">
        <is>
          <t>RED</t>
        </is>
      </c>
      <c r="L121" s="2" t="inlineStr">
        <is>
          <t>Define explicit metric-level measurement specification before scoring freeze.</t>
        </is>
      </c>
    </row>
    <row r="122">
      <c r="A122" s="2" t="inlineStr">
        <is>
          <t>D10</t>
        </is>
      </c>
      <c r="B122" s="2" t="inlineStr">
        <is>
          <t>I06</t>
        </is>
      </c>
      <c r="C122" s="2" t="inlineStr">
        <is>
          <t>Researcher Capability</t>
        </is>
      </c>
      <c r="D122" s="2" t="inlineStr">
        <is>
          <t>Ability to develop and retain researchers and research-active faculty.</t>
        </is>
      </c>
      <c r="E122" s="2" t="inlineStr">
        <is>
          <t>—</t>
        </is>
      </c>
      <c r="F122" s="2" t="inlineStr">
        <is>
          <t>—</t>
        </is>
      </c>
      <c r="G122" s="2" t="inlineStr">
        <is>
          <t>—</t>
        </is>
      </c>
      <c r="H122" s="2" t="inlineStr">
        <is>
          <t>—</t>
        </is>
      </c>
      <c r="I122" s="2" t="inlineStr">
        <is>
          <t>NONE</t>
        </is>
      </c>
      <c r="J122" s="2" t="inlineStr">
        <is>
          <t>Rubric + evidence anchored ordinal score (0–5)</t>
        </is>
      </c>
      <c r="K122" s="2" t="inlineStr">
        <is>
          <t>RED</t>
        </is>
      </c>
      <c r="L122" s="2" t="inlineStr">
        <is>
          <t>Define explicit metric-level measurement specification before scoring freeze.</t>
        </is>
      </c>
    </row>
    <row r="123">
      <c r="A123" s="2" t="inlineStr">
        <is>
          <t>D10</t>
        </is>
      </c>
      <c r="B123" s="2" t="inlineStr">
        <is>
          <t>I07</t>
        </is>
      </c>
      <c r="C123" s="2" t="inlineStr">
        <is>
          <t>Research Funding Capability</t>
        </is>
      </c>
      <c r="D123" s="2" t="inlineStr">
        <is>
          <t>Ability to identify, develop and secure competitive research resources.</t>
        </is>
      </c>
      <c r="E123" s="2" t="inlineStr">
        <is>
          <t>—</t>
        </is>
      </c>
      <c r="F123" s="2" t="inlineStr">
        <is>
          <t>—</t>
        </is>
      </c>
      <c r="G123" s="2" t="inlineStr">
        <is>
          <t>—</t>
        </is>
      </c>
      <c r="H123" s="2" t="inlineStr">
        <is>
          <t>—</t>
        </is>
      </c>
      <c r="I123" s="2" t="inlineStr">
        <is>
          <t>NONE</t>
        </is>
      </c>
      <c r="J123" s="2" t="inlineStr">
        <is>
          <t>Rubric + evidence anchored ordinal score (0–5)</t>
        </is>
      </c>
      <c r="K123" s="2" t="inlineStr">
        <is>
          <t>RED</t>
        </is>
      </c>
      <c r="L123" s="2" t="inlineStr">
        <is>
          <t>Define explicit metric-level measurement specification before scoring freeze.</t>
        </is>
      </c>
    </row>
    <row r="124">
      <c r="A124" s="2" t="inlineStr">
        <is>
          <t>D10</t>
        </is>
      </c>
      <c r="B124" s="2" t="inlineStr">
        <is>
          <t>I08</t>
        </is>
      </c>
      <c r="C124" s="2" t="inlineStr">
        <is>
          <t>Knowledge Translation Capability</t>
        </is>
      </c>
      <c r="D124" s="2" t="inlineStr">
        <is>
          <t>Movement from research findings to application, policy, practice or public value.</t>
        </is>
      </c>
      <c r="E124" s="2" t="inlineStr">
        <is>
          <t>—</t>
        </is>
      </c>
      <c r="F124" s="2" t="inlineStr">
        <is>
          <t>D10</t>
        </is>
      </c>
      <c r="G124" s="2" t="inlineStr">
        <is>
          <t>—</t>
        </is>
      </c>
      <c r="H124" s="2" t="inlineStr">
        <is>
          <t>—</t>
        </is>
      </c>
      <c r="I124" s="2" t="inlineStr">
        <is>
          <t>Question Bank</t>
        </is>
      </c>
      <c r="J124" s="2" t="inlineStr">
        <is>
          <t>Rubric + evidence anchored ordinal score (0–5)</t>
        </is>
      </c>
      <c r="K124" s="2" t="inlineStr">
        <is>
          <t>AMBER</t>
        </is>
      </c>
      <c r="L124" s="2" t="inlineStr">
        <is>
          <t>Define explicit metric-level measurement specification before scoring freeze.</t>
        </is>
      </c>
    </row>
    <row r="125">
      <c r="A125" s="2" t="inlineStr">
        <is>
          <t>D10</t>
        </is>
      </c>
      <c r="B125" s="2" t="inlineStr">
        <is>
          <t>I09</t>
        </is>
      </c>
      <c r="C125" s="2" t="inlineStr">
        <is>
          <t>Industry-Linked Research</t>
        </is>
      </c>
      <c r="D125" s="2" t="inlineStr">
        <is>
          <t>Depth of meaningful research collaboration with industry and external organisations.</t>
        </is>
      </c>
      <c r="E125" s="2" t="inlineStr">
        <is>
          <t>—</t>
        </is>
      </c>
      <c r="F125" s="2" t="inlineStr">
        <is>
          <t>—</t>
        </is>
      </c>
      <c r="G125" s="2" t="inlineStr">
        <is>
          <t>—</t>
        </is>
      </c>
      <c r="H125" s="2" t="inlineStr">
        <is>
          <t>—</t>
        </is>
      </c>
      <c r="I125" s="2" t="inlineStr">
        <is>
          <t>NONE</t>
        </is>
      </c>
      <c r="J125" s="2" t="inlineStr">
        <is>
          <t>Defined rubric / evidence-coded score</t>
        </is>
      </c>
      <c r="K125" s="2" t="inlineStr">
        <is>
          <t>RED</t>
        </is>
      </c>
      <c r="L125" s="2" t="inlineStr">
        <is>
          <t>Define explicit metric-level measurement specification before scoring freeze.</t>
        </is>
      </c>
    </row>
    <row r="126">
      <c r="A126" s="2" t="inlineStr">
        <is>
          <t>D10</t>
        </is>
      </c>
      <c r="B126" s="2" t="inlineStr">
        <is>
          <t>I10</t>
        </is>
      </c>
      <c r="C126" s="2" t="inlineStr">
        <is>
          <t>Research-to-Innovation Pipeline</t>
        </is>
      </c>
      <c r="D126" s="2" t="inlineStr">
        <is>
          <t>Ability to move promising research toward prototypes, ventures, IP or implementation.</t>
        </is>
      </c>
      <c r="E126" s="2" t="inlineStr">
        <is>
          <t>—</t>
        </is>
      </c>
      <c r="F126" s="2" t="inlineStr">
        <is>
          <t>D10</t>
        </is>
      </c>
      <c r="G126" s="2" t="inlineStr">
        <is>
          <t>—</t>
        </is>
      </c>
      <c r="H126" s="2" t="inlineStr">
        <is>
          <t>—</t>
        </is>
      </c>
      <c r="I126" s="2" t="inlineStr">
        <is>
          <t>Question Bank</t>
        </is>
      </c>
      <c r="J126" s="2" t="inlineStr">
        <is>
          <t>Defined rubric / evidence-coded score</t>
        </is>
      </c>
      <c r="K126" s="2" t="inlineStr">
        <is>
          <t>AMBER</t>
        </is>
      </c>
      <c r="L126" s="2" t="inlineStr">
        <is>
          <t>Define explicit metric-level measurement specification before scoring freeze.</t>
        </is>
      </c>
    </row>
    <row r="127">
      <c r="A127" s="2" t="inlineStr">
        <is>
          <t>D10</t>
        </is>
      </c>
      <c r="B127" s="2" t="inlineStr">
        <is>
          <t>I11</t>
        </is>
      </c>
      <c r="C127" s="2" t="inlineStr">
        <is>
          <t>IP &amp; Knowledge Assets</t>
        </is>
      </c>
      <c r="D127" s="2" t="inlineStr">
        <is>
          <t>Quality and strategic management of intellectual property and other knowledge assets.</t>
        </is>
      </c>
      <c r="E127" s="2" t="inlineStr">
        <is>
          <t>—</t>
        </is>
      </c>
      <c r="F127" s="2" t="inlineStr">
        <is>
          <t>—</t>
        </is>
      </c>
      <c r="G127" s="2" t="inlineStr">
        <is>
          <t>—</t>
        </is>
      </c>
      <c r="H127" s="2" t="inlineStr">
        <is>
          <t>—</t>
        </is>
      </c>
      <c r="I127" s="2" t="inlineStr">
        <is>
          <t>NONE</t>
        </is>
      </c>
      <c r="J127" s="2" t="inlineStr">
        <is>
          <t>Defined rubric / evidence-coded score</t>
        </is>
      </c>
      <c r="K127" s="2" t="inlineStr">
        <is>
          <t>RED</t>
        </is>
      </c>
      <c r="L127" s="2" t="inlineStr">
        <is>
          <t>Define explicit metric-level measurement specification before scoring freeze.</t>
        </is>
      </c>
    </row>
    <row r="128">
      <c r="A128" s="2" t="inlineStr">
        <is>
          <t>D10</t>
        </is>
      </c>
      <c r="B128" s="2" t="inlineStr">
        <is>
          <t>I12</t>
        </is>
      </c>
      <c r="C128" s="2" t="inlineStr">
        <is>
          <t>Research Integrity &amp; Responsible AI</t>
        </is>
      </c>
      <c r="D128" s="2" t="inlineStr">
        <is>
          <t>Integrity, reproducibility, ethics, authorship, data and responsible AI practices.</t>
        </is>
      </c>
      <c r="E128" s="2" t="inlineStr">
        <is>
          <t>—</t>
        </is>
      </c>
      <c r="F128" s="2" t="inlineStr">
        <is>
          <t>D10</t>
        </is>
      </c>
      <c r="G128" s="2" t="inlineStr">
        <is>
          <t>—</t>
        </is>
      </c>
      <c r="H128" s="2" t="inlineStr">
        <is>
          <t>—</t>
        </is>
      </c>
      <c r="I128" s="2" t="inlineStr">
        <is>
          <t>Question Bank</t>
        </is>
      </c>
      <c r="J128" s="2" t="inlineStr">
        <is>
          <t>Defined rubric / evidence-coded score</t>
        </is>
      </c>
      <c r="K128" s="2" t="inlineStr">
        <is>
          <t>AMBER</t>
        </is>
      </c>
      <c r="L128" s="2" t="inlineStr">
        <is>
          <t>Define explicit metric-level measurement specification before scoring freeze.</t>
        </is>
      </c>
    </row>
    <row r="129">
      <c r="A129" s="2" t="inlineStr">
        <is>
          <t>D10</t>
        </is>
      </c>
      <c r="B129" s="2" t="inlineStr">
        <is>
          <t>I13</t>
        </is>
      </c>
      <c r="C129" s="2" t="inlineStr">
        <is>
          <t>Research Impact Evidence</t>
        </is>
      </c>
      <c r="D129" s="2" t="inlineStr">
        <is>
          <t>Evidence of scholarly, economic, social, technological or policy impact.</t>
        </is>
      </c>
      <c r="E129" s="2" t="inlineStr">
        <is>
          <t>—</t>
        </is>
      </c>
      <c r="F129" s="2" t="inlineStr">
        <is>
          <t>D10</t>
        </is>
      </c>
      <c r="G129" s="2" t="inlineStr">
        <is>
          <t>—</t>
        </is>
      </c>
      <c r="H129" s="2" t="inlineStr">
        <is>
          <t>—</t>
        </is>
      </c>
      <c r="I129" s="2" t="inlineStr">
        <is>
          <t>Question Bank</t>
        </is>
      </c>
      <c r="J129" s="2" t="inlineStr">
        <is>
          <t>Outcome/evidence metric with defined denominator or validated rubric</t>
        </is>
      </c>
      <c r="K129" s="2" t="inlineStr">
        <is>
          <t>AMBER</t>
        </is>
      </c>
      <c r="L129" s="2" t="inlineStr">
        <is>
          <t>Define explicit metric-level measurement specification before scoring freeze.</t>
        </is>
      </c>
    </row>
    <row r="130">
      <c r="A130" s="2" t="inlineStr">
        <is>
          <t>D10</t>
        </is>
      </c>
      <c r="B130" s="2" t="inlineStr">
        <is>
          <t>I14</t>
        </is>
      </c>
      <c r="C130" s="2" t="inlineStr">
        <is>
          <t>Student Research Capability</t>
        </is>
      </c>
      <c r="D130" s="2" t="inlineStr">
        <is>
          <t>Extent to which students participate meaningfully in research and knowledge creation.</t>
        </is>
      </c>
      <c r="E130" s="2" t="inlineStr">
        <is>
          <t>—</t>
        </is>
      </c>
      <c r="F130" s="2" t="inlineStr">
        <is>
          <t>D10</t>
        </is>
      </c>
      <c r="G130" s="2" t="inlineStr">
        <is>
          <t>—</t>
        </is>
      </c>
      <c r="H130" s="2" t="inlineStr">
        <is>
          <t>—</t>
        </is>
      </c>
      <c r="I130" s="2" t="inlineStr">
        <is>
          <t>Question Bank</t>
        </is>
      </c>
      <c r="J130" s="2" t="inlineStr">
        <is>
          <t>Rubric + evidence anchored ordinal score (0–5)</t>
        </is>
      </c>
      <c r="K130" s="2" t="inlineStr">
        <is>
          <t>AMBER</t>
        </is>
      </c>
      <c r="L130" s="2" t="inlineStr">
        <is>
          <t>Define explicit metric-level measurement specification before scoring freeze.</t>
        </is>
      </c>
    </row>
    <row r="131">
      <c r="A131" s="2" t="inlineStr">
        <is>
          <t>D11</t>
        </is>
      </c>
      <c r="B131" s="2" t="inlineStr">
        <is>
          <t>I01</t>
        </is>
      </c>
      <c r="C131" s="2" t="inlineStr">
        <is>
          <t>External Change Sensing</t>
        </is>
      </c>
      <c r="D131" s="2" t="inlineStr">
        <is>
          <t>Ability to detect technological, economic, demographic, policy and learner changes.</t>
        </is>
      </c>
      <c r="E131" s="2" t="inlineStr">
        <is>
          <t>D11</t>
        </is>
      </c>
      <c r="F131" s="2" t="inlineStr">
        <is>
          <t>D11</t>
        </is>
      </c>
      <c r="G131" s="2" t="inlineStr">
        <is>
          <t>—</t>
        </is>
      </c>
      <c r="H131" s="2" t="inlineStr">
        <is>
          <t>—</t>
        </is>
      </c>
      <c r="I131" s="2" t="inlineStr">
        <is>
          <t>Assessment Card; Question Bank</t>
        </is>
      </c>
      <c r="J131" s="2" t="inlineStr">
        <is>
          <t>Defined rubric / evidence-coded score</t>
        </is>
      </c>
      <c r="K131" s="2" t="inlineStr">
        <is>
          <t>GREEN</t>
        </is>
      </c>
      <c r="L131" s="2" t="inlineStr">
        <is>
          <t>Formalise the existing measurement path; assign evidence and scoring rule.</t>
        </is>
      </c>
    </row>
    <row r="132">
      <c r="A132" s="2" t="inlineStr">
        <is>
          <t>D11</t>
        </is>
      </c>
      <c r="B132" s="2" t="inlineStr">
        <is>
          <t>I02</t>
        </is>
      </c>
      <c r="C132" s="2" t="inlineStr">
        <is>
          <t>Strategic Response Agility</t>
        </is>
      </c>
      <c r="D132" s="2" t="inlineStr">
        <is>
          <t>Speed and quality with which significant changes become institutional decisions.</t>
        </is>
      </c>
      <c r="E132" s="2" t="inlineStr">
        <is>
          <t>D11</t>
        </is>
      </c>
      <c r="F132" s="2" t="inlineStr">
        <is>
          <t>D11; D11</t>
        </is>
      </c>
      <c r="G132" s="2" t="inlineStr">
        <is>
          <t>—</t>
        </is>
      </c>
      <c r="H132" s="2" t="inlineStr">
        <is>
          <t>—</t>
        </is>
      </c>
      <c r="I132" s="2" t="inlineStr">
        <is>
          <t>Assessment Card; Question Bank</t>
        </is>
      </c>
      <c r="J132" s="2" t="inlineStr">
        <is>
          <t>Rubric + evidence anchored ordinal score (0–5)</t>
        </is>
      </c>
      <c r="K132" s="2" t="inlineStr">
        <is>
          <t>GREEN</t>
        </is>
      </c>
      <c r="L132" s="2" t="inlineStr">
        <is>
          <t>Formalise the existing measurement path; assign evidence and scoring rule.</t>
        </is>
      </c>
    </row>
    <row r="133">
      <c r="A133" s="2" t="inlineStr">
        <is>
          <t>D11</t>
        </is>
      </c>
      <c r="B133" s="2" t="inlineStr">
        <is>
          <t>I03</t>
        </is>
      </c>
      <c r="C133" s="2" t="inlineStr">
        <is>
          <t>Adaptive Decision Architecture</t>
        </is>
      </c>
      <c r="D133" s="2" t="inlineStr">
        <is>
          <t>Clarity of who can act, escalate and allocate resources when circumstances change.</t>
        </is>
      </c>
      <c r="E133" s="2" t="inlineStr">
        <is>
          <t>D11</t>
        </is>
      </c>
      <c r="F133" s="2" t="inlineStr">
        <is>
          <t>D11</t>
        </is>
      </c>
      <c r="G133" s="2" t="inlineStr">
        <is>
          <t>—</t>
        </is>
      </c>
      <c r="H133" s="2" t="inlineStr">
        <is>
          <t>—</t>
        </is>
      </c>
      <c r="I133" s="2" t="inlineStr">
        <is>
          <t>Assessment Card; Question Bank</t>
        </is>
      </c>
      <c r="J133" s="2" t="inlineStr">
        <is>
          <t>Rubric + evidence anchored ordinal score (0–5)</t>
        </is>
      </c>
      <c r="K133" s="2" t="inlineStr">
        <is>
          <t>GREEN</t>
        </is>
      </c>
      <c r="L133" s="2" t="inlineStr">
        <is>
          <t>Formalise the existing measurement path; assign evidence and scoring rule.</t>
        </is>
      </c>
    </row>
    <row r="134">
      <c r="A134" s="2" t="inlineStr">
        <is>
          <t>D11</t>
        </is>
      </c>
      <c r="B134" s="2" t="inlineStr">
        <is>
          <t>I04</t>
        </is>
      </c>
      <c r="C134" s="2" t="inlineStr">
        <is>
          <t>Resource Reallocation Agility</t>
        </is>
      </c>
      <c r="D134" s="2" t="inlineStr">
        <is>
          <t>Ability to redirect people, money, infrastructure and attention toward emerging priorities.</t>
        </is>
      </c>
      <c r="E134" s="2" t="inlineStr">
        <is>
          <t>—</t>
        </is>
      </c>
      <c r="F134" s="2" t="inlineStr">
        <is>
          <t>D11; D11</t>
        </is>
      </c>
      <c r="G134" s="2" t="inlineStr">
        <is>
          <t>—</t>
        </is>
      </c>
      <c r="H134" s="2" t="inlineStr">
        <is>
          <t>—</t>
        </is>
      </c>
      <c r="I134" s="2" t="inlineStr">
        <is>
          <t>Question Bank</t>
        </is>
      </c>
      <c r="J134" s="2" t="inlineStr">
        <is>
          <t>Rubric + evidence anchored ordinal score (0–5)</t>
        </is>
      </c>
      <c r="K134" s="2" t="inlineStr">
        <is>
          <t>AMBER</t>
        </is>
      </c>
      <c r="L134" s="2" t="inlineStr">
        <is>
          <t>Define explicit metric-level measurement specification before scoring freeze.</t>
        </is>
      </c>
    </row>
    <row r="135">
      <c r="A135" s="2" t="inlineStr">
        <is>
          <t>D11</t>
        </is>
      </c>
      <c r="B135" s="2" t="inlineStr">
        <is>
          <t>I05</t>
        </is>
      </c>
      <c r="C135" s="2" t="inlineStr">
        <is>
          <t>Institutional Experimentation</t>
        </is>
      </c>
      <c r="D135" s="2" t="inlineStr">
        <is>
          <t>Ability to test new approaches without turning every experiment into a large programme.</t>
        </is>
      </c>
      <c r="E135" s="2" t="inlineStr">
        <is>
          <t>—</t>
        </is>
      </c>
      <c r="F135" s="2" t="inlineStr">
        <is>
          <t>—</t>
        </is>
      </c>
      <c r="G135" s="2" t="inlineStr">
        <is>
          <t>—</t>
        </is>
      </c>
      <c r="H135" s="2" t="inlineStr">
        <is>
          <t>—</t>
        </is>
      </c>
      <c r="I135" s="2" t="inlineStr">
        <is>
          <t>NONE</t>
        </is>
      </c>
      <c r="J135" s="2" t="inlineStr">
        <is>
          <t>Defined rubric / evidence-coded score</t>
        </is>
      </c>
      <c r="K135" s="2" t="inlineStr">
        <is>
          <t>RED</t>
        </is>
      </c>
      <c r="L135" s="2" t="inlineStr">
        <is>
          <t>Define explicit metric-level measurement specification before scoring freeze.</t>
        </is>
      </c>
    </row>
    <row r="136">
      <c r="A136" s="2" t="inlineStr">
        <is>
          <t>D11</t>
        </is>
      </c>
      <c r="B136" s="2" t="inlineStr">
        <is>
          <t>I06</t>
        </is>
      </c>
      <c r="C136" s="2" t="inlineStr">
        <is>
          <t>Failure-to-Learning Capability</t>
        </is>
      </c>
      <c r="D136" s="2" t="inlineStr">
        <is>
          <t>Whether unsuccessful initiatives produce institutional learning and changed practice.</t>
        </is>
      </c>
      <c r="E136" s="2" t="inlineStr">
        <is>
          <t>—</t>
        </is>
      </c>
      <c r="F136" s="2" t="inlineStr">
        <is>
          <t>D11</t>
        </is>
      </c>
      <c r="G136" s="2" t="inlineStr">
        <is>
          <t>—</t>
        </is>
      </c>
      <c r="H136" s="2" t="inlineStr">
        <is>
          <t>—</t>
        </is>
      </c>
      <c r="I136" s="2" t="inlineStr">
        <is>
          <t>Question Bank</t>
        </is>
      </c>
      <c r="J136" s="2" t="inlineStr">
        <is>
          <t>Rubric + evidence anchored ordinal score (0–5)</t>
        </is>
      </c>
      <c r="K136" s="2" t="inlineStr">
        <is>
          <t>AMBER</t>
        </is>
      </c>
      <c r="L136" s="2" t="inlineStr">
        <is>
          <t>Define explicit metric-level measurement specification before scoring freeze.</t>
        </is>
      </c>
    </row>
    <row r="137">
      <c r="A137" s="2" t="inlineStr">
        <is>
          <t>D11</t>
        </is>
      </c>
      <c r="B137" s="2" t="inlineStr">
        <is>
          <t>I07</t>
        </is>
      </c>
      <c r="C137" s="2" t="inlineStr">
        <is>
          <t>Change Management Capacity</t>
        </is>
      </c>
      <c r="D137" s="2" t="inlineStr">
        <is>
          <t>Ability to move people and systems through meaningful institutional change.</t>
        </is>
      </c>
      <c r="E137" s="2" t="inlineStr">
        <is>
          <t>—</t>
        </is>
      </c>
      <c r="F137" s="2" t="inlineStr">
        <is>
          <t>D11</t>
        </is>
      </c>
      <c r="G137" s="2" t="inlineStr">
        <is>
          <t>—</t>
        </is>
      </c>
      <c r="H137" s="2" t="inlineStr">
        <is>
          <t>—</t>
        </is>
      </c>
      <c r="I137" s="2" t="inlineStr">
        <is>
          <t>Question Bank</t>
        </is>
      </c>
      <c r="J137" s="2" t="inlineStr">
        <is>
          <t>Defined rubric / evidence-coded score</t>
        </is>
      </c>
      <c r="K137" s="2" t="inlineStr">
        <is>
          <t>AMBER</t>
        </is>
      </c>
      <c r="L137" s="2" t="inlineStr">
        <is>
          <t>Define explicit metric-level measurement specification before scoring freeze.</t>
        </is>
      </c>
    </row>
    <row r="138">
      <c r="A138" s="2" t="inlineStr">
        <is>
          <t>D11</t>
        </is>
      </c>
      <c r="B138" s="2" t="inlineStr">
        <is>
          <t>I08</t>
        </is>
      </c>
      <c r="C138" s="2" t="inlineStr">
        <is>
          <t>Adaptive Leadership Alignment</t>
        </is>
      </c>
      <c r="D138" s="2" t="inlineStr">
        <is>
          <t>Extent to which leadership can align around changing priorities.</t>
        </is>
      </c>
      <c r="E138" s="2" t="inlineStr">
        <is>
          <t>—</t>
        </is>
      </c>
      <c r="F138" s="2" t="inlineStr">
        <is>
          <t>—</t>
        </is>
      </c>
      <c r="G138" s="2" t="inlineStr">
        <is>
          <t>—</t>
        </is>
      </c>
      <c r="H138" s="2" t="inlineStr">
        <is>
          <t>—</t>
        </is>
      </c>
      <c r="I138" s="2" t="inlineStr">
        <is>
          <t>NONE</t>
        </is>
      </c>
      <c r="J138" s="2" t="inlineStr">
        <is>
          <t>Rubric + evidence anchored ordinal score (0–5)</t>
        </is>
      </c>
      <c r="K138" s="2" t="inlineStr">
        <is>
          <t>RED</t>
        </is>
      </c>
      <c r="L138" s="2" t="inlineStr">
        <is>
          <t>Define explicit metric-level measurement specification before scoring freeze.</t>
        </is>
      </c>
    </row>
    <row r="139">
      <c r="A139" s="2" t="inlineStr">
        <is>
          <t>D11</t>
        </is>
      </c>
      <c r="B139" s="2" t="inlineStr">
        <is>
          <t>I09</t>
        </is>
      </c>
      <c r="C139" s="2" t="inlineStr">
        <is>
          <t>Learner Signal Responsiveness</t>
        </is>
      </c>
      <c r="D139" s="2" t="inlineStr">
        <is>
          <t>Ability to detect and respond to changing student expectations and experience.</t>
        </is>
      </c>
      <c r="E139" s="2" t="inlineStr">
        <is>
          <t>—</t>
        </is>
      </c>
      <c r="F139" s="2" t="inlineStr">
        <is>
          <t>—</t>
        </is>
      </c>
      <c r="G139" s="2" t="inlineStr">
        <is>
          <t>—</t>
        </is>
      </c>
      <c r="H139" s="2" t="inlineStr">
        <is>
          <t>—</t>
        </is>
      </c>
      <c r="I139" s="2" t="inlineStr">
        <is>
          <t>NONE</t>
        </is>
      </c>
      <c r="J139" s="2" t="inlineStr">
        <is>
          <t>Rubric + evidence anchored ordinal score (0–5)</t>
        </is>
      </c>
      <c r="K139" s="2" t="inlineStr">
        <is>
          <t>RED</t>
        </is>
      </c>
      <c r="L139" s="2" t="inlineStr">
        <is>
          <t>Define explicit metric-level measurement specification before scoring freeze.</t>
        </is>
      </c>
    </row>
    <row r="140">
      <c r="A140" s="2" t="inlineStr">
        <is>
          <t>D11</t>
        </is>
      </c>
      <c r="B140" s="2" t="inlineStr">
        <is>
          <t>I10</t>
        </is>
      </c>
      <c r="C140" s="2" t="inlineStr">
        <is>
          <t>Economic &amp; Workforce Responsiveness</t>
        </is>
      </c>
      <c r="D140" s="2" t="inlineStr">
        <is>
          <t>Ability to respond to changing industry and workforce conditions.</t>
        </is>
      </c>
      <c r="E140" s="2" t="inlineStr">
        <is>
          <t>—</t>
        </is>
      </c>
      <c r="F140" s="2" t="inlineStr">
        <is>
          <t>D11</t>
        </is>
      </c>
      <c r="G140" s="2" t="inlineStr">
        <is>
          <t>—</t>
        </is>
      </c>
      <c r="H140" s="2" t="inlineStr">
        <is>
          <t>—</t>
        </is>
      </c>
      <c r="I140" s="2" t="inlineStr">
        <is>
          <t>Question Bank</t>
        </is>
      </c>
      <c r="J140" s="2" t="inlineStr">
        <is>
          <t>Rubric + evidence anchored ordinal score (0–5)</t>
        </is>
      </c>
      <c r="K140" s="2" t="inlineStr">
        <is>
          <t>AMBER</t>
        </is>
      </c>
      <c r="L140" s="2" t="inlineStr">
        <is>
          <t>Define explicit metric-level measurement specification before scoring freeze.</t>
        </is>
      </c>
    </row>
    <row r="141">
      <c r="A141" s="2" t="inlineStr">
        <is>
          <t>D11</t>
        </is>
      </c>
      <c r="B141" s="2" t="inlineStr">
        <is>
          <t>I11</t>
        </is>
      </c>
      <c r="C141" s="2" t="inlineStr">
        <is>
          <t>Scenario Planning Capability</t>
        </is>
      </c>
      <c r="D141" s="2" t="inlineStr">
        <is>
          <t>Ability to prepare for multiple plausible futures rather than one forecast.</t>
        </is>
      </c>
      <c r="E141" s="2" t="inlineStr">
        <is>
          <t>—</t>
        </is>
      </c>
      <c r="F141" s="2" t="inlineStr">
        <is>
          <t>—</t>
        </is>
      </c>
      <c r="G141" s="2" t="inlineStr">
        <is>
          <t>—</t>
        </is>
      </c>
      <c r="H141" s="2" t="inlineStr">
        <is>
          <t>—</t>
        </is>
      </c>
      <c r="I141" s="2" t="inlineStr">
        <is>
          <t>NONE</t>
        </is>
      </c>
      <c r="J141" s="2" t="inlineStr">
        <is>
          <t>Rubric + evidence anchored ordinal score (0–5)</t>
        </is>
      </c>
      <c r="K141" s="2" t="inlineStr">
        <is>
          <t>RED</t>
        </is>
      </c>
      <c r="L141" s="2" t="inlineStr">
        <is>
          <t>Define explicit metric-level measurement specification before scoring freeze.</t>
        </is>
      </c>
    </row>
    <row r="142">
      <c r="A142" s="2" t="inlineStr">
        <is>
          <t>D11</t>
        </is>
      </c>
      <c r="B142" s="2" t="inlineStr">
        <is>
          <t>I12</t>
        </is>
      </c>
      <c r="C142" s="2" t="inlineStr">
        <is>
          <t>Institutional Resilience</t>
        </is>
      </c>
      <c r="D142" s="2" t="inlineStr">
        <is>
          <t>Ability to maintain core educational quality while adapting to disruption.</t>
        </is>
      </c>
      <c r="E142" s="2" t="inlineStr">
        <is>
          <t>—</t>
        </is>
      </c>
      <c r="F142" s="2" t="inlineStr">
        <is>
          <t>D11</t>
        </is>
      </c>
      <c r="G142" s="2" t="inlineStr">
        <is>
          <t>—</t>
        </is>
      </c>
      <c r="H142" s="2" t="inlineStr">
        <is>
          <t>—</t>
        </is>
      </c>
      <c r="I142" s="2" t="inlineStr">
        <is>
          <t>Question Bank</t>
        </is>
      </c>
      <c r="J142" s="2" t="inlineStr">
        <is>
          <t>Defined rubric / evidence-coded score</t>
        </is>
      </c>
      <c r="K142" s="2" t="inlineStr">
        <is>
          <t>AMBER</t>
        </is>
      </c>
      <c r="L142" s="2" t="inlineStr">
        <is>
          <t>Define explicit metric-level measurement specification before scoring freeze.</t>
        </is>
      </c>
    </row>
    <row r="143">
      <c r="A143" s="2" t="inlineStr">
        <is>
          <t>D11</t>
        </is>
      </c>
      <c r="B143" s="2" t="inlineStr">
        <is>
          <t>I13</t>
        </is>
      </c>
      <c r="C143" s="2" t="inlineStr">
        <is>
          <t>Institutional Learning System</t>
        </is>
      </c>
      <c r="D143" s="2" t="inlineStr">
        <is>
          <t>Ability to turn evidence, experience and external signals into repeated improvement.</t>
        </is>
      </c>
      <c r="E143" s="2" t="inlineStr">
        <is>
          <t>—</t>
        </is>
      </c>
      <c r="F143" s="2" t="inlineStr">
        <is>
          <t>D11</t>
        </is>
      </c>
      <c r="G143" s="2" t="inlineStr">
        <is>
          <t>—</t>
        </is>
      </c>
      <c r="H143" s="2" t="inlineStr">
        <is>
          <t>—</t>
        </is>
      </c>
      <c r="I143" s="2" t="inlineStr">
        <is>
          <t>Question Bank</t>
        </is>
      </c>
      <c r="J143" s="2" t="inlineStr">
        <is>
          <t>Defined rubric / evidence-coded score</t>
        </is>
      </c>
      <c r="K143" s="2" t="inlineStr">
        <is>
          <t>AMBER</t>
        </is>
      </c>
      <c r="L143" s="2" t="inlineStr">
        <is>
          <t>Define explicit metric-level measurement specification before scoring freeze.</t>
        </is>
      </c>
    </row>
    <row r="144">
      <c r="A144" s="2" t="inlineStr">
        <is>
          <t>D11</t>
        </is>
      </c>
      <c r="B144" s="2" t="inlineStr">
        <is>
          <t>I14</t>
        </is>
      </c>
      <c r="C144" s="2" t="inlineStr">
        <is>
          <t>Future Transformation Capacity</t>
        </is>
      </c>
      <c r="D144" s="2" t="inlineStr">
        <is>
          <t>Overall ability to redesign the institution before external pressure forces change.</t>
        </is>
      </c>
      <c r="E144" s="2" t="inlineStr">
        <is>
          <t>—</t>
        </is>
      </c>
      <c r="F144" s="2" t="inlineStr">
        <is>
          <t>D11; D11</t>
        </is>
      </c>
      <c r="G144" s="2" t="inlineStr">
        <is>
          <t>—</t>
        </is>
      </c>
      <c r="H144" s="2" t="inlineStr">
        <is>
          <t>—</t>
        </is>
      </c>
      <c r="I144" s="2" t="inlineStr">
        <is>
          <t>Question Bank</t>
        </is>
      </c>
      <c r="J144" s="2" t="inlineStr">
        <is>
          <t>Defined rubric / evidence-coded score</t>
        </is>
      </c>
      <c r="K144" s="2" t="inlineStr">
        <is>
          <t>AMBER</t>
        </is>
      </c>
      <c r="L144" s="2" t="inlineStr">
        <is>
          <t>Define explicit metric-level measurement specification before scoring freeze.</t>
        </is>
      </c>
    </row>
  </sheetData>
  <autoFilter ref="A1:L144"/>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12"/>
  <sheetViews>
    <sheetView showGridLines="0" workbookViewId="0">
      <pane ySplit="1" topLeftCell="A2" activePane="bottomLeft" state="frozen"/>
      <selection pane="bottomLeft" activeCell="A1" sqref="A1"/>
    </sheetView>
  </sheetViews>
  <sheetFormatPr baseColWidth="8" defaultRowHeight="15"/>
  <cols>
    <col width="12.7109375" customWidth="1" min="1" max="5"/>
    <col width="18.7109375" customWidth="1" min="6" max="6"/>
    <col width="14.7109375" customWidth="1" min="7" max="7"/>
  </cols>
  <sheetData>
    <row r="1">
      <c r="A1" s="23" t="inlineStr">
        <is>
          <t>Domain</t>
        </is>
      </c>
      <c r="B1" s="23" t="inlineStr">
        <is>
          <t>Metrics</t>
        </is>
      </c>
      <c r="C1" s="23" t="inlineStr">
        <is>
          <t>Green</t>
        </is>
      </c>
      <c r="D1" s="23" t="inlineStr">
        <is>
          <t>Amber</t>
        </is>
      </c>
      <c r="E1" s="23" t="inlineStr">
        <is>
          <t>Red</t>
        </is>
      </c>
      <c r="F1" s="23" t="inlineStr">
        <is>
          <t>Assessment Cards</t>
        </is>
      </c>
      <c r="G1" s="23" t="inlineStr">
        <is>
          <t>Questions</t>
        </is>
      </c>
    </row>
    <row r="2">
      <c r="A2" s="2" t="inlineStr">
        <is>
          <t>D01</t>
        </is>
      </c>
      <c r="B2" s="2" t="n">
        <v>10</v>
      </c>
      <c r="C2" s="2" t="n">
        <v>6</v>
      </c>
      <c r="D2" s="2" t="n">
        <v>2</v>
      </c>
      <c r="E2" s="2" t="n">
        <v>2</v>
      </c>
      <c r="F2" s="2" t="n">
        <v>1</v>
      </c>
      <c r="G2" s="2" t="n">
        <v>7</v>
      </c>
    </row>
    <row r="3">
      <c r="A3" s="2" t="inlineStr">
        <is>
          <t>D02</t>
        </is>
      </c>
      <c r="B3" s="2" t="n">
        <v>14</v>
      </c>
      <c r="C3" s="2" t="n">
        <v>8</v>
      </c>
      <c r="D3" s="2" t="n">
        <v>3</v>
      </c>
      <c r="E3" s="2" t="n">
        <v>3</v>
      </c>
      <c r="F3" s="2" t="n">
        <v>1</v>
      </c>
      <c r="G3" s="2" t="n">
        <v>9</v>
      </c>
    </row>
    <row r="4">
      <c r="A4" s="2" t="inlineStr">
        <is>
          <t>D03</t>
        </is>
      </c>
      <c r="B4" s="2" t="n">
        <v>17</v>
      </c>
      <c r="C4" s="2" t="n">
        <v>6</v>
      </c>
      <c r="D4" s="2" t="n">
        <v>11</v>
      </c>
      <c r="E4" s="2" t="n">
        <v>0</v>
      </c>
      <c r="F4" s="2" t="n">
        <v>1</v>
      </c>
      <c r="G4" s="2" t="n">
        <v>9</v>
      </c>
    </row>
    <row r="5">
      <c r="A5" s="2" t="inlineStr">
        <is>
          <t>D04</t>
        </is>
      </c>
      <c r="B5" s="2" t="n">
        <v>12</v>
      </c>
      <c r="C5" s="2" t="n">
        <v>3</v>
      </c>
      <c r="D5" s="2" t="n">
        <v>8</v>
      </c>
      <c r="E5" s="2" t="n">
        <v>1</v>
      </c>
      <c r="F5" s="2" t="n">
        <v>1</v>
      </c>
      <c r="G5" s="2" t="n">
        <v>5</v>
      </c>
    </row>
    <row r="6">
      <c r="A6" s="2" t="inlineStr">
        <is>
          <t>D05</t>
        </is>
      </c>
      <c r="B6" s="2" t="n">
        <v>12</v>
      </c>
      <c r="C6" s="2" t="n">
        <v>3</v>
      </c>
      <c r="D6" s="2" t="n">
        <v>9</v>
      </c>
      <c r="E6" s="2" t="n">
        <v>0</v>
      </c>
      <c r="F6" s="2" t="n">
        <v>1</v>
      </c>
      <c r="G6" s="2" t="n">
        <v>5</v>
      </c>
    </row>
    <row r="7">
      <c r="A7" s="2" t="inlineStr">
        <is>
          <t>D06</t>
        </is>
      </c>
      <c r="B7" s="2" t="n">
        <v>14</v>
      </c>
      <c r="C7" s="2" t="n">
        <v>3</v>
      </c>
      <c r="D7" s="2" t="n">
        <v>9</v>
      </c>
      <c r="E7" s="2" t="n">
        <v>2</v>
      </c>
      <c r="F7" s="2" t="n">
        <v>1</v>
      </c>
      <c r="G7" s="2" t="n">
        <v>5</v>
      </c>
    </row>
    <row r="8">
      <c r="A8" s="2" t="inlineStr">
        <is>
          <t>D07</t>
        </is>
      </c>
      <c r="B8" s="2" t="n">
        <v>12</v>
      </c>
      <c r="C8" s="2" t="n">
        <v>3</v>
      </c>
      <c r="D8" s="2" t="n">
        <v>7</v>
      </c>
      <c r="E8" s="2" t="n">
        <v>2</v>
      </c>
      <c r="F8" s="2" t="n">
        <v>1</v>
      </c>
      <c r="G8" s="2" t="n">
        <v>5</v>
      </c>
    </row>
    <row r="9">
      <c r="A9" s="2" t="inlineStr">
        <is>
          <t>D08</t>
        </is>
      </c>
      <c r="B9" s="2" t="n">
        <v>12</v>
      </c>
      <c r="C9" s="2" t="n">
        <v>3</v>
      </c>
      <c r="D9" s="2" t="n">
        <v>7</v>
      </c>
      <c r="E9" s="2" t="n">
        <v>2</v>
      </c>
      <c r="F9" s="2" t="n">
        <v>1</v>
      </c>
      <c r="G9" s="2" t="n">
        <v>4</v>
      </c>
    </row>
    <row r="10">
      <c r="A10" s="2" t="inlineStr">
        <is>
          <t>D09</t>
        </is>
      </c>
      <c r="B10" s="2" t="n">
        <v>12</v>
      </c>
      <c r="C10" s="2" t="n">
        <v>1</v>
      </c>
      <c r="D10" s="2" t="n">
        <v>9</v>
      </c>
      <c r="E10" s="2" t="n">
        <v>2</v>
      </c>
      <c r="F10" s="2" t="n">
        <v>1</v>
      </c>
      <c r="G10" s="2" t="n">
        <v>4</v>
      </c>
    </row>
    <row r="11">
      <c r="A11" s="2" t="inlineStr">
        <is>
          <t>D10</t>
        </is>
      </c>
      <c r="B11" s="2" t="n">
        <v>14</v>
      </c>
      <c r="C11" s="2" t="n">
        <v>2</v>
      </c>
      <c r="D11" s="2" t="n">
        <v>7</v>
      </c>
      <c r="E11" s="2" t="n">
        <v>5</v>
      </c>
      <c r="F11" s="2" t="n">
        <v>1</v>
      </c>
      <c r="G11" s="2" t="n">
        <v>5</v>
      </c>
    </row>
    <row r="12">
      <c r="A12" s="2" t="inlineStr">
        <is>
          <t>D11</t>
        </is>
      </c>
      <c r="B12" s="2" t="n">
        <v>14</v>
      </c>
      <c r="C12" s="2" t="n">
        <v>3</v>
      </c>
      <c r="D12" s="2" t="n">
        <v>7</v>
      </c>
      <c r="E12" s="2" t="n">
        <v>4</v>
      </c>
      <c r="F12" s="2" t="n">
        <v>1</v>
      </c>
      <c r="G12" s="2" t="n">
        <v>5</v>
      </c>
    </row>
  </sheetData>
  <autoFilter ref="A1:G12"/>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P144"/>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8.7109375" customWidth="1" min="3" max="3"/>
    <col width="48.7109375" customWidth="1" min="4" max="4"/>
    <col width="22.7109375" customWidth="1" min="5" max="5"/>
    <col width="30.7109375" customWidth="1" min="6" max="6"/>
    <col width="24.7109375" customWidth="1" min="7" max="7"/>
    <col width="45.7109375" customWidth="1" min="8" max="9"/>
    <col width="30.7109375" customWidth="1" min="10" max="10"/>
    <col width="38.7109375" customWidth="1" min="11" max="11"/>
    <col width="30.7109375" customWidth="1" min="12" max="12"/>
    <col width="45.7109375" customWidth="1" min="13" max="13"/>
    <col width="25.7109375" customWidth="1" min="14" max="14"/>
    <col width="50.7109375" customWidth="1" min="15" max="15"/>
    <col width="18.7109375" customWidth="1" min="16" max="16"/>
  </cols>
  <sheetData>
    <row r="1">
      <c r="A1" s="23" t="inlineStr">
        <is>
          <t>Domain</t>
        </is>
      </c>
      <c r="B1" s="23" t="inlineStr">
        <is>
          <t>Metric ID</t>
        </is>
      </c>
      <c r="C1" s="23" t="inlineStr">
        <is>
          <t>Metric</t>
        </is>
      </c>
      <c r="D1" s="23" t="inlineStr">
        <is>
          <t>Measurement Question</t>
        </is>
      </c>
      <c r="E1" s="23" t="inlineStr">
        <is>
          <t>Unit/Scale</t>
        </is>
      </c>
      <c r="F1" s="23" t="inlineStr">
        <is>
          <t>Population/Sample</t>
        </is>
      </c>
      <c r="G1" s="23" t="inlineStr">
        <is>
          <t>Observation Period</t>
        </is>
      </c>
      <c r="H1" s="23" t="inlineStr">
        <is>
          <t>Minimum Evidence</t>
        </is>
      </c>
      <c r="I1" s="23" t="inlineStr">
        <is>
          <t>Strong Evidence</t>
        </is>
      </c>
      <c r="J1" s="23" t="inlineStr">
        <is>
          <t>Maturity Anchor Link</t>
        </is>
      </c>
      <c r="K1" s="23" t="inlineStr">
        <is>
          <t>Independence Rule</t>
        </is>
      </c>
      <c r="L1" s="23" t="inlineStr">
        <is>
          <t>N/A Rule</t>
        </is>
      </c>
      <c r="M1" s="23" t="inlineStr">
        <is>
          <t>Anti-Gaming Check</t>
        </is>
      </c>
      <c r="N1" s="23" t="inlineStr">
        <is>
          <t>Primary Scoring Owner</t>
        </is>
      </c>
      <c r="O1" s="23" t="inlineStr">
        <is>
          <t>Cross-Domain Validation</t>
        </is>
      </c>
      <c r="P1" s="23" t="inlineStr">
        <is>
          <t>Status</t>
        </is>
      </c>
    </row>
    <row r="2">
      <c r="A2" s="2" t="inlineStr">
        <is>
          <t>D01</t>
        </is>
      </c>
      <c r="B2" s="2" t="inlineStr">
        <is>
          <t>I01</t>
        </is>
      </c>
      <c r="C2" s="2" t="inlineStr">
        <is>
          <t>Strategic AI Integration</t>
        </is>
      </c>
      <c r="D2" s="2" t="inlineStr">
        <is>
          <t>What exactly is being measured?</t>
        </is>
      </c>
      <c r="E2" s="2" t="inlineStr">
        <is>
          <t>What is the unit / scale?</t>
        </is>
      </c>
      <c r="F2" s="2" t="inlineStr">
        <is>
          <t>What population / sample is assessed?</t>
        </is>
      </c>
      <c r="G2" s="2" t="inlineStr">
        <is>
          <t>What is the observation period?</t>
        </is>
      </c>
      <c r="H2" s="2" t="inlineStr">
        <is>
          <t>What evidence is minimally required?</t>
        </is>
      </c>
      <c r="I2" s="2" t="inlineStr">
        <is>
          <t>What evidence qualifies as strong?</t>
        </is>
      </c>
      <c r="J2" s="2" t="inlineStr">
        <is>
          <t>Which maturity anchor applies?</t>
        </is>
      </c>
      <c r="K2" s="2" t="inlineStr">
        <is>
          <t>What makes the evidence independent?</t>
        </is>
      </c>
      <c r="L2" s="2" t="inlineStr">
        <is>
          <t>What is N/A and when is it allowed?</t>
        </is>
      </c>
      <c r="M2" s="2" t="inlineStr">
        <is>
          <t>What is the anti-gaming check?</t>
        </is>
      </c>
      <c r="N2" s="2" t="inlineStr">
        <is>
          <t>What is the primary scoring owner?</t>
        </is>
      </c>
      <c r="O2" s="2" t="inlineStr">
        <is>
          <t>What cross-domain signals should validate/contradict it?</t>
        </is>
      </c>
      <c r="P2" s="2" t="inlineStr">
        <is>
          <t>TO BE COMPLETED</t>
        </is>
      </c>
    </row>
    <row r="3">
      <c r="A3" s="2" t="inlineStr">
        <is>
          <t>D01</t>
        </is>
      </c>
      <c r="B3" s="2" t="inlineStr">
        <is>
          <t>I02</t>
        </is>
      </c>
      <c r="C3" s="2" t="inlineStr">
        <is>
          <t>Future Foresight Maturity</t>
        </is>
      </c>
      <c r="D3" s="2" t="inlineStr">
        <is>
          <t>What exactly is being measured?</t>
        </is>
      </c>
      <c r="E3" s="2" t="inlineStr">
        <is>
          <t>What is the unit / scale?</t>
        </is>
      </c>
      <c r="F3" s="2" t="inlineStr">
        <is>
          <t>What population / sample is assessed?</t>
        </is>
      </c>
      <c r="G3" s="2" t="inlineStr">
        <is>
          <t>What is the observation period?</t>
        </is>
      </c>
      <c r="H3" s="2" t="inlineStr">
        <is>
          <t>What evidence is minimally required?</t>
        </is>
      </c>
      <c r="I3" s="2" t="inlineStr">
        <is>
          <t>What evidence qualifies as strong?</t>
        </is>
      </c>
      <c r="J3" s="2" t="inlineStr">
        <is>
          <t>Which maturity anchor applies?</t>
        </is>
      </c>
      <c r="K3" s="2" t="inlineStr">
        <is>
          <t>What makes the evidence independent?</t>
        </is>
      </c>
      <c r="L3" s="2" t="inlineStr">
        <is>
          <t>What is N/A and when is it allowed?</t>
        </is>
      </c>
      <c r="M3" s="2" t="inlineStr">
        <is>
          <t>What is the anti-gaming check?</t>
        </is>
      </c>
      <c r="N3" s="2" t="inlineStr">
        <is>
          <t>What is the primary scoring owner?</t>
        </is>
      </c>
      <c r="O3" s="2" t="inlineStr">
        <is>
          <t>What cross-domain signals should validate/contradict it?</t>
        </is>
      </c>
      <c r="P3" s="2" t="inlineStr">
        <is>
          <t>TO BE COMPLETED</t>
        </is>
      </c>
    </row>
    <row r="4">
      <c r="A4" s="2" t="inlineStr">
        <is>
          <t>D01</t>
        </is>
      </c>
      <c r="B4" s="2" t="inlineStr">
        <is>
          <t>I03</t>
        </is>
      </c>
      <c r="C4" s="2" t="inlineStr">
        <is>
          <t>Strategic Translation Rate</t>
        </is>
      </c>
      <c r="D4" s="2" t="inlineStr">
        <is>
          <t>What exactly is being measured?</t>
        </is>
      </c>
      <c r="E4" s="2" t="inlineStr">
        <is>
          <t>What is the unit / scale?</t>
        </is>
      </c>
      <c r="F4" s="2" t="inlineStr">
        <is>
          <t>What population / sample is assessed?</t>
        </is>
      </c>
      <c r="G4" s="2" t="inlineStr">
        <is>
          <t>What is the observation period?</t>
        </is>
      </c>
      <c r="H4" s="2" t="inlineStr">
        <is>
          <t>What evidence is minimally required?</t>
        </is>
      </c>
      <c r="I4" s="2" t="inlineStr">
        <is>
          <t>What evidence qualifies as strong?</t>
        </is>
      </c>
      <c r="J4" s="2" t="inlineStr">
        <is>
          <t>Which maturity anchor applies?</t>
        </is>
      </c>
      <c r="K4" s="2" t="inlineStr">
        <is>
          <t>What makes the evidence independent?</t>
        </is>
      </c>
      <c r="L4" s="2" t="inlineStr">
        <is>
          <t>What is N/A and when is it allowed?</t>
        </is>
      </c>
      <c r="M4" s="2" t="inlineStr">
        <is>
          <t>What is the anti-gaming check?</t>
        </is>
      </c>
      <c r="N4" s="2" t="inlineStr">
        <is>
          <t>What is the primary scoring owner?</t>
        </is>
      </c>
      <c r="O4" s="2" t="inlineStr">
        <is>
          <t>What cross-domain signals should validate/contradict it?</t>
        </is>
      </c>
      <c r="P4" s="2" t="inlineStr">
        <is>
          <t>TO BE COMPLETED</t>
        </is>
      </c>
    </row>
    <row r="5">
      <c r="A5" s="2" t="inlineStr">
        <is>
          <t>D01</t>
        </is>
      </c>
      <c r="B5" s="2" t="inlineStr">
        <is>
          <t>I04</t>
        </is>
      </c>
      <c r="C5" s="2" t="inlineStr">
        <is>
          <t>Programme Future-Review Coverage</t>
        </is>
      </c>
      <c r="D5" s="2" t="inlineStr">
        <is>
          <t>What exactly is being measured?</t>
        </is>
      </c>
      <c r="E5" s="2" t="inlineStr">
        <is>
          <t>What is the unit / scale?</t>
        </is>
      </c>
      <c r="F5" s="2" t="inlineStr">
        <is>
          <t>What population / sample is assessed?</t>
        </is>
      </c>
      <c r="G5" s="2" t="inlineStr">
        <is>
          <t>What is the observation period?</t>
        </is>
      </c>
      <c r="H5" s="2" t="inlineStr">
        <is>
          <t>What evidence is minimally required?</t>
        </is>
      </c>
      <c r="I5" s="2" t="inlineStr">
        <is>
          <t>What evidence qualifies as strong?</t>
        </is>
      </c>
      <c r="J5" s="2" t="inlineStr">
        <is>
          <t>Which maturity anchor applies?</t>
        </is>
      </c>
      <c r="K5" s="2" t="inlineStr">
        <is>
          <t>What makes the evidence independent?</t>
        </is>
      </c>
      <c r="L5" s="2" t="inlineStr">
        <is>
          <t>What is N/A and when is it allowed?</t>
        </is>
      </c>
      <c r="M5" s="2" t="inlineStr">
        <is>
          <t>What is the anti-gaming check?</t>
        </is>
      </c>
      <c r="N5" s="2" t="inlineStr">
        <is>
          <t>What is the primary scoring owner?</t>
        </is>
      </c>
      <c r="O5" s="2" t="inlineStr">
        <is>
          <t>What cross-domain signals should validate/contradict it?</t>
        </is>
      </c>
      <c r="P5" s="2" t="inlineStr">
        <is>
          <t>TO BE COMPLETED</t>
        </is>
      </c>
    </row>
    <row r="6">
      <c r="A6" s="2" t="inlineStr">
        <is>
          <t>D01</t>
        </is>
      </c>
      <c r="B6" s="2" t="inlineStr">
        <is>
          <t>I05</t>
        </is>
      </c>
      <c r="C6" s="2" t="inlineStr">
        <is>
          <t>Strategic Differentiation Clarity</t>
        </is>
      </c>
      <c r="D6" s="2" t="inlineStr">
        <is>
          <t>What exactly is being measured?</t>
        </is>
      </c>
      <c r="E6" s="2" t="inlineStr">
        <is>
          <t>What is the unit / scale?</t>
        </is>
      </c>
      <c r="F6" s="2" t="inlineStr">
        <is>
          <t>What population / sample is assessed?</t>
        </is>
      </c>
      <c r="G6" s="2" t="inlineStr">
        <is>
          <t>What is the observation period?</t>
        </is>
      </c>
      <c r="H6" s="2" t="inlineStr">
        <is>
          <t>What evidence is minimally required?</t>
        </is>
      </c>
      <c r="I6" s="2" t="inlineStr">
        <is>
          <t>What evidence qualifies as strong?</t>
        </is>
      </c>
      <c r="J6" s="2" t="inlineStr">
        <is>
          <t>Which maturity anchor applies?</t>
        </is>
      </c>
      <c r="K6" s="2" t="inlineStr">
        <is>
          <t>What makes the evidence independent?</t>
        </is>
      </c>
      <c r="L6" s="2" t="inlineStr">
        <is>
          <t>What is N/A and when is it allowed?</t>
        </is>
      </c>
      <c r="M6" s="2" t="inlineStr">
        <is>
          <t>What is the anti-gaming check?</t>
        </is>
      </c>
      <c r="N6" s="2" t="inlineStr">
        <is>
          <t>What is the primary scoring owner?</t>
        </is>
      </c>
      <c r="O6" s="2" t="inlineStr">
        <is>
          <t>What cross-domain signals should validate/contradict it?</t>
        </is>
      </c>
      <c r="P6" s="2" t="inlineStr">
        <is>
          <t>TO BE COMPLETED</t>
        </is>
      </c>
    </row>
    <row r="7">
      <c r="A7" s="2" t="inlineStr">
        <is>
          <t>D01</t>
        </is>
      </c>
      <c r="B7" s="2" t="inlineStr">
        <is>
          <t>I06</t>
        </is>
      </c>
      <c r="C7" s="2" t="inlineStr">
        <is>
          <t>Foresight Response Architecture</t>
        </is>
      </c>
      <c r="D7" s="2" t="inlineStr">
        <is>
          <t>What exactly is being measured?</t>
        </is>
      </c>
      <c r="E7" s="2" t="inlineStr">
        <is>
          <t>What is the unit / scale?</t>
        </is>
      </c>
      <c r="F7" s="2" t="inlineStr">
        <is>
          <t>What population / sample is assessed?</t>
        </is>
      </c>
      <c r="G7" s="2" t="inlineStr">
        <is>
          <t>What is the observation period?</t>
        </is>
      </c>
      <c r="H7" s="2" t="inlineStr">
        <is>
          <t>What evidence is minimally required?</t>
        </is>
      </c>
      <c r="I7" s="2" t="inlineStr">
        <is>
          <t>What evidence qualifies as strong?</t>
        </is>
      </c>
      <c r="J7" s="2" t="inlineStr">
        <is>
          <t>Which maturity anchor applies?</t>
        </is>
      </c>
      <c r="K7" s="2" t="inlineStr">
        <is>
          <t>What makes the evidence independent?</t>
        </is>
      </c>
      <c r="L7" s="2" t="inlineStr">
        <is>
          <t>What is N/A and when is it allowed?</t>
        </is>
      </c>
      <c r="M7" s="2" t="inlineStr">
        <is>
          <t>What is the anti-gaming check?</t>
        </is>
      </c>
      <c r="N7" s="2" t="inlineStr">
        <is>
          <t>What is the primary scoring owner?</t>
        </is>
      </c>
      <c r="O7" s="2" t="inlineStr">
        <is>
          <t>What cross-domain signals should validate/contradict it?</t>
        </is>
      </c>
      <c r="P7" s="2" t="inlineStr">
        <is>
          <t>TO BE COMPLETED</t>
        </is>
      </c>
    </row>
    <row r="8">
      <c r="A8" s="2" t="inlineStr">
        <is>
          <t>D01</t>
        </is>
      </c>
      <c r="B8" s="2" t="inlineStr">
        <is>
          <t>I07</t>
        </is>
      </c>
      <c r="C8" s="2" t="inlineStr">
        <is>
          <t>Resource Alignment</t>
        </is>
      </c>
      <c r="D8" s="2" t="inlineStr">
        <is>
          <t>What exactly is being measured?</t>
        </is>
      </c>
      <c r="E8" s="2" t="inlineStr">
        <is>
          <t>What is the unit / scale?</t>
        </is>
      </c>
      <c r="F8" s="2" t="inlineStr">
        <is>
          <t>What population / sample is assessed?</t>
        </is>
      </c>
      <c r="G8" s="2" t="inlineStr">
        <is>
          <t>What is the observation period?</t>
        </is>
      </c>
      <c r="H8" s="2" t="inlineStr">
        <is>
          <t>What evidence is minimally required?</t>
        </is>
      </c>
      <c r="I8" s="2" t="inlineStr">
        <is>
          <t>What evidence qualifies as strong?</t>
        </is>
      </c>
      <c r="J8" s="2" t="inlineStr">
        <is>
          <t>Which maturity anchor applies?</t>
        </is>
      </c>
      <c r="K8" s="2" t="inlineStr">
        <is>
          <t>What makes the evidence independent?</t>
        </is>
      </c>
      <c r="L8" s="2" t="inlineStr">
        <is>
          <t>What is N/A and when is it allowed?</t>
        </is>
      </c>
      <c r="M8" s="2" t="inlineStr">
        <is>
          <t>What is the anti-gaming check?</t>
        </is>
      </c>
      <c r="N8" s="2" t="inlineStr">
        <is>
          <t>What is the primary scoring owner?</t>
        </is>
      </c>
      <c r="O8" s="2" t="inlineStr">
        <is>
          <t>What cross-domain signals should validate/contradict it?</t>
        </is>
      </c>
      <c r="P8" s="2" t="inlineStr">
        <is>
          <t>TO BE COMPLETED</t>
        </is>
      </c>
    </row>
    <row r="9">
      <c r="A9" s="2" t="inlineStr">
        <is>
          <t>D01</t>
        </is>
      </c>
      <c r="B9" s="2" t="inlineStr">
        <is>
          <t>I08</t>
        </is>
      </c>
      <c r="C9" s="2" t="inlineStr">
        <is>
          <t>Leadership Alignment</t>
        </is>
      </c>
      <c r="D9" s="2" t="inlineStr">
        <is>
          <t>What exactly is being measured?</t>
        </is>
      </c>
      <c r="E9" s="2" t="inlineStr">
        <is>
          <t>What is the unit / scale?</t>
        </is>
      </c>
      <c r="F9" s="2" t="inlineStr">
        <is>
          <t>What population / sample is assessed?</t>
        </is>
      </c>
      <c r="G9" s="2" t="inlineStr">
        <is>
          <t>What is the observation period?</t>
        </is>
      </c>
      <c r="H9" s="2" t="inlineStr">
        <is>
          <t>What evidence is minimally required?</t>
        </is>
      </c>
      <c r="I9" s="2" t="inlineStr">
        <is>
          <t>What evidence qualifies as strong?</t>
        </is>
      </c>
      <c r="J9" s="2" t="inlineStr">
        <is>
          <t>Which maturity anchor applies?</t>
        </is>
      </c>
      <c r="K9" s="2" t="inlineStr">
        <is>
          <t>What makes the evidence independent?</t>
        </is>
      </c>
      <c r="L9" s="2" t="inlineStr">
        <is>
          <t>What is N/A and when is it allowed?</t>
        </is>
      </c>
      <c r="M9" s="2" t="inlineStr">
        <is>
          <t>What is the anti-gaming check?</t>
        </is>
      </c>
      <c r="N9" s="2" t="inlineStr">
        <is>
          <t>What is the primary scoring owner?</t>
        </is>
      </c>
      <c r="O9" s="2" t="inlineStr">
        <is>
          <t>What cross-domain signals should validate/contradict it?</t>
        </is>
      </c>
      <c r="P9" s="2" t="inlineStr">
        <is>
          <t>TO BE COMPLETED</t>
        </is>
      </c>
    </row>
    <row r="10">
      <c r="A10" s="2" t="inlineStr">
        <is>
          <t>D01</t>
        </is>
      </c>
      <c r="B10" s="2" t="inlineStr">
        <is>
          <t>I09</t>
        </is>
      </c>
      <c r="C10" s="2" t="inlineStr">
        <is>
          <t>Experimentation Effectiveness</t>
        </is>
      </c>
      <c r="D10" s="2" t="inlineStr">
        <is>
          <t>What exactly is being measured?</t>
        </is>
      </c>
      <c r="E10" s="2" t="inlineStr">
        <is>
          <t>What is the unit / scale?</t>
        </is>
      </c>
      <c r="F10" s="2" t="inlineStr">
        <is>
          <t>What population / sample is assessed?</t>
        </is>
      </c>
      <c r="G10" s="2" t="inlineStr">
        <is>
          <t>What is the observation period?</t>
        </is>
      </c>
      <c r="H10" s="2" t="inlineStr">
        <is>
          <t>What evidence is minimally required?</t>
        </is>
      </c>
      <c r="I10" s="2" t="inlineStr">
        <is>
          <t>What evidence qualifies as strong?</t>
        </is>
      </c>
      <c r="J10" s="2" t="inlineStr">
        <is>
          <t>Which maturity anchor applies?</t>
        </is>
      </c>
      <c r="K10" s="2" t="inlineStr">
        <is>
          <t>What makes the evidence independent?</t>
        </is>
      </c>
      <c r="L10" s="2" t="inlineStr">
        <is>
          <t>What is N/A and when is it allowed?</t>
        </is>
      </c>
      <c r="M10" s="2" t="inlineStr">
        <is>
          <t>What is the anti-gaming check?</t>
        </is>
      </c>
      <c r="N10" s="2" t="inlineStr">
        <is>
          <t>What is the primary scoring owner?</t>
        </is>
      </c>
      <c r="O10" s="2" t="inlineStr">
        <is>
          <t>What cross-domain signals should validate/contradict it?</t>
        </is>
      </c>
      <c r="P10" s="2" t="inlineStr">
        <is>
          <t>TO BE COMPLETED</t>
        </is>
      </c>
    </row>
    <row r="11">
      <c r="A11" s="2" t="inlineStr">
        <is>
          <t>D01</t>
        </is>
      </c>
      <c r="B11" s="2" t="inlineStr">
        <is>
          <t>I10</t>
        </is>
      </c>
      <c r="C11" s="2" t="inlineStr">
        <is>
          <t>Strategic Learning Rate</t>
        </is>
      </c>
      <c r="D11" s="2" t="inlineStr">
        <is>
          <t>What exactly is being measured?</t>
        </is>
      </c>
      <c r="E11" s="2" t="inlineStr">
        <is>
          <t>What is the unit / scale?</t>
        </is>
      </c>
      <c r="F11" s="2" t="inlineStr">
        <is>
          <t>What population / sample is assessed?</t>
        </is>
      </c>
      <c r="G11" s="2" t="inlineStr">
        <is>
          <t>What is the observation period?</t>
        </is>
      </c>
      <c r="H11" s="2" t="inlineStr">
        <is>
          <t>What evidence is minimally required?</t>
        </is>
      </c>
      <c r="I11" s="2" t="inlineStr">
        <is>
          <t>What evidence qualifies as strong?</t>
        </is>
      </c>
      <c r="J11" s="2" t="inlineStr">
        <is>
          <t>Which maturity anchor applies?</t>
        </is>
      </c>
      <c r="K11" s="2" t="inlineStr">
        <is>
          <t>What makes the evidence independent?</t>
        </is>
      </c>
      <c r="L11" s="2" t="inlineStr">
        <is>
          <t>What is N/A and when is it allowed?</t>
        </is>
      </c>
      <c r="M11" s="2" t="inlineStr">
        <is>
          <t>What is the anti-gaming check?</t>
        </is>
      </c>
      <c r="N11" s="2" t="inlineStr">
        <is>
          <t>What is the primary scoring owner?</t>
        </is>
      </c>
      <c r="O11" s="2" t="inlineStr">
        <is>
          <t>What cross-domain signals should validate/contradict it?</t>
        </is>
      </c>
      <c r="P11" s="2" t="inlineStr">
        <is>
          <t>TO BE COMPLETED</t>
        </is>
      </c>
    </row>
    <row r="12">
      <c r="A12" s="2" t="inlineStr">
        <is>
          <t>D02</t>
        </is>
      </c>
      <c r="B12" s="2" t="inlineStr">
        <is>
          <t>I01</t>
        </is>
      </c>
      <c r="C12" s="2" t="inlineStr">
        <is>
          <t>Governance Ownership</t>
        </is>
      </c>
      <c r="D12" s="2" t="inlineStr">
        <is>
          <t>What exactly is being measured?</t>
        </is>
      </c>
      <c r="E12" s="2" t="inlineStr">
        <is>
          <t>What is the unit / scale?</t>
        </is>
      </c>
      <c r="F12" s="2" t="inlineStr">
        <is>
          <t>What population / sample is assessed?</t>
        </is>
      </c>
      <c r="G12" s="2" t="inlineStr">
        <is>
          <t>What is the observation period?</t>
        </is>
      </c>
      <c r="H12" s="2" t="inlineStr">
        <is>
          <t>What evidence is minimally required?</t>
        </is>
      </c>
      <c r="I12" s="2" t="inlineStr">
        <is>
          <t>What evidence qualifies as strong?</t>
        </is>
      </c>
      <c r="J12" s="2" t="inlineStr">
        <is>
          <t>Which maturity anchor applies?</t>
        </is>
      </c>
      <c r="K12" s="2" t="inlineStr">
        <is>
          <t>What makes the evidence independent?</t>
        </is>
      </c>
      <c r="L12" s="2" t="inlineStr">
        <is>
          <t>What is N/A and when is it allowed?</t>
        </is>
      </c>
      <c r="M12" s="2" t="inlineStr">
        <is>
          <t>What is the anti-gaming check?</t>
        </is>
      </c>
      <c r="N12" s="2" t="inlineStr">
        <is>
          <t>What is the primary scoring owner?</t>
        </is>
      </c>
      <c r="O12" s="2" t="inlineStr">
        <is>
          <t>What cross-domain signals should validate/contradict it?</t>
        </is>
      </c>
      <c r="P12" s="2" t="inlineStr">
        <is>
          <t>TO BE COMPLETED</t>
        </is>
      </c>
    </row>
    <row r="13">
      <c r="A13" s="2" t="inlineStr">
        <is>
          <t>D02</t>
        </is>
      </c>
      <c r="B13" s="2" t="inlineStr">
        <is>
          <t>I02</t>
        </is>
      </c>
      <c r="C13" s="2" t="inlineStr">
        <is>
          <t>Decision Architecture</t>
        </is>
      </c>
      <c r="D13" s="2" t="inlineStr">
        <is>
          <t>What exactly is being measured?</t>
        </is>
      </c>
      <c r="E13" s="2" t="inlineStr">
        <is>
          <t>What is the unit / scale?</t>
        </is>
      </c>
      <c r="F13" s="2" t="inlineStr">
        <is>
          <t>What population / sample is assessed?</t>
        </is>
      </c>
      <c r="G13" s="2" t="inlineStr">
        <is>
          <t>What is the observation period?</t>
        </is>
      </c>
      <c r="H13" s="2" t="inlineStr">
        <is>
          <t>What evidence is minimally required?</t>
        </is>
      </c>
      <c r="I13" s="2" t="inlineStr">
        <is>
          <t>What evidence qualifies as strong?</t>
        </is>
      </c>
      <c r="J13" s="2" t="inlineStr">
        <is>
          <t>Which maturity anchor applies?</t>
        </is>
      </c>
      <c r="K13" s="2" t="inlineStr">
        <is>
          <t>What makes the evidence independent?</t>
        </is>
      </c>
      <c r="L13" s="2" t="inlineStr">
        <is>
          <t>What is N/A and when is it allowed?</t>
        </is>
      </c>
      <c r="M13" s="2" t="inlineStr">
        <is>
          <t>What is the anti-gaming check?</t>
        </is>
      </c>
      <c r="N13" s="2" t="inlineStr">
        <is>
          <t>What is the primary scoring owner?</t>
        </is>
      </c>
      <c r="O13" s="2" t="inlineStr">
        <is>
          <t>What cross-domain signals should validate/contradict it?</t>
        </is>
      </c>
      <c r="P13" s="2" t="inlineStr">
        <is>
          <t>TO BE COMPLETED</t>
        </is>
      </c>
    </row>
    <row r="14">
      <c r="A14" s="2" t="inlineStr">
        <is>
          <t>D02</t>
        </is>
      </c>
      <c r="B14" s="2" t="inlineStr">
        <is>
          <t>I03</t>
        </is>
      </c>
      <c r="C14" s="2" t="inlineStr">
        <is>
          <t>Responsible AI Maturity</t>
        </is>
      </c>
      <c r="D14" s="2" t="inlineStr">
        <is>
          <t>What exactly is being measured?</t>
        </is>
      </c>
      <c r="E14" s="2" t="inlineStr">
        <is>
          <t>What is the unit / scale?</t>
        </is>
      </c>
      <c r="F14" s="2" t="inlineStr">
        <is>
          <t>What population / sample is assessed?</t>
        </is>
      </c>
      <c r="G14" s="2" t="inlineStr">
        <is>
          <t>What is the observation period?</t>
        </is>
      </c>
      <c r="H14" s="2" t="inlineStr">
        <is>
          <t>What evidence is minimally required?</t>
        </is>
      </c>
      <c r="I14" s="2" t="inlineStr">
        <is>
          <t>What evidence qualifies as strong?</t>
        </is>
      </c>
      <c r="J14" s="2" t="inlineStr">
        <is>
          <t>Which maturity anchor applies?</t>
        </is>
      </c>
      <c r="K14" s="2" t="inlineStr">
        <is>
          <t>What makes the evidence independent?</t>
        </is>
      </c>
      <c r="L14" s="2" t="inlineStr">
        <is>
          <t>What is N/A and when is it allowed?</t>
        </is>
      </c>
      <c r="M14" s="2" t="inlineStr">
        <is>
          <t>What is the anti-gaming check?</t>
        </is>
      </c>
      <c r="N14" s="2" t="inlineStr">
        <is>
          <t>What is the primary scoring owner?</t>
        </is>
      </c>
      <c r="O14" s="2" t="inlineStr">
        <is>
          <t>What cross-domain signals should validate/contradict it?</t>
        </is>
      </c>
      <c r="P14" s="2" t="inlineStr">
        <is>
          <t>TO BE COMPLETED</t>
        </is>
      </c>
    </row>
    <row r="15">
      <c r="A15" s="2" t="inlineStr">
        <is>
          <t>D02</t>
        </is>
      </c>
      <c r="B15" s="2" t="inlineStr">
        <is>
          <t>I04</t>
        </is>
      </c>
      <c r="C15" s="2" t="inlineStr">
        <is>
          <t>Data Governance Readiness</t>
        </is>
      </c>
      <c r="D15" s="2" t="inlineStr">
        <is>
          <t>What exactly is being measured?</t>
        </is>
      </c>
      <c r="E15" s="2" t="inlineStr">
        <is>
          <t>What is the unit / scale?</t>
        </is>
      </c>
      <c r="F15" s="2" t="inlineStr">
        <is>
          <t>What population / sample is assessed?</t>
        </is>
      </c>
      <c r="G15" s="2" t="inlineStr">
        <is>
          <t>What is the observation period?</t>
        </is>
      </c>
      <c r="H15" s="2" t="inlineStr">
        <is>
          <t>What evidence is minimally required?</t>
        </is>
      </c>
      <c r="I15" s="2" t="inlineStr">
        <is>
          <t>What evidence qualifies as strong?</t>
        </is>
      </c>
      <c r="J15" s="2" t="inlineStr">
        <is>
          <t>Which maturity anchor applies?</t>
        </is>
      </c>
      <c r="K15" s="2" t="inlineStr">
        <is>
          <t>What makes the evidence independent?</t>
        </is>
      </c>
      <c r="L15" s="2" t="inlineStr">
        <is>
          <t>What is N/A and when is it allowed?</t>
        </is>
      </c>
      <c r="M15" s="2" t="inlineStr">
        <is>
          <t>What is the anti-gaming check?</t>
        </is>
      </c>
      <c r="N15" s="2" t="inlineStr">
        <is>
          <t>What is the primary scoring owner?</t>
        </is>
      </c>
      <c r="O15" s="2" t="inlineStr">
        <is>
          <t>What cross-domain signals should validate/contradict it?</t>
        </is>
      </c>
      <c r="P15" s="2" t="inlineStr">
        <is>
          <t>TO BE COMPLETED</t>
        </is>
      </c>
    </row>
    <row r="16">
      <c r="A16" s="2" t="inlineStr">
        <is>
          <t>D02</t>
        </is>
      </c>
      <c r="B16" s="2" t="inlineStr">
        <is>
          <t>I05</t>
        </is>
      </c>
      <c r="C16" s="2" t="inlineStr">
        <is>
          <t>Academic Integrity Governance</t>
        </is>
      </c>
      <c r="D16" s="2" t="inlineStr">
        <is>
          <t>What exactly is being measured?</t>
        </is>
      </c>
      <c r="E16" s="2" t="inlineStr">
        <is>
          <t>What is the unit / scale?</t>
        </is>
      </c>
      <c r="F16" s="2" t="inlineStr">
        <is>
          <t>What population / sample is assessed?</t>
        </is>
      </c>
      <c r="G16" s="2" t="inlineStr">
        <is>
          <t>What is the observation period?</t>
        </is>
      </c>
      <c r="H16" s="2" t="inlineStr">
        <is>
          <t>What evidence is minimally required?</t>
        </is>
      </c>
      <c r="I16" s="2" t="inlineStr">
        <is>
          <t>What evidence qualifies as strong?</t>
        </is>
      </c>
      <c r="J16" s="2" t="inlineStr">
        <is>
          <t>Which maturity anchor applies?</t>
        </is>
      </c>
      <c r="K16" s="2" t="inlineStr">
        <is>
          <t>What makes the evidence independent?</t>
        </is>
      </c>
      <c r="L16" s="2" t="inlineStr">
        <is>
          <t>What is N/A and when is it allowed?</t>
        </is>
      </c>
      <c r="M16" s="2" t="inlineStr">
        <is>
          <t>What is the anti-gaming check?</t>
        </is>
      </c>
      <c r="N16" s="2" t="inlineStr">
        <is>
          <t>What is the primary scoring owner?</t>
        </is>
      </c>
      <c r="O16" s="2" t="inlineStr">
        <is>
          <t>What cross-domain signals should validate/contradict it?</t>
        </is>
      </c>
      <c r="P16" s="2" t="inlineStr">
        <is>
          <t>TO BE COMPLETED</t>
        </is>
      </c>
    </row>
    <row r="17">
      <c r="A17" s="2" t="inlineStr">
        <is>
          <t>D02</t>
        </is>
      </c>
      <c r="B17" s="2" t="inlineStr">
        <is>
          <t>I06</t>
        </is>
      </c>
      <c r="C17" s="2" t="inlineStr">
        <is>
          <t>Assessment Governance</t>
        </is>
      </c>
      <c r="D17" s="2" t="inlineStr">
        <is>
          <t>What exactly is being measured?</t>
        </is>
      </c>
      <c r="E17" s="2" t="inlineStr">
        <is>
          <t>What is the unit / scale?</t>
        </is>
      </c>
      <c r="F17" s="2" t="inlineStr">
        <is>
          <t>What population / sample is assessed?</t>
        </is>
      </c>
      <c r="G17" s="2" t="inlineStr">
        <is>
          <t>What is the observation period?</t>
        </is>
      </c>
      <c r="H17" s="2" t="inlineStr">
        <is>
          <t>What evidence is minimally required?</t>
        </is>
      </c>
      <c r="I17" s="2" t="inlineStr">
        <is>
          <t>What evidence qualifies as strong?</t>
        </is>
      </c>
      <c r="J17" s="2" t="inlineStr">
        <is>
          <t>Which maturity anchor applies?</t>
        </is>
      </c>
      <c r="K17" s="2" t="inlineStr">
        <is>
          <t>What makes the evidence independent?</t>
        </is>
      </c>
      <c r="L17" s="2" t="inlineStr">
        <is>
          <t>What is N/A and when is it allowed?</t>
        </is>
      </c>
      <c r="M17" s="2" t="inlineStr">
        <is>
          <t>What is the anti-gaming check?</t>
        </is>
      </c>
      <c r="N17" s="2" t="inlineStr">
        <is>
          <t>What is the primary scoring owner?</t>
        </is>
      </c>
      <c r="O17" s="2" t="inlineStr">
        <is>
          <t>What cross-domain signals should validate/contradict it?</t>
        </is>
      </c>
      <c r="P17" s="2" t="inlineStr">
        <is>
          <t>TO BE COMPLETED</t>
        </is>
      </c>
    </row>
    <row r="18">
      <c r="A18" s="2" t="inlineStr">
        <is>
          <t>D02</t>
        </is>
      </c>
      <c r="B18" s="2" t="inlineStr">
        <is>
          <t>I07</t>
        </is>
      </c>
      <c r="C18" s="2" t="inlineStr">
        <is>
          <t>AI Risk Management</t>
        </is>
      </c>
      <c r="D18" s="2" t="inlineStr">
        <is>
          <t>What exactly is being measured?</t>
        </is>
      </c>
      <c r="E18" s="2" t="inlineStr">
        <is>
          <t>What is the unit / scale?</t>
        </is>
      </c>
      <c r="F18" s="2" t="inlineStr">
        <is>
          <t>What population / sample is assessed?</t>
        </is>
      </c>
      <c r="G18" s="2" t="inlineStr">
        <is>
          <t>What is the observation period?</t>
        </is>
      </c>
      <c r="H18" s="2" t="inlineStr">
        <is>
          <t>What evidence is minimally required?</t>
        </is>
      </c>
      <c r="I18" s="2" t="inlineStr">
        <is>
          <t>What evidence qualifies as strong?</t>
        </is>
      </c>
      <c r="J18" s="2" t="inlineStr">
        <is>
          <t>Which maturity anchor applies?</t>
        </is>
      </c>
      <c r="K18" s="2" t="inlineStr">
        <is>
          <t>What makes the evidence independent?</t>
        </is>
      </c>
      <c r="L18" s="2" t="inlineStr">
        <is>
          <t>What is N/A and when is it allowed?</t>
        </is>
      </c>
      <c r="M18" s="2" t="inlineStr">
        <is>
          <t>What is the anti-gaming check?</t>
        </is>
      </c>
      <c r="N18" s="2" t="inlineStr">
        <is>
          <t>What is the primary scoring owner?</t>
        </is>
      </c>
      <c r="O18" s="2" t="inlineStr">
        <is>
          <t>What cross-domain signals should validate/contradict it?</t>
        </is>
      </c>
      <c r="P18" s="2" t="inlineStr">
        <is>
          <t>TO BE COMPLETED</t>
        </is>
      </c>
    </row>
    <row r="19">
      <c r="A19" s="2" t="inlineStr">
        <is>
          <t>D02</t>
        </is>
      </c>
      <c r="B19" s="2" t="inlineStr">
        <is>
          <t>I08</t>
        </is>
      </c>
      <c r="C19" s="2" t="inlineStr">
        <is>
          <t>Incident Responsiveness</t>
        </is>
      </c>
      <c r="D19" s="2" t="inlineStr">
        <is>
          <t>What exactly is being measured?</t>
        </is>
      </c>
      <c r="E19" s="2" t="inlineStr">
        <is>
          <t>What is the unit / scale?</t>
        </is>
      </c>
      <c r="F19" s="2" t="inlineStr">
        <is>
          <t>What population / sample is assessed?</t>
        </is>
      </c>
      <c r="G19" s="2" t="inlineStr">
        <is>
          <t>What is the observation period?</t>
        </is>
      </c>
      <c r="H19" s="2" t="inlineStr">
        <is>
          <t>What evidence is minimally required?</t>
        </is>
      </c>
      <c r="I19" s="2" t="inlineStr">
        <is>
          <t>What evidence qualifies as strong?</t>
        </is>
      </c>
      <c r="J19" s="2" t="inlineStr">
        <is>
          <t>Which maturity anchor applies?</t>
        </is>
      </c>
      <c r="K19" s="2" t="inlineStr">
        <is>
          <t>What makes the evidence independent?</t>
        </is>
      </c>
      <c r="L19" s="2" t="inlineStr">
        <is>
          <t>What is N/A and when is it allowed?</t>
        </is>
      </c>
      <c r="M19" s="2" t="inlineStr">
        <is>
          <t>What is the anti-gaming check?</t>
        </is>
      </c>
      <c r="N19" s="2" t="inlineStr">
        <is>
          <t>What is the primary scoring owner?</t>
        </is>
      </c>
      <c r="O19" s="2" t="inlineStr">
        <is>
          <t>What cross-domain signals should validate/contradict it?</t>
        </is>
      </c>
      <c r="P19" s="2" t="inlineStr">
        <is>
          <t>TO BE COMPLETED</t>
        </is>
      </c>
    </row>
    <row r="20">
      <c r="A20" s="2" t="inlineStr">
        <is>
          <t>D02</t>
        </is>
      </c>
      <c r="B20" s="2" t="inlineStr">
        <is>
          <t>I09</t>
        </is>
      </c>
      <c r="C20" s="2" t="inlineStr">
        <is>
          <t>Human Accountability</t>
        </is>
      </c>
      <c r="D20" s="2" t="inlineStr">
        <is>
          <t>What exactly is being measured?</t>
        </is>
      </c>
      <c r="E20" s="2" t="inlineStr">
        <is>
          <t>What is the unit / scale?</t>
        </is>
      </c>
      <c r="F20" s="2" t="inlineStr">
        <is>
          <t>What population / sample is assessed?</t>
        </is>
      </c>
      <c r="G20" s="2" t="inlineStr">
        <is>
          <t>What is the observation period?</t>
        </is>
      </c>
      <c r="H20" s="2" t="inlineStr">
        <is>
          <t>What evidence is minimally required?</t>
        </is>
      </c>
      <c r="I20" s="2" t="inlineStr">
        <is>
          <t>What evidence qualifies as strong?</t>
        </is>
      </c>
      <c r="J20" s="2" t="inlineStr">
        <is>
          <t>Which maturity anchor applies?</t>
        </is>
      </c>
      <c r="K20" s="2" t="inlineStr">
        <is>
          <t>What makes the evidence independent?</t>
        </is>
      </c>
      <c r="L20" s="2" t="inlineStr">
        <is>
          <t>What is N/A and when is it allowed?</t>
        </is>
      </c>
      <c r="M20" s="2" t="inlineStr">
        <is>
          <t>What is the anti-gaming check?</t>
        </is>
      </c>
      <c r="N20" s="2" t="inlineStr">
        <is>
          <t>What is the primary scoring owner?</t>
        </is>
      </c>
      <c r="O20" s="2" t="inlineStr">
        <is>
          <t>What cross-domain signals should validate/contradict it?</t>
        </is>
      </c>
      <c r="P20" s="2" t="inlineStr">
        <is>
          <t>TO BE COMPLETED</t>
        </is>
      </c>
    </row>
    <row r="21">
      <c r="A21" s="2" t="inlineStr">
        <is>
          <t>D02</t>
        </is>
      </c>
      <c r="B21" s="2" t="inlineStr">
        <is>
          <t>I10</t>
        </is>
      </c>
      <c r="C21" s="2" t="inlineStr">
        <is>
          <t>Vendor/Tool Governance</t>
        </is>
      </c>
      <c r="D21" s="2" t="inlineStr">
        <is>
          <t>What exactly is being measured?</t>
        </is>
      </c>
      <c r="E21" s="2" t="inlineStr">
        <is>
          <t>What is the unit / scale?</t>
        </is>
      </c>
      <c r="F21" s="2" t="inlineStr">
        <is>
          <t>What population / sample is assessed?</t>
        </is>
      </c>
      <c r="G21" s="2" t="inlineStr">
        <is>
          <t>What is the observation period?</t>
        </is>
      </c>
      <c r="H21" s="2" t="inlineStr">
        <is>
          <t>What evidence is minimally required?</t>
        </is>
      </c>
      <c r="I21" s="2" t="inlineStr">
        <is>
          <t>What evidence qualifies as strong?</t>
        </is>
      </c>
      <c r="J21" s="2" t="inlineStr">
        <is>
          <t>Which maturity anchor applies?</t>
        </is>
      </c>
      <c r="K21" s="2" t="inlineStr">
        <is>
          <t>What makes the evidence independent?</t>
        </is>
      </c>
      <c r="L21" s="2" t="inlineStr">
        <is>
          <t>What is N/A and when is it allowed?</t>
        </is>
      </c>
      <c r="M21" s="2" t="inlineStr">
        <is>
          <t>What is the anti-gaming check?</t>
        </is>
      </c>
      <c r="N21" s="2" t="inlineStr">
        <is>
          <t>What is the primary scoring owner?</t>
        </is>
      </c>
      <c r="O21" s="2" t="inlineStr">
        <is>
          <t>What cross-domain signals should validate/contradict it?</t>
        </is>
      </c>
      <c r="P21" s="2" t="inlineStr">
        <is>
          <t>TO BE COMPLETED</t>
        </is>
      </c>
    </row>
    <row r="22">
      <c r="A22" s="2" t="inlineStr">
        <is>
          <t>D02</t>
        </is>
      </c>
      <c r="B22" s="2" t="inlineStr">
        <is>
          <t>I11</t>
        </is>
      </c>
      <c r="C22" s="2" t="inlineStr">
        <is>
          <t>IP Governance</t>
        </is>
      </c>
      <c r="D22" s="2" t="inlineStr">
        <is>
          <t>What exactly is being measured?</t>
        </is>
      </c>
      <c r="E22" s="2" t="inlineStr">
        <is>
          <t>What is the unit / scale?</t>
        </is>
      </c>
      <c r="F22" s="2" t="inlineStr">
        <is>
          <t>What population / sample is assessed?</t>
        </is>
      </c>
      <c r="G22" s="2" t="inlineStr">
        <is>
          <t>What is the observation period?</t>
        </is>
      </c>
      <c r="H22" s="2" t="inlineStr">
        <is>
          <t>What evidence is minimally required?</t>
        </is>
      </c>
      <c r="I22" s="2" t="inlineStr">
        <is>
          <t>What evidence qualifies as strong?</t>
        </is>
      </c>
      <c r="J22" s="2" t="inlineStr">
        <is>
          <t>Which maturity anchor applies?</t>
        </is>
      </c>
      <c r="K22" s="2" t="inlineStr">
        <is>
          <t>What makes the evidence independent?</t>
        </is>
      </c>
      <c r="L22" s="2" t="inlineStr">
        <is>
          <t>What is N/A and when is it allowed?</t>
        </is>
      </c>
      <c r="M22" s="2" t="inlineStr">
        <is>
          <t>What is the anti-gaming check?</t>
        </is>
      </c>
      <c r="N22" s="2" t="inlineStr">
        <is>
          <t>What is the primary scoring owner?</t>
        </is>
      </c>
      <c r="O22" s="2" t="inlineStr">
        <is>
          <t>What cross-domain signals should validate/contradict it?</t>
        </is>
      </c>
      <c r="P22" s="2" t="inlineStr">
        <is>
          <t>TO BE COMPLETED</t>
        </is>
      </c>
    </row>
    <row r="23">
      <c r="A23" s="2" t="inlineStr">
        <is>
          <t>D02</t>
        </is>
      </c>
      <c r="B23" s="2" t="inlineStr">
        <is>
          <t>I12</t>
        </is>
      </c>
      <c r="C23" s="2" t="inlineStr">
        <is>
          <t>Research AI Governance</t>
        </is>
      </c>
      <c r="D23" s="2" t="inlineStr">
        <is>
          <t>What exactly is being measured?</t>
        </is>
      </c>
      <c r="E23" s="2" t="inlineStr">
        <is>
          <t>What is the unit / scale?</t>
        </is>
      </c>
      <c r="F23" s="2" t="inlineStr">
        <is>
          <t>What population / sample is assessed?</t>
        </is>
      </c>
      <c r="G23" s="2" t="inlineStr">
        <is>
          <t>What is the observation period?</t>
        </is>
      </c>
      <c r="H23" s="2" t="inlineStr">
        <is>
          <t>What evidence is minimally required?</t>
        </is>
      </c>
      <c r="I23" s="2" t="inlineStr">
        <is>
          <t>What evidence qualifies as strong?</t>
        </is>
      </c>
      <c r="J23" s="2" t="inlineStr">
        <is>
          <t>Which maturity anchor applies?</t>
        </is>
      </c>
      <c r="K23" s="2" t="inlineStr">
        <is>
          <t>What makes the evidence independent?</t>
        </is>
      </c>
      <c r="L23" s="2" t="inlineStr">
        <is>
          <t>What is N/A and when is it allowed?</t>
        </is>
      </c>
      <c r="M23" s="2" t="inlineStr">
        <is>
          <t>What is the anti-gaming check?</t>
        </is>
      </c>
      <c r="N23" s="2" t="inlineStr">
        <is>
          <t>What is the primary scoring owner?</t>
        </is>
      </c>
      <c r="O23" s="2" t="inlineStr">
        <is>
          <t>What cross-domain signals should validate/contradict it?</t>
        </is>
      </c>
      <c r="P23" s="2" t="inlineStr">
        <is>
          <t>TO BE COMPLETED</t>
        </is>
      </c>
    </row>
    <row r="24">
      <c r="A24" s="2" t="inlineStr">
        <is>
          <t>D02</t>
        </is>
      </c>
      <c r="B24" s="2" t="inlineStr">
        <is>
          <t>I13</t>
        </is>
      </c>
      <c r="C24" s="2" t="inlineStr">
        <is>
          <t>Governance Review Adaptability</t>
        </is>
      </c>
      <c r="D24" s="2" t="inlineStr">
        <is>
          <t>What exactly is being measured?</t>
        </is>
      </c>
      <c r="E24" s="2" t="inlineStr">
        <is>
          <t>What is the unit / scale?</t>
        </is>
      </c>
      <c r="F24" s="2" t="inlineStr">
        <is>
          <t>What population / sample is assessed?</t>
        </is>
      </c>
      <c r="G24" s="2" t="inlineStr">
        <is>
          <t>What is the observation period?</t>
        </is>
      </c>
      <c r="H24" s="2" t="inlineStr">
        <is>
          <t>What evidence is minimally required?</t>
        </is>
      </c>
      <c r="I24" s="2" t="inlineStr">
        <is>
          <t>What evidence qualifies as strong?</t>
        </is>
      </c>
      <c r="J24" s="2" t="inlineStr">
        <is>
          <t>Which maturity anchor applies?</t>
        </is>
      </c>
      <c r="K24" s="2" t="inlineStr">
        <is>
          <t>What makes the evidence independent?</t>
        </is>
      </c>
      <c r="L24" s="2" t="inlineStr">
        <is>
          <t>What is N/A and when is it allowed?</t>
        </is>
      </c>
      <c r="M24" s="2" t="inlineStr">
        <is>
          <t>What is the anti-gaming check?</t>
        </is>
      </c>
      <c r="N24" s="2" t="inlineStr">
        <is>
          <t>What is the primary scoring owner?</t>
        </is>
      </c>
      <c r="O24" s="2" t="inlineStr">
        <is>
          <t>What cross-domain signals should validate/contradict it?</t>
        </is>
      </c>
      <c r="P24" s="2" t="inlineStr">
        <is>
          <t>TO BE COMPLETED</t>
        </is>
      </c>
    </row>
    <row r="25">
      <c r="A25" s="2" t="inlineStr">
        <is>
          <t>D02</t>
        </is>
      </c>
      <c r="B25" s="2" t="inlineStr">
        <is>
          <t>I14</t>
        </is>
      </c>
      <c r="C25" s="2" t="inlineStr">
        <is>
          <t>Governance Effectiveness</t>
        </is>
      </c>
      <c r="D25" s="2" t="inlineStr">
        <is>
          <t>What exactly is being measured?</t>
        </is>
      </c>
      <c r="E25" s="2" t="inlineStr">
        <is>
          <t>What is the unit / scale?</t>
        </is>
      </c>
      <c r="F25" s="2" t="inlineStr">
        <is>
          <t>What population / sample is assessed?</t>
        </is>
      </c>
      <c r="G25" s="2" t="inlineStr">
        <is>
          <t>What is the observation period?</t>
        </is>
      </c>
      <c r="H25" s="2" t="inlineStr">
        <is>
          <t>What evidence is minimally required?</t>
        </is>
      </c>
      <c r="I25" s="2" t="inlineStr">
        <is>
          <t>What evidence qualifies as strong?</t>
        </is>
      </c>
      <c r="J25" s="2" t="inlineStr">
        <is>
          <t>Which maturity anchor applies?</t>
        </is>
      </c>
      <c r="K25" s="2" t="inlineStr">
        <is>
          <t>What makes the evidence independent?</t>
        </is>
      </c>
      <c r="L25" s="2" t="inlineStr">
        <is>
          <t>What is N/A and when is it allowed?</t>
        </is>
      </c>
      <c r="M25" s="2" t="inlineStr">
        <is>
          <t>What is the anti-gaming check?</t>
        </is>
      </c>
      <c r="N25" s="2" t="inlineStr">
        <is>
          <t>What is the primary scoring owner?</t>
        </is>
      </c>
      <c r="O25" s="2" t="inlineStr">
        <is>
          <t>What cross-domain signals should validate/contradict it?</t>
        </is>
      </c>
      <c r="P25" s="2" t="inlineStr">
        <is>
          <t>TO BE COMPLETED</t>
        </is>
      </c>
    </row>
    <row r="26">
      <c r="A26" s="2" t="inlineStr">
        <is>
          <t>D03</t>
        </is>
      </c>
      <c r="B26" s="2" t="inlineStr">
        <is>
          <t>I01</t>
        </is>
      </c>
      <c r="C26" s="2" t="inlineStr">
        <is>
          <t>Foundational Knowledge Depth</t>
        </is>
      </c>
      <c r="D26" s="2" t="inlineStr">
        <is>
          <t>What exactly is being measured?</t>
        </is>
      </c>
      <c r="E26" s="2" t="inlineStr">
        <is>
          <t>What is the unit / scale?</t>
        </is>
      </c>
      <c r="F26" s="2" t="inlineStr">
        <is>
          <t>What population / sample is assessed?</t>
        </is>
      </c>
      <c r="G26" s="2" t="inlineStr">
        <is>
          <t>What is the observation period?</t>
        </is>
      </c>
      <c r="H26" s="2" t="inlineStr">
        <is>
          <t>What evidence is minimally required?</t>
        </is>
      </c>
      <c r="I26" s="2" t="inlineStr">
        <is>
          <t>What evidence qualifies as strong?</t>
        </is>
      </c>
      <c r="J26" s="2" t="inlineStr">
        <is>
          <t>Which maturity anchor applies?</t>
        </is>
      </c>
      <c r="K26" s="2" t="inlineStr">
        <is>
          <t>What makes the evidence independent?</t>
        </is>
      </c>
      <c r="L26" s="2" t="inlineStr">
        <is>
          <t>What is N/A and when is it allowed?</t>
        </is>
      </c>
      <c r="M26" s="2" t="inlineStr">
        <is>
          <t>What is the anti-gaming check?</t>
        </is>
      </c>
      <c r="N26" s="2" t="inlineStr">
        <is>
          <t>What is the primary scoring owner?</t>
        </is>
      </c>
      <c r="O26" s="2" t="inlineStr">
        <is>
          <t>What cross-domain signals should validate/contradict it?</t>
        </is>
      </c>
      <c r="P26" s="2" t="inlineStr">
        <is>
          <t>TO BE COMPLETED</t>
        </is>
      </c>
    </row>
    <row r="27">
      <c r="A27" s="2" t="inlineStr">
        <is>
          <t>D03</t>
        </is>
      </c>
      <c r="B27" s="2" t="inlineStr">
        <is>
          <t>I02</t>
        </is>
      </c>
      <c r="C27" s="2" t="inlineStr">
        <is>
          <t>Critical Reasoning Development</t>
        </is>
      </c>
      <c r="D27" s="2" t="inlineStr">
        <is>
          <t>What exactly is being measured?</t>
        </is>
      </c>
      <c r="E27" s="2" t="inlineStr">
        <is>
          <t>What is the unit / scale?</t>
        </is>
      </c>
      <c r="F27" s="2" t="inlineStr">
        <is>
          <t>What population / sample is assessed?</t>
        </is>
      </c>
      <c r="G27" s="2" t="inlineStr">
        <is>
          <t>What is the observation period?</t>
        </is>
      </c>
      <c r="H27" s="2" t="inlineStr">
        <is>
          <t>What evidence is minimally required?</t>
        </is>
      </c>
      <c r="I27" s="2" t="inlineStr">
        <is>
          <t>What evidence qualifies as strong?</t>
        </is>
      </c>
      <c r="J27" s="2" t="inlineStr">
        <is>
          <t>Which maturity anchor applies?</t>
        </is>
      </c>
      <c r="K27" s="2" t="inlineStr">
        <is>
          <t>What makes the evidence independent?</t>
        </is>
      </c>
      <c r="L27" s="2" t="inlineStr">
        <is>
          <t>What is N/A and when is it allowed?</t>
        </is>
      </c>
      <c r="M27" s="2" t="inlineStr">
        <is>
          <t>What is the anti-gaming check?</t>
        </is>
      </c>
      <c r="N27" s="2" t="inlineStr">
        <is>
          <t>What is the primary scoring owner?</t>
        </is>
      </c>
      <c r="O27" s="2" t="inlineStr">
        <is>
          <t>What cross-domain signals should validate/contradict it?</t>
        </is>
      </c>
      <c r="P27" s="2" t="inlineStr">
        <is>
          <t>TO BE COMPLETED</t>
        </is>
      </c>
    </row>
    <row r="28">
      <c r="A28" s="2" t="inlineStr">
        <is>
          <t>D03</t>
        </is>
      </c>
      <c r="B28" s="2" t="inlineStr">
        <is>
          <t>I03</t>
        </is>
      </c>
      <c r="C28" s="2" t="inlineStr">
        <is>
          <t>Question Formulation</t>
        </is>
      </c>
      <c r="D28" s="2" t="inlineStr">
        <is>
          <t>What exactly is being measured?</t>
        </is>
      </c>
      <c r="E28" s="2" t="inlineStr">
        <is>
          <t>What is the unit / scale?</t>
        </is>
      </c>
      <c r="F28" s="2" t="inlineStr">
        <is>
          <t>What population / sample is assessed?</t>
        </is>
      </c>
      <c r="G28" s="2" t="inlineStr">
        <is>
          <t>What is the observation period?</t>
        </is>
      </c>
      <c r="H28" s="2" t="inlineStr">
        <is>
          <t>What evidence is minimally required?</t>
        </is>
      </c>
      <c r="I28" s="2" t="inlineStr">
        <is>
          <t>What evidence qualifies as strong?</t>
        </is>
      </c>
      <c r="J28" s="2" t="inlineStr">
        <is>
          <t>Which maturity anchor applies?</t>
        </is>
      </c>
      <c r="K28" s="2" t="inlineStr">
        <is>
          <t>What makes the evidence independent?</t>
        </is>
      </c>
      <c r="L28" s="2" t="inlineStr">
        <is>
          <t>What is N/A and when is it allowed?</t>
        </is>
      </c>
      <c r="M28" s="2" t="inlineStr">
        <is>
          <t>What is the anti-gaming check?</t>
        </is>
      </c>
      <c r="N28" s="2" t="inlineStr">
        <is>
          <t>What is the primary scoring owner?</t>
        </is>
      </c>
      <c r="O28" s="2" t="inlineStr">
        <is>
          <t>What cross-domain signals should validate/contradict it?</t>
        </is>
      </c>
      <c r="P28" s="2" t="inlineStr">
        <is>
          <t>TO BE COMPLETED</t>
        </is>
      </c>
    </row>
    <row r="29">
      <c r="A29" s="2" t="inlineStr">
        <is>
          <t>D03</t>
        </is>
      </c>
      <c r="B29" s="2" t="inlineStr">
        <is>
          <t>I04</t>
        </is>
      </c>
      <c r="C29" s="2" t="inlineStr">
        <is>
          <t>Analytical Reasoning</t>
        </is>
      </c>
      <c r="D29" s="2" t="inlineStr">
        <is>
          <t>What exactly is being measured?</t>
        </is>
      </c>
      <c r="E29" s="2" t="inlineStr">
        <is>
          <t>What is the unit / scale?</t>
        </is>
      </c>
      <c r="F29" s="2" t="inlineStr">
        <is>
          <t>What population / sample is assessed?</t>
        </is>
      </c>
      <c r="G29" s="2" t="inlineStr">
        <is>
          <t>What is the observation period?</t>
        </is>
      </c>
      <c r="H29" s="2" t="inlineStr">
        <is>
          <t>What evidence is minimally required?</t>
        </is>
      </c>
      <c r="I29" s="2" t="inlineStr">
        <is>
          <t>What evidence qualifies as strong?</t>
        </is>
      </c>
      <c r="J29" s="2" t="inlineStr">
        <is>
          <t>Which maturity anchor applies?</t>
        </is>
      </c>
      <c r="K29" s="2" t="inlineStr">
        <is>
          <t>What makes the evidence independent?</t>
        </is>
      </c>
      <c r="L29" s="2" t="inlineStr">
        <is>
          <t>What is N/A and when is it allowed?</t>
        </is>
      </c>
      <c r="M29" s="2" t="inlineStr">
        <is>
          <t>What is the anti-gaming check?</t>
        </is>
      </c>
      <c r="N29" s="2" t="inlineStr">
        <is>
          <t>What is the primary scoring owner?</t>
        </is>
      </c>
      <c r="O29" s="2" t="inlineStr">
        <is>
          <t>What cross-domain signals should validate/contradict it?</t>
        </is>
      </c>
      <c r="P29" s="2" t="inlineStr">
        <is>
          <t>TO BE COMPLETED</t>
        </is>
      </c>
    </row>
    <row r="30">
      <c r="A30" s="2" t="inlineStr">
        <is>
          <t>D03</t>
        </is>
      </c>
      <c r="B30" s="2" t="inlineStr">
        <is>
          <t>I05</t>
        </is>
      </c>
      <c r="C30" s="2" t="inlineStr">
        <is>
          <t>Problem Formulation</t>
        </is>
      </c>
      <c r="D30" s="2" t="inlineStr">
        <is>
          <t>What exactly is being measured?</t>
        </is>
      </c>
      <c r="E30" s="2" t="inlineStr">
        <is>
          <t>What is the unit / scale?</t>
        </is>
      </c>
      <c r="F30" s="2" t="inlineStr">
        <is>
          <t>What population / sample is assessed?</t>
        </is>
      </c>
      <c r="G30" s="2" t="inlineStr">
        <is>
          <t>What is the observation period?</t>
        </is>
      </c>
      <c r="H30" s="2" t="inlineStr">
        <is>
          <t>What evidence is minimally required?</t>
        </is>
      </c>
      <c r="I30" s="2" t="inlineStr">
        <is>
          <t>What evidence qualifies as strong?</t>
        </is>
      </c>
      <c r="J30" s="2" t="inlineStr">
        <is>
          <t>Which maturity anchor applies?</t>
        </is>
      </c>
      <c r="K30" s="2" t="inlineStr">
        <is>
          <t>What makes the evidence independent?</t>
        </is>
      </c>
      <c r="L30" s="2" t="inlineStr">
        <is>
          <t>What is N/A and when is it allowed?</t>
        </is>
      </c>
      <c r="M30" s="2" t="inlineStr">
        <is>
          <t>What is the anti-gaming check?</t>
        </is>
      </c>
      <c r="N30" s="2" t="inlineStr">
        <is>
          <t>What is the primary scoring owner?</t>
        </is>
      </c>
      <c r="O30" s="2" t="inlineStr">
        <is>
          <t>What cross-domain signals should validate/contradict it?</t>
        </is>
      </c>
      <c r="P30" s="2" t="inlineStr">
        <is>
          <t>TO BE COMPLETED</t>
        </is>
      </c>
    </row>
    <row r="31">
      <c r="A31" s="2" t="inlineStr">
        <is>
          <t>D03</t>
        </is>
      </c>
      <c r="B31" s="2" t="inlineStr">
        <is>
          <t>I06</t>
        </is>
      </c>
      <c r="C31" s="2" t="inlineStr">
        <is>
          <t>Creativity &amp; Originality</t>
        </is>
      </c>
      <c r="D31" s="2" t="inlineStr">
        <is>
          <t>What exactly is being measured?</t>
        </is>
      </c>
      <c r="E31" s="2" t="inlineStr">
        <is>
          <t>What is the unit / scale?</t>
        </is>
      </c>
      <c r="F31" s="2" t="inlineStr">
        <is>
          <t>What population / sample is assessed?</t>
        </is>
      </c>
      <c r="G31" s="2" t="inlineStr">
        <is>
          <t>What is the observation period?</t>
        </is>
      </c>
      <c r="H31" s="2" t="inlineStr">
        <is>
          <t>What evidence is minimally required?</t>
        </is>
      </c>
      <c r="I31" s="2" t="inlineStr">
        <is>
          <t>What evidence qualifies as strong?</t>
        </is>
      </c>
      <c r="J31" s="2" t="inlineStr">
        <is>
          <t>Which maturity anchor applies?</t>
        </is>
      </c>
      <c r="K31" s="2" t="inlineStr">
        <is>
          <t>What makes the evidence independent?</t>
        </is>
      </c>
      <c r="L31" s="2" t="inlineStr">
        <is>
          <t>What is N/A and when is it allowed?</t>
        </is>
      </c>
      <c r="M31" s="2" t="inlineStr">
        <is>
          <t>What is the anti-gaming check?</t>
        </is>
      </c>
      <c r="N31" s="2" t="inlineStr">
        <is>
          <t>What is the primary scoring owner?</t>
        </is>
      </c>
      <c r="O31" s="2" t="inlineStr">
        <is>
          <t>What cross-domain signals should validate/contradict it?</t>
        </is>
      </c>
      <c r="P31" s="2" t="inlineStr">
        <is>
          <t>TO BE COMPLETED</t>
        </is>
      </c>
    </row>
    <row r="32">
      <c r="A32" s="2" t="inlineStr">
        <is>
          <t>D03</t>
        </is>
      </c>
      <c r="B32" s="2" t="inlineStr">
        <is>
          <t>I07</t>
        </is>
      </c>
      <c r="C32" s="2" t="inlineStr">
        <is>
          <t>Judgement Capability</t>
        </is>
      </c>
      <c r="D32" s="2" t="inlineStr">
        <is>
          <t>What exactly is being measured?</t>
        </is>
      </c>
      <c r="E32" s="2" t="inlineStr">
        <is>
          <t>What is the unit / scale?</t>
        </is>
      </c>
      <c r="F32" s="2" t="inlineStr">
        <is>
          <t>What population / sample is assessed?</t>
        </is>
      </c>
      <c r="G32" s="2" t="inlineStr">
        <is>
          <t>What is the observation period?</t>
        </is>
      </c>
      <c r="H32" s="2" t="inlineStr">
        <is>
          <t>What evidence is minimally required?</t>
        </is>
      </c>
      <c r="I32" s="2" t="inlineStr">
        <is>
          <t>What evidence qualifies as strong?</t>
        </is>
      </c>
      <c r="J32" s="2" t="inlineStr">
        <is>
          <t>Which maturity anchor applies?</t>
        </is>
      </c>
      <c r="K32" s="2" t="inlineStr">
        <is>
          <t>What makes the evidence independent?</t>
        </is>
      </c>
      <c r="L32" s="2" t="inlineStr">
        <is>
          <t>What is N/A and when is it allowed?</t>
        </is>
      </c>
      <c r="M32" s="2" t="inlineStr">
        <is>
          <t>What is the anti-gaming check?</t>
        </is>
      </c>
      <c r="N32" s="2" t="inlineStr">
        <is>
          <t>What is the primary scoring owner?</t>
        </is>
      </c>
      <c r="O32" s="2" t="inlineStr">
        <is>
          <t>What cross-domain signals should validate/contradict it?</t>
        </is>
      </c>
      <c r="P32" s="2" t="inlineStr">
        <is>
          <t>TO BE COMPLETED</t>
        </is>
      </c>
    </row>
    <row r="33">
      <c r="A33" s="2" t="inlineStr">
        <is>
          <t>D03</t>
        </is>
      </c>
      <c r="B33" s="2" t="inlineStr">
        <is>
          <t>I08</t>
        </is>
      </c>
      <c r="C33" s="2" t="inlineStr">
        <is>
          <t>AI Verification Capability</t>
        </is>
      </c>
      <c r="D33" s="2" t="inlineStr">
        <is>
          <t>What exactly is being measured?</t>
        </is>
      </c>
      <c r="E33" s="2" t="inlineStr">
        <is>
          <t>What is the unit / scale?</t>
        </is>
      </c>
      <c r="F33" s="2" t="inlineStr">
        <is>
          <t>What population / sample is assessed?</t>
        </is>
      </c>
      <c r="G33" s="2" t="inlineStr">
        <is>
          <t>What is the observation period?</t>
        </is>
      </c>
      <c r="H33" s="2" t="inlineStr">
        <is>
          <t>What evidence is minimally required?</t>
        </is>
      </c>
      <c r="I33" s="2" t="inlineStr">
        <is>
          <t>What evidence qualifies as strong?</t>
        </is>
      </c>
      <c r="J33" s="2" t="inlineStr">
        <is>
          <t>Which maturity anchor applies?</t>
        </is>
      </c>
      <c r="K33" s="2" t="inlineStr">
        <is>
          <t>What makes the evidence independent?</t>
        </is>
      </c>
      <c r="L33" s="2" t="inlineStr">
        <is>
          <t>What is N/A and when is it allowed?</t>
        </is>
      </c>
      <c r="M33" s="2" t="inlineStr">
        <is>
          <t>What is the anti-gaming check?</t>
        </is>
      </c>
      <c r="N33" s="2" t="inlineStr">
        <is>
          <t>What is the primary scoring owner?</t>
        </is>
      </c>
      <c r="O33" s="2" t="inlineStr">
        <is>
          <t>What cross-domain signals should validate/contradict it?</t>
        </is>
      </c>
      <c r="P33" s="2" t="inlineStr">
        <is>
          <t>TO BE COMPLETED</t>
        </is>
      </c>
    </row>
    <row r="34">
      <c r="A34" s="2" t="inlineStr">
        <is>
          <t>D03</t>
        </is>
      </c>
      <c r="B34" s="2" t="inlineStr">
        <is>
          <t>I09</t>
        </is>
      </c>
      <c r="C34" s="2" t="inlineStr">
        <is>
          <t>Metacognitive Capability</t>
        </is>
      </c>
      <c r="D34" s="2" t="inlineStr">
        <is>
          <t>What exactly is being measured?</t>
        </is>
      </c>
      <c r="E34" s="2" t="inlineStr">
        <is>
          <t>What is the unit / scale?</t>
        </is>
      </c>
      <c r="F34" s="2" t="inlineStr">
        <is>
          <t>What population / sample is assessed?</t>
        </is>
      </c>
      <c r="G34" s="2" t="inlineStr">
        <is>
          <t>What is the observation period?</t>
        </is>
      </c>
      <c r="H34" s="2" t="inlineStr">
        <is>
          <t>What evidence is minimally required?</t>
        </is>
      </c>
      <c r="I34" s="2" t="inlineStr">
        <is>
          <t>What evidence qualifies as strong?</t>
        </is>
      </c>
      <c r="J34" s="2" t="inlineStr">
        <is>
          <t>Which maturity anchor applies?</t>
        </is>
      </c>
      <c r="K34" s="2" t="inlineStr">
        <is>
          <t>What makes the evidence independent?</t>
        </is>
      </c>
      <c r="L34" s="2" t="inlineStr">
        <is>
          <t>What is N/A and when is it allowed?</t>
        </is>
      </c>
      <c r="M34" s="2" t="inlineStr">
        <is>
          <t>What is the anti-gaming check?</t>
        </is>
      </c>
      <c r="N34" s="2" t="inlineStr">
        <is>
          <t>What is the primary scoring owner?</t>
        </is>
      </c>
      <c r="O34" s="2" t="inlineStr">
        <is>
          <t>What cross-domain signals should validate/contradict it?</t>
        </is>
      </c>
      <c r="P34" s="2" t="inlineStr">
        <is>
          <t>TO BE COMPLETED</t>
        </is>
      </c>
    </row>
    <row r="35">
      <c r="A35" s="2" t="inlineStr">
        <is>
          <t>D03</t>
        </is>
      </c>
      <c r="B35" s="2" t="inlineStr">
        <is>
          <t>I10</t>
        </is>
      </c>
      <c r="C35" s="2" t="inlineStr">
        <is>
          <t>Human-AI Collaboration</t>
        </is>
      </c>
      <c r="D35" s="2" t="inlineStr">
        <is>
          <t>What exactly is being measured?</t>
        </is>
      </c>
      <c r="E35" s="2" t="inlineStr">
        <is>
          <t>What is the unit / scale?</t>
        </is>
      </c>
      <c r="F35" s="2" t="inlineStr">
        <is>
          <t>What population / sample is assessed?</t>
        </is>
      </c>
      <c r="G35" s="2" t="inlineStr">
        <is>
          <t>What is the observation period?</t>
        </is>
      </c>
      <c r="H35" s="2" t="inlineStr">
        <is>
          <t>What evidence is minimally required?</t>
        </is>
      </c>
      <c r="I35" s="2" t="inlineStr">
        <is>
          <t>What evidence qualifies as strong?</t>
        </is>
      </c>
      <c r="J35" s="2" t="inlineStr">
        <is>
          <t>Which maturity anchor applies?</t>
        </is>
      </c>
      <c r="K35" s="2" t="inlineStr">
        <is>
          <t>What makes the evidence independent?</t>
        </is>
      </c>
      <c r="L35" s="2" t="inlineStr">
        <is>
          <t>What is N/A and when is it allowed?</t>
        </is>
      </c>
      <c r="M35" s="2" t="inlineStr">
        <is>
          <t>What is the anti-gaming check?</t>
        </is>
      </c>
      <c r="N35" s="2" t="inlineStr">
        <is>
          <t>What is the primary scoring owner?</t>
        </is>
      </c>
      <c r="O35" s="2" t="inlineStr">
        <is>
          <t>What cross-domain signals should validate/contradict it?</t>
        </is>
      </c>
      <c r="P35" s="2" t="inlineStr">
        <is>
          <t>TO BE COMPLETED</t>
        </is>
      </c>
    </row>
    <row r="36">
      <c r="A36" s="2" t="inlineStr">
        <is>
          <t>D03</t>
        </is>
      </c>
      <c r="B36" s="2" t="inlineStr">
        <is>
          <t>I11</t>
        </is>
      </c>
      <c r="C36" s="2" t="inlineStr">
        <is>
          <t>Communication &amp; Defence</t>
        </is>
      </c>
      <c r="D36" s="2" t="inlineStr">
        <is>
          <t>What exactly is being measured?</t>
        </is>
      </c>
      <c r="E36" s="2" t="inlineStr">
        <is>
          <t>What is the unit / scale?</t>
        </is>
      </c>
      <c r="F36" s="2" t="inlineStr">
        <is>
          <t>What population / sample is assessed?</t>
        </is>
      </c>
      <c r="G36" s="2" t="inlineStr">
        <is>
          <t>What is the observation period?</t>
        </is>
      </c>
      <c r="H36" s="2" t="inlineStr">
        <is>
          <t>What evidence is minimally required?</t>
        </is>
      </c>
      <c r="I36" s="2" t="inlineStr">
        <is>
          <t>What evidence qualifies as strong?</t>
        </is>
      </c>
      <c r="J36" s="2" t="inlineStr">
        <is>
          <t>Which maturity anchor applies?</t>
        </is>
      </c>
      <c r="K36" s="2" t="inlineStr">
        <is>
          <t>What makes the evidence independent?</t>
        </is>
      </c>
      <c r="L36" s="2" t="inlineStr">
        <is>
          <t>What is N/A and when is it allowed?</t>
        </is>
      </c>
      <c r="M36" s="2" t="inlineStr">
        <is>
          <t>What is the anti-gaming check?</t>
        </is>
      </c>
      <c r="N36" s="2" t="inlineStr">
        <is>
          <t>What is the primary scoring owner?</t>
        </is>
      </c>
      <c r="O36" s="2" t="inlineStr">
        <is>
          <t>What cross-domain signals should validate/contradict it?</t>
        </is>
      </c>
      <c r="P36" s="2" t="inlineStr">
        <is>
          <t>TO BE COMPLETED</t>
        </is>
      </c>
    </row>
    <row r="37">
      <c r="A37" s="2" t="inlineStr">
        <is>
          <t>D03</t>
        </is>
      </c>
      <c r="B37" s="2" t="inlineStr">
        <is>
          <t>I12</t>
        </is>
      </c>
      <c r="C37" s="2" t="inlineStr">
        <is>
          <t>Collaboration Capability</t>
        </is>
      </c>
      <c r="D37" s="2" t="inlineStr">
        <is>
          <t>What exactly is being measured?</t>
        </is>
      </c>
      <c r="E37" s="2" t="inlineStr">
        <is>
          <t>What is the unit / scale?</t>
        </is>
      </c>
      <c r="F37" s="2" t="inlineStr">
        <is>
          <t>What population / sample is assessed?</t>
        </is>
      </c>
      <c r="G37" s="2" t="inlineStr">
        <is>
          <t>What is the observation period?</t>
        </is>
      </c>
      <c r="H37" s="2" t="inlineStr">
        <is>
          <t>What evidence is minimally required?</t>
        </is>
      </c>
      <c r="I37" s="2" t="inlineStr">
        <is>
          <t>What evidence qualifies as strong?</t>
        </is>
      </c>
      <c r="J37" s="2" t="inlineStr">
        <is>
          <t>Which maturity anchor applies?</t>
        </is>
      </c>
      <c r="K37" s="2" t="inlineStr">
        <is>
          <t>What makes the evidence independent?</t>
        </is>
      </c>
      <c r="L37" s="2" t="inlineStr">
        <is>
          <t>What is N/A and when is it allowed?</t>
        </is>
      </c>
      <c r="M37" s="2" t="inlineStr">
        <is>
          <t>What is the anti-gaming check?</t>
        </is>
      </c>
      <c r="N37" s="2" t="inlineStr">
        <is>
          <t>What is the primary scoring owner?</t>
        </is>
      </c>
      <c r="O37" s="2" t="inlineStr">
        <is>
          <t>What cross-domain signals should validate/contradict it?</t>
        </is>
      </c>
      <c r="P37" s="2" t="inlineStr">
        <is>
          <t>TO BE COMPLETED</t>
        </is>
      </c>
    </row>
    <row r="38">
      <c r="A38" s="2" t="inlineStr">
        <is>
          <t>D03</t>
        </is>
      </c>
      <c r="B38" s="2" t="inlineStr">
        <is>
          <t>I13</t>
        </is>
      </c>
      <c r="C38" s="2" t="inlineStr">
        <is>
          <t>Practical Capability</t>
        </is>
      </c>
      <c r="D38" s="2" t="inlineStr">
        <is>
          <t>What exactly is being measured?</t>
        </is>
      </c>
      <c r="E38" s="2" t="inlineStr">
        <is>
          <t>What is the unit / scale?</t>
        </is>
      </c>
      <c r="F38" s="2" t="inlineStr">
        <is>
          <t>What population / sample is assessed?</t>
        </is>
      </c>
      <c r="G38" s="2" t="inlineStr">
        <is>
          <t>What is the observation period?</t>
        </is>
      </c>
      <c r="H38" s="2" t="inlineStr">
        <is>
          <t>What evidence is minimally required?</t>
        </is>
      </c>
      <c r="I38" s="2" t="inlineStr">
        <is>
          <t>What evidence qualifies as strong?</t>
        </is>
      </c>
      <c r="J38" s="2" t="inlineStr">
        <is>
          <t>Which maturity anchor applies?</t>
        </is>
      </c>
      <c r="K38" s="2" t="inlineStr">
        <is>
          <t>What makes the evidence independent?</t>
        </is>
      </c>
      <c r="L38" s="2" t="inlineStr">
        <is>
          <t>What is N/A and when is it allowed?</t>
        </is>
      </c>
      <c r="M38" s="2" t="inlineStr">
        <is>
          <t>What is the anti-gaming check?</t>
        </is>
      </c>
      <c r="N38" s="2" t="inlineStr">
        <is>
          <t>What is the primary scoring owner?</t>
        </is>
      </c>
      <c r="O38" s="2" t="inlineStr">
        <is>
          <t>What cross-domain signals should validate/contradict it?</t>
        </is>
      </c>
      <c r="P38" s="2" t="inlineStr">
        <is>
          <t>TO BE COMPLETED</t>
        </is>
      </c>
    </row>
    <row r="39">
      <c r="A39" s="2" t="inlineStr">
        <is>
          <t>D03</t>
        </is>
      </c>
      <c r="B39" s="2" t="inlineStr">
        <is>
          <t>I14</t>
        </is>
      </c>
      <c r="C39" s="2" t="inlineStr">
        <is>
          <t>Ethical/Social Judgement</t>
        </is>
      </c>
      <c r="D39" s="2" t="inlineStr">
        <is>
          <t>What exactly is being measured?</t>
        </is>
      </c>
      <c r="E39" s="2" t="inlineStr">
        <is>
          <t>What is the unit / scale?</t>
        </is>
      </c>
      <c r="F39" s="2" t="inlineStr">
        <is>
          <t>What population / sample is assessed?</t>
        </is>
      </c>
      <c r="G39" s="2" t="inlineStr">
        <is>
          <t>What is the observation period?</t>
        </is>
      </c>
      <c r="H39" s="2" t="inlineStr">
        <is>
          <t>What evidence is minimally required?</t>
        </is>
      </c>
      <c r="I39" s="2" t="inlineStr">
        <is>
          <t>What evidence qualifies as strong?</t>
        </is>
      </c>
      <c r="J39" s="2" t="inlineStr">
        <is>
          <t>Which maturity anchor applies?</t>
        </is>
      </c>
      <c r="K39" s="2" t="inlineStr">
        <is>
          <t>What makes the evidence independent?</t>
        </is>
      </c>
      <c r="L39" s="2" t="inlineStr">
        <is>
          <t>What is N/A and when is it allowed?</t>
        </is>
      </c>
      <c r="M39" s="2" t="inlineStr">
        <is>
          <t>What is the anti-gaming check?</t>
        </is>
      </c>
      <c r="N39" s="2" t="inlineStr">
        <is>
          <t>What is the primary scoring owner?</t>
        </is>
      </c>
      <c r="O39" s="2" t="inlineStr">
        <is>
          <t>What cross-domain signals should validate/contradict it?</t>
        </is>
      </c>
      <c r="P39" s="2" t="inlineStr">
        <is>
          <t>TO BE COMPLETED</t>
        </is>
      </c>
    </row>
    <row r="40">
      <c r="A40" s="2" t="inlineStr">
        <is>
          <t>D03</t>
        </is>
      </c>
      <c r="B40" s="2" t="inlineStr">
        <is>
          <t>I15</t>
        </is>
      </c>
      <c r="C40" s="2" t="inlineStr">
        <is>
          <t>Intellectual Agency</t>
        </is>
      </c>
      <c r="D40" s="2" t="inlineStr">
        <is>
          <t>What exactly is being measured?</t>
        </is>
      </c>
      <c r="E40" s="2" t="inlineStr">
        <is>
          <t>What is the unit / scale?</t>
        </is>
      </c>
      <c r="F40" s="2" t="inlineStr">
        <is>
          <t>What population / sample is assessed?</t>
        </is>
      </c>
      <c r="G40" s="2" t="inlineStr">
        <is>
          <t>What is the observation period?</t>
        </is>
      </c>
      <c r="H40" s="2" t="inlineStr">
        <is>
          <t>What evidence is minimally required?</t>
        </is>
      </c>
      <c r="I40" s="2" t="inlineStr">
        <is>
          <t>What evidence qualifies as strong?</t>
        </is>
      </c>
      <c r="J40" s="2" t="inlineStr">
        <is>
          <t>Which maturity anchor applies?</t>
        </is>
      </c>
      <c r="K40" s="2" t="inlineStr">
        <is>
          <t>What makes the evidence independent?</t>
        </is>
      </c>
      <c r="L40" s="2" t="inlineStr">
        <is>
          <t>What is N/A and when is it allowed?</t>
        </is>
      </c>
      <c r="M40" s="2" t="inlineStr">
        <is>
          <t>What is the anti-gaming check?</t>
        </is>
      </c>
      <c r="N40" s="2" t="inlineStr">
        <is>
          <t>What is the primary scoring owner?</t>
        </is>
      </c>
      <c r="O40" s="2" t="inlineStr">
        <is>
          <t>What cross-domain signals should validate/contradict it?</t>
        </is>
      </c>
      <c r="P40" s="2" t="inlineStr">
        <is>
          <t>TO BE COMPLETED</t>
        </is>
      </c>
    </row>
    <row r="41">
      <c r="A41" s="2" t="inlineStr">
        <is>
          <t>D03</t>
        </is>
      </c>
      <c r="B41" s="2" t="inlineStr">
        <is>
          <t>I16</t>
        </is>
      </c>
      <c r="C41" s="2" t="inlineStr">
        <is>
          <t>Transfer Capability</t>
        </is>
      </c>
      <c r="D41" s="2" t="inlineStr">
        <is>
          <t>What exactly is being measured?</t>
        </is>
      </c>
      <c r="E41" s="2" t="inlineStr">
        <is>
          <t>What is the unit / scale?</t>
        </is>
      </c>
      <c r="F41" s="2" t="inlineStr">
        <is>
          <t>What population / sample is assessed?</t>
        </is>
      </c>
      <c r="G41" s="2" t="inlineStr">
        <is>
          <t>What is the observation period?</t>
        </is>
      </c>
      <c r="H41" s="2" t="inlineStr">
        <is>
          <t>What evidence is minimally required?</t>
        </is>
      </c>
      <c r="I41" s="2" t="inlineStr">
        <is>
          <t>What evidence qualifies as strong?</t>
        </is>
      </c>
      <c r="J41" s="2" t="inlineStr">
        <is>
          <t>Which maturity anchor applies?</t>
        </is>
      </c>
      <c r="K41" s="2" t="inlineStr">
        <is>
          <t>What makes the evidence independent?</t>
        </is>
      </c>
      <c r="L41" s="2" t="inlineStr">
        <is>
          <t>What is N/A and when is it allowed?</t>
        </is>
      </c>
      <c r="M41" s="2" t="inlineStr">
        <is>
          <t>What is the anti-gaming check?</t>
        </is>
      </c>
      <c r="N41" s="2" t="inlineStr">
        <is>
          <t>What is the primary scoring owner?</t>
        </is>
      </c>
      <c r="O41" s="2" t="inlineStr">
        <is>
          <t>What cross-domain signals should validate/contradict it?</t>
        </is>
      </c>
      <c r="P41" s="2" t="inlineStr">
        <is>
          <t>TO BE COMPLETED</t>
        </is>
      </c>
    </row>
    <row r="42">
      <c r="A42" s="2" t="inlineStr">
        <is>
          <t>D03</t>
        </is>
      </c>
      <c r="B42" s="2" t="inlineStr">
        <is>
          <t>I17</t>
        </is>
      </c>
      <c r="C42" s="2" t="inlineStr">
        <is>
          <t>Non-Technical Discipline AI Capability</t>
        </is>
      </c>
      <c r="D42" s="2" t="inlineStr">
        <is>
          <t>What exactly is being measured?</t>
        </is>
      </c>
      <c r="E42" s="2" t="inlineStr">
        <is>
          <t>What is the unit / scale?</t>
        </is>
      </c>
      <c r="F42" s="2" t="inlineStr">
        <is>
          <t>What population / sample is assessed?</t>
        </is>
      </c>
      <c r="G42" s="2" t="inlineStr">
        <is>
          <t>What is the observation period?</t>
        </is>
      </c>
      <c r="H42" s="2" t="inlineStr">
        <is>
          <t>What evidence is minimally required?</t>
        </is>
      </c>
      <c r="I42" s="2" t="inlineStr">
        <is>
          <t>What evidence qualifies as strong?</t>
        </is>
      </c>
      <c r="J42" s="2" t="inlineStr">
        <is>
          <t>Which maturity anchor applies?</t>
        </is>
      </c>
      <c r="K42" s="2" t="inlineStr">
        <is>
          <t>What makes the evidence independent?</t>
        </is>
      </c>
      <c r="L42" s="2" t="inlineStr">
        <is>
          <t>What is N/A and when is it allowed?</t>
        </is>
      </c>
      <c r="M42" s="2" t="inlineStr">
        <is>
          <t>What is the anti-gaming check?</t>
        </is>
      </c>
      <c r="N42" s="2" t="inlineStr">
        <is>
          <t>What is the primary scoring owner?</t>
        </is>
      </c>
      <c r="O42" s="2" t="inlineStr">
        <is>
          <t>What cross-domain signals should validate/contradict it?</t>
        </is>
      </c>
      <c r="P42" s="2" t="inlineStr">
        <is>
          <t>TO BE COMPLETED</t>
        </is>
      </c>
    </row>
    <row r="43">
      <c r="A43" s="2" t="inlineStr">
        <is>
          <t>D04</t>
        </is>
      </c>
      <c r="B43" s="2" t="inlineStr">
        <is>
          <t>I01</t>
        </is>
      </c>
      <c r="C43" s="2" t="inlineStr">
        <is>
          <t>Curriculum Sensing Maturity</t>
        </is>
      </c>
      <c r="D43" s="2" t="inlineStr">
        <is>
          <t>What exactly is being measured?</t>
        </is>
      </c>
      <c r="E43" s="2" t="inlineStr">
        <is>
          <t>What is the unit / scale?</t>
        </is>
      </c>
      <c r="F43" s="2" t="inlineStr">
        <is>
          <t>What population / sample is assessed?</t>
        </is>
      </c>
      <c r="G43" s="2" t="inlineStr">
        <is>
          <t>What is the observation period?</t>
        </is>
      </c>
      <c r="H43" s="2" t="inlineStr">
        <is>
          <t>What evidence is minimally required?</t>
        </is>
      </c>
      <c r="I43" s="2" t="inlineStr">
        <is>
          <t>What evidence qualifies as strong?</t>
        </is>
      </c>
      <c r="J43" s="2" t="inlineStr">
        <is>
          <t>Which maturity anchor applies?</t>
        </is>
      </c>
      <c r="K43" s="2" t="inlineStr">
        <is>
          <t>What makes the evidence independent?</t>
        </is>
      </c>
      <c r="L43" s="2" t="inlineStr">
        <is>
          <t>What is N/A and when is it allowed?</t>
        </is>
      </c>
      <c r="M43" s="2" t="inlineStr">
        <is>
          <t>What is the anti-gaming check?</t>
        </is>
      </c>
      <c r="N43" s="2" t="inlineStr">
        <is>
          <t>What is the primary scoring owner?</t>
        </is>
      </c>
      <c r="O43" s="2" t="inlineStr">
        <is>
          <t>What cross-domain signals should validate/contradict it?</t>
        </is>
      </c>
      <c r="P43" s="2" t="inlineStr">
        <is>
          <t>TO BE COMPLETED</t>
        </is>
      </c>
    </row>
    <row r="44">
      <c r="A44" s="2" t="inlineStr">
        <is>
          <t>D04</t>
        </is>
      </c>
      <c r="B44" s="2" t="inlineStr">
        <is>
          <t>I02</t>
        </is>
      </c>
      <c r="C44" s="2" t="inlineStr">
        <is>
          <t>Future Learning Outcome Alignment</t>
        </is>
      </c>
      <c r="D44" s="2" t="inlineStr">
        <is>
          <t>What exactly is being measured?</t>
        </is>
      </c>
      <c r="E44" s="2" t="inlineStr">
        <is>
          <t>What is the unit / scale?</t>
        </is>
      </c>
      <c r="F44" s="2" t="inlineStr">
        <is>
          <t>What population / sample is assessed?</t>
        </is>
      </c>
      <c r="G44" s="2" t="inlineStr">
        <is>
          <t>What is the observation period?</t>
        </is>
      </c>
      <c r="H44" s="2" t="inlineStr">
        <is>
          <t>What evidence is minimally required?</t>
        </is>
      </c>
      <c r="I44" s="2" t="inlineStr">
        <is>
          <t>What evidence qualifies as strong?</t>
        </is>
      </c>
      <c r="J44" s="2" t="inlineStr">
        <is>
          <t>Which maturity anchor applies?</t>
        </is>
      </c>
      <c r="K44" s="2" t="inlineStr">
        <is>
          <t>What makes the evidence independent?</t>
        </is>
      </c>
      <c r="L44" s="2" t="inlineStr">
        <is>
          <t>What is N/A and when is it allowed?</t>
        </is>
      </c>
      <c r="M44" s="2" t="inlineStr">
        <is>
          <t>What is the anti-gaming check?</t>
        </is>
      </c>
      <c r="N44" s="2" t="inlineStr">
        <is>
          <t>What is the primary scoring owner?</t>
        </is>
      </c>
      <c r="O44" s="2" t="inlineStr">
        <is>
          <t>What cross-domain signals should validate/contradict it?</t>
        </is>
      </c>
      <c r="P44" s="2" t="inlineStr">
        <is>
          <t>TO BE COMPLETED</t>
        </is>
      </c>
    </row>
    <row r="45">
      <c r="A45" s="2" t="inlineStr">
        <is>
          <t>D04</t>
        </is>
      </c>
      <c r="B45" s="2" t="inlineStr">
        <is>
          <t>I03</t>
        </is>
      </c>
      <c r="C45" s="2" t="inlineStr">
        <is>
          <t>Programme Review Effectiveness</t>
        </is>
      </c>
      <c r="D45" s="2" t="inlineStr">
        <is>
          <t>What exactly is being measured?</t>
        </is>
      </c>
      <c r="E45" s="2" t="inlineStr">
        <is>
          <t>What is the unit / scale?</t>
        </is>
      </c>
      <c r="F45" s="2" t="inlineStr">
        <is>
          <t>What population / sample is assessed?</t>
        </is>
      </c>
      <c r="G45" s="2" t="inlineStr">
        <is>
          <t>What is the observation period?</t>
        </is>
      </c>
      <c r="H45" s="2" t="inlineStr">
        <is>
          <t>What evidence is minimally required?</t>
        </is>
      </c>
      <c r="I45" s="2" t="inlineStr">
        <is>
          <t>What evidence qualifies as strong?</t>
        </is>
      </c>
      <c r="J45" s="2" t="inlineStr">
        <is>
          <t>Which maturity anchor applies?</t>
        </is>
      </c>
      <c r="K45" s="2" t="inlineStr">
        <is>
          <t>What makes the evidence independent?</t>
        </is>
      </c>
      <c r="L45" s="2" t="inlineStr">
        <is>
          <t>What is N/A and when is it allowed?</t>
        </is>
      </c>
      <c r="M45" s="2" t="inlineStr">
        <is>
          <t>What is the anti-gaming check?</t>
        </is>
      </c>
      <c r="N45" s="2" t="inlineStr">
        <is>
          <t>What is the primary scoring owner?</t>
        </is>
      </c>
      <c r="O45" s="2" t="inlineStr">
        <is>
          <t>What cross-domain signals should validate/contradict it?</t>
        </is>
      </c>
      <c r="P45" s="2" t="inlineStr">
        <is>
          <t>TO BE COMPLETED</t>
        </is>
      </c>
    </row>
    <row r="46">
      <c r="A46" s="2" t="inlineStr">
        <is>
          <t>D04</t>
        </is>
      </c>
      <c r="B46" s="2" t="inlineStr">
        <is>
          <t>I04</t>
        </is>
      </c>
      <c r="C46" s="2" t="inlineStr">
        <is>
          <t>Disciplinary AI Integration Depth</t>
        </is>
      </c>
      <c r="D46" s="2" t="inlineStr">
        <is>
          <t>What exactly is being measured?</t>
        </is>
      </c>
      <c r="E46" s="2" t="inlineStr">
        <is>
          <t>What is the unit / scale?</t>
        </is>
      </c>
      <c r="F46" s="2" t="inlineStr">
        <is>
          <t>What population / sample is assessed?</t>
        </is>
      </c>
      <c r="G46" s="2" t="inlineStr">
        <is>
          <t>What is the observation period?</t>
        </is>
      </c>
      <c r="H46" s="2" t="inlineStr">
        <is>
          <t>What evidence is minimally required?</t>
        </is>
      </c>
      <c r="I46" s="2" t="inlineStr">
        <is>
          <t>What evidence qualifies as strong?</t>
        </is>
      </c>
      <c r="J46" s="2" t="inlineStr">
        <is>
          <t>Which maturity anchor applies?</t>
        </is>
      </c>
      <c r="K46" s="2" t="inlineStr">
        <is>
          <t>What makes the evidence independent?</t>
        </is>
      </c>
      <c r="L46" s="2" t="inlineStr">
        <is>
          <t>What is N/A and when is it allowed?</t>
        </is>
      </c>
      <c r="M46" s="2" t="inlineStr">
        <is>
          <t>What is the anti-gaming check?</t>
        </is>
      </c>
      <c r="N46" s="2" t="inlineStr">
        <is>
          <t>What is the primary scoring owner?</t>
        </is>
      </c>
      <c r="O46" s="2" t="inlineStr">
        <is>
          <t>What cross-domain signals should validate/contradict it?</t>
        </is>
      </c>
      <c r="P46" s="2" t="inlineStr">
        <is>
          <t>TO BE COMPLETED</t>
        </is>
      </c>
    </row>
    <row r="47">
      <c r="A47" s="2" t="inlineStr">
        <is>
          <t>D04</t>
        </is>
      </c>
      <c r="B47" s="2" t="inlineStr">
        <is>
          <t>I05</t>
        </is>
      </c>
      <c r="C47" s="2" t="inlineStr">
        <is>
          <t>Content Obsolescence Response</t>
        </is>
      </c>
      <c r="D47" s="2" t="inlineStr">
        <is>
          <t>What exactly is being measured?</t>
        </is>
      </c>
      <c r="E47" s="2" t="inlineStr">
        <is>
          <t>What is the unit / scale?</t>
        </is>
      </c>
      <c r="F47" s="2" t="inlineStr">
        <is>
          <t>What population / sample is assessed?</t>
        </is>
      </c>
      <c r="G47" s="2" t="inlineStr">
        <is>
          <t>What is the observation period?</t>
        </is>
      </c>
      <c r="H47" s="2" t="inlineStr">
        <is>
          <t>What evidence is minimally required?</t>
        </is>
      </c>
      <c r="I47" s="2" t="inlineStr">
        <is>
          <t>What evidence qualifies as strong?</t>
        </is>
      </c>
      <c r="J47" s="2" t="inlineStr">
        <is>
          <t>Which maturity anchor applies?</t>
        </is>
      </c>
      <c r="K47" s="2" t="inlineStr">
        <is>
          <t>What makes the evidence independent?</t>
        </is>
      </c>
      <c r="L47" s="2" t="inlineStr">
        <is>
          <t>What is N/A and when is it allowed?</t>
        </is>
      </c>
      <c r="M47" s="2" t="inlineStr">
        <is>
          <t>What is the anti-gaming check?</t>
        </is>
      </c>
      <c r="N47" s="2" t="inlineStr">
        <is>
          <t>What is the primary scoring owner?</t>
        </is>
      </c>
      <c r="O47" s="2" t="inlineStr">
        <is>
          <t>What cross-domain signals should validate/contradict it?</t>
        </is>
      </c>
      <c r="P47" s="2" t="inlineStr">
        <is>
          <t>TO BE COMPLETED</t>
        </is>
      </c>
    </row>
    <row r="48">
      <c r="A48" s="2" t="inlineStr">
        <is>
          <t>D04</t>
        </is>
      </c>
      <c r="B48" s="2" t="inlineStr">
        <is>
          <t>I06</t>
        </is>
      </c>
      <c r="C48" s="2" t="inlineStr">
        <is>
          <t>Experiential Learning Strength</t>
        </is>
      </c>
      <c r="D48" s="2" t="inlineStr">
        <is>
          <t>What exactly is being measured?</t>
        </is>
      </c>
      <c r="E48" s="2" t="inlineStr">
        <is>
          <t>What is the unit / scale?</t>
        </is>
      </c>
      <c r="F48" s="2" t="inlineStr">
        <is>
          <t>What population / sample is assessed?</t>
        </is>
      </c>
      <c r="G48" s="2" t="inlineStr">
        <is>
          <t>What is the observation period?</t>
        </is>
      </c>
      <c r="H48" s="2" t="inlineStr">
        <is>
          <t>What evidence is minimally required?</t>
        </is>
      </c>
      <c r="I48" s="2" t="inlineStr">
        <is>
          <t>What evidence qualifies as strong?</t>
        </is>
      </c>
      <c r="J48" s="2" t="inlineStr">
        <is>
          <t>Which maturity anchor applies?</t>
        </is>
      </c>
      <c r="K48" s="2" t="inlineStr">
        <is>
          <t>What makes the evidence independent?</t>
        </is>
      </c>
      <c r="L48" s="2" t="inlineStr">
        <is>
          <t>What is N/A and when is it allowed?</t>
        </is>
      </c>
      <c r="M48" s="2" t="inlineStr">
        <is>
          <t>What is the anti-gaming check?</t>
        </is>
      </c>
      <c r="N48" s="2" t="inlineStr">
        <is>
          <t>What is the primary scoring owner?</t>
        </is>
      </c>
      <c r="O48" s="2" t="inlineStr">
        <is>
          <t>What cross-domain signals should validate/contradict it?</t>
        </is>
      </c>
      <c r="P48" s="2" t="inlineStr">
        <is>
          <t>TO BE COMPLETED</t>
        </is>
      </c>
    </row>
    <row r="49">
      <c r="A49" s="2" t="inlineStr">
        <is>
          <t>D04</t>
        </is>
      </c>
      <c r="B49" s="2" t="inlineStr">
        <is>
          <t>I07</t>
        </is>
      </c>
      <c r="C49" s="2" t="inlineStr">
        <is>
          <t>Interdisciplinary Flexibility</t>
        </is>
      </c>
      <c r="D49" s="2" t="inlineStr">
        <is>
          <t>What exactly is being measured?</t>
        </is>
      </c>
      <c r="E49" s="2" t="inlineStr">
        <is>
          <t>What is the unit / scale?</t>
        </is>
      </c>
      <c r="F49" s="2" t="inlineStr">
        <is>
          <t>What population / sample is assessed?</t>
        </is>
      </c>
      <c r="G49" s="2" t="inlineStr">
        <is>
          <t>What is the observation period?</t>
        </is>
      </c>
      <c r="H49" s="2" t="inlineStr">
        <is>
          <t>What evidence is minimally required?</t>
        </is>
      </c>
      <c r="I49" s="2" t="inlineStr">
        <is>
          <t>What evidence qualifies as strong?</t>
        </is>
      </c>
      <c r="J49" s="2" t="inlineStr">
        <is>
          <t>Which maturity anchor applies?</t>
        </is>
      </c>
      <c r="K49" s="2" t="inlineStr">
        <is>
          <t>What makes the evidence independent?</t>
        </is>
      </c>
      <c r="L49" s="2" t="inlineStr">
        <is>
          <t>What is N/A and when is it allowed?</t>
        </is>
      </c>
      <c r="M49" s="2" t="inlineStr">
        <is>
          <t>What is the anti-gaming check?</t>
        </is>
      </c>
      <c r="N49" s="2" t="inlineStr">
        <is>
          <t>What is the primary scoring owner?</t>
        </is>
      </c>
      <c r="O49" s="2" t="inlineStr">
        <is>
          <t>What cross-domain signals should validate/contradict it?</t>
        </is>
      </c>
      <c r="P49" s="2" t="inlineStr">
        <is>
          <t>TO BE COMPLETED</t>
        </is>
      </c>
    </row>
    <row r="50">
      <c r="A50" s="2" t="inlineStr">
        <is>
          <t>D04</t>
        </is>
      </c>
      <c r="B50" s="2" t="inlineStr">
        <is>
          <t>I08</t>
        </is>
      </c>
      <c r="C50" s="2" t="inlineStr">
        <is>
          <t>Programme Agility</t>
        </is>
      </c>
      <c r="D50" s="2" t="inlineStr">
        <is>
          <t>What exactly is being measured?</t>
        </is>
      </c>
      <c r="E50" s="2" t="inlineStr">
        <is>
          <t>What is the unit / scale?</t>
        </is>
      </c>
      <c r="F50" s="2" t="inlineStr">
        <is>
          <t>What population / sample is assessed?</t>
        </is>
      </c>
      <c r="G50" s="2" t="inlineStr">
        <is>
          <t>What is the observation period?</t>
        </is>
      </c>
      <c r="H50" s="2" t="inlineStr">
        <is>
          <t>What evidence is minimally required?</t>
        </is>
      </c>
      <c r="I50" s="2" t="inlineStr">
        <is>
          <t>What evidence qualifies as strong?</t>
        </is>
      </c>
      <c r="J50" s="2" t="inlineStr">
        <is>
          <t>Which maturity anchor applies?</t>
        </is>
      </c>
      <c r="K50" s="2" t="inlineStr">
        <is>
          <t>What makes the evidence independent?</t>
        </is>
      </c>
      <c r="L50" s="2" t="inlineStr">
        <is>
          <t>What is N/A and when is it allowed?</t>
        </is>
      </c>
      <c r="M50" s="2" t="inlineStr">
        <is>
          <t>What is the anti-gaming check?</t>
        </is>
      </c>
      <c r="N50" s="2" t="inlineStr">
        <is>
          <t>What is the primary scoring owner?</t>
        </is>
      </c>
      <c r="O50" s="2" t="inlineStr">
        <is>
          <t>What cross-domain signals should validate/contradict it?</t>
        </is>
      </c>
      <c r="P50" s="2" t="inlineStr">
        <is>
          <t>TO BE COMPLETED</t>
        </is>
      </c>
    </row>
    <row r="51">
      <c r="A51" s="2" t="inlineStr">
        <is>
          <t>D04</t>
        </is>
      </c>
      <c r="B51" s="2" t="inlineStr">
        <is>
          <t>I09</t>
        </is>
      </c>
      <c r="C51" s="2" t="inlineStr">
        <is>
          <t>External Validation Strength</t>
        </is>
      </c>
      <c r="D51" s="2" t="inlineStr">
        <is>
          <t>What exactly is being measured?</t>
        </is>
      </c>
      <c r="E51" s="2" t="inlineStr">
        <is>
          <t>What is the unit / scale?</t>
        </is>
      </c>
      <c r="F51" s="2" t="inlineStr">
        <is>
          <t>What population / sample is assessed?</t>
        </is>
      </c>
      <c r="G51" s="2" t="inlineStr">
        <is>
          <t>What is the observation period?</t>
        </is>
      </c>
      <c r="H51" s="2" t="inlineStr">
        <is>
          <t>What evidence is minimally required?</t>
        </is>
      </c>
      <c r="I51" s="2" t="inlineStr">
        <is>
          <t>What evidence qualifies as strong?</t>
        </is>
      </c>
      <c r="J51" s="2" t="inlineStr">
        <is>
          <t>Which maturity anchor applies?</t>
        </is>
      </c>
      <c r="K51" s="2" t="inlineStr">
        <is>
          <t>What makes the evidence independent?</t>
        </is>
      </c>
      <c r="L51" s="2" t="inlineStr">
        <is>
          <t>What is N/A and when is it allowed?</t>
        </is>
      </c>
      <c r="M51" s="2" t="inlineStr">
        <is>
          <t>What is the anti-gaming check?</t>
        </is>
      </c>
      <c r="N51" s="2" t="inlineStr">
        <is>
          <t>What is the primary scoring owner?</t>
        </is>
      </c>
      <c r="O51" s="2" t="inlineStr">
        <is>
          <t>What cross-domain signals should validate/contradict it?</t>
        </is>
      </c>
      <c r="P51" s="2" t="inlineStr">
        <is>
          <t>TO BE COMPLETED</t>
        </is>
      </c>
    </row>
    <row r="52">
      <c r="A52" s="2" t="inlineStr">
        <is>
          <t>D04</t>
        </is>
      </c>
      <c r="B52" s="2" t="inlineStr">
        <is>
          <t>I10</t>
        </is>
      </c>
      <c r="C52" s="2" t="inlineStr">
        <is>
          <t>External Learning Ecosystem</t>
        </is>
      </c>
      <c r="D52" s="2" t="inlineStr">
        <is>
          <t>What exactly is being measured?</t>
        </is>
      </c>
      <c r="E52" s="2" t="inlineStr">
        <is>
          <t>What is the unit / scale?</t>
        </is>
      </c>
      <c r="F52" s="2" t="inlineStr">
        <is>
          <t>What population / sample is assessed?</t>
        </is>
      </c>
      <c r="G52" s="2" t="inlineStr">
        <is>
          <t>What is the observation period?</t>
        </is>
      </c>
      <c r="H52" s="2" t="inlineStr">
        <is>
          <t>What evidence is minimally required?</t>
        </is>
      </c>
      <c r="I52" s="2" t="inlineStr">
        <is>
          <t>What evidence qualifies as strong?</t>
        </is>
      </c>
      <c r="J52" s="2" t="inlineStr">
        <is>
          <t>Which maturity anchor applies?</t>
        </is>
      </c>
      <c r="K52" s="2" t="inlineStr">
        <is>
          <t>What makes the evidence independent?</t>
        </is>
      </c>
      <c r="L52" s="2" t="inlineStr">
        <is>
          <t>What is N/A and when is it allowed?</t>
        </is>
      </c>
      <c r="M52" s="2" t="inlineStr">
        <is>
          <t>What is the anti-gaming check?</t>
        </is>
      </c>
      <c r="N52" s="2" t="inlineStr">
        <is>
          <t>What is the primary scoring owner?</t>
        </is>
      </c>
      <c r="O52" s="2" t="inlineStr">
        <is>
          <t>What cross-domain signals should validate/contradict it?</t>
        </is>
      </c>
      <c r="P52" s="2" t="inlineStr">
        <is>
          <t>TO BE COMPLETED</t>
        </is>
      </c>
    </row>
    <row r="53">
      <c r="A53" s="2" t="inlineStr">
        <is>
          <t>D04</t>
        </is>
      </c>
      <c r="B53" s="2" t="inlineStr">
        <is>
          <t>I11</t>
        </is>
      </c>
      <c r="C53" s="2" t="inlineStr">
        <is>
          <t>Transfer Capability</t>
        </is>
      </c>
      <c r="D53" s="2" t="inlineStr">
        <is>
          <t>What exactly is being measured?</t>
        </is>
      </c>
      <c r="E53" s="2" t="inlineStr">
        <is>
          <t>What is the unit / scale?</t>
        </is>
      </c>
      <c r="F53" s="2" t="inlineStr">
        <is>
          <t>What population / sample is assessed?</t>
        </is>
      </c>
      <c r="G53" s="2" t="inlineStr">
        <is>
          <t>What is the observation period?</t>
        </is>
      </c>
      <c r="H53" s="2" t="inlineStr">
        <is>
          <t>What evidence is minimally required?</t>
        </is>
      </c>
      <c r="I53" s="2" t="inlineStr">
        <is>
          <t>What evidence qualifies as strong?</t>
        </is>
      </c>
      <c r="J53" s="2" t="inlineStr">
        <is>
          <t>Which maturity anchor applies?</t>
        </is>
      </c>
      <c r="K53" s="2" t="inlineStr">
        <is>
          <t>What makes the evidence independent?</t>
        </is>
      </c>
      <c r="L53" s="2" t="inlineStr">
        <is>
          <t>What is N/A and when is it allowed?</t>
        </is>
      </c>
      <c r="M53" s="2" t="inlineStr">
        <is>
          <t>What is the anti-gaming check?</t>
        </is>
      </c>
      <c r="N53" s="2" t="inlineStr">
        <is>
          <t>What is the primary scoring owner?</t>
        </is>
      </c>
      <c r="O53" s="2" t="inlineStr">
        <is>
          <t>What cross-domain signals should validate/contradict it?</t>
        </is>
      </c>
      <c r="P53" s="2" t="inlineStr">
        <is>
          <t>TO BE COMPLETED</t>
        </is>
      </c>
    </row>
    <row r="54">
      <c r="A54" s="2" t="inlineStr">
        <is>
          <t>D04</t>
        </is>
      </c>
      <c r="B54" s="2" t="inlineStr">
        <is>
          <t>I12</t>
        </is>
      </c>
      <c r="C54" s="2" t="inlineStr">
        <is>
          <t>Portfolio Foresight</t>
        </is>
      </c>
      <c r="D54" s="2" t="inlineStr">
        <is>
          <t>What exactly is being measured?</t>
        </is>
      </c>
      <c r="E54" s="2" t="inlineStr">
        <is>
          <t>What is the unit / scale?</t>
        </is>
      </c>
      <c r="F54" s="2" t="inlineStr">
        <is>
          <t>What population / sample is assessed?</t>
        </is>
      </c>
      <c r="G54" s="2" t="inlineStr">
        <is>
          <t>What is the observation period?</t>
        </is>
      </c>
      <c r="H54" s="2" t="inlineStr">
        <is>
          <t>What evidence is minimally required?</t>
        </is>
      </c>
      <c r="I54" s="2" t="inlineStr">
        <is>
          <t>What evidence qualifies as strong?</t>
        </is>
      </c>
      <c r="J54" s="2" t="inlineStr">
        <is>
          <t>Which maturity anchor applies?</t>
        </is>
      </c>
      <c r="K54" s="2" t="inlineStr">
        <is>
          <t>What makes the evidence independent?</t>
        </is>
      </c>
      <c r="L54" s="2" t="inlineStr">
        <is>
          <t>What is N/A and when is it allowed?</t>
        </is>
      </c>
      <c r="M54" s="2" t="inlineStr">
        <is>
          <t>What is the anti-gaming check?</t>
        </is>
      </c>
      <c r="N54" s="2" t="inlineStr">
        <is>
          <t>What is the primary scoring owner?</t>
        </is>
      </c>
      <c r="O54" s="2" t="inlineStr">
        <is>
          <t>What cross-domain signals should validate/contradict it?</t>
        </is>
      </c>
      <c r="P54" s="2" t="inlineStr">
        <is>
          <t>TO BE COMPLETED</t>
        </is>
      </c>
    </row>
    <row r="55">
      <c r="A55" s="2" t="inlineStr">
        <is>
          <t>D05</t>
        </is>
      </c>
      <c r="B55" s="2" t="inlineStr">
        <is>
          <t>I01</t>
        </is>
      </c>
      <c r="C55" s="2" t="inlineStr">
        <is>
          <t>Faculty AI Literacy Maturity</t>
        </is>
      </c>
      <c r="D55" s="2" t="inlineStr">
        <is>
          <t>What exactly is being measured?</t>
        </is>
      </c>
      <c r="E55" s="2" t="inlineStr">
        <is>
          <t>What is the unit / scale?</t>
        </is>
      </c>
      <c r="F55" s="2" t="inlineStr">
        <is>
          <t>What population / sample is assessed?</t>
        </is>
      </c>
      <c r="G55" s="2" t="inlineStr">
        <is>
          <t>What is the observation period?</t>
        </is>
      </c>
      <c r="H55" s="2" t="inlineStr">
        <is>
          <t>What evidence is minimally required?</t>
        </is>
      </c>
      <c r="I55" s="2" t="inlineStr">
        <is>
          <t>What evidence qualifies as strong?</t>
        </is>
      </c>
      <c r="J55" s="2" t="inlineStr">
        <is>
          <t>Which maturity anchor applies?</t>
        </is>
      </c>
      <c r="K55" s="2" t="inlineStr">
        <is>
          <t>What makes the evidence independent?</t>
        </is>
      </c>
      <c r="L55" s="2" t="inlineStr">
        <is>
          <t>What is N/A and when is it allowed?</t>
        </is>
      </c>
      <c r="M55" s="2" t="inlineStr">
        <is>
          <t>What is the anti-gaming check?</t>
        </is>
      </c>
      <c r="N55" s="2" t="inlineStr">
        <is>
          <t>What is the primary scoring owner?</t>
        </is>
      </c>
      <c r="O55" s="2" t="inlineStr">
        <is>
          <t>What cross-domain signals should validate/contradict it?</t>
        </is>
      </c>
      <c r="P55" s="2" t="inlineStr">
        <is>
          <t>TO BE COMPLETED</t>
        </is>
      </c>
    </row>
    <row r="56">
      <c r="A56" s="2" t="inlineStr">
        <is>
          <t>D05</t>
        </is>
      </c>
      <c r="B56" s="2" t="inlineStr">
        <is>
          <t>I02</t>
        </is>
      </c>
      <c r="C56" s="2" t="inlineStr">
        <is>
          <t>Discipline-Specific AI Practice</t>
        </is>
      </c>
      <c r="D56" s="2" t="inlineStr">
        <is>
          <t>What exactly is being measured?</t>
        </is>
      </c>
      <c r="E56" s="2" t="inlineStr">
        <is>
          <t>What is the unit / scale?</t>
        </is>
      </c>
      <c r="F56" s="2" t="inlineStr">
        <is>
          <t>What population / sample is assessed?</t>
        </is>
      </c>
      <c r="G56" s="2" t="inlineStr">
        <is>
          <t>What is the observation period?</t>
        </is>
      </c>
      <c r="H56" s="2" t="inlineStr">
        <is>
          <t>What evidence is minimally required?</t>
        </is>
      </c>
      <c r="I56" s="2" t="inlineStr">
        <is>
          <t>What evidence qualifies as strong?</t>
        </is>
      </c>
      <c r="J56" s="2" t="inlineStr">
        <is>
          <t>Which maturity anchor applies?</t>
        </is>
      </c>
      <c r="K56" s="2" t="inlineStr">
        <is>
          <t>What makes the evidence independent?</t>
        </is>
      </c>
      <c r="L56" s="2" t="inlineStr">
        <is>
          <t>What is N/A and when is it allowed?</t>
        </is>
      </c>
      <c r="M56" s="2" t="inlineStr">
        <is>
          <t>What is the anti-gaming check?</t>
        </is>
      </c>
      <c r="N56" s="2" t="inlineStr">
        <is>
          <t>What is the primary scoring owner?</t>
        </is>
      </c>
      <c r="O56" s="2" t="inlineStr">
        <is>
          <t>What cross-domain signals should validate/contradict it?</t>
        </is>
      </c>
      <c r="P56" s="2" t="inlineStr">
        <is>
          <t>TO BE COMPLETED</t>
        </is>
      </c>
    </row>
    <row r="57">
      <c r="A57" s="2" t="inlineStr">
        <is>
          <t>D05</t>
        </is>
      </c>
      <c r="B57" s="2" t="inlineStr">
        <is>
          <t>I03</t>
        </is>
      </c>
      <c r="C57" s="2" t="inlineStr">
        <is>
          <t>AI-Enhanced Pedagogy</t>
        </is>
      </c>
      <c r="D57" s="2" t="inlineStr">
        <is>
          <t>What exactly is being measured?</t>
        </is>
      </c>
      <c r="E57" s="2" t="inlineStr">
        <is>
          <t>What is the unit / scale?</t>
        </is>
      </c>
      <c r="F57" s="2" t="inlineStr">
        <is>
          <t>What population / sample is assessed?</t>
        </is>
      </c>
      <c r="G57" s="2" t="inlineStr">
        <is>
          <t>What is the observation period?</t>
        </is>
      </c>
      <c r="H57" s="2" t="inlineStr">
        <is>
          <t>What evidence is minimally required?</t>
        </is>
      </c>
      <c r="I57" s="2" t="inlineStr">
        <is>
          <t>What evidence qualifies as strong?</t>
        </is>
      </c>
      <c r="J57" s="2" t="inlineStr">
        <is>
          <t>Which maturity anchor applies?</t>
        </is>
      </c>
      <c r="K57" s="2" t="inlineStr">
        <is>
          <t>What makes the evidence independent?</t>
        </is>
      </c>
      <c r="L57" s="2" t="inlineStr">
        <is>
          <t>What is N/A and when is it allowed?</t>
        </is>
      </c>
      <c r="M57" s="2" t="inlineStr">
        <is>
          <t>What is the anti-gaming check?</t>
        </is>
      </c>
      <c r="N57" s="2" t="inlineStr">
        <is>
          <t>What is the primary scoring owner?</t>
        </is>
      </c>
      <c r="O57" s="2" t="inlineStr">
        <is>
          <t>What cross-domain signals should validate/contradict it?</t>
        </is>
      </c>
      <c r="P57" s="2" t="inlineStr">
        <is>
          <t>TO BE COMPLETED</t>
        </is>
      </c>
    </row>
    <row r="58">
      <c r="A58" s="2" t="inlineStr">
        <is>
          <t>D05</t>
        </is>
      </c>
      <c r="B58" s="2" t="inlineStr">
        <is>
          <t>I04</t>
        </is>
      </c>
      <c r="C58" s="2" t="inlineStr">
        <is>
          <t>Assessment Redesign Capability</t>
        </is>
      </c>
      <c r="D58" s="2" t="inlineStr">
        <is>
          <t>What exactly is being measured?</t>
        </is>
      </c>
      <c r="E58" s="2" t="inlineStr">
        <is>
          <t>What is the unit / scale?</t>
        </is>
      </c>
      <c r="F58" s="2" t="inlineStr">
        <is>
          <t>What population / sample is assessed?</t>
        </is>
      </c>
      <c r="G58" s="2" t="inlineStr">
        <is>
          <t>What is the observation period?</t>
        </is>
      </c>
      <c r="H58" s="2" t="inlineStr">
        <is>
          <t>What evidence is minimally required?</t>
        </is>
      </c>
      <c r="I58" s="2" t="inlineStr">
        <is>
          <t>What evidence qualifies as strong?</t>
        </is>
      </c>
      <c r="J58" s="2" t="inlineStr">
        <is>
          <t>Which maturity anchor applies?</t>
        </is>
      </c>
      <c r="K58" s="2" t="inlineStr">
        <is>
          <t>What makes the evidence independent?</t>
        </is>
      </c>
      <c r="L58" s="2" t="inlineStr">
        <is>
          <t>What is N/A and when is it allowed?</t>
        </is>
      </c>
      <c r="M58" s="2" t="inlineStr">
        <is>
          <t>What is the anti-gaming check?</t>
        </is>
      </c>
      <c r="N58" s="2" t="inlineStr">
        <is>
          <t>What is the primary scoring owner?</t>
        </is>
      </c>
      <c r="O58" s="2" t="inlineStr">
        <is>
          <t>What cross-domain signals should validate/contradict it?</t>
        </is>
      </c>
      <c r="P58" s="2" t="inlineStr">
        <is>
          <t>TO BE COMPLETED</t>
        </is>
      </c>
    </row>
    <row r="59">
      <c r="A59" s="2" t="inlineStr">
        <is>
          <t>D05</t>
        </is>
      </c>
      <c r="B59" s="2" t="inlineStr">
        <is>
          <t>I05</t>
        </is>
      </c>
      <c r="C59" s="2" t="inlineStr">
        <is>
          <t>Faculty Learning &amp; Development Effectiveness</t>
        </is>
      </c>
      <c r="D59" s="2" t="inlineStr">
        <is>
          <t>What exactly is being measured?</t>
        </is>
      </c>
      <c r="E59" s="2" t="inlineStr">
        <is>
          <t>What is the unit / scale?</t>
        </is>
      </c>
      <c r="F59" s="2" t="inlineStr">
        <is>
          <t>What population / sample is assessed?</t>
        </is>
      </c>
      <c r="G59" s="2" t="inlineStr">
        <is>
          <t>What is the observation period?</t>
        </is>
      </c>
      <c r="H59" s="2" t="inlineStr">
        <is>
          <t>What evidence is minimally required?</t>
        </is>
      </c>
      <c r="I59" s="2" t="inlineStr">
        <is>
          <t>What evidence qualifies as strong?</t>
        </is>
      </c>
      <c r="J59" s="2" t="inlineStr">
        <is>
          <t>Which maturity anchor applies?</t>
        </is>
      </c>
      <c r="K59" s="2" t="inlineStr">
        <is>
          <t>What makes the evidence independent?</t>
        </is>
      </c>
      <c r="L59" s="2" t="inlineStr">
        <is>
          <t>What is N/A and when is it allowed?</t>
        </is>
      </c>
      <c r="M59" s="2" t="inlineStr">
        <is>
          <t>What is the anti-gaming check?</t>
        </is>
      </c>
      <c r="N59" s="2" t="inlineStr">
        <is>
          <t>What is the primary scoring owner?</t>
        </is>
      </c>
      <c r="O59" s="2" t="inlineStr">
        <is>
          <t>What cross-domain signals should validate/contradict it?</t>
        </is>
      </c>
      <c r="P59" s="2" t="inlineStr">
        <is>
          <t>TO BE COMPLETED</t>
        </is>
      </c>
    </row>
    <row r="60">
      <c r="A60" s="2" t="inlineStr">
        <is>
          <t>D05</t>
        </is>
      </c>
      <c r="B60" s="2" t="inlineStr">
        <is>
          <t>I06</t>
        </is>
      </c>
      <c r="C60" s="2" t="inlineStr">
        <is>
          <t>Peer Learning &amp; Communities</t>
        </is>
      </c>
      <c r="D60" s="2" t="inlineStr">
        <is>
          <t>What exactly is being measured?</t>
        </is>
      </c>
      <c r="E60" s="2" t="inlineStr">
        <is>
          <t>What is the unit / scale?</t>
        </is>
      </c>
      <c r="F60" s="2" t="inlineStr">
        <is>
          <t>What population / sample is assessed?</t>
        </is>
      </c>
      <c r="G60" s="2" t="inlineStr">
        <is>
          <t>What is the observation period?</t>
        </is>
      </c>
      <c r="H60" s="2" t="inlineStr">
        <is>
          <t>What evidence is minimally required?</t>
        </is>
      </c>
      <c r="I60" s="2" t="inlineStr">
        <is>
          <t>What evidence qualifies as strong?</t>
        </is>
      </c>
      <c r="J60" s="2" t="inlineStr">
        <is>
          <t>Which maturity anchor applies?</t>
        </is>
      </c>
      <c r="K60" s="2" t="inlineStr">
        <is>
          <t>What makes the evidence independent?</t>
        </is>
      </c>
      <c r="L60" s="2" t="inlineStr">
        <is>
          <t>What is N/A and when is it allowed?</t>
        </is>
      </c>
      <c r="M60" s="2" t="inlineStr">
        <is>
          <t>What is the anti-gaming check?</t>
        </is>
      </c>
      <c r="N60" s="2" t="inlineStr">
        <is>
          <t>What is the primary scoring owner?</t>
        </is>
      </c>
      <c r="O60" s="2" t="inlineStr">
        <is>
          <t>What cross-domain signals should validate/contradict it?</t>
        </is>
      </c>
      <c r="P60" s="2" t="inlineStr">
        <is>
          <t>TO BE COMPLETED</t>
        </is>
      </c>
    </row>
    <row r="61">
      <c r="A61" s="2" t="inlineStr">
        <is>
          <t>D05</t>
        </is>
      </c>
      <c r="B61" s="2" t="inlineStr">
        <is>
          <t>I07</t>
        </is>
      </c>
      <c r="C61" s="2" t="inlineStr">
        <is>
          <t>AI Research &amp; Knowledge Creation</t>
        </is>
      </c>
      <c r="D61" s="2" t="inlineStr">
        <is>
          <t>What exactly is being measured?</t>
        </is>
      </c>
      <c r="E61" s="2" t="inlineStr">
        <is>
          <t>What is the unit / scale?</t>
        </is>
      </c>
      <c r="F61" s="2" t="inlineStr">
        <is>
          <t>What population / sample is assessed?</t>
        </is>
      </c>
      <c r="G61" s="2" t="inlineStr">
        <is>
          <t>What is the observation period?</t>
        </is>
      </c>
      <c r="H61" s="2" t="inlineStr">
        <is>
          <t>What evidence is minimally required?</t>
        </is>
      </c>
      <c r="I61" s="2" t="inlineStr">
        <is>
          <t>What evidence qualifies as strong?</t>
        </is>
      </c>
      <c r="J61" s="2" t="inlineStr">
        <is>
          <t>Which maturity anchor applies?</t>
        </is>
      </c>
      <c r="K61" s="2" t="inlineStr">
        <is>
          <t>What makes the evidence independent?</t>
        </is>
      </c>
      <c r="L61" s="2" t="inlineStr">
        <is>
          <t>What is N/A and when is it allowed?</t>
        </is>
      </c>
      <c r="M61" s="2" t="inlineStr">
        <is>
          <t>What is the anti-gaming check?</t>
        </is>
      </c>
      <c r="N61" s="2" t="inlineStr">
        <is>
          <t>What is the primary scoring owner?</t>
        </is>
      </c>
      <c r="O61" s="2" t="inlineStr">
        <is>
          <t>What cross-domain signals should validate/contradict it?</t>
        </is>
      </c>
      <c r="P61" s="2" t="inlineStr">
        <is>
          <t>TO BE COMPLETED</t>
        </is>
      </c>
    </row>
    <row r="62">
      <c r="A62" s="2" t="inlineStr">
        <is>
          <t>D05</t>
        </is>
      </c>
      <c r="B62" s="2" t="inlineStr">
        <is>
          <t>I08</t>
        </is>
      </c>
      <c r="C62" s="2" t="inlineStr">
        <is>
          <t>Academic Role Redesign</t>
        </is>
      </c>
      <c r="D62" s="2" t="inlineStr">
        <is>
          <t>What exactly is being measured?</t>
        </is>
      </c>
      <c r="E62" s="2" t="inlineStr">
        <is>
          <t>What is the unit / scale?</t>
        </is>
      </c>
      <c r="F62" s="2" t="inlineStr">
        <is>
          <t>What population / sample is assessed?</t>
        </is>
      </c>
      <c r="G62" s="2" t="inlineStr">
        <is>
          <t>What is the observation period?</t>
        </is>
      </c>
      <c r="H62" s="2" t="inlineStr">
        <is>
          <t>What evidence is minimally required?</t>
        </is>
      </c>
      <c r="I62" s="2" t="inlineStr">
        <is>
          <t>What evidence qualifies as strong?</t>
        </is>
      </c>
      <c r="J62" s="2" t="inlineStr">
        <is>
          <t>Which maturity anchor applies?</t>
        </is>
      </c>
      <c r="K62" s="2" t="inlineStr">
        <is>
          <t>What makes the evidence independent?</t>
        </is>
      </c>
      <c r="L62" s="2" t="inlineStr">
        <is>
          <t>What is N/A and when is it allowed?</t>
        </is>
      </c>
      <c r="M62" s="2" t="inlineStr">
        <is>
          <t>What is the anti-gaming check?</t>
        </is>
      </c>
      <c r="N62" s="2" t="inlineStr">
        <is>
          <t>What is the primary scoring owner?</t>
        </is>
      </c>
      <c r="O62" s="2" t="inlineStr">
        <is>
          <t>What cross-domain signals should validate/contradict it?</t>
        </is>
      </c>
      <c r="P62" s="2" t="inlineStr">
        <is>
          <t>TO BE COMPLETED</t>
        </is>
      </c>
    </row>
    <row r="63">
      <c r="A63" s="2" t="inlineStr">
        <is>
          <t>D05</t>
        </is>
      </c>
      <c r="B63" s="2" t="inlineStr">
        <is>
          <t>I09</t>
        </is>
      </c>
      <c r="C63" s="2" t="inlineStr">
        <is>
          <t>Workload &amp; Workflow Transformation</t>
        </is>
      </c>
      <c r="D63" s="2" t="inlineStr">
        <is>
          <t>What exactly is being measured?</t>
        </is>
      </c>
      <c r="E63" s="2" t="inlineStr">
        <is>
          <t>What is the unit / scale?</t>
        </is>
      </c>
      <c r="F63" s="2" t="inlineStr">
        <is>
          <t>What population / sample is assessed?</t>
        </is>
      </c>
      <c r="G63" s="2" t="inlineStr">
        <is>
          <t>What is the observation period?</t>
        </is>
      </c>
      <c r="H63" s="2" t="inlineStr">
        <is>
          <t>What evidence is minimally required?</t>
        </is>
      </c>
      <c r="I63" s="2" t="inlineStr">
        <is>
          <t>What evidence qualifies as strong?</t>
        </is>
      </c>
      <c r="J63" s="2" t="inlineStr">
        <is>
          <t>Which maturity anchor applies?</t>
        </is>
      </c>
      <c r="K63" s="2" t="inlineStr">
        <is>
          <t>What makes the evidence independent?</t>
        </is>
      </c>
      <c r="L63" s="2" t="inlineStr">
        <is>
          <t>What is N/A and when is it allowed?</t>
        </is>
      </c>
      <c r="M63" s="2" t="inlineStr">
        <is>
          <t>What is the anti-gaming check?</t>
        </is>
      </c>
      <c r="N63" s="2" t="inlineStr">
        <is>
          <t>What is the primary scoring owner?</t>
        </is>
      </c>
      <c r="O63" s="2" t="inlineStr">
        <is>
          <t>What cross-domain signals should validate/contradict it?</t>
        </is>
      </c>
      <c r="P63" s="2" t="inlineStr">
        <is>
          <t>TO BE COMPLETED</t>
        </is>
      </c>
    </row>
    <row r="64">
      <c r="A64" s="2" t="inlineStr">
        <is>
          <t>D05</t>
        </is>
      </c>
      <c r="B64" s="2" t="inlineStr">
        <is>
          <t>I10</t>
        </is>
      </c>
      <c r="C64" s="2" t="inlineStr">
        <is>
          <t>Faculty Support Infrastructure</t>
        </is>
      </c>
      <c r="D64" s="2" t="inlineStr">
        <is>
          <t>What exactly is being measured?</t>
        </is>
      </c>
      <c r="E64" s="2" t="inlineStr">
        <is>
          <t>What is the unit / scale?</t>
        </is>
      </c>
      <c r="F64" s="2" t="inlineStr">
        <is>
          <t>What population / sample is assessed?</t>
        </is>
      </c>
      <c r="G64" s="2" t="inlineStr">
        <is>
          <t>What is the observation period?</t>
        </is>
      </c>
      <c r="H64" s="2" t="inlineStr">
        <is>
          <t>What evidence is minimally required?</t>
        </is>
      </c>
      <c r="I64" s="2" t="inlineStr">
        <is>
          <t>What evidence qualifies as strong?</t>
        </is>
      </c>
      <c r="J64" s="2" t="inlineStr">
        <is>
          <t>Which maturity anchor applies?</t>
        </is>
      </c>
      <c r="K64" s="2" t="inlineStr">
        <is>
          <t>What makes the evidence independent?</t>
        </is>
      </c>
      <c r="L64" s="2" t="inlineStr">
        <is>
          <t>What is N/A and when is it allowed?</t>
        </is>
      </c>
      <c r="M64" s="2" t="inlineStr">
        <is>
          <t>What is the anti-gaming check?</t>
        </is>
      </c>
      <c r="N64" s="2" t="inlineStr">
        <is>
          <t>What is the primary scoring owner?</t>
        </is>
      </c>
      <c r="O64" s="2" t="inlineStr">
        <is>
          <t>What cross-domain signals should validate/contradict it?</t>
        </is>
      </c>
      <c r="P64" s="2" t="inlineStr">
        <is>
          <t>TO BE COMPLETED</t>
        </is>
      </c>
    </row>
    <row r="65">
      <c r="A65" s="2" t="inlineStr">
        <is>
          <t>D05</t>
        </is>
      </c>
      <c r="B65" s="2" t="inlineStr">
        <is>
          <t>I11</t>
        </is>
      </c>
      <c r="C65" s="2" t="inlineStr">
        <is>
          <t>Academic Leadership for AI</t>
        </is>
      </c>
      <c r="D65" s="2" t="inlineStr">
        <is>
          <t>What exactly is being measured?</t>
        </is>
      </c>
      <c r="E65" s="2" t="inlineStr">
        <is>
          <t>What is the unit / scale?</t>
        </is>
      </c>
      <c r="F65" s="2" t="inlineStr">
        <is>
          <t>What population / sample is assessed?</t>
        </is>
      </c>
      <c r="G65" s="2" t="inlineStr">
        <is>
          <t>What is the observation period?</t>
        </is>
      </c>
      <c r="H65" s="2" t="inlineStr">
        <is>
          <t>What evidence is minimally required?</t>
        </is>
      </c>
      <c r="I65" s="2" t="inlineStr">
        <is>
          <t>What evidence qualifies as strong?</t>
        </is>
      </c>
      <c r="J65" s="2" t="inlineStr">
        <is>
          <t>Which maturity anchor applies?</t>
        </is>
      </c>
      <c r="K65" s="2" t="inlineStr">
        <is>
          <t>What makes the evidence independent?</t>
        </is>
      </c>
      <c r="L65" s="2" t="inlineStr">
        <is>
          <t>What is N/A and when is it allowed?</t>
        </is>
      </c>
      <c r="M65" s="2" t="inlineStr">
        <is>
          <t>What is the anti-gaming check?</t>
        </is>
      </c>
      <c r="N65" s="2" t="inlineStr">
        <is>
          <t>What is the primary scoring owner?</t>
        </is>
      </c>
      <c r="O65" s="2" t="inlineStr">
        <is>
          <t>What cross-domain signals should validate/contradict it?</t>
        </is>
      </c>
      <c r="P65" s="2" t="inlineStr">
        <is>
          <t>TO BE COMPLETED</t>
        </is>
      </c>
    </row>
    <row r="66">
      <c r="A66" s="2" t="inlineStr">
        <is>
          <t>D05</t>
        </is>
      </c>
      <c r="B66" s="2" t="inlineStr">
        <is>
          <t>I12</t>
        </is>
      </c>
      <c r="C66" s="2" t="inlineStr">
        <is>
          <t>Faculty Adoption Learning Loop</t>
        </is>
      </c>
      <c r="D66" s="2" t="inlineStr">
        <is>
          <t>What exactly is being measured?</t>
        </is>
      </c>
      <c r="E66" s="2" t="inlineStr">
        <is>
          <t>What is the unit / scale?</t>
        </is>
      </c>
      <c r="F66" s="2" t="inlineStr">
        <is>
          <t>What population / sample is assessed?</t>
        </is>
      </c>
      <c r="G66" s="2" t="inlineStr">
        <is>
          <t>What is the observation period?</t>
        </is>
      </c>
      <c r="H66" s="2" t="inlineStr">
        <is>
          <t>What evidence is minimally required?</t>
        </is>
      </c>
      <c r="I66" s="2" t="inlineStr">
        <is>
          <t>What evidence qualifies as strong?</t>
        </is>
      </c>
      <c r="J66" s="2" t="inlineStr">
        <is>
          <t>Which maturity anchor applies?</t>
        </is>
      </c>
      <c r="K66" s="2" t="inlineStr">
        <is>
          <t>What makes the evidence independent?</t>
        </is>
      </c>
      <c r="L66" s="2" t="inlineStr">
        <is>
          <t>What is N/A and when is it allowed?</t>
        </is>
      </c>
      <c r="M66" s="2" t="inlineStr">
        <is>
          <t>What is the anti-gaming check?</t>
        </is>
      </c>
      <c r="N66" s="2" t="inlineStr">
        <is>
          <t>What is the primary scoring owner?</t>
        </is>
      </c>
      <c r="O66" s="2" t="inlineStr">
        <is>
          <t>What cross-domain signals should validate/contradict it?</t>
        </is>
      </c>
      <c r="P66" s="2" t="inlineStr">
        <is>
          <t>TO BE COMPLETED</t>
        </is>
      </c>
    </row>
    <row r="67">
      <c r="A67" s="2" t="inlineStr">
        <is>
          <t>D06</t>
        </is>
      </c>
      <c r="B67" s="2" t="inlineStr">
        <is>
          <t>I01</t>
        </is>
      </c>
      <c r="C67" s="2" t="inlineStr">
        <is>
          <t>Student AI Literacy</t>
        </is>
      </c>
      <c r="D67" s="2" t="inlineStr">
        <is>
          <t>What exactly is being measured?</t>
        </is>
      </c>
      <c r="E67" s="2" t="inlineStr">
        <is>
          <t>What is the unit / scale?</t>
        </is>
      </c>
      <c r="F67" s="2" t="inlineStr">
        <is>
          <t>What population / sample is assessed?</t>
        </is>
      </c>
      <c r="G67" s="2" t="inlineStr">
        <is>
          <t>What is the observation period?</t>
        </is>
      </c>
      <c r="H67" s="2" t="inlineStr">
        <is>
          <t>What evidence is minimally required?</t>
        </is>
      </c>
      <c r="I67" s="2" t="inlineStr">
        <is>
          <t>What evidence qualifies as strong?</t>
        </is>
      </c>
      <c r="J67" s="2" t="inlineStr">
        <is>
          <t>Which maturity anchor applies?</t>
        </is>
      </c>
      <c r="K67" s="2" t="inlineStr">
        <is>
          <t>What makes the evidence independent?</t>
        </is>
      </c>
      <c r="L67" s="2" t="inlineStr">
        <is>
          <t>What is N/A and when is it allowed?</t>
        </is>
      </c>
      <c r="M67" s="2" t="inlineStr">
        <is>
          <t>What is the anti-gaming check?</t>
        </is>
      </c>
      <c r="N67" s="2" t="inlineStr">
        <is>
          <t>What is the primary scoring owner?</t>
        </is>
      </c>
      <c r="O67" s="2" t="inlineStr">
        <is>
          <t>What cross-domain signals should validate/contradict it?</t>
        </is>
      </c>
      <c r="P67" s="2" t="inlineStr">
        <is>
          <t>TO BE COMPLETED</t>
        </is>
      </c>
    </row>
    <row r="68">
      <c r="A68" s="2" t="inlineStr">
        <is>
          <t>D06</t>
        </is>
      </c>
      <c r="B68" s="2" t="inlineStr">
        <is>
          <t>I02</t>
        </is>
      </c>
      <c r="C68" s="2" t="inlineStr">
        <is>
          <t>Critical AI Evaluation</t>
        </is>
      </c>
      <c r="D68" s="2" t="inlineStr">
        <is>
          <t>What exactly is being measured?</t>
        </is>
      </c>
      <c r="E68" s="2" t="inlineStr">
        <is>
          <t>What is the unit / scale?</t>
        </is>
      </c>
      <c r="F68" s="2" t="inlineStr">
        <is>
          <t>What population / sample is assessed?</t>
        </is>
      </c>
      <c r="G68" s="2" t="inlineStr">
        <is>
          <t>What is the observation period?</t>
        </is>
      </c>
      <c r="H68" s="2" t="inlineStr">
        <is>
          <t>What evidence is minimally required?</t>
        </is>
      </c>
      <c r="I68" s="2" t="inlineStr">
        <is>
          <t>What evidence qualifies as strong?</t>
        </is>
      </c>
      <c r="J68" s="2" t="inlineStr">
        <is>
          <t>Which maturity anchor applies?</t>
        </is>
      </c>
      <c r="K68" s="2" t="inlineStr">
        <is>
          <t>What makes the evidence independent?</t>
        </is>
      </c>
      <c r="L68" s="2" t="inlineStr">
        <is>
          <t>What is N/A and when is it allowed?</t>
        </is>
      </c>
      <c r="M68" s="2" t="inlineStr">
        <is>
          <t>What is the anti-gaming check?</t>
        </is>
      </c>
      <c r="N68" s="2" t="inlineStr">
        <is>
          <t>What is the primary scoring owner?</t>
        </is>
      </c>
      <c r="O68" s="2" t="inlineStr">
        <is>
          <t>What cross-domain signals should validate/contradict it?</t>
        </is>
      </c>
      <c r="P68" s="2" t="inlineStr">
        <is>
          <t>TO BE COMPLETED</t>
        </is>
      </c>
    </row>
    <row r="69">
      <c r="A69" s="2" t="inlineStr">
        <is>
          <t>D06</t>
        </is>
      </c>
      <c r="B69" s="2" t="inlineStr">
        <is>
          <t>I03</t>
        </is>
      </c>
      <c r="C69" s="2" t="inlineStr">
        <is>
          <t>Learning Agency</t>
        </is>
      </c>
      <c r="D69" s="2" t="inlineStr">
        <is>
          <t>What exactly is being measured?</t>
        </is>
      </c>
      <c r="E69" s="2" t="inlineStr">
        <is>
          <t>What is the unit / scale?</t>
        </is>
      </c>
      <c r="F69" s="2" t="inlineStr">
        <is>
          <t>What population / sample is assessed?</t>
        </is>
      </c>
      <c r="G69" s="2" t="inlineStr">
        <is>
          <t>What is the observation period?</t>
        </is>
      </c>
      <c r="H69" s="2" t="inlineStr">
        <is>
          <t>What evidence is minimally required?</t>
        </is>
      </c>
      <c r="I69" s="2" t="inlineStr">
        <is>
          <t>What evidence qualifies as strong?</t>
        </is>
      </c>
      <c r="J69" s="2" t="inlineStr">
        <is>
          <t>Which maturity anchor applies?</t>
        </is>
      </c>
      <c r="K69" s="2" t="inlineStr">
        <is>
          <t>What makes the evidence independent?</t>
        </is>
      </c>
      <c r="L69" s="2" t="inlineStr">
        <is>
          <t>What is N/A and when is it allowed?</t>
        </is>
      </c>
      <c r="M69" s="2" t="inlineStr">
        <is>
          <t>What is the anti-gaming check?</t>
        </is>
      </c>
      <c r="N69" s="2" t="inlineStr">
        <is>
          <t>What is the primary scoring owner?</t>
        </is>
      </c>
      <c r="O69" s="2" t="inlineStr">
        <is>
          <t>What cross-domain signals should validate/contradict it?</t>
        </is>
      </c>
      <c r="P69" s="2" t="inlineStr">
        <is>
          <t>TO BE COMPLETED</t>
        </is>
      </c>
    </row>
    <row r="70">
      <c r="A70" s="2" t="inlineStr">
        <is>
          <t>D06</t>
        </is>
      </c>
      <c r="B70" s="2" t="inlineStr">
        <is>
          <t>I04</t>
        </is>
      </c>
      <c r="C70" s="2" t="inlineStr">
        <is>
          <t>Independent Intellectual Agency</t>
        </is>
      </c>
      <c r="D70" s="2" t="inlineStr">
        <is>
          <t>What exactly is being measured?</t>
        </is>
      </c>
      <c r="E70" s="2" t="inlineStr">
        <is>
          <t>What is the unit / scale?</t>
        </is>
      </c>
      <c r="F70" s="2" t="inlineStr">
        <is>
          <t>What population / sample is assessed?</t>
        </is>
      </c>
      <c r="G70" s="2" t="inlineStr">
        <is>
          <t>What is the observation period?</t>
        </is>
      </c>
      <c r="H70" s="2" t="inlineStr">
        <is>
          <t>What evidence is minimally required?</t>
        </is>
      </c>
      <c r="I70" s="2" t="inlineStr">
        <is>
          <t>What evidence qualifies as strong?</t>
        </is>
      </c>
      <c r="J70" s="2" t="inlineStr">
        <is>
          <t>Which maturity anchor applies?</t>
        </is>
      </c>
      <c r="K70" s="2" t="inlineStr">
        <is>
          <t>What makes the evidence independent?</t>
        </is>
      </c>
      <c r="L70" s="2" t="inlineStr">
        <is>
          <t>What is N/A and when is it allowed?</t>
        </is>
      </c>
      <c r="M70" s="2" t="inlineStr">
        <is>
          <t>What is the anti-gaming check?</t>
        </is>
      </c>
      <c r="N70" s="2" t="inlineStr">
        <is>
          <t>What is the primary scoring owner?</t>
        </is>
      </c>
      <c r="O70" s="2" t="inlineStr">
        <is>
          <t>What cross-domain signals should validate/contradict it?</t>
        </is>
      </c>
      <c r="P70" s="2" t="inlineStr">
        <is>
          <t>TO BE COMPLETED</t>
        </is>
      </c>
    </row>
    <row r="71">
      <c r="A71" s="2" t="inlineStr">
        <is>
          <t>D06</t>
        </is>
      </c>
      <c r="B71" s="2" t="inlineStr">
        <is>
          <t>I05</t>
        </is>
      </c>
      <c r="C71" s="2" t="inlineStr">
        <is>
          <t>Communication &amp; Defence</t>
        </is>
      </c>
      <c r="D71" s="2" t="inlineStr">
        <is>
          <t>What exactly is being measured?</t>
        </is>
      </c>
      <c r="E71" s="2" t="inlineStr">
        <is>
          <t>What is the unit / scale?</t>
        </is>
      </c>
      <c r="F71" s="2" t="inlineStr">
        <is>
          <t>What population / sample is assessed?</t>
        </is>
      </c>
      <c r="G71" s="2" t="inlineStr">
        <is>
          <t>What is the observation period?</t>
        </is>
      </c>
      <c r="H71" s="2" t="inlineStr">
        <is>
          <t>What evidence is minimally required?</t>
        </is>
      </c>
      <c r="I71" s="2" t="inlineStr">
        <is>
          <t>What evidence qualifies as strong?</t>
        </is>
      </c>
      <c r="J71" s="2" t="inlineStr">
        <is>
          <t>Which maturity anchor applies?</t>
        </is>
      </c>
      <c r="K71" s="2" t="inlineStr">
        <is>
          <t>What makes the evidence independent?</t>
        </is>
      </c>
      <c r="L71" s="2" t="inlineStr">
        <is>
          <t>What is N/A and when is it allowed?</t>
        </is>
      </c>
      <c r="M71" s="2" t="inlineStr">
        <is>
          <t>What is the anti-gaming check?</t>
        </is>
      </c>
      <c r="N71" s="2" t="inlineStr">
        <is>
          <t>What is the primary scoring owner?</t>
        </is>
      </c>
      <c r="O71" s="2" t="inlineStr">
        <is>
          <t>What cross-domain signals should validate/contradict it?</t>
        </is>
      </c>
      <c r="P71" s="2" t="inlineStr">
        <is>
          <t>TO BE COMPLETED</t>
        </is>
      </c>
    </row>
    <row r="72">
      <c r="A72" s="2" t="inlineStr">
        <is>
          <t>D06</t>
        </is>
      </c>
      <c r="B72" s="2" t="inlineStr">
        <is>
          <t>I06</t>
        </is>
      </c>
      <c r="C72" s="2" t="inlineStr">
        <is>
          <t>Collaboration Capability</t>
        </is>
      </c>
      <c r="D72" s="2" t="inlineStr">
        <is>
          <t>What exactly is being measured?</t>
        </is>
      </c>
      <c r="E72" s="2" t="inlineStr">
        <is>
          <t>What is the unit / scale?</t>
        </is>
      </c>
      <c r="F72" s="2" t="inlineStr">
        <is>
          <t>What population / sample is assessed?</t>
        </is>
      </c>
      <c r="G72" s="2" t="inlineStr">
        <is>
          <t>What is the observation period?</t>
        </is>
      </c>
      <c r="H72" s="2" t="inlineStr">
        <is>
          <t>What evidence is minimally required?</t>
        </is>
      </c>
      <c r="I72" s="2" t="inlineStr">
        <is>
          <t>What evidence qualifies as strong?</t>
        </is>
      </c>
      <c r="J72" s="2" t="inlineStr">
        <is>
          <t>Which maturity anchor applies?</t>
        </is>
      </c>
      <c r="K72" s="2" t="inlineStr">
        <is>
          <t>What makes the evidence independent?</t>
        </is>
      </c>
      <c r="L72" s="2" t="inlineStr">
        <is>
          <t>What is N/A and when is it allowed?</t>
        </is>
      </c>
      <c r="M72" s="2" t="inlineStr">
        <is>
          <t>What is the anti-gaming check?</t>
        </is>
      </c>
      <c r="N72" s="2" t="inlineStr">
        <is>
          <t>What is the primary scoring owner?</t>
        </is>
      </c>
      <c r="O72" s="2" t="inlineStr">
        <is>
          <t>What cross-domain signals should validate/contradict it?</t>
        </is>
      </c>
      <c r="P72" s="2" t="inlineStr">
        <is>
          <t>TO BE COMPLETED</t>
        </is>
      </c>
    </row>
    <row r="73">
      <c r="A73" s="2" t="inlineStr">
        <is>
          <t>D06</t>
        </is>
      </c>
      <c r="B73" s="2" t="inlineStr">
        <is>
          <t>I07</t>
        </is>
      </c>
      <c r="C73" s="2" t="inlineStr">
        <is>
          <t>Practical Capability</t>
        </is>
      </c>
      <c r="D73" s="2" t="inlineStr">
        <is>
          <t>What exactly is being measured?</t>
        </is>
      </c>
      <c r="E73" s="2" t="inlineStr">
        <is>
          <t>What is the unit / scale?</t>
        </is>
      </c>
      <c r="F73" s="2" t="inlineStr">
        <is>
          <t>What population / sample is assessed?</t>
        </is>
      </c>
      <c r="G73" s="2" t="inlineStr">
        <is>
          <t>What is the observation period?</t>
        </is>
      </c>
      <c r="H73" s="2" t="inlineStr">
        <is>
          <t>What evidence is minimally required?</t>
        </is>
      </c>
      <c r="I73" s="2" t="inlineStr">
        <is>
          <t>What evidence qualifies as strong?</t>
        </is>
      </c>
      <c r="J73" s="2" t="inlineStr">
        <is>
          <t>Which maturity anchor applies?</t>
        </is>
      </c>
      <c r="K73" s="2" t="inlineStr">
        <is>
          <t>What makes the evidence independent?</t>
        </is>
      </c>
      <c r="L73" s="2" t="inlineStr">
        <is>
          <t>What is N/A and when is it allowed?</t>
        </is>
      </c>
      <c r="M73" s="2" t="inlineStr">
        <is>
          <t>What is the anti-gaming check?</t>
        </is>
      </c>
      <c r="N73" s="2" t="inlineStr">
        <is>
          <t>What is the primary scoring owner?</t>
        </is>
      </c>
      <c r="O73" s="2" t="inlineStr">
        <is>
          <t>What cross-domain signals should validate/contradict it?</t>
        </is>
      </c>
      <c r="P73" s="2" t="inlineStr">
        <is>
          <t>TO BE COMPLETED</t>
        </is>
      </c>
    </row>
    <row r="74">
      <c r="A74" s="2" t="inlineStr">
        <is>
          <t>D06</t>
        </is>
      </c>
      <c r="B74" s="2" t="inlineStr">
        <is>
          <t>I08</t>
        </is>
      </c>
      <c r="C74" s="2" t="inlineStr">
        <is>
          <t>Career Adaptability</t>
        </is>
      </c>
      <c r="D74" s="2" t="inlineStr">
        <is>
          <t>What exactly is being measured?</t>
        </is>
      </c>
      <c r="E74" s="2" t="inlineStr">
        <is>
          <t>What is the unit / scale?</t>
        </is>
      </c>
      <c r="F74" s="2" t="inlineStr">
        <is>
          <t>What population / sample is assessed?</t>
        </is>
      </c>
      <c r="G74" s="2" t="inlineStr">
        <is>
          <t>What is the observation period?</t>
        </is>
      </c>
      <c r="H74" s="2" t="inlineStr">
        <is>
          <t>What evidence is minimally required?</t>
        </is>
      </c>
      <c r="I74" s="2" t="inlineStr">
        <is>
          <t>What evidence qualifies as strong?</t>
        </is>
      </c>
      <c r="J74" s="2" t="inlineStr">
        <is>
          <t>Which maturity anchor applies?</t>
        </is>
      </c>
      <c r="K74" s="2" t="inlineStr">
        <is>
          <t>What makes the evidence independent?</t>
        </is>
      </c>
      <c r="L74" s="2" t="inlineStr">
        <is>
          <t>What is N/A and when is it allowed?</t>
        </is>
      </c>
      <c r="M74" s="2" t="inlineStr">
        <is>
          <t>What is the anti-gaming check?</t>
        </is>
      </c>
      <c r="N74" s="2" t="inlineStr">
        <is>
          <t>What is the primary scoring owner?</t>
        </is>
      </c>
      <c r="O74" s="2" t="inlineStr">
        <is>
          <t>What cross-domain signals should validate/contradict it?</t>
        </is>
      </c>
      <c r="P74" s="2" t="inlineStr">
        <is>
          <t>TO BE COMPLETED</t>
        </is>
      </c>
    </row>
    <row r="75">
      <c r="A75" s="2" t="inlineStr">
        <is>
          <t>D06</t>
        </is>
      </c>
      <c r="B75" s="2" t="inlineStr">
        <is>
          <t>I09</t>
        </is>
      </c>
      <c r="C75" s="2" t="inlineStr">
        <is>
          <t>Portfolio &amp; Capability Signalling</t>
        </is>
      </c>
      <c r="D75" s="2" t="inlineStr">
        <is>
          <t>What exactly is being measured?</t>
        </is>
      </c>
      <c r="E75" s="2" t="inlineStr">
        <is>
          <t>What is the unit / scale?</t>
        </is>
      </c>
      <c r="F75" s="2" t="inlineStr">
        <is>
          <t>What population / sample is assessed?</t>
        </is>
      </c>
      <c r="G75" s="2" t="inlineStr">
        <is>
          <t>What is the observation period?</t>
        </is>
      </c>
      <c r="H75" s="2" t="inlineStr">
        <is>
          <t>What evidence is minimally required?</t>
        </is>
      </c>
      <c r="I75" s="2" t="inlineStr">
        <is>
          <t>What evidence qualifies as strong?</t>
        </is>
      </c>
      <c r="J75" s="2" t="inlineStr">
        <is>
          <t>Which maturity anchor applies?</t>
        </is>
      </c>
      <c r="K75" s="2" t="inlineStr">
        <is>
          <t>What makes the evidence independent?</t>
        </is>
      </c>
      <c r="L75" s="2" t="inlineStr">
        <is>
          <t>What is N/A and when is it allowed?</t>
        </is>
      </c>
      <c r="M75" s="2" t="inlineStr">
        <is>
          <t>What is the anti-gaming check?</t>
        </is>
      </c>
      <c r="N75" s="2" t="inlineStr">
        <is>
          <t>What is the primary scoring owner?</t>
        </is>
      </c>
      <c r="O75" s="2" t="inlineStr">
        <is>
          <t>What cross-domain signals should validate/contradict it?</t>
        </is>
      </c>
      <c r="P75" s="2" t="inlineStr">
        <is>
          <t>TO BE COMPLETED</t>
        </is>
      </c>
    </row>
    <row r="76">
      <c r="A76" s="2" t="inlineStr">
        <is>
          <t>D06</t>
        </is>
      </c>
      <c r="B76" s="2" t="inlineStr">
        <is>
          <t>I10</t>
        </is>
      </c>
      <c r="C76" s="2" t="inlineStr">
        <is>
          <t>Problem Solving &amp; Transfer</t>
        </is>
      </c>
      <c r="D76" s="2" t="inlineStr">
        <is>
          <t>What exactly is being measured?</t>
        </is>
      </c>
      <c r="E76" s="2" t="inlineStr">
        <is>
          <t>What is the unit / scale?</t>
        </is>
      </c>
      <c r="F76" s="2" t="inlineStr">
        <is>
          <t>What population / sample is assessed?</t>
        </is>
      </c>
      <c r="G76" s="2" t="inlineStr">
        <is>
          <t>What is the observation period?</t>
        </is>
      </c>
      <c r="H76" s="2" t="inlineStr">
        <is>
          <t>What evidence is minimally required?</t>
        </is>
      </c>
      <c r="I76" s="2" t="inlineStr">
        <is>
          <t>What evidence qualifies as strong?</t>
        </is>
      </c>
      <c r="J76" s="2" t="inlineStr">
        <is>
          <t>Which maturity anchor applies?</t>
        </is>
      </c>
      <c r="K76" s="2" t="inlineStr">
        <is>
          <t>What makes the evidence independent?</t>
        </is>
      </c>
      <c r="L76" s="2" t="inlineStr">
        <is>
          <t>What is N/A and when is it allowed?</t>
        </is>
      </c>
      <c r="M76" s="2" t="inlineStr">
        <is>
          <t>What is the anti-gaming check?</t>
        </is>
      </c>
      <c r="N76" s="2" t="inlineStr">
        <is>
          <t>What is the primary scoring owner?</t>
        </is>
      </c>
      <c r="O76" s="2" t="inlineStr">
        <is>
          <t>What cross-domain signals should validate/contradict it?</t>
        </is>
      </c>
      <c r="P76" s="2" t="inlineStr">
        <is>
          <t>TO BE COMPLETED</t>
        </is>
      </c>
    </row>
    <row r="77">
      <c r="A77" s="2" t="inlineStr">
        <is>
          <t>D06</t>
        </is>
      </c>
      <c r="B77" s="2" t="inlineStr">
        <is>
          <t>I11</t>
        </is>
      </c>
      <c r="C77" s="2" t="inlineStr">
        <is>
          <t>Creator &amp; Entrepreneurial Agency</t>
        </is>
      </c>
      <c r="D77" s="2" t="inlineStr">
        <is>
          <t>What exactly is being measured?</t>
        </is>
      </c>
      <c r="E77" s="2" t="inlineStr">
        <is>
          <t>What is the unit / scale?</t>
        </is>
      </c>
      <c r="F77" s="2" t="inlineStr">
        <is>
          <t>What population / sample is assessed?</t>
        </is>
      </c>
      <c r="G77" s="2" t="inlineStr">
        <is>
          <t>What is the observation period?</t>
        </is>
      </c>
      <c r="H77" s="2" t="inlineStr">
        <is>
          <t>What evidence is minimally required?</t>
        </is>
      </c>
      <c r="I77" s="2" t="inlineStr">
        <is>
          <t>What evidence qualifies as strong?</t>
        </is>
      </c>
      <c r="J77" s="2" t="inlineStr">
        <is>
          <t>Which maturity anchor applies?</t>
        </is>
      </c>
      <c r="K77" s="2" t="inlineStr">
        <is>
          <t>What makes the evidence independent?</t>
        </is>
      </c>
      <c r="L77" s="2" t="inlineStr">
        <is>
          <t>What is N/A and when is it allowed?</t>
        </is>
      </c>
      <c r="M77" s="2" t="inlineStr">
        <is>
          <t>What is the anti-gaming check?</t>
        </is>
      </c>
      <c r="N77" s="2" t="inlineStr">
        <is>
          <t>What is the primary scoring owner?</t>
        </is>
      </c>
      <c r="O77" s="2" t="inlineStr">
        <is>
          <t>What cross-domain signals should validate/contradict it?</t>
        </is>
      </c>
      <c r="P77" s="2" t="inlineStr">
        <is>
          <t>TO BE COMPLETED</t>
        </is>
      </c>
    </row>
    <row r="78">
      <c r="A78" s="2" t="inlineStr">
        <is>
          <t>D06</t>
        </is>
      </c>
      <c r="B78" s="2" t="inlineStr">
        <is>
          <t>I12</t>
        </is>
      </c>
      <c r="C78" s="2" t="inlineStr">
        <is>
          <t>Digital Citizenship &amp; Responsible Use</t>
        </is>
      </c>
      <c r="D78" s="2" t="inlineStr">
        <is>
          <t>What exactly is being measured?</t>
        </is>
      </c>
      <c r="E78" s="2" t="inlineStr">
        <is>
          <t>What is the unit / scale?</t>
        </is>
      </c>
      <c r="F78" s="2" t="inlineStr">
        <is>
          <t>What population / sample is assessed?</t>
        </is>
      </c>
      <c r="G78" s="2" t="inlineStr">
        <is>
          <t>What is the observation period?</t>
        </is>
      </c>
      <c r="H78" s="2" t="inlineStr">
        <is>
          <t>What evidence is minimally required?</t>
        </is>
      </c>
      <c r="I78" s="2" t="inlineStr">
        <is>
          <t>What evidence qualifies as strong?</t>
        </is>
      </c>
      <c r="J78" s="2" t="inlineStr">
        <is>
          <t>Which maturity anchor applies?</t>
        </is>
      </c>
      <c r="K78" s="2" t="inlineStr">
        <is>
          <t>What makes the evidence independent?</t>
        </is>
      </c>
      <c r="L78" s="2" t="inlineStr">
        <is>
          <t>What is N/A and when is it allowed?</t>
        </is>
      </c>
      <c r="M78" s="2" t="inlineStr">
        <is>
          <t>What is the anti-gaming check?</t>
        </is>
      </c>
      <c r="N78" s="2" t="inlineStr">
        <is>
          <t>What is the primary scoring owner?</t>
        </is>
      </c>
      <c r="O78" s="2" t="inlineStr">
        <is>
          <t>What cross-domain signals should validate/contradict it?</t>
        </is>
      </c>
      <c r="P78" s="2" t="inlineStr">
        <is>
          <t>TO BE COMPLETED</t>
        </is>
      </c>
    </row>
    <row r="79">
      <c r="A79" s="2" t="inlineStr">
        <is>
          <t>D06</t>
        </is>
      </c>
      <c r="B79" s="2" t="inlineStr">
        <is>
          <t>I13</t>
        </is>
      </c>
      <c r="C79" s="2" t="inlineStr">
        <is>
          <t>Equitable AI Access</t>
        </is>
      </c>
      <c r="D79" s="2" t="inlineStr">
        <is>
          <t>What exactly is being measured?</t>
        </is>
      </c>
      <c r="E79" s="2" t="inlineStr">
        <is>
          <t>What is the unit / scale?</t>
        </is>
      </c>
      <c r="F79" s="2" t="inlineStr">
        <is>
          <t>What population / sample is assessed?</t>
        </is>
      </c>
      <c r="G79" s="2" t="inlineStr">
        <is>
          <t>What is the observation period?</t>
        </is>
      </c>
      <c r="H79" s="2" t="inlineStr">
        <is>
          <t>What evidence is minimally required?</t>
        </is>
      </c>
      <c r="I79" s="2" t="inlineStr">
        <is>
          <t>What evidence qualifies as strong?</t>
        </is>
      </c>
      <c r="J79" s="2" t="inlineStr">
        <is>
          <t>Which maturity anchor applies?</t>
        </is>
      </c>
      <c r="K79" s="2" t="inlineStr">
        <is>
          <t>What makes the evidence independent?</t>
        </is>
      </c>
      <c r="L79" s="2" t="inlineStr">
        <is>
          <t>What is N/A and when is it allowed?</t>
        </is>
      </c>
      <c r="M79" s="2" t="inlineStr">
        <is>
          <t>What is the anti-gaming check?</t>
        </is>
      </c>
      <c r="N79" s="2" t="inlineStr">
        <is>
          <t>What is the primary scoring owner?</t>
        </is>
      </c>
      <c r="O79" s="2" t="inlineStr">
        <is>
          <t>What cross-domain signals should validate/contradict it?</t>
        </is>
      </c>
      <c r="P79" s="2" t="inlineStr">
        <is>
          <t>TO BE COMPLETED</t>
        </is>
      </c>
    </row>
    <row r="80">
      <c r="A80" s="2" t="inlineStr">
        <is>
          <t>D06</t>
        </is>
      </c>
      <c r="B80" s="2" t="inlineStr">
        <is>
          <t>I14</t>
        </is>
      </c>
      <c r="C80" s="2" t="inlineStr">
        <is>
          <t>Student Voice &amp; Feedback Loop</t>
        </is>
      </c>
      <c r="D80" s="2" t="inlineStr">
        <is>
          <t>What exactly is being measured?</t>
        </is>
      </c>
      <c r="E80" s="2" t="inlineStr">
        <is>
          <t>What is the unit / scale?</t>
        </is>
      </c>
      <c r="F80" s="2" t="inlineStr">
        <is>
          <t>What population / sample is assessed?</t>
        </is>
      </c>
      <c r="G80" s="2" t="inlineStr">
        <is>
          <t>What is the observation period?</t>
        </is>
      </c>
      <c r="H80" s="2" t="inlineStr">
        <is>
          <t>What evidence is minimally required?</t>
        </is>
      </c>
      <c r="I80" s="2" t="inlineStr">
        <is>
          <t>What evidence qualifies as strong?</t>
        </is>
      </c>
      <c r="J80" s="2" t="inlineStr">
        <is>
          <t>Which maturity anchor applies?</t>
        </is>
      </c>
      <c r="K80" s="2" t="inlineStr">
        <is>
          <t>What makes the evidence independent?</t>
        </is>
      </c>
      <c r="L80" s="2" t="inlineStr">
        <is>
          <t>What is N/A and when is it allowed?</t>
        </is>
      </c>
      <c r="M80" s="2" t="inlineStr">
        <is>
          <t>What is the anti-gaming check?</t>
        </is>
      </c>
      <c r="N80" s="2" t="inlineStr">
        <is>
          <t>What is the primary scoring owner?</t>
        </is>
      </c>
      <c r="O80" s="2" t="inlineStr">
        <is>
          <t>What cross-domain signals should validate/contradict it?</t>
        </is>
      </c>
      <c r="P80" s="2" t="inlineStr">
        <is>
          <t>TO BE COMPLETED</t>
        </is>
      </c>
    </row>
    <row r="81">
      <c r="A81" s="2" t="inlineStr">
        <is>
          <t>D07</t>
        </is>
      </c>
      <c r="B81" s="2" t="inlineStr">
        <is>
          <t>I01</t>
        </is>
      </c>
      <c r="C81" s="2" t="inlineStr">
        <is>
          <t>Assessment Design Maturity</t>
        </is>
      </c>
      <c r="D81" s="2" t="inlineStr">
        <is>
          <t>What exactly is being measured?</t>
        </is>
      </c>
      <c r="E81" s="2" t="inlineStr">
        <is>
          <t>What is the unit / scale?</t>
        </is>
      </c>
      <c r="F81" s="2" t="inlineStr">
        <is>
          <t>What population / sample is assessed?</t>
        </is>
      </c>
      <c r="G81" s="2" t="inlineStr">
        <is>
          <t>What is the observation period?</t>
        </is>
      </c>
      <c r="H81" s="2" t="inlineStr">
        <is>
          <t>What evidence is minimally required?</t>
        </is>
      </c>
      <c r="I81" s="2" t="inlineStr">
        <is>
          <t>What evidence qualifies as strong?</t>
        </is>
      </c>
      <c r="J81" s="2" t="inlineStr">
        <is>
          <t>Which maturity anchor applies?</t>
        </is>
      </c>
      <c r="K81" s="2" t="inlineStr">
        <is>
          <t>What makes the evidence independent?</t>
        </is>
      </c>
      <c r="L81" s="2" t="inlineStr">
        <is>
          <t>What is N/A and when is it allowed?</t>
        </is>
      </c>
      <c r="M81" s="2" t="inlineStr">
        <is>
          <t>What is the anti-gaming check?</t>
        </is>
      </c>
      <c r="N81" s="2" t="inlineStr">
        <is>
          <t>What is the primary scoring owner?</t>
        </is>
      </c>
      <c r="O81" s="2" t="inlineStr">
        <is>
          <t>What cross-domain signals should validate/contradict it?</t>
        </is>
      </c>
      <c r="P81" s="2" t="inlineStr">
        <is>
          <t>TO BE COMPLETED</t>
        </is>
      </c>
    </row>
    <row r="82">
      <c r="A82" s="2" t="inlineStr">
        <is>
          <t>D07</t>
        </is>
      </c>
      <c r="B82" s="2" t="inlineStr">
        <is>
          <t>I02</t>
        </is>
      </c>
      <c r="C82" s="2" t="inlineStr">
        <is>
          <t>Cognitive Demonstration Depth</t>
        </is>
      </c>
      <c r="D82" s="2" t="inlineStr">
        <is>
          <t>What exactly is being measured?</t>
        </is>
      </c>
      <c r="E82" s="2" t="inlineStr">
        <is>
          <t>What is the unit / scale?</t>
        </is>
      </c>
      <c r="F82" s="2" t="inlineStr">
        <is>
          <t>What population / sample is assessed?</t>
        </is>
      </c>
      <c r="G82" s="2" t="inlineStr">
        <is>
          <t>What is the observation period?</t>
        </is>
      </c>
      <c r="H82" s="2" t="inlineStr">
        <is>
          <t>What evidence is minimally required?</t>
        </is>
      </c>
      <c r="I82" s="2" t="inlineStr">
        <is>
          <t>What evidence qualifies as strong?</t>
        </is>
      </c>
      <c r="J82" s="2" t="inlineStr">
        <is>
          <t>Which maturity anchor applies?</t>
        </is>
      </c>
      <c r="K82" s="2" t="inlineStr">
        <is>
          <t>What makes the evidence independent?</t>
        </is>
      </c>
      <c r="L82" s="2" t="inlineStr">
        <is>
          <t>What is N/A and when is it allowed?</t>
        </is>
      </c>
      <c r="M82" s="2" t="inlineStr">
        <is>
          <t>What is the anti-gaming check?</t>
        </is>
      </c>
      <c r="N82" s="2" t="inlineStr">
        <is>
          <t>What is the primary scoring owner?</t>
        </is>
      </c>
      <c r="O82" s="2" t="inlineStr">
        <is>
          <t>What cross-domain signals should validate/contradict it?</t>
        </is>
      </c>
      <c r="P82" s="2" t="inlineStr">
        <is>
          <t>TO BE COMPLETED</t>
        </is>
      </c>
    </row>
    <row r="83">
      <c r="A83" s="2" t="inlineStr">
        <is>
          <t>D07</t>
        </is>
      </c>
      <c r="B83" s="2" t="inlineStr">
        <is>
          <t>I03</t>
        </is>
      </c>
      <c r="C83" s="2" t="inlineStr">
        <is>
          <t>Authenticity of Demonstration</t>
        </is>
      </c>
      <c r="D83" s="2" t="inlineStr">
        <is>
          <t>What exactly is being measured?</t>
        </is>
      </c>
      <c r="E83" s="2" t="inlineStr">
        <is>
          <t>What is the unit / scale?</t>
        </is>
      </c>
      <c r="F83" s="2" t="inlineStr">
        <is>
          <t>What population / sample is assessed?</t>
        </is>
      </c>
      <c r="G83" s="2" t="inlineStr">
        <is>
          <t>What is the observation period?</t>
        </is>
      </c>
      <c r="H83" s="2" t="inlineStr">
        <is>
          <t>What evidence is minimally required?</t>
        </is>
      </c>
      <c r="I83" s="2" t="inlineStr">
        <is>
          <t>What evidence qualifies as strong?</t>
        </is>
      </c>
      <c r="J83" s="2" t="inlineStr">
        <is>
          <t>Which maturity anchor applies?</t>
        </is>
      </c>
      <c r="K83" s="2" t="inlineStr">
        <is>
          <t>What makes the evidence independent?</t>
        </is>
      </c>
      <c r="L83" s="2" t="inlineStr">
        <is>
          <t>What is N/A and when is it allowed?</t>
        </is>
      </c>
      <c r="M83" s="2" t="inlineStr">
        <is>
          <t>What is the anti-gaming check?</t>
        </is>
      </c>
      <c r="N83" s="2" t="inlineStr">
        <is>
          <t>What is the primary scoring owner?</t>
        </is>
      </c>
      <c r="O83" s="2" t="inlineStr">
        <is>
          <t>What cross-domain signals should validate/contradict it?</t>
        </is>
      </c>
      <c r="P83" s="2" t="inlineStr">
        <is>
          <t>TO BE COMPLETED</t>
        </is>
      </c>
    </row>
    <row r="84">
      <c r="A84" s="2" t="inlineStr">
        <is>
          <t>D07</t>
        </is>
      </c>
      <c r="B84" s="2" t="inlineStr">
        <is>
          <t>I04</t>
        </is>
      </c>
      <c r="C84" s="2" t="inlineStr">
        <is>
          <t>AI-Aware Assessment Maturity</t>
        </is>
      </c>
      <c r="D84" s="2" t="inlineStr">
        <is>
          <t>What exactly is being measured?</t>
        </is>
      </c>
      <c r="E84" s="2" t="inlineStr">
        <is>
          <t>What is the unit / scale?</t>
        </is>
      </c>
      <c r="F84" s="2" t="inlineStr">
        <is>
          <t>What population / sample is assessed?</t>
        </is>
      </c>
      <c r="G84" s="2" t="inlineStr">
        <is>
          <t>What is the observation period?</t>
        </is>
      </c>
      <c r="H84" s="2" t="inlineStr">
        <is>
          <t>What evidence is minimally required?</t>
        </is>
      </c>
      <c r="I84" s="2" t="inlineStr">
        <is>
          <t>What evidence qualifies as strong?</t>
        </is>
      </c>
      <c r="J84" s="2" t="inlineStr">
        <is>
          <t>Which maturity anchor applies?</t>
        </is>
      </c>
      <c r="K84" s="2" t="inlineStr">
        <is>
          <t>What makes the evidence independent?</t>
        </is>
      </c>
      <c r="L84" s="2" t="inlineStr">
        <is>
          <t>What is N/A and when is it allowed?</t>
        </is>
      </c>
      <c r="M84" s="2" t="inlineStr">
        <is>
          <t>What is the anti-gaming check?</t>
        </is>
      </c>
      <c r="N84" s="2" t="inlineStr">
        <is>
          <t>What is the primary scoring owner?</t>
        </is>
      </c>
      <c r="O84" s="2" t="inlineStr">
        <is>
          <t>What cross-domain signals should validate/contradict it?</t>
        </is>
      </c>
      <c r="P84" s="2" t="inlineStr">
        <is>
          <t>TO BE COMPLETED</t>
        </is>
      </c>
    </row>
    <row r="85">
      <c r="A85" s="2" t="inlineStr">
        <is>
          <t>D07</t>
        </is>
      </c>
      <c r="B85" s="2" t="inlineStr">
        <is>
          <t>I05</t>
        </is>
      </c>
      <c r="C85" s="2" t="inlineStr">
        <is>
          <t>Verification &amp; Defence</t>
        </is>
      </c>
      <c r="D85" s="2" t="inlineStr">
        <is>
          <t>What exactly is being measured?</t>
        </is>
      </c>
      <c r="E85" s="2" t="inlineStr">
        <is>
          <t>What is the unit / scale?</t>
        </is>
      </c>
      <c r="F85" s="2" t="inlineStr">
        <is>
          <t>What population / sample is assessed?</t>
        </is>
      </c>
      <c r="G85" s="2" t="inlineStr">
        <is>
          <t>What is the observation period?</t>
        </is>
      </c>
      <c r="H85" s="2" t="inlineStr">
        <is>
          <t>What evidence is minimally required?</t>
        </is>
      </c>
      <c r="I85" s="2" t="inlineStr">
        <is>
          <t>What evidence qualifies as strong?</t>
        </is>
      </c>
      <c r="J85" s="2" t="inlineStr">
        <is>
          <t>Which maturity anchor applies?</t>
        </is>
      </c>
      <c r="K85" s="2" t="inlineStr">
        <is>
          <t>What makes the evidence independent?</t>
        </is>
      </c>
      <c r="L85" s="2" t="inlineStr">
        <is>
          <t>What is N/A and when is it allowed?</t>
        </is>
      </c>
      <c r="M85" s="2" t="inlineStr">
        <is>
          <t>What is the anti-gaming check?</t>
        </is>
      </c>
      <c r="N85" s="2" t="inlineStr">
        <is>
          <t>What is the primary scoring owner?</t>
        </is>
      </c>
      <c r="O85" s="2" t="inlineStr">
        <is>
          <t>What cross-domain signals should validate/contradict it?</t>
        </is>
      </c>
      <c r="P85" s="2" t="inlineStr">
        <is>
          <t>TO BE COMPLETED</t>
        </is>
      </c>
    </row>
    <row r="86">
      <c r="A86" s="2" t="inlineStr">
        <is>
          <t>D07</t>
        </is>
      </c>
      <c r="B86" s="2" t="inlineStr">
        <is>
          <t>I06</t>
        </is>
      </c>
      <c r="C86" s="2" t="inlineStr">
        <is>
          <t>Feedback Intelligence</t>
        </is>
      </c>
      <c r="D86" s="2" t="inlineStr">
        <is>
          <t>What exactly is being measured?</t>
        </is>
      </c>
      <c r="E86" s="2" t="inlineStr">
        <is>
          <t>What is the unit / scale?</t>
        </is>
      </c>
      <c r="F86" s="2" t="inlineStr">
        <is>
          <t>What population / sample is assessed?</t>
        </is>
      </c>
      <c r="G86" s="2" t="inlineStr">
        <is>
          <t>What is the observation period?</t>
        </is>
      </c>
      <c r="H86" s="2" t="inlineStr">
        <is>
          <t>What evidence is minimally required?</t>
        </is>
      </c>
      <c r="I86" s="2" t="inlineStr">
        <is>
          <t>What evidence qualifies as strong?</t>
        </is>
      </c>
      <c r="J86" s="2" t="inlineStr">
        <is>
          <t>Which maturity anchor applies?</t>
        </is>
      </c>
      <c r="K86" s="2" t="inlineStr">
        <is>
          <t>What makes the evidence independent?</t>
        </is>
      </c>
      <c r="L86" s="2" t="inlineStr">
        <is>
          <t>What is N/A and when is it allowed?</t>
        </is>
      </c>
      <c r="M86" s="2" t="inlineStr">
        <is>
          <t>What is the anti-gaming check?</t>
        </is>
      </c>
      <c r="N86" s="2" t="inlineStr">
        <is>
          <t>What is the primary scoring owner?</t>
        </is>
      </c>
      <c r="O86" s="2" t="inlineStr">
        <is>
          <t>What cross-domain signals should validate/contradict it?</t>
        </is>
      </c>
      <c r="P86" s="2" t="inlineStr">
        <is>
          <t>TO BE COMPLETED</t>
        </is>
      </c>
    </row>
    <row r="87">
      <c r="A87" s="2" t="inlineStr">
        <is>
          <t>D07</t>
        </is>
      </c>
      <c r="B87" s="2" t="inlineStr">
        <is>
          <t>I07</t>
        </is>
      </c>
      <c r="C87" s="2" t="inlineStr">
        <is>
          <t>Evidence of Learning</t>
        </is>
      </c>
      <c r="D87" s="2" t="inlineStr">
        <is>
          <t>What exactly is being measured?</t>
        </is>
      </c>
      <c r="E87" s="2" t="inlineStr">
        <is>
          <t>What is the unit / scale?</t>
        </is>
      </c>
      <c r="F87" s="2" t="inlineStr">
        <is>
          <t>What population / sample is assessed?</t>
        </is>
      </c>
      <c r="G87" s="2" t="inlineStr">
        <is>
          <t>What is the observation period?</t>
        </is>
      </c>
      <c r="H87" s="2" t="inlineStr">
        <is>
          <t>What evidence is minimally required?</t>
        </is>
      </c>
      <c r="I87" s="2" t="inlineStr">
        <is>
          <t>What evidence qualifies as strong?</t>
        </is>
      </c>
      <c r="J87" s="2" t="inlineStr">
        <is>
          <t>Which maturity anchor applies?</t>
        </is>
      </c>
      <c r="K87" s="2" t="inlineStr">
        <is>
          <t>What makes the evidence independent?</t>
        </is>
      </c>
      <c r="L87" s="2" t="inlineStr">
        <is>
          <t>What is N/A and when is it allowed?</t>
        </is>
      </c>
      <c r="M87" s="2" t="inlineStr">
        <is>
          <t>What is the anti-gaming check?</t>
        </is>
      </c>
      <c r="N87" s="2" t="inlineStr">
        <is>
          <t>What is the primary scoring owner?</t>
        </is>
      </c>
      <c r="O87" s="2" t="inlineStr">
        <is>
          <t>What cross-domain signals should validate/contradict it?</t>
        </is>
      </c>
      <c r="P87" s="2" t="inlineStr">
        <is>
          <t>TO BE COMPLETED</t>
        </is>
      </c>
    </row>
    <row r="88">
      <c r="A88" s="2" t="inlineStr">
        <is>
          <t>D07</t>
        </is>
      </c>
      <c r="B88" s="2" t="inlineStr">
        <is>
          <t>I08</t>
        </is>
      </c>
      <c r="C88" s="2" t="inlineStr">
        <is>
          <t>Capability Outcome Measurement</t>
        </is>
      </c>
      <c r="D88" s="2" t="inlineStr">
        <is>
          <t>What exactly is being measured?</t>
        </is>
      </c>
      <c r="E88" s="2" t="inlineStr">
        <is>
          <t>What is the unit / scale?</t>
        </is>
      </c>
      <c r="F88" s="2" t="inlineStr">
        <is>
          <t>What population / sample is assessed?</t>
        </is>
      </c>
      <c r="G88" s="2" t="inlineStr">
        <is>
          <t>What is the observation period?</t>
        </is>
      </c>
      <c r="H88" s="2" t="inlineStr">
        <is>
          <t>What evidence is minimally required?</t>
        </is>
      </c>
      <c r="I88" s="2" t="inlineStr">
        <is>
          <t>What evidence qualifies as strong?</t>
        </is>
      </c>
      <c r="J88" s="2" t="inlineStr">
        <is>
          <t>Which maturity anchor applies?</t>
        </is>
      </c>
      <c r="K88" s="2" t="inlineStr">
        <is>
          <t>What makes the evidence independent?</t>
        </is>
      </c>
      <c r="L88" s="2" t="inlineStr">
        <is>
          <t>What is N/A and when is it allowed?</t>
        </is>
      </c>
      <c r="M88" s="2" t="inlineStr">
        <is>
          <t>What is the anti-gaming check?</t>
        </is>
      </c>
      <c r="N88" s="2" t="inlineStr">
        <is>
          <t>What is the primary scoring owner?</t>
        </is>
      </c>
      <c r="O88" s="2" t="inlineStr">
        <is>
          <t>What cross-domain signals should validate/contradict it?</t>
        </is>
      </c>
      <c r="P88" s="2" t="inlineStr">
        <is>
          <t>TO BE COMPLETED</t>
        </is>
      </c>
    </row>
    <row r="89">
      <c r="A89" s="2" t="inlineStr">
        <is>
          <t>D07</t>
        </is>
      </c>
      <c r="B89" s="2" t="inlineStr">
        <is>
          <t>I09</t>
        </is>
      </c>
      <c r="C89" s="2" t="inlineStr">
        <is>
          <t>Assessment Equity &amp; Access</t>
        </is>
      </c>
      <c r="D89" s="2" t="inlineStr">
        <is>
          <t>What exactly is being measured?</t>
        </is>
      </c>
      <c r="E89" s="2" t="inlineStr">
        <is>
          <t>What is the unit / scale?</t>
        </is>
      </c>
      <c r="F89" s="2" t="inlineStr">
        <is>
          <t>What population / sample is assessed?</t>
        </is>
      </c>
      <c r="G89" s="2" t="inlineStr">
        <is>
          <t>What is the observation period?</t>
        </is>
      </c>
      <c r="H89" s="2" t="inlineStr">
        <is>
          <t>What evidence is minimally required?</t>
        </is>
      </c>
      <c r="I89" s="2" t="inlineStr">
        <is>
          <t>What evidence qualifies as strong?</t>
        </is>
      </c>
      <c r="J89" s="2" t="inlineStr">
        <is>
          <t>Which maturity anchor applies?</t>
        </is>
      </c>
      <c r="K89" s="2" t="inlineStr">
        <is>
          <t>What makes the evidence independent?</t>
        </is>
      </c>
      <c r="L89" s="2" t="inlineStr">
        <is>
          <t>What is N/A and when is it allowed?</t>
        </is>
      </c>
      <c r="M89" s="2" t="inlineStr">
        <is>
          <t>What is the anti-gaming check?</t>
        </is>
      </c>
      <c r="N89" s="2" t="inlineStr">
        <is>
          <t>What is the primary scoring owner?</t>
        </is>
      </c>
      <c r="O89" s="2" t="inlineStr">
        <is>
          <t>What cross-domain signals should validate/contradict it?</t>
        </is>
      </c>
      <c r="P89" s="2" t="inlineStr">
        <is>
          <t>TO BE COMPLETED</t>
        </is>
      </c>
    </row>
    <row r="90">
      <c r="A90" s="2" t="inlineStr">
        <is>
          <t>D07</t>
        </is>
      </c>
      <c r="B90" s="2" t="inlineStr">
        <is>
          <t>I10</t>
        </is>
      </c>
      <c r="C90" s="2" t="inlineStr">
        <is>
          <t>Assessment Governance</t>
        </is>
      </c>
      <c r="D90" s="2" t="inlineStr">
        <is>
          <t>What exactly is being measured?</t>
        </is>
      </c>
      <c r="E90" s="2" t="inlineStr">
        <is>
          <t>What is the unit / scale?</t>
        </is>
      </c>
      <c r="F90" s="2" t="inlineStr">
        <is>
          <t>What population / sample is assessed?</t>
        </is>
      </c>
      <c r="G90" s="2" t="inlineStr">
        <is>
          <t>What is the observation period?</t>
        </is>
      </c>
      <c r="H90" s="2" t="inlineStr">
        <is>
          <t>What evidence is minimally required?</t>
        </is>
      </c>
      <c r="I90" s="2" t="inlineStr">
        <is>
          <t>What evidence qualifies as strong?</t>
        </is>
      </c>
      <c r="J90" s="2" t="inlineStr">
        <is>
          <t>Which maturity anchor applies?</t>
        </is>
      </c>
      <c r="K90" s="2" t="inlineStr">
        <is>
          <t>What makes the evidence independent?</t>
        </is>
      </c>
      <c r="L90" s="2" t="inlineStr">
        <is>
          <t>What is N/A and when is it allowed?</t>
        </is>
      </c>
      <c r="M90" s="2" t="inlineStr">
        <is>
          <t>What is the anti-gaming check?</t>
        </is>
      </c>
      <c r="N90" s="2" t="inlineStr">
        <is>
          <t>What is the primary scoring owner?</t>
        </is>
      </c>
      <c r="O90" s="2" t="inlineStr">
        <is>
          <t>What cross-domain signals should validate/contradict it?</t>
        </is>
      </c>
      <c r="P90" s="2" t="inlineStr">
        <is>
          <t>TO BE COMPLETED</t>
        </is>
      </c>
    </row>
    <row r="91">
      <c r="A91" s="2" t="inlineStr">
        <is>
          <t>D07</t>
        </is>
      </c>
      <c r="B91" s="2" t="inlineStr">
        <is>
          <t>I11</t>
        </is>
      </c>
      <c r="C91" s="2" t="inlineStr">
        <is>
          <t>Assessment Innovation</t>
        </is>
      </c>
      <c r="D91" s="2" t="inlineStr">
        <is>
          <t>What exactly is being measured?</t>
        </is>
      </c>
      <c r="E91" s="2" t="inlineStr">
        <is>
          <t>What is the unit / scale?</t>
        </is>
      </c>
      <c r="F91" s="2" t="inlineStr">
        <is>
          <t>What population / sample is assessed?</t>
        </is>
      </c>
      <c r="G91" s="2" t="inlineStr">
        <is>
          <t>What is the observation period?</t>
        </is>
      </c>
      <c r="H91" s="2" t="inlineStr">
        <is>
          <t>What evidence is minimally required?</t>
        </is>
      </c>
      <c r="I91" s="2" t="inlineStr">
        <is>
          <t>What evidence qualifies as strong?</t>
        </is>
      </c>
      <c r="J91" s="2" t="inlineStr">
        <is>
          <t>Which maturity anchor applies?</t>
        </is>
      </c>
      <c r="K91" s="2" t="inlineStr">
        <is>
          <t>What makes the evidence independent?</t>
        </is>
      </c>
      <c r="L91" s="2" t="inlineStr">
        <is>
          <t>What is N/A and when is it allowed?</t>
        </is>
      </c>
      <c r="M91" s="2" t="inlineStr">
        <is>
          <t>What is the anti-gaming check?</t>
        </is>
      </c>
      <c r="N91" s="2" t="inlineStr">
        <is>
          <t>What is the primary scoring owner?</t>
        </is>
      </c>
      <c r="O91" s="2" t="inlineStr">
        <is>
          <t>What cross-domain signals should validate/contradict it?</t>
        </is>
      </c>
      <c r="P91" s="2" t="inlineStr">
        <is>
          <t>TO BE COMPLETED</t>
        </is>
      </c>
    </row>
    <row r="92">
      <c r="A92" s="2" t="inlineStr">
        <is>
          <t>D07</t>
        </is>
      </c>
      <c r="B92" s="2" t="inlineStr">
        <is>
          <t>I12</t>
        </is>
      </c>
      <c r="C92" s="2" t="inlineStr">
        <is>
          <t>Learning Evidence Analytics</t>
        </is>
      </c>
      <c r="D92" s="2" t="inlineStr">
        <is>
          <t>What exactly is being measured?</t>
        </is>
      </c>
      <c r="E92" s="2" t="inlineStr">
        <is>
          <t>What is the unit / scale?</t>
        </is>
      </c>
      <c r="F92" s="2" t="inlineStr">
        <is>
          <t>What population / sample is assessed?</t>
        </is>
      </c>
      <c r="G92" s="2" t="inlineStr">
        <is>
          <t>What is the observation period?</t>
        </is>
      </c>
      <c r="H92" s="2" t="inlineStr">
        <is>
          <t>What evidence is minimally required?</t>
        </is>
      </c>
      <c r="I92" s="2" t="inlineStr">
        <is>
          <t>What evidence qualifies as strong?</t>
        </is>
      </c>
      <c r="J92" s="2" t="inlineStr">
        <is>
          <t>Which maturity anchor applies?</t>
        </is>
      </c>
      <c r="K92" s="2" t="inlineStr">
        <is>
          <t>What makes the evidence independent?</t>
        </is>
      </c>
      <c r="L92" s="2" t="inlineStr">
        <is>
          <t>What is N/A and when is it allowed?</t>
        </is>
      </c>
      <c r="M92" s="2" t="inlineStr">
        <is>
          <t>What is the anti-gaming check?</t>
        </is>
      </c>
      <c r="N92" s="2" t="inlineStr">
        <is>
          <t>What is the primary scoring owner?</t>
        </is>
      </c>
      <c r="O92" s="2" t="inlineStr">
        <is>
          <t>What cross-domain signals should validate/contradict it?</t>
        </is>
      </c>
      <c r="P92" s="2" t="inlineStr">
        <is>
          <t>TO BE COMPLETED</t>
        </is>
      </c>
    </row>
    <row r="93">
      <c r="A93" s="2" t="inlineStr">
        <is>
          <t>D08</t>
        </is>
      </c>
      <c r="B93" s="2" t="inlineStr">
        <is>
          <t>I01</t>
        </is>
      </c>
      <c r="C93" s="2" t="inlineStr">
        <is>
          <t>Digital Environment Readiness</t>
        </is>
      </c>
      <c r="D93" s="2" t="inlineStr">
        <is>
          <t>What exactly is being measured?</t>
        </is>
      </c>
      <c r="E93" s="2" t="inlineStr">
        <is>
          <t>What is the unit / scale?</t>
        </is>
      </c>
      <c r="F93" s="2" t="inlineStr">
        <is>
          <t>What population / sample is assessed?</t>
        </is>
      </c>
      <c r="G93" s="2" t="inlineStr">
        <is>
          <t>What is the observation period?</t>
        </is>
      </c>
      <c r="H93" s="2" t="inlineStr">
        <is>
          <t>What evidence is minimally required?</t>
        </is>
      </c>
      <c r="I93" s="2" t="inlineStr">
        <is>
          <t>What evidence qualifies as strong?</t>
        </is>
      </c>
      <c r="J93" s="2" t="inlineStr">
        <is>
          <t>Which maturity anchor applies?</t>
        </is>
      </c>
      <c r="K93" s="2" t="inlineStr">
        <is>
          <t>What makes the evidence independent?</t>
        </is>
      </c>
      <c r="L93" s="2" t="inlineStr">
        <is>
          <t>What is N/A and when is it allowed?</t>
        </is>
      </c>
      <c r="M93" s="2" t="inlineStr">
        <is>
          <t>What is the anti-gaming check?</t>
        </is>
      </c>
      <c r="N93" s="2" t="inlineStr">
        <is>
          <t>What is the primary scoring owner?</t>
        </is>
      </c>
      <c r="O93" s="2" t="inlineStr">
        <is>
          <t>What cross-domain signals should validate/contradict it?</t>
        </is>
      </c>
      <c r="P93" s="2" t="inlineStr">
        <is>
          <t>TO BE COMPLETED</t>
        </is>
      </c>
    </row>
    <row r="94">
      <c r="A94" s="2" t="inlineStr">
        <is>
          <t>D08</t>
        </is>
      </c>
      <c r="B94" s="2" t="inlineStr">
        <is>
          <t>I02</t>
        </is>
      </c>
      <c r="C94" s="2" t="inlineStr">
        <is>
          <t>Institutional Data Architecture</t>
        </is>
      </c>
      <c r="D94" s="2" t="inlineStr">
        <is>
          <t>What exactly is being measured?</t>
        </is>
      </c>
      <c r="E94" s="2" t="inlineStr">
        <is>
          <t>What is the unit / scale?</t>
        </is>
      </c>
      <c r="F94" s="2" t="inlineStr">
        <is>
          <t>What population / sample is assessed?</t>
        </is>
      </c>
      <c r="G94" s="2" t="inlineStr">
        <is>
          <t>What is the observation period?</t>
        </is>
      </c>
      <c r="H94" s="2" t="inlineStr">
        <is>
          <t>What evidence is minimally required?</t>
        </is>
      </c>
      <c r="I94" s="2" t="inlineStr">
        <is>
          <t>What evidence qualifies as strong?</t>
        </is>
      </c>
      <c r="J94" s="2" t="inlineStr">
        <is>
          <t>Which maturity anchor applies?</t>
        </is>
      </c>
      <c r="K94" s="2" t="inlineStr">
        <is>
          <t>What makes the evidence independent?</t>
        </is>
      </c>
      <c r="L94" s="2" t="inlineStr">
        <is>
          <t>What is N/A and when is it allowed?</t>
        </is>
      </c>
      <c r="M94" s="2" t="inlineStr">
        <is>
          <t>What is the anti-gaming check?</t>
        </is>
      </c>
      <c r="N94" s="2" t="inlineStr">
        <is>
          <t>What is the primary scoring owner?</t>
        </is>
      </c>
      <c r="O94" s="2" t="inlineStr">
        <is>
          <t>What cross-domain signals should validate/contradict it?</t>
        </is>
      </c>
      <c r="P94" s="2" t="inlineStr">
        <is>
          <t>TO BE COMPLETED</t>
        </is>
      </c>
    </row>
    <row r="95">
      <c r="A95" s="2" t="inlineStr">
        <is>
          <t>D08</t>
        </is>
      </c>
      <c r="B95" s="2" t="inlineStr">
        <is>
          <t>I03</t>
        </is>
      </c>
      <c r="C95" s="2" t="inlineStr">
        <is>
          <t>Data Quality &amp; Integrity</t>
        </is>
      </c>
      <c r="D95" s="2" t="inlineStr">
        <is>
          <t>What exactly is being measured?</t>
        </is>
      </c>
      <c r="E95" s="2" t="inlineStr">
        <is>
          <t>What is the unit / scale?</t>
        </is>
      </c>
      <c r="F95" s="2" t="inlineStr">
        <is>
          <t>What population / sample is assessed?</t>
        </is>
      </c>
      <c r="G95" s="2" t="inlineStr">
        <is>
          <t>What is the observation period?</t>
        </is>
      </c>
      <c r="H95" s="2" t="inlineStr">
        <is>
          <t>What evidence is minimally required?</t>
        </is>
      </c>
      <c r="I95" s="2" t="inlineStr">
        <is>
          <t>What evidence qualifies as strong?</t>
        </is>
      </c>
      <c r="J95" s="2" t="inlineStr">
        <is>
          <t>Which maturity anchor applies?</t>
        </is>
      </c>
      <c r="K95" s="2" t="inlineStr">
        <is>
          <t>What makes the evidence independent?</t>
        </is>
      </c>
      <c r="L95" s="2" t="inlineStr">
        <is>
          <t>What is N/A and when is it allowed?</t>
        </is>
      </c>
      <c r="M95" s="2" t="inlineStr">
        <is>
          <t>What is the anti-gaming check?</t>
        </is>
      </c>
      <c r="N95" s="2" t="inlineStr">
        <is>
          <t>What is the primary scoring owner?</t>
        </is>
      </c>
      <c r="O95" s="2" t="inlineStr">
        <is>
          <t>What cross-domain signals should validate/contradict it?</t>
        </is>
      </c>
      <c r="P95" s="2" t="inlineStr">
        <is>
          <t>TO BE COMPLETED</t>
        </is>
      </c>
    </row>
    <row r="96">
      <c r="A96" s="2" t="inlineStr">
        <is>
          <t>D08</t>
        </is>
      </c>
      <c r="B96" s="2" t="inlineStr">
        <is>
          <t>I04</t>
        </is>
      </c>
      <c r="C96" s="2" t="inlineStr">
        <is>
          <t>System Interoperability</t>
        </is>
      </c>
      <c r="D96" s="2" t="inlineStr">
        <is>
          <t>What exactly is being measured?</t>
        </is>
      </c>
      <c r="E96" s="2" t="inlineStr">
        <is>
          <t>What is the unit / scale?</t>
        </is>
      </c>
      <c r="F96" s="2" t="inlineStr">
        <is>
          <t>What population / sample is assessed?</t>
        </is>
      </c>
      <c r="G96" s="2" t="inlineStr">
        <is>
          <t>What is the observation period?</t>
        </is>
      </c>
      <c r="H96" s="2" t="inlineStr">
        <is>
          <t>What evidence is minimally required?</t>
        </is>
      </c>
      <c r="I96" s="2" t="inlineStr">
        <is>
          <t>What evidence qualifies as strong?</t>
        </is>
      </c>
      <c r="J96" s="2" t="inlineStr">
        <is>
          <t>Which maturity anchor applies?</t>
        </is>
      </c>
      <c r="K96" s="2" t="inlineStr">
        <is>
          <t>What makes the evidence independent?</t>
        </is>
      </c>
      <c r="L96" s="2" t="inlineStr">
        <is>
          <t>What is N/A and when is it allowed?</t>
        </is>
      </c>
      <c r="M96" s="2" t="inlineStr">
        <is>
          <t>What is the anti-gaming check?</t>
        </is>
      </c>
      <c r="N96" s="2" t="inlineStr">
        <is>
          <t>What is the primary scoring owner?</t>
        </is>
      </c>
      <c r="O96" s="2" t="inlineStr">
        <is>
          <t>What cross-domain signals should validate/contradict it?</t>
        </is>
      </c>
      <c r="P96" s="2" t="inlineStr">
        <is>
          <t>TO BE COMPLETED</t>
        </is>
      </c>
    </row>
    <row r="97">
      <c r="A97" s="2" t="inlineStr">
        <is>
          <t>D08</t>
        </is>
      </c>
      <c r="B97" s="2" t="inlineStr">
        <is>
          <t>I05</t>
        </is>
      </c>
      <c r="C97" s="2" t="inlineStr">
        <is>
          <t>Decision Intelligence</t>
        </is>
      </c>
      <c r="D97" s="2" t="inlineStr">
        <is>
          <t>What exactly is being measured?</t>
        </is>
      </c>
      <c r="E97" s="2" t="inlineStr">
        <is>
          <t>What is the unit / scale?</t>
        </is>
      </c>
      <c r="F97" s="2" t="inlineStr">
        <is>
          <t>What population / sample is assessed?</t>
        </is>
      </c>
      <c r="G97" s="2" t="inlineStr">
        <is>
          <t>What is the observation period?</t>
        </is>
      </c>
      <c r="H97" s="2" t="inlineStr">
        <is>
          <t>What evidence is minimally required?</t>
        </is>
      </c>
      <c r="I97" s="2" t="inlineStr">
        <is>
          <t>What evidence qualifies as strong?</t>
        </is>
      </c>
      <c r="J97" s="2" t="inlineStr">
        <is>
          <t>Which maturity anchor applies?</t>
        </is>
      </c>
      <c r="K97" s="2" t="inlineStr">
        <is>
          <t>What makes the evidence independent?</t>
        </is>
      </c>
      <c r="L97" s="2" t="inlineStr">
        <is>
          <t>What is N/A and when is it allowed?</t>
        </is>
      </c>
      <c r="M97" s="2" t="inlineStr">
        <is>
          <t>What is the anti-gaming check?</t>
        </is>
      </c>
      <c r="N97" s="2" t="inlineStr">
        <is>
          <t>What is the primary scoring owner?</t>
        </is>
      </c>
      <c r="O97" s="2" t="inlineStr">
        <is>
          <t>What cross-domain signals should validate/contradict it?</t>
        </is>
      </c>
      <c r="P97" s="2" t="inlineStr">
        <is>
          <t>TO BE COMPLETED</t>
        </is>
      </c>
    </row>
    <row r="98">
      <c r="A98" s="2" t="inlineStr">
        <is>
          <t>D08</t>
        </is>
      </c>
      <c r="B98" s="2" t="inlineStr">
        <is>
          <t>I06</t>
        </is>
      </c>
      <c r="C98" s="2" t="inlineStr">
        <is>
          <t>AI Enablement Readiness</t>
        </is>
      </c>
      <c r="D98" s="2" t="inlineStr">
        <is>
          <t>What exactly is being measured?</t>
        </is>
      </c>
      <c r="E98" s="2" t="inlineStr">
        <is>
          <t>What is the unit / scale?</t>
        </is>
      </c>
      <c r="F98" s="2" t="inlineStr">
        <is>
          <t>What population / sample is assessed?</t>
        </is>
      </c>
      <c r="G98" s="2" t="inlineStr">
        <is>
          <t>What is the observation period?</t>
        </is>
      </c>
      <c r="H98" s="2" t="inlineStr">
        <is>
          <t>What evidence is minimally required?</t>
        </is>
      </c>
      <c r="I98" s="2" t="inlineStr">
        <is>
          <t>What evidence qualifies as strong?</t>
        </is>
      </c>
      <c r="J98" s="2" t="inlineStr">
        <is>
          <t>Which maturity anchor applies?</t>
        </is>
      </c>
      <c r="K98" s="2" t="inlineStr">
        <is>
          <t>What makes the evidence independent?</t>
        </is>
      </c>
      <c r="L98" s="2" t="inlineStr">
        <is>
          <t>What is N/A and when is it allowed?</t>
        </is>
      </c>
      <c r="M98" s="2" t="inlineStr">
        <is>
          <t>What is the anti-gaming check?</t>
        </is>
      </c>
      <c r="N98" s="2" t="inlineStr">
        <is>
          <t>What is the primary scoring owner?</t>
        </is>
      </c>
      <c r="O98" s="2" t="inlineStr">
        <is>
          <t>What cross-domain signals should validate/contradict it?</t>
        </is>
      </c>
      <c r="P98" s="2" t="inlineStr">
        <is>
          <t>TO BE COMPLETED</t>
        </is>
      </c>
    </row>
    <row r="99">
      <c r="A99" s="2" t="inlineStr">
        <is>
          <t>D08</t>
        </is>
      </c>
      <c r="B99" s="2" t="inlineStr">
        <is>
          <t>I07</t>
        </is>
      </c>
      <c r="C99" s="2" t="inlineStr">
        <is>
          <t>Cyber &amp; Information Security</t>
        </is>
      </c>
      <c r="D99" s="2" t="inlineStr">
        <is>
          <t>What exactly is being measured?</t>
        </is>
      </c>
      <c r="E99" s="2" t="inlineStr">
        <is>
          <t>What is the unit / scale?</t>
        </is>
      </c>
      <c r="F99" s="2" t="inlineStr">
        <is>
          <t>What population / sample is assessed?</t>
        </is>
      </c>
      <c r="G99" s="2" t="inlineStr">
        <is>
          <t>What is the observation period?</t>
        </is>
      </c>
      <c r="H99" s="2" t="inlineStr">
        <is>
          <t>What evidence is minimally required?</t>
        </is>
      </c>
      <c r="I99" s="2" t="inlineStr">
        <is>
          <t>What evidence qualifies as strong?</t>
        </is>
      </c>
      <c r="J99" s="2" t="inlineStr">
        <is>
          <t>Which maturity anchor applies?</t>
        </is>
      </c>
      <c r="K99" s="2" t="inlineStr">
        <is>
          <t>What makes the evidence independent?</t>
        </is>
      </c>
      <c r="L99" s="2" t="inlineStr">
        <is>
          <t>What is N/A and when is it allowed?</t>
        </is>
      </c>
      <c r="M99" s="2" t="inlineStr">
        <is>
          <t>What is the anti-gaming check?</t>
        </is>
      </c>
      <c r="N99" s="2" t="inlineStr">
        <is>
          <t>What is the primary scoring owner?</t>
        </is>
      </c>
      <c r="O99" s="2" t="inlineStr">
        <is>
          <t>What cross-domain signals should validate/contradict it?</t>
        </is>
      </c>
      <c r="P99" s="2" t="inlineStr">
        <is>
          <t>TO BE COMPLETED</t>
        </is>
      </c>
    </row>
    <row r="100">
      <c r="A100" s="2" t="inlineStr">
        <is>
          <t>D08</t>
        </is>
      </c>
      <c r="B100" s="2" t="inlineStr">
        <is>
          <t>I08</t>
        </is>
      </c>
      <c r="C100" s="2" t="inlineStr">
        <is>
          <t>Data Privacy Readiness</t>
        </is>
      </c>
      <c r="D100" s="2" t="inlineStr">
        <is>
          <t>What exactly is being measured?</t>
        </is>
      </c>
      <c r="E100" s="2" t="inlineStr">
        <is>
          <t>What is the unit / scale?</t>
        </is>
      </c>
      <c r="F100" s="2" t="inlineStr">
        <is>
          <t>What population / sample is assessed?</t>
        </is>
      </c>
      <c r="G100" s="2" t="inlineStr">
        <is>
          <t>What is the observation period?</t>
        </is>
      </c>
      <c r="H100" s="2" t="inlineStr">
        <is>
          <t>What evidence is minimally required?</t>
        </is>
      </c>
      <c r="I100" s="2" t="inlineStr">
        <is>
          <t>What evidence qualifies as strong?</t>
        </is>
      </c>
      <c r="J100" s="2" t="inlineStr">
        <is>
          <t>Which maturity anchor applies?</t>
        </is>
      </c>
      <c r="K100" s="2" t="inlineStr">
        <is>
          <t>What makes the evidence independent?</t>
        </is>
      </c>
      <c r="L100" s="2" t="inlineStr">
        <is>
          <t>What is N/A and when is it allowed?</t>
        </is>
      </c>
      <c r="M100" s="2" t="inlineStr">
        <is>
          <t>What is the anti-gaming check?</t>
        </is>
      </c>
      <c r="N100" s="2" t="inlineStr">
        <is>
          <t>What is the primary scoring owner?</t>
        </is>
      </c>
      <c r="O100" s="2" t="inlineStr">
        <is>
          <t>What cross-domain signals should validate/contradict it?</t>
        </is>
      </c>
      <c r="P100" s="2" t="inlineStr">
        <is>
          <t>TO BE COMPLETED</t>
        </is>
      </c>
    </row>
    <row r="101">
      <c r="A101" s="2" t="inlineStr">
        <is>
          <t>D08</t>
        </is>
      </c>
      <c r="B101" s="2" t="inlineStr">
        <is>
          <t>I09</t>
        </is>
      </c>
      <c r="C101" s="2" t="inlineStr">
        <is>
          <t>Digital Equity &amp; Access</t>
        </is>
      </c>
      <c r="D101" s="2" t="inlineStr">
        <is>
          <t>What exactly is being measured?</t>
        </is>
      </c>
      <c r="E101" s="2" t="inlineStr">
        <is>
          <t>What is the unit / scale?</t>
        </is>
      </c>
      <c r="F101" s="2" t="inlineStr">
        <is>
          <t>What population / sample is assessed?</t>
        </is>
      </c>
      <c r="G101" s="2" t="inlineStr">
        <is>
          <t>What is the observation period?</t>
        </is>
      </c>
      <c r="H101" s="2" t="inlineStr">
        <is>
          <t>What evidence is minimally required?</t>
        </is>
      </c>
      <c r="I101" s="2" t="inlineStr">
        <is>
          <t>What evidence qualifies as strong?</t>
        </is>
      </c>
      <c r="J101" s="2" t="inlineStr">
        <is>
          <t>Which maturity anchor applies?</t>
        </is>
      </c>
      <c r="K101" s="2" t="inlineStr">
        <is>
          <t>What makes the evidence independent?</t>
        </is>
      </c>
      <c r="L101" s="2" t="inlineStr">
        <is>
          <t>What is N/A and when is it allowed?</t>
        </is>
      </c>
      <c r="M101" s="2" t="inlineStr">
        <is>
          <t>What is the anti-gaming check?</t>
        </is>
      </c>
      <c r="N101" s="2" t="inlineStr">
        <is>
          <t>What is the primary scoring owner?</t>
        </is>
      </c>
      <c r="O101" s="2" t="inlineStr">
        <is>
          <t>What cross-domain signals should validate/contradict it?</t>
        </is>
      </c>
      <c r="P101" s="2" t="inlineStr">
        <is>
          <t>TO BE COMPLETED</t>
        </is>
      </c>
    </row>
    <row r="102">
      <c r="A102" s="2" t="inlineStr">
        <is>
          <t>D08</t>
        </is>
      </c>
      <c r="B102" s="2" t="inlineStr">
        <is>
          <t>I10</t>
        </is>
      </c>
      <c r="C102" s="2" t="inlineStr">
        <is>
          <t>Technology Decision Governance</t>
        </is>
      </c>
      <c r="D102" s="2" t="inlineStr">
        <is>
          <t>What exactly is being measured?</t>
        </is>
      </c>
      <c r="E102" s="2" t="inlineStr">
        <is>
          <t>What is the unit / scale?</t>
        </is>
      </c>
      <c r="F102" s="2" t="inlineStr">
        <is>
          <t>What population / sample is assessed?</t>
        </is>
      </c>
      <c r="G102" s="2" t="inlineStr">
        <is>
          <t>What is the observation period?</t>
        </is>
      </c>
      <c r="H102" s="2" t="inlineStr">
        <is>
          <t>What evidence is minimally required?</t>
        </is>
      </c>
      <c r="I102" s="2" t="inlineStr">
        <is>
          <t>What evidence qualifies as strong?</t>
        </is>
      </c>
      <c r="J102" s="2" t="inlineStr">
        <is>
          <t>Which maturity anchor applies?</t>
        </is>
      </c>
      <c r="K102" s="2" t="inlineStr">
        <is>
          <t>What makes the evidence independent?</t>
        </is>
      </c>
      <c r="L102" s="2" t="inlineStr">
        <is>
          <t>What is N/A and when is it allowed?</t>
        </is>
      </c>
      <c r="M102" s="2" t="inlineStr">
        <is>
          <t>What is the anti-gaming check?</t>
        </is>
      </c>
      <c r="N102" s="2" t="inlineStr">
        <is>
          <t>What is the primary scoring owner?</t>
        </is>
      </c>
      <c r="O102" s="2" t="inlineStr">
        <is>
          <t>What cross-domain signals should validate/contradict it?</t>
        </is>
      </c>
      <c r="P102" s="2" t="inlineStr">
        <is>
          <t>TO BE COMPLETED</t>
        </is>
      </c>
    </row>
    <row r="103">
      <c r="A103" s="2" t="inlineStr">
        <is>
          <t>D08</t>
        </is>
      </c>
      <c r="B103" s="2" t="inlineStr">
        <is>
          <t>I11</t>
        </is>
      </c>
      <c r="C103" s="2" t="inlineStr">
        <is>
          <t>Digital Process Maturity</t>
        </is>
      </c>
      <c r="D103" s="2" t="inlineStr">
        <is>
          <t>What exactly is being measured?</t>
        </is>
      </c>
      <c r="E103" s="2" t="inlineStr">
        <is>
          <t>What is the unit / scale?</t>
        </is>
      </c>
      <c r="F103" s="2" t="inlineStr">
        <is>
          <t>What population / sample is assessed?</t>
        </is>
      </c>
      <c r="G103" s="2" t="inlineStr">
        <is>
          <t>What is the observation period?</t>
        </is>
      </c>
      <c r="H103" s="2" t="inlineStr">
        <is>
          <t>What evidence is minimally required?</t>
        </is>
      </c>
      <c r="I103" s="2" t="inlineStr">
        <is>
          <t>What evidence qualifies as strong?</t>
        </is>
      </c>
      <c r="J103" s="2" t="inlineStr">
        <is>
          <t>Which maturity anchor applies?</t>
        </is>
      </c>
      <c r="K103" s="2" t="inlineStr">
        <is>
          <t>What makes the evidence independent?</t>
        </is>
      </c>
      <c r="L103" s="2" t="inlineStr">
        <is>
          <t>What is N/A and when is it allowed?</t>
        </is>
      </c>
      <c r="M103" s="2" t="inlineStr">
        <is>
          <t>What is the anti-gaming check?</t>
        </is>
      </c>
      <c r="N103" s="2" t="inlineStr">
        <is>
          <t>What is the primary scoring owner?</t>
        </is>
      </c>
      <c r="O103" s="2" t="inlineStr">
        <is>
          <t>What cross-domain signals should validate/contradict it?</t>
        </is>
      </c>
      <c r="P103" s="2" t="inlineStr">
        <is>
          <t>TO BE COMPLETED</t>
        </is>
      </c>
    </row>
    <row r="104">
      <c r="A104" s="2" t="inlineStr">
        <is>
          <t>D08</t>
        </is>
      </c>
      <c r="B104" s="2" t="inlineStr">
        <is>
          <t>I12</t>
        </is>
      </c>
      <c r="C104" s="2" t="inlineStr">
        <is>
          <t>Institutional Intelligence Capability</t>
        </is>
      </c>
      <c r="D104" s="2" t="inlineStr">
        <is>
          <t>What exactly is being measured?</t>
        </is>
      </c>
      <c r="E104" s="2" t="inlineStr">
        <is>
          <t>What is the unit / scale?</t>
        </is>
      </c>
      <c r="F104" s="2" t="inlineStr">
        <is>
          <t>What population / sample is assessed?</t>
        </is>
      </c>
      <c r="G104" s="2" t="inlineStr">
        <is>
          <t>What is the observation period?</t>
        </is>
      </c>
      <c r="H104" s="2" t="inlineStr">
        <is>
          <t>What evidence is minimally required?</t>
        </is>
      </c>
      <c r="I104" s="2" t="inlineStr">
        <is>
          <t>What evidence qualifies as strong?</t>
        </is>
      </c>
      <c r="J104" s="2" t="inlineStr">
        <is>
          <t>Which maturity anchor applies?</t>
        </is>
      </c>
      <c r="K104" s="2" t="inlineStr">
        <is>
          <t>What makes the evidence independent?</t>
        </is>
      </c>
      <c r="L104" s="2" t="inlineStr">
        <is>
          <t>What is N/A and when is it allowed?</t>
        </is>
      </c>
      <c r="M104" s="2" t="inlineStr">
        <is>
          <t>What is the anti-gaming check?</t>
        </is>
      </c>
      <c r="N104" s="2" t="inlineStr">
        <is>
          <t>What is the primary scoring owner?</t>
        </is>
      </c>
      <c r="O104" s="2" t="inlineStr">
        <is>
          <t>What cross-domain signals should validate/contradict it?</t>
        </is>
      </c>
      <c r="P104" s="2" t="inlineStr">
        <is>
          <t>TO BE COMPLETED</t>
        </is>
      </c>
    </row>
    <row r="105">
      <c r="A105" s="2" t="inlineStr">
        <is>
          <t>D09</t>
        </is>
      </c>
      <c r="B105" s="2" t="inlineStr">
        <is>
          <t>I01</t>
        </is>
      </c>
      <c r="C105" s="2" t="inlineStr">
        <is>
          <t>Employer Demand Sensing</t>
        </is>
      </c>
      <c r="D105" s="2" t="inlineStr">
        <is>
          <t>What exactly is being measured?</t>
        </is>
      </c>
      <c r="E105" s="2" t="inlineStr">
        <is>
          <t>What is the unit / scale?</t>
        </is>
      </c>
      <c r="F105" s="2" t="inlineStr">
        <is>
          <t>What population / sample is assessed?</t>
        </is>
      </c>
      <c r="G105" s="2" t="inlineStr">
        <is>
          <t>What is the observation period?</t>
        </is>
      </c>
      <c r="H105" s="2" t="inlineStr">
        <is>
          <t>What evidence is minimally required?</t>
        </is>
      </c>
      <c r="I105" s="2" t="inlineStr">
        <is>
          <t>What evidence qualifies as strong?</t>
        </is>
      </c>
      <c r="J105" s="2" t="inlineStr">
        <is>
          <t>Which maturity anchor applies?</t>
        </is>
      </c>
      <c r="K105" s="2" t="inlineStr">
        <is>
          <t>What makes the evidence independent?</t>
        </is>
      </c>
      <c r="L105" s="2" t="inlineStr">
        <is>
          <t>What is N/A and when is it allowed?</t>
        </is>
      </c>
      <c r="M105" s="2" t="inlineStr">
        <is>
          <t>What is the anti-gaming check?</t>
        </is>
      </c>
      <c r="N105" s="2" t="inlineStr">
        <is>
          <t>What is the primary scoring owner?</t>
        </is>
      </c>
      <c r="O105" s="2" t="inlineStr">
        <is>
          <t>What cross-domain signals should validate/contradict it?</t>
        </is>
      </c>
      <c r="P105" s="2" t="inlineStr">
        <is>
          <t>TO BE COMPLETED</t>
        </is>
      </c>
    </row>
    <row r="106">
      <c r="A106" s="2" t="inlineStr">
        <is>
          <t>D09</t>
        </is>
      </c>
      <c r="B106" s="2" t="inlineStr">
        <is>
          <t>I02</t>
        </is>
      </c>
      <c r="C106" s="2" t="inlineStr">
        <is>
          <t>Employability Capability Architecture</t>
        </is>
      </c>
      <c r="D106" s="2" t="inlineStr">
        <is>
          <t>What exactly is being measured?</t>
        </is>
      </c>
      <c r="E106" s="2" t="inlineStr">
        <is>
          <t>What is the unit / scale?</t>
        </is>
      </c>
      <c r="F106" s="2" t="inlineStr">
        <is>
          <t>What population / sample is assessed?</t>
        </is>
      </c>
      <c r="G106" s="2" t="inlineStr">
        <is>
          <t>What is the observation period?</t>
        </is>
      </c>
      <c r="H106" s="2" t="inlineStr">
        <is>
          <t>What evidence is minimally required?</t>
        </is>
      </c>
      <c r="I106" s="2" t="inlineStr">
        <is>
          <t>What evidence qualifies as strong?</t>
        </is>
      </c>
      <c r="J106" s="2" t="inlineStr">
        <is>
          <t>Which maturity anchor applies?</t>
        </is>
      </c>
      <c r="K106" s="2" t="inlineStr">
        <is>
          <t>What makes the evidence independent?</t>
        </is>
      </c>
      <c r="L106" s="2" t="inlineStr">
        <is>
          <t>What is N/A and when is it allowed?</t>
        </is>
      </c>
      <c r="M106" s="2" t="inlineStr">
        <is>
          <t>What is the anti-gaming check?</t>
        </is>
      </c>
      <c r="N106" s="2" t="inlineStr">
        <is>
          <t>What is the primary scoring owner?</t>
        </is>
      </c>
      <c r="O106" s="2" t="inlineStr">
        <is>
          <t>What cross-domain signals should validate/contradict it?</t>
        </is>
      </c>
      <c r="P106" s="2" t="inlineStr">
        <is>
          <t>TO BE COMPLETED</t>
        </is>
      </c>
    </row>
    <row r="107">
      <c r="A107" s="2" t="inlineStr">
        <is>
          <t>D09</t>
        </is>
      </c>
      <c r="B107" s="2" t="inlineStr">
        <is>
          <t>I03</t>
        </is>
      </c>
      <c r="C107" s="2" t="inlineStr">
        <is>
          <t>Industry-Validated Curriculum</t>
        </is>
      </c>
      <c r="D107" s="2" t="inlineStr">
        <is>
          <t>What exactly is being measured?</t>
        </is>
      </c>
      <c r="E107" s="2" t="inlineStr">
        <is>
          <t>What is the unit / scale?</t>
        </is>
      </c>
      <c r="F107" s="2" t="inlineStr">
        <is>
          <t>What population / sample is assessed?</t>
        </is>
      </c>
      <c r="G107" s="2" t="inlineStr">
        <is>
          <t>What is the observation period?</t>
        </is>
      </c>
      <c r="H107" s="2" t="inlineStr">
        <is>
          <t>What evidence is minimally required?</t>
        </is>
      </c>
      <c r="I107" s="2" t="inlineStr">
        <is>
          <t>What evidence qualifies as strong?</t>
        </is>
      </c>
      <c r="J107" s="2" t="inlineStr">
        <is>
          <t>Which maturity anchor applies?</t>
        </is>
      </c>
      <c r="K107" s="2" t="inlineStr">
        <is>
          <t>What makes the evidence independent?</t>
        </is>
      </c>
      <c r="L107" s="2" t="inlineStr">
        <is>
          <t>What is N/A and when is it allowed?</t>
        </is>
      </c>
      <c r="M107" s="2" t="inlineStr">
        <is>
          <t>What is the anti-gaming check?</t>
        </is>
      </c>
      <c r="N107" s="2" t="inlineStr">
        <is>
          <t>What is the primary scoring owner?</t>
        </is>
      </c>
      <c r="O107" s="2" t="inlineStr">
        <is>
          <t>What cross-domain signals should validate/contradict it?</t>
        </is>
      </c>
      <c r="P107" s="2" t="inlineStr">
        <is>
          <t>TO BE COMPLETED</t>
        </is>
      </c>
    </row>
    <row r="108">
      <c r="A108" s="2" t="inlineStr">
        <is>
          <t>D09</t>
        </is>
      </c>
      <c r="B108" s="2" t="inlineStr">
        <is>
          <t>I04</t>
        </is>
      </c>
      <c r="C108" s="2" t="inlineStr">
        <is>
          <t>Practice-Based Learning</t>
        </is>
      </c>
      <c r="D108" s="2" t="inlineStr">
        <is>
          <t>What exactly is being measured?</t>
        </is>
      </c>
      <c r="E108" s="2" t="inlineStr">
        <is>
          <t>What is the unit / scale?</t>
        </is>
      </c>
      <c r="F108" s="2" t="inlineStr">
        <is>
          <t>What population / sample is assessed?</t>
        </is>
      </c>
      <c r="G108" s="2" t="inlineStr">
        <is>
          <t>What is the observation period?</t>
        </is>
      </c>
      <c r="H108" s="2" t="inlineStr">
        <is>
          <t>What evidence is minimally required?</t>
        </is>
      </c>
      <c r="I108" s="2" t="inlineStr">
        <is>
          <t>What evidence qualifies as strong?</t>
        </is>
      </c>
      <c r="J108" s="2" t="inlineStr">
        <is>
          <t>Which maturity anchor applies?</t>
        </is>
      </c>
      <c r="K108" s="2" t="inlineStr">
        <is>
          <t>What makes the evidence independent?</t>
        </is>
      </c>
      <c r="L108" s="2" t="inlineStr">
        <is>
          <t>What is N/A and when is it allowed?</t>
        </is>
      </c>
      <c r="M108" s="2" t="inlineStr">
        <is>
          <t>What is the anti-gaming check?</t>
        </is>
      </c>
      <c r="N108" s="2" t="inlineStr">
        <is>
          <t>What is the primary scoring owner?</t>
        </is>
      </c>
      <c r="O108" s="2" t="inlineStr">
        <is>
          <t>What cross-domain signals should validate/contradict it?</t>
        </is>
      </c>
      <c r="P108" s="2" t="inlineStr">
        <is>
          <t>TO BE COMPLETED</t>
        </is>
      </c>
    </row>
    <row r="109">
      <c r="A109" s="2" t="inlineStr">
        <is>
          <t>D09</t>
        </is>
      </c>
      <c r="B109" s="2" t="inlineStr">
        <is>
          <t>I05</t>
        </is>
      </c>
      <c r="C109" s="2" t="inlineStr">
        <is>
          <t>Recruiter Confidence</t>
        </is>
      </c>
      <c r="D109" s="2" t="inlineStr">
        <is>
          <t>What exactly is being measured?</t>
        </is>
      </c>
      <c r="E109" s="2" t="inlineStr">
        <is>
          <t>What is the unit / scale?</t>
        </is>
      </c>
      <c r="F109" s="2" t="inlineStr">
        <is>
          <t>What population / sample is assessed?</t>
        </is>
      </c>
      <c r="G109" s="2" t="inlineStr">
        <is>
          <t>What is the observation period?</t>
        </is>
      </c>
      <c r="H109" s="2" t="inlineStr">
        <is>
          <t>What evidence is minimally required?</t>
        </is>
      </c>
      <c r="I109" s="2" t="inlineStr">
        <is>
          <t>What evidence qualifies as strong?</t>
        </is>
      </c>
      <c r="J109" s="2" t="inlineStr">
        <is>
          <t>Which maturity anchor applies?</t>
        </is>
      </c>
      <c r="K109" s="2" t="inlineStr">
        <is>
          <t>What makes the evidence independent?</t>
        </is>
      </c>
      <c r="L109" s="2" t="inlineStr">
        <is>
          <t>What is N/A and when is it allowed?</t>
        </is>
      </c>
      <c r="M109" s="2" t="inlineStr">
        <is>
          <t>What is the anti-gaming check?</t>
        </is>
      </c>
      <c r="N109" s="2" t="inlineStr">
        <is>
          <t>What is the primary scoring owner?</t>
        </is>
      </c>
      <c r="O109" s="2" t="inlineStr">
        <is>
          <t>What cross-domain signals should validate/contradict it?</t>
        </is>
      </c>
      <c r="P109" s="2" t="inlineStr">
        <is>
          <t>TO BE COMPLETED</t>
        </is>
      </c>
    </row>
    <row r="110">
      <c r="A110" s="2" t="inlineStr">
        <is>
          <t>D09</t>
        </is>
      </c>
      <c r="B110" s="2" t="inlineStr">
        <is>
          <t>I06</t>
        </is>
      </c>
      <c r="C110" s="2" t="inlineStr">
        <is>
          <t>Placement Outcome Quality</t>
        </is>
      </c>
      <c r="D110" s="2" t="inlineStr">
        <is>
          <t>What exactly is being measured?</t>
        </is>
      </c>
      <c r="E110" s="2" t="inlineStr">
        <is>
          <t>What is the unit / scale?</t>
        </is>
      </c>
      <c r="F110" s="2" t="inlineStr">
        <is>
          <t>What population / sample is assessed?</t>
        </is>
      </c>
      <c r="G110" s="2" t="inlineStr">
        <is>
          <t>What is the observation period?</t>
        </is>
      </c>
      <c r="H110" s="2" t="inlineStr">
        <is>
          <t>What evidence is minimally required?</t>
        </is>
      </c>
      <c r="I110" s="2" t="inlineStr">
        <is>
          <t>What evidence qualifies as strong?</t>
        </is>
      </c>
      <c r="J110" s="2" t="inlineStr">
        <is>
          <t>Which maturity anchor applies?</t>
        </is>
      </c>
      <c r="K110" s="2" t="inlineStr">
        <is>
          <t>What makes the evidence independent?</t>
        </is>
      </c>
      <c r="L110" s="2" t="inlineStr">
        <is>
          <t>What is N/A and when is it allowed?</t>
        </is>
      </c>
      <c r="M110" s="2" t="inlineStr">
        <is>
          <t>What is the anti-gaming check?</t>
        </is>
      </c>
      <c r="N110" s="2" t="inlineStr">
        <is>
          <t>What is the primary scoring owner?</t>
        </is>
      </c>
      <c r="O110" s="2" t="inlineStr">
        <is>
          <t>What cross-domain signals should validate/contradict it?</t>
        </is>
      </c>
      <c r="P110" s="2" t="inlineStr">
        <is>
          <t>TO BE COMPLETED</t>
        </is>
      </c>
    </row>
    <row r="111">
      <c r="A111" s="2" t="inlineStr">
        <is>
          <t>D09</t>
        </is>
      </c>
      <c r="B111" s="2" t="inlineStr">
        <is>
          <t>I07</t>
        </is>
      </c>
      <c r="C111" s="2" t="inlineStr">
        <is>
          <t>Career Adaptability</t>
        </is>
      </c>
      <c r="D111" s="2" t="inlineStr">
        <is>
          <t>What exactly is being measured?</t>
        </is>
      </c>
      <c r="E111" s="2" t="inlineStr">
        <is>
          <t>What is the unit / scale?</t>
        </is>
      </c>
      <c r="F111" s="2" t="inlineStr">
        <is>
          <t>What population / sample is assessed?</t>
        </is>
      </c>
      <c r="G111" s="2" t="inlineStr">
        <is>
          <t>What is the observation period?</t>
        </is>
      </c>
      <c r="H111" s="2" t="inlineStr">
        <is>
          <t>What evidence is minimally required?</t>
        </is>
      </c>
      <c r="I111" s="2" t="inlineStr">
        <is>
          <t>What evidence qualifies as strong?</t>
        </is>
      </c>
      <c r="J111" s="2" t="inlineStr">
        <is>
          <t>Which maturity anchor applies?</t>
        </is>
      </c>
      <c r="K111" s="2" t="inlineStr">
        <is>
          <t>What makes the evidence independent?</t>
        </is>
      </c>
      <c r="L111" s="2" t="inlineStr">
        <is>
          <t>What is N/A and when is it allowed?</t>
        </is>
      </c>
      <c r="M111" s="2" t="inlineStr">
        <is>
          <t>What is the anti-gaming check?</t>
        </is>
      </c>
      <c r="N111" s="2" t="inlineStr">
        <is>
          <t>What is the primary scoring owner?</t>
        </is>
      </c>
      <c r="O111" s="2" t="inlineStr">
        <is>
          <t>What cross-domain signals should validate/contradict it?</t>
        </is>
      </c>
      <c r="P111" s="2" t="inlineStr">
        <is>
          <t>TO BE COMPLETED</t>
        </is>
      </c>
    </row>
    <row r="112">
      <c r="A112" s="2" t="inlineStr">
        <is>
          <t>D09</t>
        </is>
      </c>
      <c r="B112" s="2" t="inlineStr">
        <is>
          <t>I08</t>
        </is>
      </c>
      <c r="C112" s="2" t="inlineStr">
        <is>
          <t>AI-Era Employability Readiness</t>
        </is>
      </c>
      <c r="D112" s="2" t="inlineStr">
        <is>
          <t>What exactly is being measured?</t>
        </is>
      </c>
      <c r="E112" s="2" t="inlineStr">
        <is>
          <t>What is the unit / scale?</t>
        </is>
      </c>
      <c r="F112" s="2" t="inlineStr">
        <is>
          <t>What population / sample is assessed?</t>
        </is>
      </c>
      <c r="G112" s="2" t="inlineStr">
        <is>
          <t>What is the observation period?</t>
        </is>
      </c>
      <c r="H112" s="2" t="inlineStr">
        <is>
          <t>What evidence is minimally required?</t>
        </is>
      </c>
      <c r="I112" s="2" t="inlineStr">
        <is>
          <t>What evidence qualifies as strong?</t>
        </is>
      </c>
      <c r="J112" s="2" t="inlineStr">
        <is>
          <t>Which maturity anchor applies?</t>
        </is>
      </c>
      <c r="K112" s="2" t="inlineStr">
        <is>
          <t>What makes the evidence independent?</t>
        </is>
      </c>
      <c r="L112" s="2" t="inlineStr">
        <is>
          <t>What is N/A and when is it allowed?</t>
        </is>
      </c>
      <c r="M112" s="2" t="inlineStr">
        <is>
          <t>What is the anti-gaming check?</t>
        </is>
      </c>
      <c r="N112" s="2" t="inlineStr">
        <is>
          <t>What is the primary scoring owner?</t>
        </is>
      </c>
      <c r="O112" s="2" t="inlineStr">
        <is>
          <t>What cross-domain signals should validate/contradict it?</t>
        </is>
      </c>
      <c r="P112" s="2" t="inlineStr">
        <is>
          <t>TO BE COMPLETED</t>
        </is>
      </c>
    </row>
    <row r="113">
      <c r="A113" s="2" t="inlineStr">
        <is>
          <t>D09</t>
        </is>
      </c>
      <c r="B113" s="2" t="inlineStr">
        <is>
          <t>I09</t>
        </is>
      </c>
      <c r="C113" s="2" t="inlineStr">
        <is>
          <t>Capability Signalling</t>
        </is>
      </c>
      <c r="D113" s="2" t="inlineStr">
        <is>
          <t>What exactly is being measured?</t>
        </is>
      </c>
      <c r="E113" s="2" t="inlineStr">
        <is>
          <t>What is the unit / scale?</t>
        </is>
      </c>
      <c r="F113" s="2" t="inlineStr">
        <is>
          <t>What population / sample is assessed?</t>
        </is>
      </c>
      <c r="G113" s="2" t="inlineStr">
        <is>
          <t>What is the observation period?</t>
        </is>
      </c>
      <c r="H113" s="2" t="inlineStr">
        <is>
          <t>What evidence is minimally required?</t>
        </is>
      </c>
      <c r="I113" s="2" t="inlineStr">
        <is>
          <t>What evidence qualifies as strong?</t>
        </is>
      </c>
      <c r="J113" s="2" t="inlineStr">
        <is>
          <t>Which maturity anchor applies?</t>
        </is>
      </c>
      <c r="K113" s="2" t="inlineStr">
        <is>
          <t>What makes the evidence independent?</t>
        </is>
      </c>
      <c r="L113" s="2" t="inlineStr">
        <is>
          <t>What is N/A and when is it allowed?</t>
        </is>
      </c>
      <c r="M113" s="2" t="inlineStr">
        <is>
          <t>What is the anti-gaming check?</t>
        </is>
      </c>
      <c r="N113" s="2" t="inlineStr">
        <is>
          <t>What is the primary scoring owner?</t>
        </is>
      </c>
      <c r="O113" s="2" t="inlineStr">
        <is>
          <t>What cross-domain signals should validate/contradict it?</t>
        </is>
      </c>
      <c r="P113" s="2" t="inlineStr">
        <is>
          <t>TO BE COMPLETED</t>
        </is>
      </c>
    </row>
    <row r="114">
      <c r="A114" s="2" t="inlineStr">
        <is>
          <t>D09</t>
        </is>
      </c>
      <c r="B114" s="2" t="inlineStr">
        <is>
          <t>I10</t>
        </is>
      </c>
      <c r="C114" s="2" t="inlineStr">
        <is>
          <t>Industry Co-Creation</t>
        </is>
      </c>
      <c r="D114" s="2" t="inlineStr">
        <is>
          <t>What exactly is being measured?</t>
        </is>
      </c>
      <c r="E114" s="2" t="inlineStr">
        <is>
          <t>What is the unit / scale?</t>
        </is>
      </c>
      <c r="F114" s="2" t="inlineStr">
        <is>
          <t>What population / sample is assessed?</t>
        </is>
      </c>
      <c r="G114" s="2" t="inlineStr">
        <is>
          <t>What is the observation period?</t>
        </is>
      </c>
      <c r="H114" s="2" t="inlineStr">
        <is>
          <t>What evidence is minimally required?</t>
        </is>
      </c>
      <c r="I114" s="2" t="inlineStr">
        <is>
          <t>What evidence qualifies as strong?</t>
        </is>
      </c>
      <c r="J114" s="2" t="inlineStr">
        <is>
          <t>Which maturity anchor applies?</t>
        </is>
      </c>
      <c r="K114" s="2" t="inlineStr">
        <is>
          <t>What makes the evidence independent?</t>
        </is>
      </c>
      <c r="L114" s="2" t="inlineStr">
        <is>
          <t>What is N/A and when is it allowed?</t>
        </is>
      </c>
      <c r="M114" s="2" t="inlineStr">
        <is>
          <t>What is the anti-gaming check?</t>
        </is>
      </c>
      <c r="N114" s="2" t="inlineStr">
        <is>
          <t>What is the primary scoring owner?</t>
        </is>
      </c>
      <c r="O114" s="2" t="inlineStr">
        <is>
          <t>What cross-domain signals should validate/contradict it?</t>
        </is>
      </c>
      <c r="P114" s="2" t="inlineStr">
        <is>
          <t>TO BE COMPLETED</t>
        </is>
      </c>
    </row>
    <row r="115">
      <c r="A115" s="2" t="inlineStr">
        <is>
          <t>D09</t>
        </is>
      </c>
      <c r="B115" s="2" t="inlineStr">
        <is>
          <t>I11</t>
        </is>
      </c>
      <c r="C115" s="2" t="inlineStr">
        <is>
          <t>Regional/Economic Relevance</t>
        </is>
      </c>
      <c r="D115" s="2" t="inlineStr">
        <is>
          <t>What exactly is being measured?</t>
        </is>
      </c>
      <c r="E115" s="2" t="inlineStr">
        <is>
          <t>What is the unit / scale?</t>
        </is>
      </c>
      <c r="F115" s="2" t="inlineStr">
        <is>
          <t>What population / sample is assessed?</t>
        </is>
      </c>
      <c r="G115" s="2" t="inlineStr">
        <is>
          <t>What is the observation period?</t>
        </is>
      </c>
      <c r="H115" s="2" t="inlineStr">
        <is>
          <t>What evidence is minimally required?</t>
        </is>
      </c>
      <c r="I115" s="2" t="inlineStr">
        <is>
          <t>What evidence qualifies as strong?</t>
        </is>
      </c>
      <c r="J115" s="2" t="inlineStr">
        <is>
          <t>Which maturity anchor applies?</t>
        </is>
      </c>
      <c r="K115" s="2" t="inlineStr">
        <is>
          <t>What makes the evidence independent?</t>
        </is>
      </c>
      <c r="L115" s="2" t="inlineStr">
        <is>
          <t>What is N/A and when is it allowed?</t>
        </is>
      </c>
      <c r="M115" s="2" t="inlineStr">
        <is>
          <t>What is the anti-gaming check?</t>
        </is>
      </c>
      <c r="N115" s="2" t="inlineStr">
        <is>
          <t>What is the primary scoring owner?</t>
        </is>
      </c>
      <c r="O115" s="2" t="inlineStr">
        <is>
          <t>What cross-domain signals should validate/contradict it?</t>
        </is>
      </c>
      <c r="P115" s="2" t="inlineStr">
        <is>
          <t>TO BE COMPLETED</t>
        </is>
      </c>
    </row>
    <row r="116">
      <c r="A116" s="2" t="inlineStr">
        <is>
          <t>D09</t>
        </is>
      </c>
      <c r="B116" s="2" t="inlineStr">
        <is>
          <t>I12</t>
        </is>
      </c>
      <c r="C116" s="2" t="inlineStr">
        <is>
          <t>Alumni Career Intelligence</t>
        </is>
      </c>
      <c r="D116" s="2" t="inlineStr">
        <is>
          <t>What exactly is being measured?</t>
        </is>
      </c>
      <c r="E116" s="2" t="inlineStr">
        <is>
          <t>What is the unit / scale?</t>
        </is>
      </c>
      <c r="F116" s="2" t="inlineStr">
        <is>
          <t>What population / sample is assessed?</t>
        </is>
      </c>
      <c r="G116" s="2" t="inlineStr">
        <is>
          <t>What is the observation period?</t>
        </is>
      </c>
      <c r="H116" s="2" t="inlineStr">
        <is>
          <t>What evidence is minimally required?</t>
        </is>
      </c>
      <c r="I116" s="2" t="inlineStr">
        <is>
          <t>What evidence qualifies as strong?</t>
        </is>
      </c>
      <c r="J116" s="2" t="inlineStr">
        <is>
          <t>Which maturity anchor applies?</t>
        </is>
      </c>
      <c r="K116" s="2" t="inlineStr">
        <is>
          <t>What makes the evidence independent?</t>
        </is>
      </c>
      <c r="L116" s="2" t="inlineStr">
        <is>
          <t>What is N/A and when is it allowed?</t>
        </is>
      </c>
      <c r="M116" s="2" t="inlineStr">
        <is>
          <t>What is the anti-gaming check?</t>
        </is>
      </c>
      <c r="N116" s="2" t="inlineStr">
        <is>
          <t>What is the primary scoring owner?</t>
        </is>
      </c>
      <c r="O116" s="2" t="inlineStr">
        <is>
          <t>What cross-domain signals should validate/contradict it?</t>
        </is>
      </c>
      <c r="P116" s="2" t="inlineStr">
        <is>
          <t>TO BE COMPLETED</t>
        </is>
      </c>
    </row>
    <row r="117">
      <c r="A117" s="2" t="inlineStr">
        <is>
          <t>D10</t>
        </is>
      </c>
      <c r="B117" s="2" t="inlineStr">
        <is>
          <t>I01</t>
        </is>
      </c>
      <c r="C117" s="2" t="inlineStr">
        <is>
          <t>Research Strategy Maturity</t>
        </is>
      </c>
      <c r="D117" s="2" t="inlineStr">
        <is>
          <t>What exactly is being measured?</t>
        </is>
      </c>
      <c r="E117" s="2" t="inlineStr">
        <is>
          <t>What is the unit / scale?</t>
        </is>
      </c>
      <c r="F117" s="2" t="inlineStr">
        <is>
          <t>What population / sample is assessed?</t>
        </is>
      </c>
      <c r="G117" s="2" t="inlineStr">
        <is>
          <t>What is the observation period?</t>
        </is>
      </c>
      <c r="H117" s="2" t="inlineStr">
        <is>
          <t>What evidence is minimally required?</t>
        </is>
      </c>
      <c r="I117" s="2" t="inlineStr">
        <is>
          <t>What evidence qualifies as strong?</t>
        </is>
      </c>
      <c r="J117" s="2" t="inlineStr">
        <is>
          <t>Which maturity anchor applies?</t>
        </is>
      </c>
      <c r="K117" s="2" t="inlineStr">
        <is>
          <t>What makes the evidence independent?</t>
        </is>
      </c>
      <c r="L117" s="2" t="inlineStr">
        <is>
          <t>What is N/A and when is it allowed?</t>
        </is>
      </c>
      <c r="M117" s="2" t="inlineStr">
        <is>
          <t>What is the anti-gaming check?</t>
        </is>
      </c>
      <c r="N117" s="2" t="inlineStr">
        <is>
          <t>What is the primary scoring owner?</t>
        </is>
      </c>
      <c r="O117" s="2" t="inlineStr">
        <is>
          <t>What cross-domain signals should validate/contradict it?</t>
        </is>
      </c>
      <c r="P117" s="2" t="inlineStr">
        <is>
          <t>TO BE COMPLETED</t>
        </is>
      </c>
    </row>
    <row r="118">
      <c r="A118" s="2" t="inlineStr">
        <is>
          <t>D10</t>
        </is>
      </c>
      <c r="B118" s="2" t="inlineStr">
        <is>
          <t>I02</t>
        </is>
      </c>
      <c r="C118" s="2" t="inlineStr">
        <is>
          <t>Research Portfolio Balance</t>
        </is>
      </c>
      <c r="D118" s="2" t="inlineStr">
        <is>
          <t>What exactly is being measured?</t>
        </is>
      </c>
      <c r="E118" s="2" t="inlineStr">
        <is>
          <t>What is the unit / scale?</t>
        </is>
      </c>
      <c r="F118" s="2" t="inlineStr">
        <is>
          <t>What population / sample is assessed?</t>
        </is>
      </c>
      <c r="G118" s="2" t="inlineStr">
        <is>
          <t>What is the observation period?</t>
        </is>
      </c>
      <c r="H118" s="2" t="inlineStr">
        <is>
          <t>What evidence is minimally required?</t>
        </is>
      </c>
      <c r="I118" s="2" t="inlineStr">
        <is>
          <t>What evidence qualifies as strong?</t>
        </is>
      </c>
      <c r="J118" s="2" t="inlineStr">
        <is>
          <t>Which maturity anchor applies?</t>
        </is>
      </c>
      <c r="K118" s="2" t="inlineStr">
        <is>
          <t>What makes the evidence independent?</t>
        </is>
      </c>
      <c r="L118" s="2" t="inlineStr">
        <is>
          <t>What is N/A and when is it allowed?</t>
        </is>
      </c>
      <c r="M118" s="2" t="inlineStr">
        <is>
          <t>What is the anti-gaming check?</t>
        </is>
      </c>
      <c r="N118" s="2" t="inlineStr">
        <is>
          <t>What is the primary scoring owner?</t>
        </is>
      </c>
      <c r="O118" s="2" t="inlineStr">
        <is>
          <t>What cross-domain signals should validate/contradict it?</t>
        </is>
      </c>
      <c r="P118" s="2" t="inlineStr">
        <is>
          <t>TO BE COMPLETED</t>
        </is>
      </c>
    </row>
    <row r="119">
      <c r="A119" s="2" t="inlineStr">
        <is>
          <t>D10</t>
        </is>
      </c>
      <c r="B119" s="2" t="inlineStr">
        <is>
          <t>I03</t>
        </is>
      </c>
      <c r="C119" s="2" t="inlineStr">
        <is>
          <t>Interdisciplinary Research Capability</t>
        </is>
      </c>
      <c r="D119" s="2" t="inlineStr">
        <is>
          <t>What exactly is being measured?</t>
        </is>
      </c>
      <c r="E119" s="2" t="inlineStr">
        <is>
          <t>What is the unit / scale?</t>
        </is>
      </c>
      <c r="F119" s="2" t="inlineStr">
        <is>
          <t>What population / sample is assessed?</t>
        </is>
      </c>
      <c r="G119" s="2" t="inlineStr">
        <is>
          <t>What is the observation period?</t>
        </is>
      </c>
      <c r="H119" s="2" t="inlineStr">
        <is>
          <t>What evidence is minimally required?</t>
        </is>
      </c>
      <c r="I119" s="2" t="inlineStr">
        <is>
          <t>What evidence qualifies as strong?</t>
        </is>
      </c>
      <c r="J119" s="2" t="inlineStr">
        <is>
          <t>Which maturity anchor applies?</t>
        </is>
      </c>
      <c r="K119" s="2" t="inlineStr">
        <is>
          <t>What makes the evidence independent?</t>
        </is>
      </c>
      <c r="L119" s="2" t="inlineStr">
        <is>
          <t>What is N/A and when is it allowed?</t>
        </is>
      </c>
      <c r="M119" s="2" t="inlineStr">
        <is>
          <t>What is the anti-gaming check?</t>
        </is>
      </c>
      <c r="N119" s="2" t="inlineStr">
        <is>
          <t>What is the primary scoring owner?</t>
        </is>
      </c>
      <c r="O119" s="2" t="inlineStr">
        <is>
          <t>What cross-domain signals should validate/contradict it?</t>
        </is>
      </c>
      <c r="P119" s="2" t="inlineStr">
        <is>
          <t>TO BE COMPLETED</t>
        </is>
      </c>
    </row>
    <row r="120">
      <c r="A120" s="2" t="inlineStr">
        <is>
          <t>D10</t>
        </is>
      </c>
      <c r="B120" s="2" t="inlineStr">
        <is>
          <t>I04</t>
        </is>
      </c>
      <c r="C120" s="2" t="inlineStr">
        <is>
          <t>AI-Enabled Research Capability</t>
        </is>
      </c>
      <c r="D120" s="2" t="inlineStr">
        <is>
          <t>What exactly is being measured?</t>
        </is>
      </c>
      <c r="E120" s="2" t="inlineStr">
        <is>
          <t>What is the unit / scale?</t>
        </is>
      </c>
      <c r="F120" s="2" t="inlineStr">
        <is>
          <t>What population / sample is assessed?</t>
        </is>
      </c>
      <c r="G120" s="2" t="inlineStr">
        <is>
          <t>What is the observation period?</t>
        </is>
      </c>
      <c r="H120" s="2" t="inlineStr">
        <is>
          <t>What evidence is minimally required?</t>
        </is>
      </c>
      <c r="I120" s="2" t="inlineStr">
        <is>
          <t>What evidence qualifies as strong?</t>
        </is>
      </c>
      <c r="J120" s="2" t="inlineStr">
        <is>
          <t>Which maturity anchor applies?</t>
        </is>
      </c>
      <c r="K120" s="2" t="inlineStr">
        <is>
          <t>What makes the evidence independent?</t>
        </is>
      </c>
      <c r="L120" s="2" t="inlineStr">
        <is>
          <t>What is N/A and when is it allowed?</t>
        </is>
      </c>
      <c r="M120" s="2" t="inlineStr">
        <is>
          <t>What is the anti-gaming check?</t>
        </is>
      </c>
      <c r="N120" s="2" t="inlineStr">
        <is>
          <t>What is the primary scoring owner?</t>
        </is>
      </c>
      <c r="O120" s="2" t="inlineStr">
        <is>
          <t>What cross-domain signals should validate/contradict it?</t>
        </is>
      </c>
      <c r="P120" s="2" t="inlineStr">
        <is>
          <t>TO BE COMPLETED</t>
        </is>
      </c>
    </row>
    <row r="121">
      <c r="A121" s="2" t="inlineStr">
        <is>
          <t>D10</t>
        </is>
      </c>
      <c r="B121" s="2" t="inlineStr">
        <is>
          <t>I05</t>
        </is>
      </c>
      <c r="C121" s="2" t="inlineStr">
        <is>
          <t>Research Infrastructure Readiness</t>
        </is>
      </c>
      <c r="D121" s="2" t="inlineStr">
        <is>
          <t>What exactly is being measured?</t>
        </is>
      </c>
      <c r="E121" s="2" t="inlineStr">
        <is>
          <t>What is the unit / scale?</t>
        </is>
      </c>
      <c r="F121" s="2" t="inlineStr">
        <is>
          <t>What population / sample is assessed?</t>
        </is>
      </c>
      <c r="G121" s="2" t="inlineStr">
        <is>
          <t>What is the observation period?</t>
        </is>
      </c>
      <c r="H121" s="2" t="inlineStr">
        <is>
          <t>What evidence is minimally required?</t>
        </is>
      </c>
      <c r="I121" s="2" t="inlineStr">
        <is>
          <t>What evidence qualifies as strong?</t>
        </is>
      </c>
      <c r="J121" s="2" t="inlineStr">
        <is>
          <t>Which maturity anchor applies?</t>
        </is>
      </c>
      <c r="K121" s="2" t="inlineStr">
        <is>
          <t>What makes the evidence independent?</t>
        </is>
      </c>
      <c r="L121" s="2" t="inlineStr">
        <is>
          <t>What is N/A and when is it allowed?</t>
        </is>
      </c>
      <c r="M121" s="2" t="inlineStr">
        <is>
          <t>What is the anti-gaming check?</t>
        </is>
      </c>
      <c r="N121" s="2" t="inlineStr">
        <is>
          <t>What is the primary scoring owner?</t>
        </is>
      </c>
      <c r="O121" s="2" t="inlineStr">
        <is>
          <t>What cross-domain signals should validate/contradict it?</t>
        </is>
      </c>
      <c r="P121" s="2" t="inlineStr">
        <is>
          <t>TO BE COMPLETED</t>
        </is>
      </c>
    </row>
    <row r="122">
      <c r="A122" s="2" t="inlineStr">
        <is>
          <t>D10</t>
        </is>
      </c>
      <c r="B122" s="2" t="inlineStr">
        <is>
          <t>I06</t>
        </is>
      </c>
      <c r="C122" s="2" t="inlineStr">
        <is>
          <t>Researcher Capability</t>
        </is>
      </c>
      <c r="D122" s="2" t="inlineStr">
        <is>
          <t>What exactly is being measured?</t>
        </is>
      </c>
      <c r="E122" s="2" t="inlineStr">
        <is>
          <t>What is the unit / scale?</t>
        </is>
      </c>
      <c r="F122" s="2" t="inlineStr">
        <is>
          <t>What population / sample is assessed?</t>
        </is>
      </c>
      <c r="G122" s="2" t="inlineStr">
        <is>
          <t>What is the observation period?</t>
        </is>
      </c>
      <c r="H122" s="2" t="inlineStr">
        <is>
          <t>What evidence is minimally required?</t>
        </is>
      </c>
      <c r="I122" s="2" t="inlineStr">
        <is>
          <t>What evidence qualifies as strong?</t>
        </is>
      </c>
      <c r="J122" s="2" t="inlineStr">
        <is>
          <t>Which maturity anchor applies?</t>
        </is>
      </c>
      <c r="K122" s="2" t="inlineStr">
        <is>
          <t>What makes the evidence independent?</t>
        </is>
      </c>
      <c r="L122" s="2" t="inlineStr">
        <is>
          <t>What is N/A and when is it allowed?</t>
        </is>
      </c>
      <c r="M122" s="2" t="inlineStr">
        <is>
          <t>What is the anti-gaming check?</t>
        </is>
      </c>
      <c r="N122" s="2" t="inlineStr">
        <is>
          <t>What is the primary scoring owner?</t>
        </is>
      </c>
      <c r="O122" s="2" t="inlineStr">
        <is>
          <t>What cross-domain signals should validate/contradict it?</t>
        </is>
      </c>
      <c r="P122" s="2" t="inlineStr">
        <is>
          <t>TO BE COMPLETED</t>
        </is>
      </c>
    </row>
    <row r="123">
      <c r="A123" s="2" t="inlineStr">
        <is>
          <t>D10</t>
        </is>
      </c>
      <c r="B123" s="2" t="inlineStr">
        <is>
          <t>I07</t>
        </is>
      </c>
      <c r="C123" s="2" t="inlineStr">
        <is>
          <t>Research Funding Capability</t>
        </is>
      </c>
      <c r="D123" s="2" t="inlineStr">
        <is>
          <t>What exactly is being measured?</t>
        </is>
      </c>
      <c r="E123" s="2" t="inlineStr">
        <is>
          <t>What is the unit / scale?</t>
        </is>
      </c>
      <c r="F123" s="2" t="inlineStr">
        <is>
          <t>What population / sample is assessed?</t>
        </is>
      </c>
      <c r="G123" s="2" t="inlineStr">
        <is>
          <t>What is the observation period?</t>
        </is>
      </c>
      <c r="H123" s="2" t="inlineStr">
        <is>
          <t>What evidence is minimally required?</t>
        </is>
      </c>
      <c r="I123" s="2" t="inlineStr">
        <is>
          <t>What evidence qualifies as strong?</t>
        </is>
      </c>
      <c r="J123" s="2" t="inlineStr">
        <is>
          <t>Which maturity anchor applies?</t>
        </is>
      </c>
      <c r="K123" s="2" t="inlineStr">
        <is>
          <t>What makes the evidence independent?</t>
        </is>
      </c>
      <c r="L123" s="2" t="inlineStr">
        <is>
          <t>What is N/A and when is it allowed?</t>
        </is>
      </c>
      <c r="M123" s="2" t="inlineStr">
        <is>
          <t>What is the anti-gaming check?</t>
        </is>
      </c>
      <c r="N123" s="2" t="inlineStr">
        <is>
          <t>What is the primary scoring owner?</t>
        </is>
      </c>
      <c r="O123" s="2" t="inlineStr">
        <is>
          <t>What cross-domain signals should validate/contradict it?</t>
        </is>
      </c>
      <c r="P123" s="2" t="inlineStr">
        <is>
          <t>TO BE COMPLETED</t>
        </is>
      </c>
    </row>
    <row r="124">
      <c r="A124" s="2" t="inlineStr">
        <is>
          <t>D10</t>
        </is>
      </c>
      <c r="B124" s="2" t="inlineStr">
        <is>
          <t>I08</t>
        </is>
      </c>
      <c r="C124" s="2" t="inlineStr">
        <is>
          <t>Knowledge Translation Capability</t>
        </is>
      </c>
      <c r="D124" s="2" t="inlineStr">
        <is>
          <t>What exactly is being measured?</t>
        </is>
      </c>
      <c r="E124" s="2" t="inlineStr">
        <is>
          <t>What is the unit / scale?</t>
        </is>
      </c>
      <c r="F124" s="2" t="inlineStr">
        <is>
          <t>What population / sample is assessed?</t>
        </is>
      </c>
      <c r="G124" s="2" t="inlineStr">
        <is>
          <t>What is the observation period?</t>
        </is>
      </c>
      <c r="H124" s="2" t="inlineStr">
        <is>
          <t>What evidence is minimally required?</t>
        </is>
      </c>
      <c r="I124" s="2" t="inlineStr">
        <is>
          <t>What evidence qualifies as strong?</t>
        </is>
      </c>
      <c r="J124" s="2" t="inlineStr">
        <is>
          <t>Which maturity anchor applies?</t>
        </is>
      </c>
      <c r="K124" s="2" t="inlineStr">
        <is>
          <t>What makes the evidence independent?</t>
        </is>
      </c>
      <c r="L124" s="2" t="inlineStr">
        <is>
          <t>What is N/A and when is it allowed?</t>
        </is>
      </c>
      <c r="M124" s="2" t="inlineStr">
        <is>
          <t>What is the anti-gaming check?</t>
        </is>
      </c>
      <c r="N124" s="2" t="inlineStr">
        <is>
          <t>What is the primary scoring owner?</t>
        </is>
      </c>
      <c r="O124" s="2" t="inlineStr">
        <is>
          <t>What cross-domain signals should validate/contradict it?</t>
        </is>
      </c>
      <c r="P124" s="2" t="inlineStr">
        <is>
          <t>TO BE COMPLETED</t>
        </is>
      </c>
    </row>
    <row r="125">
      <c r="A125" s="2" t="inlineStr">
        <is>
          <t>D10</t>
        </is>
      </c>
      <c r="B125" s="2" t="inlineStr">
        <is>
          <t>I09</t>
        </is>
      </c>
      <c r="C125" s="2" t="inlineStr">
        <is>
          <t>Industry-Linked Research</t>
        </is>
      </c>
      <c r="D125" s="2" t="inlineStr">
        <is>
          <t>What exactly is being measured?</t>
        </is>
      </c>
      <c r="E125" s="2" t="inlineStr">
        <is>
          <t>What is the unit / scale?</t>
        </is>
      </c>
      <c r="F125" s="2" t="inlineStr">
        <is>
          <t>What population / sample is assessed?</t>
        </is>
      </c>
      <c r="G125" s="2" t="inlineStr">
        <is>
          <t>What is the observation period?</t>
        </is>
      </c>
      <c r="H125" s="2" t="inlineStr">
        <is>
          <t>What evidence is minimally required?</t>
        </is>
      </c>
      <c r="I125" s="2" t="inlineStr">
        <is>
          <t>What evidence qualifies as strong?</t>
        </is>
      </c>
      <c r="J125" s="2" t="inlineStr">
        <is>
          <t>Which maturity anchor applies?</t>
        </is>
      </c>
      <c r="K125" s="2" t="inlineStr">
        <is>
          <t>What makes the evidence independent?</t>
        </is>
      </c>
      <c r="L125" s="2" t="inlineStr">
        <is>
          <t>What is N/A and when is it allowed?</t>
        </is>
      </c>
      <c r="M125" s="2" t="inlineStr">
        <is>
          <t>What is the anti-gaming check?</t>
        </is>
      </c>
      <c r="N125" s="2" t="inlineStr">
        <is>
          <t>What is the primary scoring owner?</t>
        </is>
      </c>
      <c r="O125" s="2" t="inlineStr">
        <is>
          <t>What cross-domain signals should validate/contradict it?</t>
        </is>
      </c>
      <c r="P125" s="2" t="inlineStr">
        <is>
          <t>TO BE COMPLETED</t>
        </is>
      </c>
    </row>
    <row r="126">
      <c r="A126" s="2" t="inlineStr">
        <is>
          <t>D10</t>
        </is>
      </c>
      <c r="B126" s="2" t="inlineStr">
        <is>
          <t>I10</t>
        </is>
      </c>
      <c r="C126" s="2" t="inlineStr">
        <is>
          <t>Research-to-Innovation Pipeline</t>
        </is>
      </c>
      <c r="D126" s="2" t="inlineStr">
        <is>
          <t>What exactly is being measured?</t>
        </is>
      </c>
      <c r="E126" s="2" t="inlineStr">
        <is>
          <t>What is the unit / scale?</t>
        </is>
      </c>
      <c r="F126" s="2" t="inlineStr">
        <is>
          <t>What population / sample is assessed?</t>
        </is>
      </c>
      <c r="G126" s="2" t="inlineStr">
        <is>
          <t>What is the observation period?</t>
        </is>
      </c>
      <c r="H126" s="2" t="inlineStr">
        <is>
          <t>What evidence is minimally required?</t>
        </is>
      </c>
      <c r="I126" s="2" t="inlineStr">
        <is>
          <t>What evidence qualifies as strong?</t>
        </is>
      </c>
      <c r="J126" s="2" t="inlineStr">
        <is>
          <t>Which maturity anchor applies?</t>
        </is>
      </c>
      <c r="K126" s="2" t="inlineStr">
        <is>
          <t>What makes the evidence independent?</t>
        </is>
      </c>
      <c r="L126" s="2" t="inlineStr">
        <is>
          <t>What is N/A and when is it allowed?</t>
        </is>
      </c>
      <c r="M126" s="2" t="inlineStr">
        <is>
          <t>What is the anti-gaming check?</t>
        </is>
      </c>
      <c r="N126" s="2" t="inlineStr">
        <is>
          <t>What is the primary scoring owner?</t>
        </is>
      </c>
      <c r="O126" s="2" t="inlineStr">
        <is>
          <t>What cross-domain signals should validate/contradict it?</t>
        </is>
      </c>
      <c r="P126" s="2" t="inlineStr">
        <is>
          <t>TO BE COMPLETED</t>
        </is>
      </c>
    </row>
    <row r="127">
      <c r="A127" s="2" t="inlineStr">
        <is>
          <t>D10</t>
        </is>
      </c>
      <c r="B127" s="2" t="inlineStr">
        <is>
          <t>I11</t>
        </is>
      </c>
      <c r="C127" s="2" t="inlineStr">
        <is>
          <t>IP &amp; Knowledge Assets</t>
        </is>
      </c>
      <c r="D127" s="2" t="inlineStr">
        <is>
          <t>What exactly is being measured?</t>
        </is>
      </c>
      <c r="E127" s="2" t="inlineStr">
        <is>
          <t>What is the unit / scale?</t>
        </is>
      </c>
      <c r="F127" s="2" t="inlineStr">
        <is>
          <t>What population / sample is assessed?</t>
        </is>
      </c>
      <c r="G127" s="2" t="inlineStr">
        <is>
          <t>What is the observation period?</t>
        </is>
      </c>
      <c r="H127" s="2" t="inlineStr">
        <is>
          <t>What evidence is minimally required?</t>
        </is>
      </c>
      <c r="I127" s="2" t="inlineStr">
        <is>
          <t>What evidence qualifies as strong?</t>
        </is>
      </c>
      <c r="J127" s="2" t="inlineStr">
        <is>
          <t>Which maturity anchor applies?</t>
        </is>
      </c>
      <c r="K127" s="2" t="inlineStr">
        <is>
          <t>What makes the evidence independent?</t>
        </is>
      </c>
      <c r="L127" s="2" t="inlineStr">
        <is>
          <t>What is N/A and when is it allowed?</t>
        </is>
      </c>
      <c r="M127" s="2" t="inlineStr">
        <is>
          <t>What is the anti-gaming check?</t>
        </is>
      </c>
      <c r="N127" s="2" t="inlineStr">
        <is>
          <t>What is the primary scoring owner?</t>
        </is>
      </c>
      <c r="O127" s="2" t="inlineStr">
        <is>
          <t>What cross-domain signals should validate/contradict it?</t>
        </is>
      </c>
      <c r="P127" s="2" t="inlineStr">
        <is>
          <t>TO BE COMPLETED</t>
        </is>
      </c>
    </row>
    <row r="128">
      <c r="A128" s="2" t="inlineStr">
        <is>
          <t>D10</t>
        </is>
      </c>
      <c r="B128" s="2" t="inlineStr">
        <is>
          <t>I12</t>
        </is>
      </c>
      <c r="C128" s="2" t="inlineStr">
        <is>
          <t>Research Integrity &amp; Responsible AI</t>
        </is>
      </c>
      <c r="D128" s="2" t="inlineStr">
        <is>
          <t>What exactly is being measured?</t>
        </is>
      </c>
      <c r="E128" s="2" t="inlineStr">
        <is>
          <t>What is the unit / scale?</t>
        </is>
      </c>
      <c r="F128" s="2" t="inlineStr">
        <is>
          <t>What population / sample is assessed?</t>
        </is>
      </c>
      <c r="G128" s="2" t="inlineStr">
        <is>
          <t>What is the observation period?</t>
        </is>
      </c>
      <c r="H128" s="2" t="inlineStr">
        <is>
          <t>What evidence is minimally required?</t>
        </is>
      </c>
      <c r="I128" s="2" t="inlineStr">
        <is>
          <t>What evidence qualifies as strong?</t>
        </is>
      </c>
      <c r="J128" s="2" t="inlineStr">
        <is>
          <t>Which maturity anchor applies?</t>
        </is>
      </c>
      <c r="K128" s="2" t="inlineStr">
        <is>
          <t>What makes the evidence independent?</t>
        </is>
      </c>
      <c r="L128" s="2" t="inlineStr">
        <is>
          <t>What is N/A and when is it allowed?</t>
        </is>
      </c>
      <c r="M128" s="2" t="inlineStr">
        <is>
          <t>What is the anti-gaming check?</t>
        </is>
      </c>
      <c r="N128" s="2" t="inlineStr">
        <is>
          <t>What is the primary scoring owner?</t>
        </is>
      </c>
      <c r="O128" s="2" t="inlineStr">
        <is>
          <t>What cross-domain signals should validate/contradict it?</t>
        </is>
      </c>
      <c r="P128" s="2" t="inlineStr">
        <is>
          <t>TO BE COMPLETED</t>
        </is>
      </c>
    </row>
    <row r="129">
      <c r="A129" s="2" t="inlineStr">
        <is>
          <t>D10</t>
        </is>
      </c>
      <c r="B129" s="2" t="inlineStr">
        <is>
          <t>I13</t>
        </is>
      </c>
      <c r="C129" s="2" t="inlineStr">
        <is>
          <t>Research Impact Evidence</t>
        </is>
      </c>
      <c r="D129" s="2" t="inlineStr">
        <is>
          <t>What exactly is being measured?</t>
        </is>
      </c>
      <c r="E129" s="2" t="inlineStr">
        <is>
          <t>What is the unit / scale?</t>
        </is>
      </c>
      <c r="F129" s="2" t="inlineStr">
        <is>
          <t>What population / sample is assessed?</t>
        </is>
      </c>
      <c r="G129" s="2" t="inlineStr">
        <is>
          <t>What is the observation period?</t>
        </is>
      </c>
      <c r="H129" s="2" t="inlineStr">
        <is>
          <t>What evidence is minimally required?</t>
        </is>
      </c>
      <c r="I129" s="2" t="inlineStr">
        <is>
          <t>What evidence qualifies as strong?</t>
        </is>
      </c>
      <c r="J129" s="2" t="inlineStr">
        <is>
          <t>Which maturity anchor applies?</t>
        </is>
      </c>
      <c r="K129" s="2" t="inlineStr">
        <is>
          <t>What makes the evidence independent?</t>
        </is>
      </c>
      <c r="L129" s="2" t="inlineStr">
        <is>
          <t>What is N/A and when is it allowed?</t>
        </is>
      </c>
      <c r="M129" s="2" t="inlineStr">
        <is>
          <t>What is the anti-gaming check?</t>
        </is>
      </c>
      <c r="N129" s="2" t="inlineStr">
        <is>
          <t>What is the primary scoring owner?</t>
        </is>
      </c>
      <c r="O129" s="2" t="inlineStr">
        <is>
          <t>What cross-domain signals should validate/contradict it?</t>
        </is>
      </c>
      <c r="P129" s="2" t="inlineStr">
        <is>
          <t>TO BE COMPLETED</t>
        </is>
      </c>
    </row>
    <row r="130">
      <c r="A130" s="2" t="inlineStr">
        <is>
          <t>D10</t>
        </is>
      </c>
      <c r="B130" s="2" t="inlineStr">
        <is>
          <t>I14</t>
        </is>
      </c>
      <c r="C130" s="2" t="inlineStr">
        <is>
          <t>Student Research Capability</t>
        </is>
      </c>
      <c r="D130" s="2" t="inlineStr">
        <is>
          <t>What exactly is being measured?</t>
        </is>
      </c>
      <c r="E130" s="2" t="inlineStr">
        <is>
          <t>What is the unit / scale?</t>
        </is>
      </c>
      <c r="F130" s="2" t="inlineStr">
        <is>
          <t>What population / sample is assessed?</t>
        </is>
      </c>
      <c r="G130" s="2" t="inlineStr">
        <is>
          <t>What is the observation period?</t>
        </is>
      </c>
      <c r="H130" s="2" t="inlineStr">
        <is>
          <t>What evidence is minimally required?</t>
        </is>
      </c>
      <c r="I130" s="2" t="inlineStr">
        <is>
          <t>What evidence qualifies as strong?</t>
        </is>
      </c>
      <c r="J130" s="2" t="inlineStr">
        <is>
          <t>Which maturity anchor applies?</t>
        </is>
      </c>
      <c r="K130" s="2" t="inlineStr">
        <is>
          <t>What makes the evidence independent?</t>
        </is>
      </c>
      <c r="L130" s="2" t="inlineStr">
        <is>
          <t>What is N/A and when is it allowed?</t>
        </is>
      </c>
      <c r="M130" s="2" t="inlineStr">
        <is>
          <t>What is the anti-gaming check?</t>
        </is>
      </c>
      <c r="N130" s="2" t="inlineStr">
        <is>
          <t>What is the primary scoring owner?</t>
        </is>
      </c>
      <c r="O130" s="2" t="inlineStr">
        <is>
          <t>What cross-domain signals should validate/contradict it?</t>
        </is>
      </c>
      <c r="P130" s="2" t="inlineStr">
        <is>
          <t>TO BE COMPLETED</t>
        </is>
      </c>
    </row>
    <row r="131">
      <c r="A131" s="2" t="inlineStr">
        <is>
          <t>D11</t>
        </is>
      </c>
      <c r="B131" s="2" t="inlineStr">
        <is>
          <t>I01</t>
        </is>
      </c>
      <c r="C131" s="2" t="inlineStr">
        <is>
          <t>External Change Sensing</t>
        </is>
      </c>
      <c r="D131" s="2" t="inlineStr">
        <is>
          <t>What exactly is being measured?</t>
        </is>
      </c>
      <c r="E131" s="2" t="inlineStr">
        <is>
          <t>What is the unit / scale?</t>
        </is>
      </c>
      <c r="F131" s="2" t="inlineStr">
        <is>
          <t>What population / sample is assessed?</t>
        </is>
      </c>
      <c r="G131" s="2" t="inlineStr">
        <is>
          <t>What is the observation period?</t>
        </is>
      </c>
      <c r="H131" s="2" t="inlineStr">
        <is>
          <t>What evidence is minimally required?</t>
        </is>
      </c>
      <c r="I131" s="2" t="inlineStr">
        <is>
          <t>What evidence qualifies as strong?</t>
        </is>
      </c>
      <c r="J131" s="2" t="inlineStr">
        <is>
          <t>Which maturity anchor applies?</t>
        </is>
      </c>
      <c r="K131" s="2" t="inlineStr">
        <is>
          <t>What makes the evidence independent?</t>
        </is>
      </c>
      <c r="L131" s="2" t="inlineStr">
        <is>
          <t>What is N/A and when is it allowed?</t>
        </is>
      </c>
      <c r="M131" s="2" t="inlineStr">
        <is>
          <t>What is the anti-gaming check?</t>
        </is>
      </c>
      <c r="N131" s="2" t="inlineStr">
        <is>
          <t>What is the primary scoring owner?</t>
        </is>
      </c>
      <c r="O131" s="2" t="inlineStr">
        <is>
          <t>What cross-domain signals should validate/contradict it?</t>
        </is>
      </c>
      <c r="P131" s="2" t="inlineStr">
        <is>
          <t>TO BE COMPLETED</t>
        </is>
      </c>
    </row>
    <row r="132">
      <c r="A132" s="2" t="inlineStr">
        <is>
          <t>D11</t>
        </is>
      </c>
      <c r="B132" s="2" t="inlineStr">
        <is>
          <t>I02</t>
        </is>
      </c>
      <c r="C132" s="2" t="inlineStr">
        <is>
          <t>Strategic Response Agility</t>
        </is>
      </c>
      <c r="D132" s="2" t="inlineStr">
        <is>
          <t>What exactly is being measured?</t>
        </is>
      </c>
      <c r="E132" s="2" t="inlineStr">
        <is>
          <t>What is the unit / scale?</t>
        </is>
      </c>
      <c r="F132" s="2" t="inlineStr">
        <is>
          <t>What population / sample is assessed?</t>
        </is>
      </c>
      <c r="G132" s="2" t="inlineStr">
        <is>
          <t>What is the observation period?</t>
        </is>
      </c>
      <c r="H132" s="2" t="inlineStr">
        <is>
          <t>What evidence is minimally required?</t>
        </is>
      </c>
      <c r="I132" s="2" t="inlineStr">
        <is>
          <t>What evidence qualifies as strong?</t>
        </is>
      </c>
      <c r="J132" s="2" t="inlineStr">
        <is>
          <t>Which maturity anchor applies?</t>
        </is>
      </c>
      <c r="K132" s="2" t="inlineStr">
        <is>
          <t>What makes the evidence independent?</t>
        </is>
      </c>
      <c r="L132" s="2" t="inlineStr">
        <is>
          <t>What is N/A and when is it allowed?</t>
        </is>
      </c>
      <c r="M132" s="2" t="inlineStr">
        <is>
          <t>What is the anti-gaming check?</t>
        </is>
      </c>
      <c r="N132" s="2" t="inlineStr">
        <is>
          <t>What is the primary scoring owner?</t>
        </is>
      </c>
      <c r="O132" s="2" t="inlineStr">
        <is>
          <t>What cross-domain signals should validate/contradict it?</t>
        </is>
      </c>
      <c r="P132" s="2" t="inlineStr">
        <is>
          <t>TO BE COMPLETED</t>
        </is>
      </c>
    </row>
    <row r="133">
      <c r="A133" s="2" t="inlineStr">
        <is>
          <t>D11</t>
        </is>
      </c>
      <c r="B133" s="2" t="inlineStr">
        <is>
          <t>I03</t>
        </is>
      </c>
      <c r="C133" s="2" t="inlineStr">
        <is>
          <t>Adaptive Decision Architecture</t>
        </is>
      </c>
      <c r="D133" s="2" t="inlineStr">
        <is>
          <t>What exactly is being measured?</t>
        </is>
      </c>
      <c r="E133" s="2" t="inlineStr">
        <is>
          <t>What is the unit / scale?</t>
        </is>
      </c>
      <c r="F133" s="2" t="inlineStr">
        <is>
          <t>What population / sample is assessed?</t>
        </is>
      </c>
      <c r="G133" s="2" t="inlineStr">
        <is>
          <t>What is the observation period?</t>
        </is>
      </c>
      <c r="H133" s="2" t="inlineStr">
        <is>
          <t>What evidence is minimally required?</t>
        </is>
      </c>
      <c r="I133" s="2" t="inlineStr">
        <is>
          <t>What evidence qualifies as strong?</t>
        </is>
      </c>
      <c r="J133" s="2" t="inlineStr">
        <is>
          <t>Which maturity anchor applies?</t>
        </is>
      </c>
      <c r="K133" s="2" t="inlineStr">
        <is>
          <t>What makes the evidence independent?</t>
        </is>
      </c>
      <c r="L133" s="2" t="inlineStr">
        <is>
          <t>What is N/A and when is it allowed?</t>
        </is>
      </c>
      <c r="M133" s="2" t="inlineStr">
        <is>
          <t>What is the anti-gaming check?</t>
        </is>
      </c>
      <c r="N133" s="2" t="inlineStr">
        <is>
          <t>What is the primary scoring owner?</t>
        </is>
      </c>
      <c r="O133" s="2" t="inlineStr">
        <is>
          <t>What cross-domain signals should validate/contradict it?</t>
        </is>
      </c>
      <c r="P133" s="2" t="inlineStr">
        <is>
          <t>TO BE COMPLETED</t>
        </is>
      </c>
    </row>
    <row r="134">
      <c r="A134" s="2" t="inlineStr">
        <is>
          <t>D11</t>
        </is>
      </c>
      <c r="B134" s="2" t="inlineStr">
        <is>
          <t>I04</t>
        </is>
      </c>
      <c r="C134" s="2" t="inlineStr">
        <is>
          <t>Resource Reallocation Agility</t>
        </is>
      </c>
      <c r="D134" s="2" t="inlineStr">
        <is>
          <t>What exactly is being measured?</t>
        </is>
      </c>
      <c r="E134" s="2" t="inlineStr">
        <is>
          <t>What is the unit / scale?</t>
        </is>
      </c>
      <c r="F134" s="2" t="inlineStr">
        <is>
          <t>What population / sample is assessed?</t>
        </is>
      </c>
      <c r="G134" s="2" t="inlineStr">
        <is>
          <t>What is the observation period?</t>
        </is>
      </c>
      <c r="H134" s="2" t="inlineStr">
        <is>
          <t>What evidence is minimally required?</t>
        </is>
      </c>
      <c r="I134" s="2" t="inlineStr">
        <is>
          <t>What evidence qualifies as strong?</t>
        </is>
      </c>
      <c r="J134" s="2" t="inlineStr">
        <is>
          <t>Which maturity anchor applies?</t>
        </is>
      </c>
      <c r="K134" s="2" t="inlineStr">
        <is>
          <t>What makes the evidence independent?</t>
        </is>
      </c>
      <c r="L134" s="2" t="inlineStr">
        <is>
          <t>What is N/A and when is it allowed?</t>
        </is>
      </c>
      <c r="M134" s="2" t="inlineStr">
        <is>
          <t>What is the anti-gaming check?</t>
        </is>
      </c>
      <c r="N134" s="2" t="inlineStr">
        <is>
          <t>What is the primary scoring owner?</t>
        </is>
      </c>
      <c r="O134" s="2" t="inlineStr">
        <is>
          <t>What cross-domain signals should validate/contradict it?</t>
        </is>
      </c>
      <c r="P134" s="2" t="inlineStr">
        <is>
          <t>TO BE COMPLETED</t>
        </is>
      </c>
    </row>
    <row r="135">
      <c r="A135" s="2" t="inlineStr">
        <is>
          <t>D11</t>
        </is>
      </c>
      <c r="B135" s="2" t="inlineStr">
        <is>
          <t>I05</t>
        </is>
      </c>
      <c r="C135" s="2" t="inlineStr">
        <is>
          <t>Institutional Experimentation</t>
        </is>
      </c>
      <c r="D135" s="2" t="inlineStr">
        <is>
          <t>What exactly is being measured?</t>
        </is>
      </c>
      <c r="E135" s="2" t="inlineStr">
        <is>
          <t>What is the unit / scale?</t>
        </is>
      </c>
      <c r="F135" s="2" t="inlineStr">
        <is>
          <t>What population / sample is assessed?</t>
        </is>
      </c>
      <c r="G135" s="2" t="inlineStr">
        <is>
          <t>What is the observation period?</t>
        </is>
      </c>
      <c r="H135" s="2" t="inlineStr">
        <is>
          <t>What evidence is minimally required?</t>
        </is>
      </c>
      <c r="I135" s="2" t="inlineStr">
        <is>
          <t>What evidence qualifies as strong?</t>
        </is>
      </c>
      <c r="J135" s="2" t="inlineStr">
        <is>
          <t>Which maturity anchor applies?</t>
        </is>
      </c>
      <c r="K135" s="2" t="inlineStr">
        <is>
          <t>What makes the evidence independent?</t>
        </is>
      </c>
      <c r="L135" s="2" t="inlineStr">
        <is>
          <t>What is N/A and when is it allowed?</t>
        </is>
      </c>
      <c r="M135" s="2" t="inlineStr">
        <is>
          <t>What is the anti-gaming check?</t>
        </is>
      </c>
      <c r="N135" s="2" t="inlineStr">
        <is>
          <t>What is the primary scoring owner?</t>
        </is>
      </c>
      <c r="O135" s="2" t="inlineStr">
        <is>
          <t>What cross-domain signals should validate/contradict it?</t>
        </is>
      </c>
      <c r="P135" s="2" t="inlineStr">
        <is>
          <t>TO BE COMPLETED</t>
        </is>
      </c>
    </row>
    <row r="136">
      <c r="A136" s="2" t="inlineStr">
        <is>
          <t>D11</t>
        </is>
      </c>
      <c r="B136" s="2" t="inlineStr">
        <is>
          <t>I06</t>
        </is>
      </c>
      <c r="C136" s="2" t="inlineStr">
        <is>
          <t>Failure-to-Learning Capability</t>
        </is>
      </c>
      <c r="D136" s="2" t="inlineStr">
        <is>
          <t>What exactly is being measured?</t>
        </is>
      </c>
      <c r="E136" s="2" t="inlineStr">
        <is>
          <t>What is the unit / scale?</t>
        </is>
      </c>
      <c r="F136" s="2" t="inlineStr">
        <is>
          <t>What population / sample is assessed?</t>
        </is>
      </c>
      <c r="G136" s="2" t="inlineStr">
        <is>
          <t>What is the observation period?</t>
        </is>
      </c>
      <c r="H136" s="2" t="inlineStr">
        <is>
          <t>What evidence is minimally required?</t>
        </is>
      </c>
      <c r="I136" s="2" t="inlineStr">
        <is>
          <t>What evidence qualifies as strong?</t>
        </is>
      </c>
      <c r="J136" s="2" t="inlineStr">
        <is>
          <t>Which maturity anchor applies?</t>
        </is>
      </c>
      <c r="K136" s="2" t="inlineStr">
        <is>
          <t>What makes the evidence independent?</t>
        </is>
      </c>
      <c r="L136" s="2" t="inlineStr">
        <is>
          <t>What is N/A and when is it allowed?</t>
        </is>
      </c>
      <c r="M136" s="2" t="inlineStr">
        <is>
          <t>What is the anti-gaming check?</t>
        </is>
      </c>
      <c r="N136" s="2" t="inlineStr">
        <is>
          <t>What is the primary scoring owner?</t>
        </is>
      </c>
      <c r="O136" s="2" t="inlineStr">
        <is>
          <t>What cross-domain signals should validate/contradict it?</t>
        </is>
      </c>
      <c r="P136" s="2" t="inlineStr">
        <is>
          <t>TO BE COMPLETED</t>
        </is>
      </c>
    </row>
    <row r="137">
      <c r="A137" s="2" t="inlineStr">
        <is>
          <t>D11</t>
        </is>
      </c>
      <c r="B137" s="2" t="inlineStr">
        <is>
          <t>I07</t>
        </is>
      </c>
      <c r="C137" s="2" t="inlineStr">
        <is>
          <t>Change Management Capacity</t>
        </is>
      </c>
      <c r="D137" s="2" t="inlineStr">
        <is>
          <t>What exactly is being measured?</t>
        </is>
      </c>
      <c r="E137" s="2" t="inlineStr">
        <is>
          <t>What is the unit / scale?</t>
        </is>
      </c>
      <c r="F137" s="2" t="inlineStr">
        <is>
          <t>What population / sample is assessed?</t>
        </is>
      </c>
      <c r="G137" s="2" t="inlineStr">
        <is>
          <t>What is the observation period?</t>
        </is>
      </c>
      <c r="H137" s="2" t="inlineStr">
        <is>
          <t>What evidence is minimally required?</t>
        </is>
      </c>
      <c r="I137" s="2" t="inlineStr">
        <is>
          <t>What evidence qualifies as strong?</t>
        </is>
      </c>
      <c r="J137" s="2" t="inlineStr">
        <is>
          <t>Which maturity anchor applies?</t>
        </is>
      </c>
      <c r="K137" s="2" t="inlineStr">
        <is>
          <t>What makes the evidence independent?</t>
        </is>
      </c>
      <c r="L137" s="2" t="inlineStr">
        <is>
          <t>What is N/A and when is it allowed?</t>
        </is>
      </c>
      <c r="M137" s="2" t="inlineStr">
        <is>
          <t>What is the anti-gaming check?</t>
        </is>
      </c>
      <c r="N137" s="2" t="inlineStr">
        <is>
          <t>What is the primary scoring owner?</t>
        </is>
      </c>
      <c r="O137" s="2" t="inlineStr">
        <is>
          <t>What cross-domain signals should validate/contradict it?</t>
        </is>
      </c>
      <c r="P137" s="2" t="inlineStr">
        <is>
          <t>TO BE COMPLETED</t>
        </is>
      </c>
    </row>
    <row r="138">
      <c r="A138" s="2" t="inlineStr">
        <is>
          <t>D11</t>
        </is>
      </c>
      <c r="B138" s="2" t="inlineStr">
        <is>
          <t>I08</t>
        </is>
      </c>
      <c r="C138" s="2" t="inlineStr">
        <is>
          <t>Adaptive Leadership Alignment</t>
        </is>
      </c>
      <c r="D138" s="2" t="inlineStr">
        <is>
          <t>What exactly is being measured?</t>
        </is>
      </c>
      <c r="E138" s="2" t="inlineStr">
        <is>
          <t>What is the unit / scale?</t>
        </is>
      </c>
      <c r="F138" s="2" t="inlineStr">
        <is>
          <t>What population / sample is assessed?</t>
        </is>
      </c>
      <c r="G138" s="2" t="inlineStr">
        <is>
          <t>What is the observation period?</t>
        </is>
      </c>
      <c r="H138" s="2" t="inlineStr">
        <is>
          <t>What evidence is minimally required?</t>
        </is>
      </c>
      <c r="I138" s="2" t="inlineStr">
        <is>
          <t>What evidence qualifies as strong?</t>
        </is>
      </c>
      <c r="J138" s="2" t="inlineStr">
        <is>
          <t>Which maturity anchor applies?</t>
        </is>
      </c>
      <c r="K138" s="2" t="inlineStr">
        <is>
          <t>What makes the evidence independent?</t>
        </is>
      </c>
      <c r="L138" s="2" t="inlineStr">
        <is>
          <t>What is N/A and when is it allowed?</t>
        </is>
      </c>
      <c r="M138" s="2" t="inlineStr">
        <is>
          <t>What is the anti-gaming check?</t>
        </is>
      </c>
      <c r="N138" s="2" t="inlineStr">
        <is>
          <t>What is the primary scoring owner?</t>
        </is>
      </c>
      <c r="O138" s="2" t="inlineStr">
        <is>
          <t>What cross-domain signals should validate/contradict it?</t>
        </is>
      </c>
      <c r="P138" s="2" t="inlineStr">
        <is>
          <t>TO BE COMPLETED</t>
        </is>
      </c>
    </row>
    <row r="139">
      <c r="A139" s="2" t="inlineStr">
        <is>
          <t>D11</t>
        </is>
      </c>
      <c r="B139" s="2" t="inlineStr">
        <is>
          <t>I09</t>
        </is>
      </c>
      <c r="C139" s="2" t="inlineStr">
        <is>
          <t>Learner Signal Responsiveness</t>
        </is>
      </c>
      <c r="D139" s="2" t="inlineStr">
        <is>
          <t>What exactly is being measured?</t>
        </is>
      </c>
      <c r="E139" s="2" t="inlineStr">
        <is>
          <t>What is the unit / scale?</t>
        </is>
      </c>
      <c r="F139" s="2" t="inlineStr">
        <is>
          <t>What population / sample is assessed?</t>
        </is>
      </c>
      <c r="G139" s="2" t="inlineStr">
        <is>
          <t>What is the observation period?</t>
        </is>
      </c>
      <c r="H139" s="2" t="inlineStr">
        <is>
          <t>What evidence is minimally required?</t>
        </is>
      </c>
      <c r="I139" s="2" t="inlineStr">
        <is>
          <t>What evidence qualifies as strong?</t>
        </is>
      </c>
      <c r="J139" s="2" t="inlineStr">
        <is>
          <t>Which maturity anchor applies?</t>
        </is>
      </c>
      <c r="K139" s="2" t="inlineStr">
        <is>
          <t>What makes the evidence independent?</t>
        </is>
      </c>
      <c r="L139" s="2" t="inlineStr">
        <is>
          <t>What is N/A and when is it allowed?</t>
        </is>
      </c>
      <c r="M139" s="2" t="inlineStr">
        <is>
          <t>What is the anti-gaming check?</t>
        </is>
      </c>
      <c r="N139" s="2" t="inlineStr">
        <is>
          <t>What is the primary scoring owner?</t>
        </is>
      </c>
      <c r="O139" s="2" t="inlineStr">
        <is>
          <t>What cross-domain signals should validate/contradict it?</t>
        </is>
      </c>
      <c r="P139" s="2" t="inlineStr">
        <is>
          <t>TO BE COMPLETED</t>
        </is>
      </c>
    </row>
    <row r="140">
      <c r="A140" s="2" t="inlineStr">
        <is>
          <t>D11</t>
        </is>
      </c>
      <c r="B140" s="2" t="inlineStr">
        <is>
          <t>I10</t>
        </is>
      </c>
      <c r="C140" s="2" t="inlineStr">
        <is>
          <t>Economic &amp; Workforce Responsiveness</t>
        </is>
      </c>
      <c r="D140" s="2" t="inlineStr">
        <is>
          <t>What exactly is being measured?</t>
        </is>
      </c>
      <c r="E140" s="2" t="inlineStr">
        <is>
          <t>What is the unit / scale?</t>
        </is>
      </c>
      <c r="F140" s="2" t="inlineStr">
        <is>
          <t>What population / sample is assessed?</t>
        </is>
      </c>
      <c r="G140" s="2" t="inlineStr">
        <is>
          <t>What is the observation period?</t>
        </is>
      </c>
      <c r="H140" s="2" t="inlineStr">
        <is>
          <t>What evidence is minimally required?</t>
        </is>
      </c>
      <c r="I140" s="2" t="inlineStr">
        <is>
          <t>What evidence qualifies as strong?</t>
        </is>
      </c>
      <c r="J140" s="2" t="inlineStr">
        <is>
          <t>Which maturity anchor applies?</t>
        </is>
      </c>
      <c r="K140" s="2" t="inlineStr">
        <is>
          <t>What makes the evidence independent?</t>
        </is>
      </c>
      <c r="L140" s="2" t="inlineStr">
        <is>
          <t>What is N/A and when is it allowed?</t>
        </is>
      </c>
      <c r="M140" s="2" t="inlineStr">
        <is>
          <t>What is the anti-gaming check?</t>
        </is>
      </c>
      <c r="N140" s="2" t="inlineStr">
        <is>
          <t>What is the primary scoring owner?</t>
        </is>
      </c>
      <c r="O140" s="2" t="inlineStr">
        <is>
          <t>What cross-domain signals should validate/contradict it?</t>
        </is>
      </c>
      <c r="P140" s="2" t="inlineStr">
        <is>
          <t>TO BE COMPLETED</t>
        </is>
      </c>
    </row>
    <row r="141">
      <c r="A141" s="2" t="inlineStr">
        <is>
          <t>D11</t>
        </is>
      </c>
      <c r="B141" s="2" t="inlineStr">
        <is>
          <t>I11</t>
        </is>
      </c>
      <c r="C141" s="2" t="inlineStr">
        <is>
          <t>Scenario Planning Capability</t>
        </is>
      </c>
      <c r="D141" s="2" t="inlineStr">
        <is>
          <t>What exactly is being measured?</t>
        </is>
      </c>
      <c r="E141" s="2" t="inlineStr">
        <is>
          <t>What is the unit / scale?</t>
        </is>
      </c>
      <c r="F141" s="2" t="inlineStr">
        <is>
          <t>What population / sample is assessed?</t>
        </is>
      </c>
      <c r="G141" s="2" t="inlineStr">
        <is>
          <t>What is the observation period?</t>
        </is>
      </c>
      <c r="H141" s="2" t="inlineStr">
        <is>
          <t>What evidence is minimally required?</t>
        </is>
      </c>
      <c r="I141" s="2" t="inlineStr">
        <is>
          <t>What evidence qualifies as strong?</t>
        </is>
      </c>
      <c r="J141" s="2" t="inlineStr">
        <is>
          <t>Which maturity anchor applies?</t>
        </is>
      </c>
      <c r="K141" s="2" t="inlineStr">
        <is>
          <t>What makes the evidence independent?</t>
        </is>
      </c>
      <c r="L141" s="2" t="inlineStr">
        <is>
          <t>What is N/A and when is it allowed?</t>
        </is>
      </c>
      <c r="M141" s="2" t="inlineStr">
        <is>
          <t>What is the anti-gaming check?</t>
        </is>
      </c>
      <c r="N141" s="2" t="inlineStr">
        <is>
          <t>What is the primary scoring owner?</t>
        </is>
      </c>
      <c r="O141" s="2" t="inlineStr">
        <is>
          <t>What cross-domain signals should validate/contradict it?</t>
        </is>
      </c>
      <c r="P141" s="2" t="inlineStr">
        <is>
          <t>TO BE COMPLETED</t>
        </is>
      </c>
    </row>
    <row r="142">
      <c r="A142" s="2" t="inlineStr">
        <is>
          <t>D11</t>
        </is>
      </c>
      <c r="B142" s="2" t="inlineStr">
        <is>
          <t>I12</t>
        </is>
      </c>
      <c r="C142" s="2" t="inlineStr">
        <is>
          <t>Institutional Resilience</t>
        </is>
      </c>
      <c r="D142" s="2" t="inlineStr">
        <is>
          <t>What exactly is being measured?</t>
        </is>
      </c>
      <c r="E142" s="2" t="inlineStr">
        <is>
          <t>What is the unit / scale?</t>
        </is>
      </c>
      <c r="F142" s="2" t="inlineStr">
        <is>
          <t>What population / sample is assessed?</t>
        </is>
      </c>
      <c r="G142" s="2" t="inlineStr">
        <is>
          <t>What is the observation period?</t>
        </is>
      </c>
      <c r="H142" s="2" t="inlineStr">
        <is>
          <t>What evidence is minimally required?</t>
        </is>
      </c>
      <c r="I142" s="2" t="inlineStr">
        <is>
          <t>What evidence qualifies as strong?</t>
        </is>
      </c>
      <c r="J142" s="2" t="inlineStr">
        <is>
          <t>Which maturity anchor applies?</t>
        </is>
      </c>
      <c r="K142" s="2" t="inlineStr">
        <is>
          <t>What makes the evidence independent?</t>
        </is>
      </c>
      <c r="L142" s="2" t="inlineStr">
        <is>
          <t>What is N/A and when is it allowed?</t>
        </is>
      </c>
      <c r="M142" s="2" t="inlineStr">
        <is>
          <t>What is the anti-gaming check?</t>
        </is>
      </c>
      <c r="N142" s="2" t="inlineStr">
        <is>
          <t>What is the primary scoring owner?</t>
        </is>
      </c>
      <c r="O142" s="2" t="inlineStr">
        <is>
          <t>What cross-domain signals should validate/contradict it?</t>
        </is>
      </c>
      <c r="P142" s="2" t="inlineStr">
        <is>
          <t>TO BE COMPLETED</t>
        </is>
      </c>
    </row>
    <row r="143">
      <c r="A143" s="2" t="inlineStr">
        <is>
          <t>D11</t>
        </is>
      </c>
      <c r="B143" s="2" t="inlineStr">
        <is>
          <t>I13</t>
        </is>
      </c>
      <c r="C143" s="2" t="inlineStr">
        <is>
          <t>Institutional Learning System</t>
        </is>
      </c>
      <c r="D143" s="2" t="inlineStr">
        <is>
          <t>What exactly is being measured?</t>
        </is>
      </c>
      <c r="E143" s="2" t="inlineStr">
        <is>
          <t>What is the unit / scale?</t>
        </is>
      </c>
      <c r="F143" s="2" t="inlineStr">
        <is>
          <t>What population / sample is assessed?</t>
        </is>
      </c>
      <c r="G143" s="2" t="inlineStr">
        <is>
          <t>What is the observation period?</t>
        </is>
      </c>
      <c r="H143" s="2" t="inlineStr">
        <is>
          <t>What evidence is minimally required?</t>
        </is>
      </c>
      <c r="I143" s="2" t="inlineStr">
        <is>
          <t>What evidence qualifies as strong?</t>
        </is>
      </c>
      <c r="J143" s="2" t="inlineStr">
        <is>
          <t>Which maturity anchor applies?</t>
        </is>
      </c>
      <c r="K143" s="2" t="inlineStr">
        <is>
          <t>What makes the evidence independent?</t>
        </is>
      </c>
      <c r="L143" s="2" t="inlineStr">
        <is>
          <t>What is N/A and when is it allowed?</t>
        </is>
      </c>
      <c r="M143" s="2" t="inlineStr">
        <is>
          <t>What is the anti-gaming check?</t>
        </is>
      </c>
      <c r="N143" s="2" t="inlineStr">
        <is>
          <t>What is the primary scoring owner?</t>
        </is>
      </c>
      <c r="O143" s="2" t="inlineStr">
        <is>
          <t>What cross-domain signals should validate/contradict it?</t>
        </is>
      </c>
      <c r="P143" s="2" t="inlineStr">
        <is>
          <t>TO BE COMPLETED</t>
        </is>
      </c>
    </row>
    <row r="144">
      <c r="A144" s="2" t="inlineStr">
        <is>
          <t>D11</t>
        </is>
      </c>
      <c r="B144" s="2" t="inlineStr">
        <is>
          <t>I14</t>
        </is>
      </c>
      <c r="C144" s="2" t="inlineStr">
        <is>
          <t>Future Transformation Capacity</t>
        </is>
      </c>
      <c r="D144" s="2" t="inlineStr">
        <is>
          <t>What exactly is being measured?</t>
        </is>
      </c>
      <c r="E144" s="2" t="inlineStr">
        <is>
          <t>What is the unit / scale?</t>
        </is>
      </c>
      <c r="F144" s="2" t="inlineStr">
        <is>
          <t>What population / sample is assessed?</t>
        </is>
      </c>
      <c r="G144" s="2" t="inlineStr">
        <is>
          <t>What is the observation period?</t>
        </is>
      </c>
      <c r="H144" s="2" t="inlineStr">
        <is>
          <t>What evidence is minimally required?</t>
        </is>
      </c>
      <c r="I144" s="2" t="inlineStr">
        <is>
          <t>What evidence qualifies as strong?</t>
        </is>
      </c>
      <c r="J144" s="2" t="inlineStr">
        <is>
          <t>Which maturity anchor applies?</t>
        </is>
      </c>
      <c r="K144" s="2" t="inlineStr">
        <is>
          <t>What makes the evidence independent?</t>
        </is>
      </c>
      <c r="L144" s="2" t="inlineStr">
        <is>
          <t>What is N/A and when is it allowed?</t>
        </is>
      </c>
      <c r="M144" s="2" t="inlineStr">
        <is>
          <t>What is the anti-gaming check?</t>
        </is>
      </c>
      <c r="N144" s="2" t="inlineStr">
        <is>
          <t>What is the primary scoring owner?</t>
        </is>
      </c>
      <c r="O144" s="2" t="inlineStr">
        <is>
          <t>What cross-domain signals should validate/contradict it?</t>
        </is>
      </c>
      <c r="P144" s="2" t="inlineStr">
        <is>
          <t>TO BE COMPLETED</t>
        </is>
      </c>
    </row>
  </sheetData>
  <autoFilter ref="A1:P144"/>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J11"/>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23" t="inlineStr">
        <is>
          <t>Metric ID</t>
        </is>
      </c>
      <c r="B1" s="23" t="inlineStr">
        <is>
          <t>Metric</t>
        </is>
      </c>
      <c r="C1" s="23" t="inlineStr">
        <is>
          <t>Definition</t>
        </is>
      </c>
      <c r="D1" s="23" t="inlineStr">
        <is>
          <t>Cards</t>
        </is>
      </c>
      <c r="E1" s="23" t="inlineStr">
        <is>
          <t>Questions</t>
        </is>
      </c>
      <c r="F1" s="23" t="inlineStr">
        <is>
          <t>Evidence</t>
        </is>
      </c>
      <c r="G1" s="23" t="inlineStr">
        <is>
          <t>Institutional Data</t>
        </is>
      </c>
      <c r="H1" s="23" t="inlineStr">
        <is>
          <t>Measurement Type</t>
        </is>
      </c>
      <c r="I1" s="23" t="inlineStr">
        <is>
          <t>Status</t>
        </is>
      </c>
      <c r="J1" s="23" t="inlineStr">
        <is>
          <t>Next Action</t>
        </is>
      </c>
    </row>
    <row r="2">
      <c r="A2" s="2" t="inlineStr">
        <is>
          <t>I01</t>
        </is>
      </c>
      <c r="B2" s="2" t="inlineStr">
        <is>
          <t>Strategic AI Integration</t>
        </is>
      </c>
      <c r="C2" s="2" t="inlineStr">
        <is>
          <t>Actual AI/future influence on institutional decisions</t>
        </is>
      </c>
      <c r="D2" s="2" t="inlineStr">
        <is>
          <t>D01</t>
        </is>
      </c>
      <c r="E2" s="2" t="inlineStr">
        <is>
          <t>D01; D01</t>
        </is>
      </c>
      <c r="F2" s="2" t="inlineStr">
        <is>
          <t>D01</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Future Foresight Maturity</t>
        </is>
      </c>
      <c r="C3" s="2" t="inlineStr">
        <is>
          <t>Ability to test assumptions and detect change early</t>
        </is>
      </c>
      <c r="D3" s="2" t="inlineStr">
        <is>
          <t>—</t>
        </is>
      </c>
      <c r="E3" s="2" t="inlineStr">
        <is>
          <t>D01; D01</t>
        </is>
      </c>
      <c r="F3" s="2" t="inlineStr">
        <is>
          <t>D01; D01</t>
        </is>
      </c>
      <c r="G3" s="2" t="inlineStr">
        <is>
          <t>—</t>
        </is>
      </c>
      <c r="H3" s="2" t="inlineStr">
        <is>
          <t>Rubric + evidence anchored ordinal score (0–5)</t>
        </is>
      </c>
      <c r="I3" s="2" t="inlineStr">
        <is>
          <t>GREEN</t>
        </is>
      </c>
      <c r="J3" s="2" t="inlineStr">
        <is>
          <t>Formalise the existing measurement path; assign evidence and scoring rule.</t>
        </is>
      </c>
    </row>
    <row r="4">
      <c r="A4" s="2" t="inlineStr">
        <is>
          <t>I03</t>
        </is>
      </c>
      <c r="B4" s="2" t="inlineStr">
        <is>
          <t>Strategic Translation Rate</t>
        </is>
      </c>
      <c r="C4" s="2" t="inlineStr">
        <is>
          <t>Identified issues translated into actual decisions</t>
        </is>
      </c>
      <c r="D4" s="2" t="inlineStr">
        <is>
          <t>—</t>
        </is>
      </c>
      <c r="E4" s="2" t="inlineStr">
        <is>
          <t>D01</t>
        </is>
      </c>
      <c r="F4" s="2" t="inlineStr">
        <is>
          <t>D01</t>
        </is>
      </c>
      <c r="G4" s="2" t="inlineStr">
        <is>
          <t>—</t>
        </is>
      </c>
      <c r="H4" s="2" t="inlineStr">
        <is>
          <t>Rubric + evidence anchored ordinal score (0–5)</t>
        </is>
      </c>
      <c r="I4" s="2" t="inlineStr">
        <is>
          <t>GREEN</t>
        </is>
      </c>
      <c r="J4" s="2" t="inlineStr">
        <is>
          <t>Formalise the existing measurement path; assign evidence and scoring rule.</t>
        </is>
      </c>
    </row>
    <row r="5">
      <c r="A5" s="2" t="inlineStr">
        <is>
          <t>I04</t>
        </is>
      </c>
      <c r="B5" s="2" t="inlineStr">
        <is>
          <t>Programme Future-Review Coverage</t>
        </is>
      </c>
      <c r="C5" s="2" t="inlineStr">
        <is>
          <t>Programme reviews considering AI/future-of-work</t>
        </is>
      </c>
      <c r="D5" s="2" t="inlineStr">
        <is>
          <t>—</t>
        </is>
      </c>
      <c r="E5" s="2" t="inlineStr">
        <is>
          <t>—</t>
        </is>
      </c>
      <c r="F5" s="2" t="inlineStr">
        <is>
          <t>D01</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Strategic Differentiation Clarity</t>
        </is>
      </c>
      <c r="C6" s="2" t="inlineStr">
        <is>
          <t>Evidence-backed future value proposition</t>
        </is>
      </c>
      <c r="D6" s="2" t="inlineStr">
        <is>
          <t>—</t>
        </is>
      </c>
      <c r="E6" s="2" t="inlineStr">
        <is>
          <t>D01</t>
        </is>
      </c>
      <c r="F6" s="2" t="inlineStr">
        <is>
          <t>—</t>
        </is>
      </c>
      <c r="G6" s="2" t="inlineStr">
        <is>
          <t>—</t>
        </is>
      </c>
      <c r="H6" s="2" t="inlineStr">
        <is>
          <t>Rubric + evidence anchored ordinal score (0–5)</t>
        </is>
      </c>
      <c r="I6" s="2" t="inlineStr">
        <is>
          <t>AMBER</t>
        </is>
      </c>
      <c r="J6" s="2" t="inlineStr">
        <is>
          <t>Define explicit metric-level measurement specification before scoring freeze.</t>
        </is>
      </c>
    </row>
    <row r="7">
      <c r="A7" s="2" t="inlineStr">
        <is>
          <t>I06</t>
        </is>
      </c>
      <c r="B7" s="2" t="inlineStr">
        <is>
          <t>Foresight Response Architecture</t>
        </is>
      </c>
      <c r="C7" s="2" t="inlineStr">
        <is>
          <t>Detect→interpret→decide→act→learn mechanism</t>
        </is>
      </c>
      <c r="D7" s="2" t="inlineStr">
        <is>
          <t>—</t>
        </is>
      </c>
      <c r="E7" s="2" t="inlineStr">
        <is>
          <t>D01</t>
        </is>
      </c>
      <c r="F7" s="2" t="inlineStr">
        <is>
          <t>D01</t>
        </is>
      </c>
      <c r="G7" s="2" t="inlineStr">
        <is>
          <t>—</t>
        </is>
      </c>
      <c r="H7" s="2" t="inlineStr">
        <is>
          <t>Rubric + evidence anchored ordinal score (0–5)</t>
        </is>
      </c>
      <c r="I7" s="2" t="inlineStr">
        <is>
          <t>GREEN</t>
        </is>
      </c>
      <c r="J7" s="2" t="inlineStr">
        <is>
          <t>Formalise the existing measurement path; assign evidence and scoring rule.</t>
        </is>
      </c>
    </row>
    <row r="8">
      <c r="A8" s="2" t="inlineStr">
        <is>
          <t>I07</t>
        </is>
      </c>
      <c r="B8" s="2" t="inlineStr">
        <is>
          <t>Resource Alignment</t>
        </is>
      </c>
      <c r="C8" s="2" t="inlineStr">
        <is>
          <t>Strategic priority vs resource movement</t>
        </is>
      </c>
      <c r="D8" s="2" t="inlineStr">
        <is>
          <t>—</t>
        </is>
      </c>
      <c r="E8" s="2" t="inlineStr">
        <is>
          <t>—</t>
        </is>
      </c>
      <c r="F8" s="2" t="inlineStr">
        <is>
          <t>—</t>
        </is>
      </c>
      <c r="G8" s="2" t="inlineStr">
        <is>
          <t>—</t>
        </is>
      </c>
      <c r="H8" s="2" t="inlineStr">
        <is>
          <t>Rubric + evidence anchored ordinal score (0–5)</t>
        </is>
      </c>
      <c r="I8" s="2" t="inlineStr">
        <is>
          <t>RED</t>
        </is>
      </c>
      <c r="J8" s="2" t="inlineStr">
        <is>
          <t>Define explicit metric-level measurement specification before scoring freeze.</t>
        </is>
      </c>
    </row>
    <row r="9">
      <c r="A9" s="2" t="inlineStr">
        <is>
          <t>I08</t>
        </is>
      </c>
      <c r="B9" s="2" t="inlineStr">
        <is>
          <t>Leadership Alignment</t>
        </is>
      </c>
      <c r="C9" s="2" t="inlineStr">
        <is>
          <t>Cross-functional strategic ownership</t>
        </is>
      </c>
      <c r="D9" s="2" t="inlineStr">
        <is>
          <t>D01</t>
        </is>
      </c>
      <c r="E9" s="2" t="inlineStr">
        <is>
          <t>D01; D01</t>
        </is>
      </c>
      <c r="F9" s="2" t="inlineStr">
        <is>
          <t>—</t>
        </is>
      </c>
      <c r="G9" s="2" t="inlineStr">
        <is>
          <t>—</t>
        </is>
      </c>
      <c r="H9" s="2" t="inlineStr">
        <is>
          <t>Rubric + evidence anchored ordinal score (0–5)</t>
        </is>
      </c>
      <c r="I9" s="2" t="inlineStr">
        <is>
          <t>GREEN</t>
        </is>
      </c>
      <c r="J9" s="2" t="inlineStr">
        <is>
          <t>Formalise the existing measurement path; assign evidence and scoring rule.</t>
        </is>
      </c>
    </row>
    <row r="10">
      <c r="A10" s="2" t="inlineStr">
        <is>
          <t>I09</t>
        </is>
      </c>
      <c r="B10" s="2" t="inlineStr">
        <is>
          <t>Experimentation Effectiveness</t>
        </is>
      </c>
      <c r="C10" s="2" t="inlineStr">
        <is>
          <t>Pilot evaluation, scaling/stopping and learning</t>
        </is>
      </c>
      <c r="D10" s="2" t="inlineStr">
        <is>
          <t>—</t>
        </is>
      </c>
      <c r="E10" s="2" t="inlineStr">
        <is>
          <t>D01</t>
        </is>
      </c>
      <c r="F10" s="2" t="inlineStr">
        <is>
          <t>D01</t>
        </is>
      </c>
      <c r="G10" s="2" t="inlineStr">
        <is>
          <t>—</t>
        </is>
      </c>
      <c r="H10" s="2" t="inlineStr">
        <is>
          <t>Rubric + evidence anchored ordinal score (0–5)</t>
        </is>
      </c>
      <c r="I10" s="2" t="inlineStr">
        <is>
          <t>GREEN</t>
        </is>
      </c>
      <c r="J10" s="2" t="inlineStr">
        <is>
          <t>Formalise the existing measurement path; assign evidence and scoring rule.</t>
        </is>
      </c>
    </row>
    <row r="11">
      <c r="A11" s="2" t="inlineStr">
        <is>
          <t>I10</t>
        </is>
      </c>
      <c r="B11" s="2" t="inlineStr">
        <is>
          <t>Strategic Learning Rate</t>
        </is>
      </c>
      <c r="C11" s="2" t="inlineStr">
        <is>
          <t>Strategy changes after evidence/review</t>
        </is>
      </c>
      <c r="D11" s="2" t="inlineStr">
        <is>
          <t>—</t>
        </is>
      </c>
      <c r="E11" s="2" t="inlineStr">
        <is>
          <t>—</t>
        </is>
      </c>
      <c r="F11" s="2" t="inlineStr">
        <is>
          <t>—</t>
        </is>
      </c>
      <c r="G11" s="2" t="inlineStr">
        <is>
          <t>—</t>
        </is>
      </c>
      <c r="H11" s="2" t="inlineStr">
        <is>
          <t>Rubric + evidence anchored ordinal score (0–5)</t>
        </is>
      </c>
      <c r="I11" s="2" t="inlineStr">
        <is>
          <t>RED</t>
        </is>
      </c>
      <c r="J11" s="2" t="inlineStr">
        <is>
          <t>Define explicit metric-level measurement specification before scoring freeze.</t>
        </is>
      </c>
    </row>
  </sheetData>
  <autoFilter ref="A1:J11"/>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23" t="inlineStr">
        <is>
          <t>Metric ID</t>
        </is>
      </c>
      <c r="B1" s="23" t="inlineStr">
        <is>
          <t>Metric</t>
        </is>
      </c>
      <c r="C1" s="23" t="inlineStr">
        <is>
          <t>Definition</t>
        </is>
      </c>
      <c r="D1" s="23" t="inlineStr">
        <is>
          <t>Cards</t>
        </is>
      </c>
      <c r="E1" s="23" t="inlineStr">
        <is>
          <t>Questions</t>
        </is>
      </c>
      <c r="F1" s="23" t="inlineStr">
        <is>
          <t>Evidence</t>
        </is>
      </c>
      <c r="G1" s="23" t="inlineStr">
        <is>
          <t>Institutional Data</t>
        </is>
      </c>
      <c r="H1" s="23" t="inlineStr">
        <is>
          <t>Measurement Type</t>
        </is>
      </c>
      <c r="I1" s="23" t="inlineStr">
        <is>
          <t>Status</t>
        </is>
      </c>
      <c r="J1" s="23" t="inlineStr">
        <is>
          <t>Next Action</t>
        </is>
      </c>
    </row>
    <row r="2">
      <c r="A2" s="2" t="inlineStr">
        <is>
          <t>I01</t>
        </is>
      </c>
      <c r="B2" s="2" t="inlineStr">
        <is>
          <t>Governance Ownership</t>
        </is>
      </c>
      <c r="C2" s="2" t="inlineStr">
        <is>
          <t>Decision rights for consequential AI</t>
        </is>
      </c>
      <c r="D2" s="2" t="inlineStr">
        <is>
          <t>D02</t>
        </is>
      </c>
      <c r="E2" s="2" t="inlineStr">
        <is>
          <t>D02</t>
        </is>
      </c>
      <c r="F2" s="2" t="inlineStr">
        <is>
          <t>D02</t>
        </is>
      </c>
      <c r="G2" s="2" t="inlineStr">
        <is>
          <t>—</t>
        </is>
      </c>
      <c r="H2" s="2" t="inlineStr">
        <is>
          <t>Defined rubric / evidence-coded score</t>
        </is>
      </c>
      <c r="I2" s="2" t="inlineStr">
        <is>
          <t>GREEN</t>
        </is>
      </c>
      <c r="J2" s="2" t="inlineStr">
        <is>
          <t>Formalise the existing measurement path; assign evidence and scoring rule.</t>
        </is>
      </c>
    </row>
    <row r="3">
      <c r="A3" s="2" t="inlineStr">
        <is>
          <t>I02</t>
        </is>
      </c>
      <c r="B3" s="2" t="inlineStr">
        <is>
          <t>Decision Architecture</t>
        </is>
      </c>
      <c r="C3" s="2" t="inlineStr">
        <is>
          <t>Approval/review/escalation workflow</t>
        </is>
      </c>
      <c r="D3" s="2" t="inlineStr">
        <is>
          <t>—</t>
        </is>
      </c>
      <c r="E3" s="2" t="inlineStr">
        <is>
          <t>D02</t>
        </is>
      </c>
      <c r="F3" s="2" t="inlineStr">
        <is>
          <t>D02</t>
        </is>
      </c>
      <c r="G3" s="2" t="inlineStr">
        <is>
          <t>—</t>
        </is>
      </c>
      <c r="H3" s="2" t="inlineStr">
        <is>
          <t>Rubric + evidence anchored ordinal score (0–5)</t>
        </is>
      </c>
      <c r="I3" s="2" t="inlineStr">
        <is>
          <t>GREEN</t>
        </is>
      </c>
      <c r="J3" s="2" t="inlineStr">
        <is>
          <t>Formalise the existing measurement path; assign evidence and scoring rule.</t>
        </is>
      </c>
    </row>
    <row r="4">
      <c r="A4" s="2" t="inlineStr">
        <is>
          <t>I03</t>
        </is>
      </c>
      <c r="B4" s="2" t="inlineStr">
        <is>
          <t>Responsible AI Maturity</t>
        </is>
      </c>
      <c r="C4" s="2" t="inlineStr">
        <is>
          <t>Operational ethics, fairness, transparency, accountability</t>
        </is>
      </c>
      <c r="D4" s="2" t="inlineStr">
        <is>
          <t>—</t>
        </is>
      </c>
      <c r="E4" s="2" t="inlineStr">
        <is>
          <t>D02</t>
        </is>
      </c>
      <c r="F4" s="2" t="inlineStr">
        <is>
          <t>D02</t>
        </is>
      </c>
      <c r="G4" s="2" t="inlineStr">
        <is>
          <t>—</t>
        </is>
      </c>
      <c r="H4" s="2" t="inlineStr">
        <is>
          <t>Rubric + evidence anchored ordinal score (0–5)</t>
        </is>
      </c>
      <c r="I4" s="2" t="inlineStr">
        <is>
          <t>GREEN</t>
        </is>
      </c>
      <c r="J4" s="2" t="inlineStr">
        <is>
          <t>Formalise the existing measurement path; assign evidence and scoring rule.</t>
        </is>
      </c>
    </row>
    <row r="5">
      <c r="A5" s="2" t="inlineStr">
        <is>
          <t>I04</t>
        </is>
      </c>
      <c r="B5" s="2" t="inlineStr">
        <is>
          <t>Data Governance Readiness</t>
        </is>
      </c>
      <c r="C5" s="2" t="inlineStr">
        <is>
          <t>Controls for data used by AI</t>
        </is>
      </c>
      <c r="D5" s="2" t="inlineStr">
        <is>
          <t>—</t>
        </is>
      </c>
      <c r="E5" s="2" t="inlineStr">
        <is>
          <t>D02</t>
        </is>
      </c>
      <c r="F5" s="2" t="inlineStr">
        <is>
          <t>D02</t>
        </is>
      </c>
      <c r="G5" s="2" t="inlineStr">
        <is>
          <t>—</t>
        </is>
      </c>
      <c r="H5" s="2" t="inlineStr">
        <is>
          <t>Rubric + evidence anchored ordinal score (0–5)</t>
        </is>
      </c>
      <c r="I5" s="2" t="inlineStr">
        <is>
          <t>GREEN</t>
        </is>
      </c>
      <c r="J5" s="2" t="inlineStr">
        <is>
          <t>Formalise the existing measurement path; assign evidence and scoring rule.</t>
        </is>
      </c>
    </row>
    <row r="6">
      <c r="A6" s="2" t="inlineStr">
        <is>
          <t>I05</t>
        </is>
      </c>
      <c r="B6" s="2" t="inlineStr">
        <is>
          <t>Academic Integrity Governance</t>
        </is>
      </c>
      <c r="C6" s="2" t="inlineStr">
        <is>
          <t>AI-use rules and institutional response</t>
        </is>
      </c>
      <c r="D6" s="2" t="inlineStr">
        <is>
          <t>—</t>
        </is>
      </c>
      <c r="E6" s="2" t="inlineStr">
        <is>
          <t>D02</t>
        </is>
      </c>
      <c r="F6" s="2" t="inlineStr">
        <is>
          <t>D02</t>
        </is>
      </c>
      <c r="G6" s="2" t="inlineStr">
        <is>
          <t>—</t>
        </is>
      </c>
      <c r="H6" s="2" t="inlineStr">
        <is>
          <t>Defined rubric / evidence-coded score</t>
        </is>
      </c>
      <c r="I6" s="2" t="inlineStr">
        <is>
          <t>GREEN</t>
        </is>
      </c>
      <c r="J6" s="2" t="inlineStr">
        <is>
          <t>Formalise the existing measurement path; assign evidence and scoring rule.</t>
        </is>
      </c>
    </row>
    <row r="7">
      <c r="A7" s="2" t="inlineStr">
        <is>
          <t>I06</t>
        </is>
      </c>
      <c r="B7" s="2" t="inlineStr">
        <is>
          <t>Assessment Governance</t>
        </is>
      </c>
      <c r="C7" s="2" t="inlineStr">
        <is>
          <t>Validity/human oversight under AI</t>
        </is>
      </c>
      <c r="D7" s="2" t="inlineStr">
        <is>
          <t>—</t>
        </is>
      </c>
      <c r="E7" s="2" t="inlineStr">
        <is>
          <t>—</t>
        </is>
      </c>
      <c r="F7" s="2" t="inlineStr">
        <is>
          <t>D02</t>
        </is>
      </c>
      <c r="G7" s="2" t="inlineStr">
        <is>
          <t>—</t>
        </is>
      </c>
      <c r="H7" s="2" t="inlineStr">
        <is>
          <t>Defined rubric / evidence-coded score</t>
        </is>
      </c>
      <c r="I7" s="2" t="inlineStr">
        <is>
          <t>AMBER</t>
        </is>
      </c>
      <c r="J7" s="2" t="inlineStr">
        <is>
          <t>Define explicit metric-level measurement specification before scoring freeze.</t>
        </is>
      </c>
    </row>
    <row r="8">
      <c r="A8" s="2" t="inlineStr">
        <is>
          <t>I07</t>
        </is>
      </c>
      <c r="B8" s="2" t="inlineStr">
        <is>
          <t>AI Risk Management</t>
        </is>
      </c>
      <c r="C8" s="2" t="inlineStr">
        <is>
          <t>Identify, assess, treat and monitor risk</t>
        </is>
      </c>
      <c r="D8" s="2" t="inlineStr">
        <is>
          <t>—</t>
        </is>
      </c>
      <c r="E8" s="2" t="inlineStr">
        <is>
          <t>—</t>
        </is>
      </c>
      <c r="F8" s="2" t="inlineStr">
        <is>
          <t>—</t>
        </is>
      </c>
      <c r="G8" s="2" t="inlineStr">
        <is>
          <t>—</t>
        </is>
      </c>
      <c r="H8" s="2" t="inlineStr">
        <is>
          <t>Defined rubric / evidence-coded score</t>
        </is>
      </c>
      <c r="I8" s="2" t="inlineStr">
        <is>
          <t>RED</t>
        </is>
      </c>
      <c r="J8" s="2" t="inlineStr">
        <is>
          <t>Define explicit metric-level measurement specification before scoring freeze.</t>
        </is>
      </c>
    </row>
    <row r="9">
      <c r="A9" s="2" t="inlineStr">
        <is>
          <t>I08</t>
        </is>
      </c>
      <c r="B9" s="2" t="inlineStr">
        <is>
          <t>Incident Responsiveness</t>
        </is>
      </c>
      <c r="C9" s="2" t="inlineStr">
        <is>
          <t>Detection→action→learning</t>
        </is>
      </c>
      <c r="D9" s="2" t="inlineStr">
        <is>
          <t>—</t>
        </is>
      </c>
      <c r="E9" s="2" t="inlineStr">
        <is>
          <t>D02</t>
        </is>
      </c>
      <c r="F9" s="2" t="inlineStr">
        <is>
          <t>D02</t>
        </is>
      </c>
      <c r="G9" s="2" t="inlineStr">
        <is>
          <t>—</t>
        </is>
      </c>
      <c r="H9" s="2" t="inlineStr">
        <is>
          <t>Rubric + evidence anchored ordinal score (0–5)</t>
        </is>
      </c>
      <c r="I9" s="2" t="inlineStr">
        <is>
          <t>GREEN</t>
        </is>
      </c>
      <c r="J9" s="2" t="inlineStr">
        <is>
          <t>Formalise the existing measurement path; assign evidence and scoring rule.</t>
        </is>
      </c>
    </row>
    <row r="10">
      <c r="A10" s="2" t="inlineStr">
        <is>
          <t>I09</t>
        </is>
      </c>
      <c r="B10" s="2" t="inlineStr">
        <is>
          <t>Human Accountability</t>
        </is>
      </c>
      <c r="C10" s="2" t="inlineStr">
        <is>
          <t>Review/override of consequential outputs</t>
        </is>
      </c>
      <c r="D10" s="2" t="inlineStr">
        <is>
          <t>—</t>
        </is>
      </c>
      <c r="E10" s="2" t="inlineStr">
        <is>
          <t>D02</t>
        </is>
      </c>
      <c r="F10" s="2" t="inlineStr">
        <is>
          <t>—</t>
        </is>
      </c>
      <c r="G10" s="2" t="inlineStr">
        <is>
          <t>—</t>
        </is>
      </c>
      <c r="H10" s="2" t="inlineStr">
        <is>
          <t>Defined rubric / evidence-coded score</t>
        </is>
      </c>
      <c r="I10" s="2" t="inlineStr">
        <is>
          <t>AMBER</t>
        </is>
      </c>
      <c r="J10" s="2" t="inlineStr">
        <is>
          <t>Define explicit metric-level measurement specification before scoring freeze.</t>
        </is>
      </c>
    </row>
    <row r="11">
      <c r="A11" s="2" t="inlineStr">
        <is>
          <t>I10</t>
        </is>
      </c>
      <c r="B11" s="2" t="inlineStr">
        <is>
          <t>Vendor/Tool Governance</t>
        </is>
      </c>
      <c r="C11" s="2" t="inlineStr">
        <is>
          <t>Lifecycle due diligence</t>
        </is>
      </c>
      <c r="D11" s="2" t="inlineStr">
        <is>
          <t>—</t>
        </is>
      </c>
      <c r="E11" s="2" t="inlineStr">
        <is>
          <t>D02</t>
        </is>
      </c>
      <c r="F11" s="2" t="inlineStr">
        <is>
          <t>D02</t>
        </is>
      </c>
      <c r="G11" s="2" t="inlineStr">
        <is>
          <t>—</t>
        </is>
      </c>
      <c r="H11" s="2" t="inlineStr">
        <is>
          <t>Defined rubric / evidence-coded score</t>
        </is>
      </c>
      <c r="I11" s="2" t="inlineStr">
        <is>
          <t>GREEN</t>
        </is>
      </c>
      <c r="J11" s="2" t="inlineStr">
        <is>
          <t>Formalise the existing measurement path; assign evidence and scoring rule.</t>
        </is>
      </c>
    </row>
    <row r="12">
      <c r="A12" s="2" t="inlineStr">
        <is>
          <t>I11</t>
        </is>
      </c>
      <c r="B12" s="2" t="inlineStr">
        <is>
          <t>IP Governance</t>
        </is>
      </c>
      <c r="C12" s="2" t="inlineStr">
        <is>
          <t>AI-related IP/copyright/authorship</t>
        </is>
      </c>
      <c r="D12" s="2" t="inlineStr">
        <is>
          <t>—</t>
        </is>
      </c>
      <c r="E12" s="2" t="inlineStr">
        <is>
          <t>—</t>
        </is>
      </c>
      <c r="F12" s="2" t="inlineStr">
        <is>
          <t>—</t>
        </is>
      </c>
      <c r="G12" s="2" t="inlineStr">
        <is>
          <t>—</t>
        </is>
      </c>
      <c r="H12" s="2" t="inlineStr">
        <is>
          <t>Defined rubric / evidence-coded score</t>
        </is>
      </c>
      <c r="I12" s="2" t="inlineStr">
        <is>
          <t>RED</t>
        </is>
      </c>
      <c r="J12" s="2" t="inlineStr">
        <is>
          <t>Define explicit metric-level measurement specification before scoring freeze.</t>
        </is>
      </c>
    </row>
    <row r="13">
      <c r="A13" s="2" t="inlineStr">
        <is>
          <t>I12</t>
        </is>
      </c>
      <c r="B13" s="2" t="inlineStr">
        <is>
          <t>Research AI Governance</t>
        </is>
      </c>
      <c r="C13" s="2" t="inlineStr">
        <is>
          <t>Responsible AI in research</t>
        </is>
      </c>
      <c r="D13" s="2" t="inlineStr">
        <is>
          <t>—</t>
        </is>
      </c>
      <c r="E13" s="2" t="inlineStr">
        <is>
          <t>—</t>
        </is>
      </c>
      <c r="F13" s="2" t="inlineStr">
        <is>
          <t>—</t>
        </is>
      </c>
      <c r="G13" s="2" t="inlineStr">
        <is>
          <t>—</t>
        </is>
      </c>
      <c r="H13" s="2" t="inlineStr">
        <is>
          <t>Defined rubric / evidence-coded score</t>
        </is>
      </c>
      <c r="I13" s="2" t="inlineStr">
        <is>
          <t>RED</t>
        </is>
      </c>
      <c r="J13" s="2" t="inlineStr">
        <is>
          <t>Define explicit metric-level measurement specification before scoring freeze.</t>
        </is>
      </c>
    </row>
    <row r="14">
      <c r="A14" s="2" t="inlineStr">
        <is>
          <t>I13</t>
        </is>
      </c>
      <c r="B14" s="2" t="inlineStr">
        <is>
          <t>Governance Review Adaptability</t>
        </is>
      </c>
      <c r="C14" s="2" t="inlineStr">
        <is>
          <t>Review frequency and change triggers</t>
        </is>
      </c>
      <c r="D14" s="2" t="inlineStr">
        <is>
          <t>—</t>
        </is>
      </c>
      <c r="E14" s="2" t="inlineStr">
        <is>
          <t>D02</t>
        </is>
      </c>
      <c r="F14" s="2" t="inlineStr">
        <is>
          <t>—</t>
        </is>
      </c>
      <c r="G14" s="2" t="inlineStr">
        <is>
          <t>—</t>
        </is>
      </c>
      <c r="H14" s="2" t="inlineStr">
        <is>
          <t>Rubric + evidence anchored ordinal score (0–5)</t>
        </is>
      </c>
      <c r="I14" s="2" t="inlineStr">
        <is>
          <t>AMBER</t>
        </is>
      </c>
      <c r="J14" s="2" t="inlineStr">
        <is>
          <t>Define explicit metric-level measurement specification before scoring freeze.</t>
        </is>
      </c>
    </row>
    <row r="15">
      <c r="A15" s="2" t="inlineStr">
        <is>
          <t>I14</t>
        </is>
      </c>
      <c r="B15" s="2" t="inlineStr">
        <is>
          <t>Governance Effectiveness</t>
        </is>
      </c>
      <c r="C15" s="2" t="inlineStr">
        <is>
          <t>Functioning governance vs paper policy</t>
        </is>
      </c>
      <c r="D15" s="2" t="inlineStr">
        <is>
          <t>—</t>
        </is>
      </c>
      <c r="E15" s="2" t="inlineStr">
        <is>
          <t>D02</t>
        </is>
      </c>
      <c r="F15" s="2" t="inlineStr">
        <is>
          <t>D02</t>
        </is>
      </c>
      <c r="G15" s="2" t="inlineStr">
        <is>
          <t>—</t>
        </is>
      </c>
      <c r="H15" s="2" t="inlineStr">
        <is>
          <t>Rubric + evidence anchored ordinal score (0–5)</t>
        </is>
      </c>
      <c r="I15" s="2" t="inlineStr">
        <is>
          <t>GREEN</t>
        </is>
      </c>
      <c r="J15" s="2" t="inlineStr">
        <is>
          <t>Formalise the existing measurement path; assign evidence and scoring rule.</t>
        </is>
      </c>
    </row>
  </sheetData>
  <autoFilter ref="A1:J15"/>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J18"/>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23" t="inlineStr">
        <is>
          <t>Metric ID</t>
        </is>
      </c>
      <c r="B1" s="23" t="inlineStr">
        <is>
          <t>Metric</t>
        </is>
      </c>
      <c r="C1" s="23" t="inlineStr">
        <is>
          <t>Definition</t>
        </is>
      </c>
      <c r="D1" s="23" t="inlineStr">
        <is>
          <t>Cards</t>
        </is>
      </c>
      <c r="E1" s="23" t="inlineStr">
        <is>
          <t>Questions</t>
        </is>
      </c>
      <c r="F1" s="23" t="inlineStr">
        <is>
          <t>Evidence</t>
        </is>
      </c>
      <c r="G1" s="23" t="inlineStr">
        <is>
          <t>Institutional Data</t>
        </is>
      </c>
      <c r="H1" s="23" t="inlineStr">
        <is>
          <t>Measurement Type</t>
        </is>
      </c>
      <c r="I1" s="23" t="inlineStr">
        <is>
          <t>Status</t>
        </is>
      </c>
      <c r="J1" s="23" t="inlineStr">
        <is>
          <t>Next Action</t>
        </is>
      </c>
    </row>
    <row r="2">
      <c r="A2" s="2" t="inlineStr">
        <is>
          <t>I01</t>
        </is>
      </c>
      <c r="B2" s="2" t="inlineStr">
        <is>
          <t>Foundational Knowledge Depth</t>
        </is>
      </c>
      <c r="C2" s="2" t="inlineStr">
        <is>
          <t>Knowledge substrate for judgement</t>
        </is>
      </c>
      <c r="D2" s="2" t="inlineStr">
        <is>
          <t>D03</t>
        </is>
      </c>
      <c r="E2" s="2" t="inlineStr">
        <is>
          <t>D03; D03</t>
        </is>
      </c>
      <c r="F2" s="2" t="inlineStr">
        <is>
          <t>D03</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Critical Reasoning Development</t>
        </is>
      </c>
      <c r="C3" s="2" t="inlineStr">
        <is>
          <t>Development and demonstration of reasoning</t>
        </is>
      </c>
      <c r="D3" s="2" t="inlineStr">
        <is>
          <t>—</t>
        </is>
      </c>
      <c r="E3" s="2" t="inlineStr">
        <is>
          <t>D03; D03; D03; D03</t>
        </is>
      </c>
      <c r="F3" s="2" t="inlineStr">
        <is>
          <t>D03; D03</t>
        </is>
      </c>
      <c r="G3" s="2" t="inlineStr">
        <is>
          <t>—</t>
        </is>
      </c>
      <c r="H3" s="2" t="inlineStr">
        <is>
          <t>Defined rubric / evidence-coded score</t>
        </is>
      </c>
      <c r="I3" s="2" t="inlineStr">
        <is>
          <t>GREEN</t>
        </is>
      </c>
      <c r="J3" s="2" t="inlineStr">
        <is>
          <t>Formalise the existing measurement path; assign evidence and scoring rule.</t>
        </is>
      </c>
    </row>
    <row r="4">
      <c r="A4" s="2" t="inlineStr">
        <is>
          <t>I03</t>
        </is>
      </c>
      <c r="B4" s="2" t="inlineStr">
        <is>
          <t>Question Formulation</t>
        </is>
      </c>
      <c r="C4" s="2" t="inlineStr">
        <is>
          <t>Ability to formulate meaningful inquiry</t>
        </is>
      </c>
      <c r="D4" s="2" t="inlineStr">
        <is>
          <t>—</t>
        </is>
      </c>
      <c r="E4" s="2" t="inlineStr">
        <is>
          <t>D03; D03</t>
        </is>
      </c>
      <c r="F4" s="2" t="inlineStr">
        <is>
          <t>—</t>
        </is>
      </c>
      <c r="G4" s="2" t="inlineStr">
        <is>
          <t>—</t>
        </is>
      </c>
      <c r="H4" s="2" t="inlineStr">
        <is>
          <t>Defined rubric / evidence-coded score</t>
        </is>
      </c>
      <c r="I4" s="2" t="inlineStr">
        <is>
          <t>AMBER</t>
        </is>
      </c>
      <c r="J4" s="2" t="inlineStr">
        <is>
          <t>Define explicit metric-level measurement specification before scoring freeze.</t>
        </is>
      </c>
    </row>
    <row r="5">
      <c r="A5" s="2" t="inlineStr">
        <is>
          <t>I04</t>
        </is>
      </c>
      <c r="B5" s="2" t="inlineStr">
        <is>
          <t>Analytical Reasoning</t>
        </is>
      </c>
      <c r="C5" s="2" t="inlineStr">
        <is>
          <t>Evidence-based reasoning</t>
        </is>
      </c>
      <c r="D5" s="2" t="inlineStr">
        <is>
          <t>—</t>
        </is>
      </c>
      <c r="E5" s="2" t="inlineStr">
        <is>
          <t>D03; D03; D03; D03</t>
        </is>
      </c>
      <c r="F5" s="2" t="inlineStr">
        <is>
          <t>D03; D03</t>
        </is>
      </c>
      <c r="G5" s="2" t="inlineStr">
        <is>
          <t>—</t>
        </is>
      </c>
      <c r="H5" s="2" t="inlineStr">
        <is>
          <t>Defined rubric / evidence-coded score</t>
        </is>
      </c>
      <c r="I5" s="2" t="inlineStr">
        <is>
          <t>GREEN</t>
        </is>
      </c>
      <c r="J5" s="2" t="inlineStr">
        <is>
          <t>Formalise the existing measurement path; assign evidence and scoring rule.</t>
        </is>
      </c>
    </row>
    <row r="6">
      <c r="A6" s="2" t="inlineStr">
        <is>
          <t>I05</t>
        </is>
      </c>
      <c r="B6" s="2" t="inlineStr">
        <is>
          <t>Problem Formulation</t>
        </is>
      </c>
      <c r="C6" s="2" t="inlineStr">
        <is>
          <t>Framing ambiguous problems</t>
        </is>
      </c>
      <c r="D6" s="2" t="inlineStr">
        <is>
          <t>—</t>
        </is>
      </c>
      <c r="E6" s="2" t="inlineStr">
        <is>
          <t>D03; D03; D03</t>
        </is>
      </c>
      <c r="F6" s="2" t="inlineStr">
        <is>
          <t>—</t>
        </is>
      </c>
      <c r="G6" s="2" t="inlineStr">
        <is>
          <t>—</t>
        </is>
      </c>
      <c r="H6" s="2" t="inlineStr">
        <is>
          <t>Defined rubric / evidence-coded score</t>
        </is>
      </c>
      <c r="I6" s="2" t="inlineStr">
        <is>
          <t>AMBER</t>
        </is>
      </c>
      <c r="J6" s="2" t="inlineStr">
        <is>
          <t>Define explicit metric-level measurement specification before scoring freeze.</t>
        </is>
      </c>
    </row>
    <row r="7">
      <c r="A7" s="2" t="inlineStr">
        <is>
          <t>I06</t>
        </is>
      </c>
      <c r="B7" s="2" t="inlineStr">
        <is>
          <t>Creativity &amp; Originality</t>
        </is>
      </c>
      <c r="C7" s="2" t="inlineStr">
        <is>
          <t>Creation of original value</t>
        </is>
      </c>
      <c r="D7" s="2" t="inlineStr">
        <is>
          <t>—</t>
        </is>
      </c>
      <c r="E7" s="2" t="inlineStr">
        <is>
          <t>D03; D03</t>
        </is>
      </c>
      <c r="F7" s="2" t="inlineStr">
        <is>
          <t>—</t>
        </is>
      </c>
      <c r="G7" s="2" t="inlineStr">
        <is>
          <t>—</t>
        </is>
      </c>
      <c r="H7" s="2" t="inlineStr">
        <is>
          <t>Defined rubric / evidence-coded score</t>
        </is>
      </c>
      <c r="I7" s="2" t="inlineStr">
        <is>
          <t>AMBER</t>
        </is>
      </c>
      <c r="J7" s="2" t="inlineStr">
        <is>
          <t>Define explicit metric-level measurement specification before scoring freeze.</t>
        </is>
      </c>
    </row>
    <row r="8">
      <c r="A8" s="2" t="inlineStr">
        <is>
          <t>I07</t>
        </is>
      </c>
      <c r="B8" s="2" t="inlineStr">
        <is>
          <t>Judgement Capability</t>
        </is>
      </c>
      <c r="C8" s="2" t="inlineStr">
        <is>
          <t>Contextual/professional/ethical decisions</t>
        </is>
      </c>
      <c r="D8" s="2" t="inlineStr">
        <is>
          <t>—</t>
        </is>
      </c>
      <c r="E8" s="2" t="inlineStr">
        <is>
          <t>D03; D03; D03; D03; D03</t>
        </is>
      </c>
      <c r="F8" s="2" t="inlineStr">
        <is>
          <t>D03; D03</t>
        </is>
      </c>
      <c r="G8" s="2" t="inlineStr">
        <is>
          <t>—</t>
        </is>
      </c>
      <c r="H8" s="2" t="inlineStr">
        <is>
          <t>Rubric + evidence anchored ordinal score (0–5)</t>
        </is>
      </c>
      <c r="I8" s="2" t="inlineStr">
        <is>
          <t>GREEN</t>
        </is>
      </c>
      <c r="J8" s="2" t="inlineStr">
        <is>
          <t>Formalise the existing measurement path; assign evidence and scoring rule.</t>
        </is>
      </c>
    </row>
    <row r="9">
      <c r="A9" s="2" t="inlineStr">
        <is>
          <t>I08</t>
        </is>
      </c>
      <c r="B9" s="2" t="inlineStr">
        <is>
          <t>AI Verification Capability</t>
        </is>
      </c>
      <c r="C9" s="2" t="inlineStr">
        <is>
          <t>Challenge, verify, contextualise AI output</t>
        </is>
      </c>
      <c r="D9" s="2" t="inlineStr">
        <is>
          <t>—</t>
        </is>
      </c>
      <c r="E9" s="2" t="inlineStr">
        <is>
          <t>D03; D03; D03</t>
        </is>
      </c>
      <c r="F9" s="2" t="inlineStr">
        <is>
          <t>D03</t>
        </is>
      </c>
      <c r="G9" s="2" t="inlineStr">
        <is>
          <t>—</t>
        </is>
      </c>
      <c r="H9" s="2" t="inlineStr">
        <is>
          <t>Rubric + evidence anchored ordinal score (0–5)</t>
        </is>
      </c>
      <c r="I9" s="2" t="inlineStr">
        <is>
          <t>GREEN</t>
        </is>
      </c>
      <c r="J9" s="2" t="inlineStr">
        <is>
          <t>Formalise the existing measurement path; assign evidence and scoring rule.</t>
        </is>
      </c>
    </row>
    <row r="10">
      <c r="A10" s="2" t="inlineStr">
        <is>
          <t>I09</t>
        </is>
      </c>
      <c r="B10" s="2" t="inlineStr">
        <is>
          <t>Metacognitive Capability</t>
        </is>
      </c>
      <c r="C10" s="2" t="inlineStr">
        <is>
          <t>Reflection and self-correction</t>
        </is>
      </c>
      <c r="D10" s="2" t="inlineStr">
        <is>
          <t>—</t>
        </is>
      </c>
      <c r="E10" s="2" t="inlineStr">
        <is>
          <t>D03; D03</t>
        </is>
      </c>
      <c r="F10" s="2" t="inlineStr">
        <is>
          <t>—</t>
        </is>
      </c>
      <c r="G10" s="2" t="inlineStr">
        <is>
          <t>—</t>
        </is>
      </c>
      <c r="H10" s="2" t="inlineStr">
        <is>
          <t>Rubric + evidence anchored ordinal score (0–5)</t>
        </is>
      </c>
      <c r="I10" s="2" t="inlineStr">
        <is>
          <t>AMBER</t>
        </is>
      </c>
      <c r="J10" s="2" t="inlineStr">
        <is>
          <t>Define explicit metric-level measurement specification before scoring freeze.</t>
        </is>
      </c>
    </row>
    <row r="11">
      <c r="A11" s="2" t="inlineStr">
        <is>
          <t>I10</t>
        </is>
      </c>
      <c r="B11" s="2" t="inlineStr">
        <is>
          <t>Human-AI Collaboration</t>
        </is>
      </c>
      <c r="C11" s="2" t="inlineStr">
        <is>
          <t>Appropriate task allocation and iteration</t>
        </is>
      </c>
      <c r="D11" s="2" t="inlineStr">
        <is>
          <t>—</t>
        </is>
      </c>
      <c r="E11" s="2" t="inlineStr">
        <is>
          <t>D03; D03</t>
        </is>
      </c>
      <c r="F11" s="2" t="inlineStr">
        <is>
          <t>—</t>
        </is>
      </c>
      <c r="G11" s="2" t="inlineStr">
        <is>
          <t>—</t>
        </is>
      </c>
      <c r="H11" s="2" t="inlineStr">
        <is>
          <t>Defined rubric / evidence-coded score</t>
        </is>
      </c>
      <c r="I11" s="2" t="inlineStr">
        <is>
          <t>AMBER</t>
        </is>
      </c>
      <c r="J11" s="2" t="inlineStr">
        <is>
          <t>Define explicit metric-level measurement specification before scoring freeze.</t>
        </is>
      </c>
    </row>
    <row r="12">
      <c r="A12" s="2" t="inlineStr">
        <is>
          <t>I11</t>
        </is>
      </c>
      <c r="B12" s="2" t="inlineStr">
        <is>
          <t>Communication &amp; Defence</t>
        </is>
      </c>
      <c r="C12" s="2" t="inlineStr">
        <is>
          <t>Explain and defend reasoning</t>
        </is>
      </c>
      <c r="D12" s="2" t="inlineStr">
        <is>
          <t>—</t>
        </is>
      </c>
      <c r="E12" s="2" t="inlineStr">
        <is>
          <t>D03; D03</t>
        </is>
      </c>
      <c r="F12" s="2" t="inlineStr">
        <is>
          <t>—</t>
        </is>
      </c>
      <c r="G12" s="2" t="inlineStr">
        <is>
          <t>—</t>
        </is>
      </c>
      <c r="H12" s="2" t="inlineStr">
        <is>
          <t>Defined rubric / evidence-coded score</t>
        </is>
      </c>
      <c r="I12" s="2" t="inlineStr">
        <is>
          <t>AMBER</t>
        </is>
      </c>
      <c r="J12" s="2" t="inlineStr">
        <is>
          <t>Define explicit metric-level measurement specification before scoring freeze.</t>
        </is>
      </c>
    </row>
    <row r="13">
      <c r="A13" s="2" t="inlineStr">
        <is>
          <t>I12</t>
        </is>
      </c>
      <c r="B13" s="2" t="inlineStr">
        <is>
          <t>Collaboration Capability</t>
        </is>
      </c>
      <c r="C13" s="2" t="inlineStr">
        <is>
          <t>Human/interdisciplinary collaboration</t>
        </is>
      </c>
      <c r="D13" s="2" t="inlineStr">
        <is>
          <t>—</t>
        </is>
      </c>
      <c r="E13" s="2" t="inlineStr">
        <is>
          <t>D03; D03</t>
        </is>
      </c>
      <c r="F13" s="2" t="inlineStr">
        <is>
          <t>—</t>
        </is>
      </c>
      <c r="G13" s="2" t="inlineStr">
        <is>
          <t>—</t>
        </is>
      </c>
      <c r="H13" s="2" t="inlineStr">
        <is>
          <t>Rubric + evidence anchored ordinal score (0–5)</t>
        </is>
      </c>
      <c r="I13" s="2" t="inlineStr">
        <is>
          <t>AMBER</t>
        </is>
      </c>
      <c r="J13" s="2" t="inlineStr">
        <is>
          <t>Define explicit metric-level measurement specification before scoring freeze.</t>
        </is>
      </c>
    </row>
    <row r="14">
      <c r="A14" s="2" t="inlineStr">
        <is>
          <t>I13</t>
        </is>
      </c>
      <c r="B14" s="2" t="inlineStr">
        <is>
          <t>Practical Capability</t>
        </is>
      </c>
      <c r="C14" s="2" t="inlineStr">
        <is>
          <t>Real-world/embodied competence</t>
        </is>
      </c>
      <c r="D14" s="2" t="inlineStr">
        <is>
          <t>—</t>
        </is>
      </c>
      <c r="E14" s="2" t="inlineStr">
        <is>
          <t>D03; D03</t>
        </is>
      </c>
      <c r="F14" s="2" t="inlineStr">
        <is>
          <t>—</t>
        </is>
      </c>
      <c r="G14" s="2" t="inlineStr">
        <is>
          <t>—</t>
        </is>
      </c>
      <c r="H14" s="2" t="inlineStr">
        <is>
          <t>Rubric + evidence anchored ordinal score (0–5)</t>
        </is>
      </c>
      <c r="I14" s="2" t="inlineStr">
        <is>
          <t>AMBER</t>
        </is>
      </c>
      <c r="J14" s="2" t="inlineStr">
        <is>
          <t>Define explicit metric-level measurement specification before scoring freeze.</t>
        </is>
      </c>
    </row>
    <row r="15">
      <c r="A15" s="2" t="inlineStr">
        <is>
          <t>I14</t>
        </is>
      </c>
      <c r="B15" s="2" t="inlineStr">
        <is>
          <t>Ethical/Social Judgement</t>
        </is>
      </c>
      <c r="C15" s="2" t="inlineStr">
        <is>
          <t>Consequences, values, responsibility</t>
        </is>
      </c>
      <c r="D15" s="2" t="inlineStr">
        <is>
          <t>—</t>
        </is>
      </c>
      <c r="E15" s="2" t="inlineStr">
        <is>
          <t>D03; D03</t>
        </is>
      </c>
      <c r="F15" s="2" t="inlineStr">
        <is>
          <t>—</t>
        </is>
      </c>
      <c r="G15" s="2" t="inlineStr">
        <is>
          <t>—</t>
        </is>
      </c>
      <c r="H15" s="2" t="inlineStr">
        <is>
          <t>Defined rubric / evidence-coded score</t>
        </is>
      </c>
      <c r="I15" s="2" t="inlineStr">
        <is>
          <t>AMBER</t>
        </is>
      </c>
      <c r="J15" s="2" t="inlineStr">
        <is>
          <t>Define explicit metric-level measurement specification before scoring freeze.</t>
        </is>
      </c>
    </row>
    <row r="16">
      <c r="A16" s="2" t="inlineStr">
        <is>
          <t>I15</t>
        </is>
      </c>
      <c r="B16" s="2" t="inlineStr">
        <is>
          <t>Intellectual Agency</t>
        </is>
      </c>
      <c r="C16" s="2" t="inlineStr">
        <is>
          <t>Independent inquiry and challenge</t>
        </is>
      </c>
      <c r="D16" s="2" t="inlineStr">
        <is>
          <t>—</t>
        </is>
      </c>
      <c r="E16" s="2" t="inlineStr">
        <is>
          <t>D03; D03; D03; D03</t>
        </is>
      </c>
      <c r="F16" s="2" t="inlineStr">
        <is>
          <t>—</t>
        </is>
      </c>
      <c r="G16" s="2" t="inlineStr">
        <is>
          <t>—</t>
        </is>
      </c>
      <c r="H16" s="2" t="inlineStr">
        <is>
          <t>Defined rubric / evidence-coded score</t>
        </is>
      </c>
      <c r="I16" s="2" t="inlineStr">
        <is>
          <t>AMBER</t>
        </is>
      </c>
      <c r="J16" s="2" t="inlineStr">
        <is>
          <t>Define explicit metric-level measurement specification before scoring freeze.</t>
        </is>
      </c>
    </row>
    <row r="17">
      <c r="A17" s="2" t="inlineStr">
        <is>
          <t>I16</t>
        </is>
      </c>
      <c r="B17" s="2" t="inlineStr">
        <is>
          <t>Transfer Capability</t>
        </is>
      </c>
      <c r="C17" s="2" t="inlineStr">
        <is>
          <t>Unfamiliar/ambiguous application</t>
        </is>
      </c>
      <c r="D17" s="2" t="inlineStr">
        <is>
          <t>—</t>
        </is>
      </c>
      <c r="E17" s="2" t="inlineStr">
        <is>
          <t>D03; D03; D03; D03; D03</t>
        </is>
      </c>
      <c r="F17" s="2" t="inlineStr">
        <is>
          <t>—</t>
        </is>
      </c>
      <c r="G17" s="2" t="inlineStr">
        <is>
          <t>—</t>
        </is>
      </c>
      <c r="H17" s="2" t="inlineStr">
        <is>
          <t>Rubric + evidence anchored ordinal score (0–5)</t>
        </is>
      </c>
      <c r="I17" s="2" t="inlineStr">
        <is>
          <t>AMBER</t>
        </is>
      </c>
      <c r="J17" s="2" t="inlineStr">
        <is>
          <t>Define explicit metric-level measurement specification before scoring freeze.</t>
        </is>
      </c>
    </row>
    <row r="18">
      <c r="A18" s="2" t="inlineStr">
        <is>
          <t>I17</t>
        </is>
      </c>
      <c r="B18" s="2" t="inlineStr">
        <is>
          <t>Non-Technical Discipline AI Capability</t>
        </is>
      </c>
      <c r="C18" s="2" t="inlineStr">
        <is>
          <t>Discipline-relevant AI capability beyond prompting</t>
        </is>
      </c>
      <c r="D18" s="2" t="inlineStr">
        <is>
          <t>—</t>
        </is>
      </c>
      <c r="E18" s="2" t="inlineStr">
        <is>
          <t>D03; D03; D03</t>
        </is>
      </c>
      <c r="F18" s="2" t="inlineStr">
        <is>
          <t>D03</t>
        </is>
      </c>
      <c r="G18" s="2" t="inlineStr">
        <is>
          <t>—</t>
        </is>
      </c>
      <c r="H18" s="2" t="inlineStr">
        <is>
          <t>Rubric + evidence anchored ordinal score (0–5)</t>
        </is>
      </c>
      <c r="I18" s="2" t="inlineStr">
        <is>
          <t>GREEN</t>
        </is>
      </c>
      <c r="J18" s="2" t="inlineStr">
        <is>
          <t>Formalise the existing measurement path; assign evidence and scoring rule.</t>
        </is>
      </c>
    </row>
  </sheetData>
  <autoFilter ref="A1:J18"/>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23" t="inlineStr">
        <is>
          <t>Metric ID</t>
        </is>
      </c>
      <c r="B1" s="23" t="inlineStr">
        <is>
          <t>Metric</t>
        </is>
      </c>
      <c r="C1" s="23" t="inlineStr">
        <is>
          <t>Definition</t>
        </is>
      </c>
      <c r="D1" s="23" t="inlineStr">
        <is>
          <t>Cards</t>
        </is>
      </c>
      <c r="E1" s="23" t="inlineStr">
        <is>
          <t>Questions</t>
        </is>
      </c>
      <c r="F1" s="23" t="inlineStr">
        <is>
          <t>Evidence</t>
        </is>
      </c>
      <c r="G1" s="23" t="inlineStr">
        <is>
          <t>Institutional Data</t>
        </is>
      </c>
      <c r="H1" s="23" t="inlineStr">
        <is>
          <t>Measurement Type</t>
        </is>
      </c>
      <c r="I1" s="23" t="inlineStr">
        <is>
          <t>Status</t>
        </is>
      </c>
      <c r="J1" s="23" t="inlineStr">
        <is>
          <t>Next Action</t>
        </is>
      </c>
    </row>
    <row r="2">
      <c r="A2" s="2" t="inlineStr">
        <is>
          <t>I01</t>
        </is>
      </c>
      <c r="B2" s="2" t="inlineStr">
        <is>
          <t>Curriculum Sensing Maturity</t>
        </is>
      </c>
      <c r="C2" s="2" t="inlineStr">
        <is>
          <t>How systematically programme teams detect disciplinary, technological and labour-market change</t>
        </is>
      </c>
      <c r="D2" s="2" t="inlineStr">
        <is>
          <t>D04</t>
        </is>
      </c>
      <c r="E2" s="2" t="inlineStr">
        <is>
          <t>D04</t>
        </is>
      </c>
      <c r="F2" s="2" t="inlineStr">
        <is>
          <t>—</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Future Learning Outcome Alignment</t>
        </is>
      </c>
      <c r="C3" s="2" t="inlineStr">
        <is>
          <t>Extent to which outcomes reflect future professional/human capabilities</t>
        </is>
      </c>
      <c r="D3" s="2" t="inlineStr">
        <is>
          <t>—</t>
        </is>
      </c>
      <c r="E3" s="2" t="inlineStr">
        <is>
          <t>D04</t>
        </is>
      </c>
      <c r="F3" s="2" t="inlineStr">
        <is>
          <t>—</t>
        </is>
      </c>
      <c r="G3" s="2" t="inlineStr">
        <is>
          <t>—</t>
        </is>
      </c>
      <c r="H3" s="2" t="inlineStr">
        <is>
          <t>Rubric + evidence anchored ordinal score (0–5)</t>
        </is>
      </c>
      <c r="I3" s="2" t="inlineStr">
        <is>
          <t>AMBER</t>
        </is>
      </c>
      <c r="J3" s="2" t="inlineStr">
        <is>
          <t>Define explicit metric-level measurement specification before scoring freeze.</t>
        </is>
      </c>
    </row>
    <row r="4">
      <c r="A4" s="2" t="inlineStr">
        <is>
          <t>I03</t>
        </is>
      </c>
      <c r="B4" s="2" t="inlineStr">
        <is>
          <t>Programme Review Effectiveness</t>
        </is>
      </c>
      <c r="C4" s="2" t="inlineStr">
        <is>
          <t>Whether review produces substantive AI/future-related changes</t>
        </is>
      </c>
      <c r="D4" s="2" t="inlineStr">
        <is>
          <t>D04</t>
        </is>
      </c>
      <c r="E4" s="2" t="inlineStr">
        <is>
          <t>D04; D04</t>
        </is>
      </c>
      <c r="F4" s="2" t="inlineStr">
        <is>
          <t>—</t>
        </is>
      </c>
      <c r="G4" s="2" t="inlineStr">
        <is>
          <t>—</t>
        </is>
      </c>
      <c r="H4" s="2" t="inlineStr">
        <is>
          <t>Rubric + evidence anchored ordinal score (0–5)</t>
        </is>
      </c>
      <c r="I4" s="2" t="inlineStr">
        <is>
          <t>GREEN</t>
        </is>
      </c>
      <c r="J4" s="2" t="inlineStr">
        <is>
          <t>Formalise the existing measurement path; assign evidence and scoring rule.</t>
        </is>
      </c>
    </row>
    <row r="5">
      <c r="A5" s="2" t="inlineStr">
        <is>
          <t>I04</t>
        </is>
      </c>
      <c r="B5" s="2" t="inlineStr">
        <is>
          <t>Disciplinary AI Integration Depth</t>
        </is>
      </c>
      <c r="C5" s="2" t="inlineStr">
        <is>
          <t>AI integration appropriate to discipline rather than generic AI exposure</t>
        </is>
      </c>
      <c r="D5" s="2" t="inlineStr">
        <is>
          <t>—</t>
        </is>
      </c>
      <c r="E5" s="2" t="inlineStr">
        <is>
          <t>D04</t>
        </is>
      </c>
      <c r="F5" s="2" t="inlineStr">
        <is>
          <t>—</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Content Obsolescence Response</t>
        </is>
      </c>
      <c r="C6" s="2" t="inlineStr">
        <is>
          <t>Speed and quality of response when content/tasks become less valuable</t>
        </is>
      </c>
      <c r="D6" s="2" t="inlineStr">
        <is>
          <t>D04</t>
        </is>
      </c>
      <c r="E6" s="2" t="inlineStr">
        <is>
          <t>D04; D04</t>
        </is>
      </c>
      <c r="F6" s="2" t="inlineStr">
        <is>
          <t>—</t>
        </is>
      </c>
      <c r="G6" s="2" t="inlineStr">
        <is>
          <t>—</t>
        </is>
      </c>
      <c r="H6" s="2" t="inlineStr">
        <is>
          <t>Defined rubric / evidence-coded score</t>
        </is>
      </c>
      <c r="I6" s="2" t="inlineStr">
        <is>
          <t>GREEN</t>
        </is>
      </c>
      <c r="J6" s="2" t="inlineStr">
        <is>
          <t>Formalise the existing measurement path; assign evidence and scoring rule.</t>
        </is>
      </c>
    </row>
    <row r="7">
      <c r="A7" s="2" t="inlineStr">
        <is>
          <t>I06</t>
        </is>
      </c>
      <c r="B7" s="2" t="inlineStr">
        <is>
          <t>Experiential Learning Strength</t>
        </is>
      </c>
      <c r="C7" s="2" t="inlineStr">
        <is>
          <t>Extent of projects, labs, fieldwork, practice and authentic tasks</t>
        </is>
      </c>
      <c r="D7" s="2" t="inlineStr">
        <is>
          <t>—</t>
        </is>
      </c>
      <c r="E7" s="2" t="inlineStr">
        <is>
          <t>D04</t>
        </is>
      </c>
      <c r="F7" s="2" t="inlineStr">
        <is>
          <t>—</t>
        </is>
      </c>
      <c r="G7" s="2" t="inlineStr">
        <is>
          <t>—</t>
        </is>
      </c>
      <c r="H7" s="2" t="inlineStr">
        <is>
          <t>Rubric + evidence anchored ordinal score (0–5)</t>
        </is>
      </c>
      <c r="I7" s="2" t="inlineStr">
        <is>
          <t>AMBER</t>
        </is>
      </c>
      <c r="J7" s="2" t="inlineStr">
        <is>
          <t>Define explicit metric-level measurement specification before scoring freeze.</t>
        </is>
      </c>
    </row>
    <row r="8">
      <c r="A8" s="2" t="inlineStr">
        <is>
          <t>I07</t>
        </is>
      </c>
      <c r="B8" s="2" t="inlineStr">
        <is>
          <t>Interdisciplinary Flexibility</t>
        </is>
      </c>
      <c r="C8" s="2" t="inlineStr">
        <is>
          <t>Ability for students to learn/work across boundaries</t>
        </is>
      </c>
      <c r="D8" s="2" t="inlineStr">
        <is>
          <t>—</t>
        </is>
      </c>
      <c r="E8" s="2" t="inlineStr">
        <is>
          <t>D04</t>
        </is>
      </c>
      <c r="F8" s="2" t="inlineStr">
        <is>
          <t>—</t>
        </is>
      </c>
      <c r="G8" s="2" t="inlineStr">
        <is>
          <t>—</t>
        </is>
      </c>
      <c r="H8" s="2" t="inlineStr">
        <is>
          <t>Defined rubric / evidence-coded score</t>
        </is>
      </c>
      <c r="I8" s="2" t="inlineStr">
        <is>
          <t>AMBER</t>
        </is>
      </c>
      <c r="J8" s="2" t="inlineStr">
        <is>
          <t>Define explicit metric-level measurement specification before scoring freeze.</t>
        </is>
      </c>
    </row>
    <row r="9">
      <c r="A9" s="2" t="inlineStr">
        <is>
          <t>I08</t>
        </is>
      </c>
      <c r="B9" s="2" t="inlineStr">
        <is>
          <t>Programme Agility</t>
        </is>
      </c>
      <c r="C9" s="2" t="inlineStr">
        <is>
          <t>Ability to modify modules, electives, pathways and learning experiences</t>
        </is>
      </c>
      <c r="D9" s="2" t="inlineStr">
        <is>
          <t>—</t>
        </is>
      </c>
      <c r="E9" s="2" t="inlineStr">
        <is>
          <t>D04; D04</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External Validation Strength</t>
        </is>
      </c>
      <c r="C10" s="2" t="inlineStr">
        <is>
          <t>Use of employers/professionals/alumni/disciplinary experts in programme evolution</t>
        </is>
      </c>
      <c r="D10" s="2" t="inlineStr">
        <is>
          <t>—</t>
        </is>
      </c>
      <c r="E10" s="2" t="inlineStr">
        <is>
          <t>D04</t>
        </is>
      </c>
      <c r="F10" s="2" t="inlineStr">
        <is>
          <t>—</t>
        </is>
      </c>
      <c r="G10" s="2" t="inlineStr">
        <is>
          <t>—</t>
        </is>
      </c>
      <c r="H10" s="2" t="inlineStr">
        <is>
          <t>Rubric + evidence anchored ordinal score (0–5)</t>
        </is>
      </c>
      <c r="I10" s="2" t="inlineStr">
        <is>
          <t>AMBER</t>
        </is>
      </c>
      <c r="J10" s="2" t="inlineStr">
        <is>
          <t>Define explicit metric-level measurement specification before scoring freeze.</t>
        </is>
      </c>
    </row>
    <row r="11">
      <c r="A11" s="2" t="inlineStr">
        <is>
          <t>I10</t>
        </is>
      </c>
      <c r="B11" s="2" t="inlineStr">
        <is>
          <t>External Learning Ecosystem</t>
        </is>
      </c>
      <c r="C11" s="2" t="inlineStr">
        <is>
          <t>Use of industry, research, community and external platforms as learning environments</t>
        </is>
      </c>
      <c r="D11" s="2" t="inlineStr">
        <is>
          <t>—</t>
        </is>
      </c>
      <c r="E11" s="2" t="inlineStr">
        <is>
          <t>—</t>
        </is>
      </c>
      <c r="F11" s="2" t="inlineStr">
        <is>
          <t>—</t>
        </is>
      </c>
      <c r="G11" s="2" t="inlineStr">
        <is>
          <t>—</t>
        </is>
      </c>
      <c r="H11" s="2" t="inlineStr">
        <is>
          <t>Defined rubric / evidence-coded score</t>
        </is>
      </c>
      <c r="I11" s="2" t="inlineStr">
        <is>
          <t>RED</t>
        </is>
      </c>
      <c r="J11" s="2" t="inlineStr">
        <is>
          <t>Define explicit metric-level measurement specification before scoring freeze.</t>
        </is>
      </c>
    </row>
    <row r="12">
      <c r="A12" s="2" t="inlineStr">
        <is>
          <t>I11</t>
        </is>
      </c>
      <c r="B12" s="2" t="inlineStr">
        <is>
          <t>Transfer Capability</t>
        </is>
      </c>
      <c r="C12" s="2" t="inlineStr">
        <is>
          <t>Extent students apply learning to unfamiliar/real situations</t>
        </is>
      </c>
      <c r="D12" s="2" t="inlineStr">
        <is>
          <t>—</t>
        </is>
      </c>
      <c r="E12" s="2" t="inlineStr">
        <is>
          <t>D04; D04</t>
        </is>
      </c>
      <c r="F12" s="2" t="inlineStr">
        <is>
          <t>—</t>
        </is>
      </c>
      <c r="G12" s="2" t="inlineStr">
        <is>
          <t>—</t>
        </is>
      </c>
      <c r="H12" s="2" t="inlineStr">
        <is>
          <t>Rubric + evidence anchored ordinal score (0–5)</t>
        </is>
      </c>
      <c r="I12" s="2" t="inlineStr">
        <is>
          <t>AMBER</t>
        </is>
      </c>
      <c r="J12" s="2" t="inlineStr">
        <is>
          <t>Define explicit metric-level measurement specification before scoring freeze.</t>
        </is>
      </c>
    </row>
    <row r="13">
      <c r="A13" s="2" t="inlineStr">
        <is>
          <t>I12</t>
        </is>
      </c>
      <c r="B13" s="2" t="inlineStr">
        <is>
          <t>Portfolio Foresight</t>
        </is>
      </c>
      <c r="C13" s="2" t="inlineStr">
        <is>
          <t>Whether programme portfolio remains aligned with institutional future direction</t>
        </is>
      </c>
      <c r="D13" s="2" t="inlineStr">
        <is>
          <t>—</t>
        </is>
      </c>
      <c r="E13" s="2" t="inlineStr">
        <is>
          <t>D04</t>
        </is>
      </c>
      <c r="F13" s="2" t="inlineStr">
        <is>
          <t>—</t>
        </is>
      </c>
      <c r="G13" s="2" t="inlineStr">
        <is>
          <t>—</t>
        </is>
      </c>
      <c r="H13" s="2" t="inlineStr">
        <is>
          <t>Defined rubric / evidence-coded score</t>
        </is>
      </c>
      <c r="I13" s="2" t="inlineStr">
        <is>
          <t>AMBER</t>
        </is>
      </c>
      <c r="J13" s="2" t="inlineStr">
        <is>
          <t>Define explicit metric-level measurement specification before scoring freeze.</t>
        </is>
      </c>
    </row>
  </sheetData>
  <autoFilter ref="A1:J13"/>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23" t="inlineStr">
        <is>
          <t>Metric ID</t>
        </is>
      </c>
      <c r="B1" s="23" t="inlineStr">
        <is>
          <t>Metric</t>
        </is>
      </c>
      <c r="C1" s="23" t="inlineStr">
        <is>
          <t>Definition</t>
        </is>
      </c>
      <c r="D1" s="23" t="inlineStr">
        <is>
          <t>Cards</t>
        </is>
      </c>
      <c r="E1" s="23" t="inlineStr">
        <is>
          <t>Questions</t>
        </is>
      </c>
      <c r="F1" s="23" t="inlineStr">
        <is>
          <t>Evidence</t>
        </is>
      </c>
      <c r="G1" s="23" t="inlineStr">
        <is>
          <t>Institutional Data</t>
        </is>
      </c>
      <c r="H1" s="23" t="inlineStr">
        <is>
          <t>Measurement Type</t>
        </is>
      </c>
      <c r="I1" s="23" t="inlineStr">
        <is>
          <t>Status</t>
        </is>
      </c>
      <c r="J1" s="23" t="inlineStr">
        <is>
          <t>Next Action</t>
        </is>
      </c>
    </row>
    <row r="2">
      <c r="A2" s="2" t="inlineStr">
        <is>
          <t>I01</t>
        </is>
      </c>
      <c r="B2" s="2" t="inlineStr">
        <is>
          <t>Faculty AI Literacy Maturity</t>
        </is>
      </c>
      <c r="C2" s="2" t="inlineStr">
        <is>
          <t>Ability to understand AI capabilities, limits, risks and appropriate use</t>
        </is>
      </c>
      <c r="D2" s="2" t="inlineStr">
        <is>
          <t>D05</t>
        </is>
      </c>
      <c r="E2" s="2" t="inlineStr">
        <is>
          <t>D05; D05</t>
        </is>
      </c>
      <c r="F2" s="2" t="inlineStr">
        <is>
          <t>—</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Discipline-Specific AI Practice</t>
        </is>
      </c>
      <c r="C3" s="2" t="inlineStr">
        <is>
          <t>Use of AI in ways meaningful to the discipline</t>
        </is>
      </c>
      <c r="D3" s="2" t="inlineStr">
        <is>
          <t>D05</t>
        </is>
      </c>
      <c r="E3" s="2" t="inlineStr">
        <is>
          <t>D05; D05</t>
        </is>
      </c>
      <c r="F3" s="2" t="inlineStr">
        <is>
          <t>—</t>
        </is>
      </c>
      <c r="G3" s="2" t="inlineStr">
        <is>
          <t>—</t>
        </is>
      </c>
      <c r="H3" s="2" t="inlineStr">
        <is>
          <t>Defined rubric / evidence-coded score</t>
        </is>
      </c>
      <c r="I3" s="2" t="inlineStr">
        <is>
          <t>GREEN</t>
        </is>
      </c>
      <c r="J3" s="2" t="inlineStr">
        <is>
          <t>Formalise the existing measurement path; assign evidence and scoring rule.</t>
        </is>
      </c>
    </row>
    <row r="4">
      <c r="A4" s="2" t="inlineStr">
        <is>
          <t>I03</t>
        </is>
      </c>
      <c r="B4" s="2" t="inlineStr">
        <is>
          <t>AI-Enhanced Pedagogy</t>
        </is>
      </c>
      <c r="C4" s="2" t="inlineStr">
        <is>
          <t>Ability to redesign learning around AI rather than merely add tools</t>
        </is>
      </c>
      <c r="D4" s="2" t="inlineStr">
        <is>
          <t>D05</t>
        </is>
      </c>
      <c r="E4" s="2" t="inlineStr">
        <is>
          <t>D05; D05</t>
        </is>
      </c>
      <c r="F4" s="2" t="inlineStr">
        <is>
          <t>—</t>
        </is>
      </c>
      <c r="G4" s="2" t="inlineStr">
        <is>
          <t>—</t>
        </is>
      </c>
      <c r="H4" s="2" t="inlineStr">
        <is>
          <t>Defined rubric / evidence-coded score</t>
        </is>
      </c>
      <c r="I4" s="2" t="inlineStr">
        <is>
          <t>GREEN</t>
        </is>
      </c>
      <c r="J4" s="2" t="inlineStr">
        <is>
          <t>Formalise the existing measurement path; assign evidence and scoring rule.</t>
        </is>
      </c>
    </row>
    <row r="5">
      <c r="A5" s="2" t="inlineStr">
        <is>
          <t>I04</t>
        </is>
      </c>
      <c r="B5" s="2" t="inlineStr">
        <is>
          <t>Assessment Redesign Capability</t>
        </is>
      </c>
      <c r="C5" s="2" t="inlineStr">
        <is>
          <t>Faculty ability to redesign tasks so genuine capability remains visible</t>
        </is>
      </c>
      <c r="D5" s="2" t="inlineStr">
        <is>
          <t>—</t>
        </is>
      </c>
      <c r="E5" s="2" t="inlineStr">
        <is>
          <t>D05</t>
        </is>
      </c>
      <c r="F5" s="2" t="inlineStr">
        <is>
          <t>—</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Faculty Learning &amp; Development Effectiveness</t>
        </is>
      </c>
      <c r="C6" s="2" t="inlineStr">
        <is>
          <t>Conversion of training into sustained academic practice</t>
        </is>
      </c>
      <c r="D6" s="2" t="inlineStr">
        <is>
          <t>—</t>
        </is>
      </c>
      <c r="E6" s="2" t="inlineStr">
        <is>
          <t>D05</t>
        </is>
      </c>
      <c r="F6" s="2" t="inlineStr">
        <is>
          <t>—</t>
        </is>
      </c>
      <c r="G6" s="2" t="inlineStr">
        <is>
          <t>—</t>
        </is>
      </c>
      <c r="H6" s="2" t="inlineStr">
        <is>
          <t>Rubric + evidence anchored ordinal score (0–5)</t>
        </is>
      </c>
      <c r="I6" s="2" t="inlineStr">
        <is>
          <t>AMBER</t>
        </is>
      </c>
      <c r="J6" s="2" t="inlineStr">
        <is>
          <t>Define explicit metric-level measurement specification before scoring freeze.</t>
        </is>
      </c>
    </row>
    <row r="7">
      <c r="A7" s="2" t="inlineStr">
        <is>
          <t>I06</t>
        </is>
      </c>
      <c r="B7" s="2" t="inlineStr">
        <is>
          <t>Peer Learning &amp; Communities</t>
        </is>
      </c>
      <c r="C7" s="2" t="inlineStr">
        <is>
          <t>Institutional mechanisms for sharing AI practice</t>
        </is>
      </c>
      <c r="D7" s="2" t="inlineStr">
        <is>
          <t>—</t>
        </is>
      </c>
      <c r="E7" s="2" t="inlineStr">
        <is>
          <t>D05</t>
        </is>
      </c>
      <c r="F7" s="2" t="inlineStr">
        <is>
          <t>—</t>
        </is>
      </c>
      <c r="G7" s="2" t="inlineStr">
        <is>
          <t>—</t>
        </is>
      </c>
      <c r="H7" s="2" t="inlineStr">
        <is>
          <t>Defined rubric / evidence-coded score</t>
        </is>
      </c>
      <c r="I7" s="2" t="inlineStr">
        <is>
          <t>AMBER</t>
        </is>
      </c>
      <c r="J7" s="2" t="inlineStr">
        <is>
          <t>Define explicit metric-level measurement specification before scoring freeze.</t>
        </is>
      </c>
    </row>
    <row r="8">
      <c r="A8" s="2" t="inlineStr">
        <is>
          <t>I07</t>
        </is>
      </c>
      <c r="B8" s="2" t="inlineStr">
        <is>
          <t>AI Research &amp; Knowledge Creation</t>
        </is>
      </c>
      <c r="C8" s="2" t="inlineStr">
        <is>
          <t>Faculty use AI responsibly for research, analysis, scholarship and knowledge creation</t>
        </is>
      </c>
      <c r="D8" s="2" t="inlineStr">
        <is>
          <t>—</t>
        </is>
      </c>
      <c r="E8" s="2" t="inlineStr">
        <is>
          <t>D05</t>
        </is>
      </c>
      <c r="F8" s="2" t="inlineStr">
        <is>
          <t>—</t>
        </is>
      </c>
      <c r="G8" s="2" t="inlineStr">
        <is>
          <t>—</t>
        </is>
      </c>
      <c r="H8" s="2" t="inlineStr">
        <is>
          <t>Defined rubric / evidence-coded score</t>
        </is>
      </c>
      <c r="I8" s="2" t="inlineStr">
        <is>
          <t>AMBER</t>
        </is>
      </c>
      <c r="J8" s="2" t="inlineStr">
        <is>
          <t>Define explicit metric-level measurement specification before scoring freeze.</t>
        </is>
      </c>
    </row>
    <row r="9">
      <c r="A9" s="2" t="inlineStr">
        <is>
          <t>I08</t>
        </is>
      </c>
      <c r="B9" s="2" t="inlineStr">
        <is>
          <t>Academic Role Redesign</t>
        </is>
      </c>
      <c r="C9" s="2" t="inlineStr">
        <is>
          <t>Whether AI-driven changes in academic work are anticipated and supported</t>
        </is>
      </c>
      <c r="D9" s="2" t="inlineStr">
        <is>
          <t>—</t>
        </is>
      </c>
      <c r="E9" s="2" t="inlineStr">
        <is>
          <t>D05; D05</t>
        </is>
      </c>
      <c r="F9" s="2" t="inlineStr">
        <is>
          <t>—</t>
        </is>
      </c>
      <c r="G9" s="2" t="inlineStr">
        <is>
          <t>—</t>
        </is>
      </c>
      <c r="H9" s="2" t="inlineStr">
        <is>
          <t>Defined rubric / evidence-coded score</t>
        </is>
      </c>
      <c r="I9" s="2" t="inlineStr">
        <is>
          <t>AMBER</t>
        </is>
      </c>
      <c r="J9" s="2" t="inlineStr">
        <is>
          <t>Define explicit metric-level measurement specification before scoring freeze.</t>
        </is>
      </c>
    </row>
    <row r="10">
      <c r="A10" s="2" t="inlineStr">
        <is>
          <t>I09</t>
        </is>
      </c>
      <c r="B10" s="2" t="inlineStr">
        <is>
          <t>Workload &amp; Workflow Transformation</t>
        </is>
      </c>
      <c r="C10" s="2" t="inlineStr">
        <is>
          <t>Use of AI to reduce low-value work while protecting academic quality</t>
        </is>
      </c>
      <c r="D10" s="2" t="inlineStr">
        <is>
          <t>—</t>
        </is>
      </c>
      <c r="E10" s="2" t="inlineStr">
        <is>
          <t>D05</t>
        </is>
      </c>
      <c r="F10" s="2" t="inlineStr">
        <is>
          <t>—</t>
        </is>
      </c>
      <c r="G10" s="2" t="inlineStr">
        <is>
          <t>—</t>
        </is>
      </c>
      <c r="H10" s="2" t="inlineStr">
        <is>
          <t>Defined rubric / evidence-coded score</t>
        </is>
      </c>
      <c r="I10" s="2" t="inlineStr">
        <is>
          <t>AMBER</t>
        </is>
      </c>
      <c r="J10" s="2" t="inlineStr">
        <is>
          <t>Define explicit metric-level measurement specification before scoring freeze.</t>
        </is>
      </c>
    </row>
    <row r="11">
      <c r="A11" s="2" t="inlineStr">
        <is>
          <t>I10</t>
        </is>
      </c>
      <c r="B11" s="2" t="inlineStr">
        <is>
          <t>Faculty Support Infrastructure</t>
        </is>
      </c>
      <c r="C11" s="2" t="inlineStr">
        <is>
          <t>Access to tools, guidance, help, exemplars and technical support</t>
        </is>
      </c>
      <c r="D11" s="2" t="inlineStr">
        <is>
          <t>—</t>
        </is>
      </c>
      <c r="E11" s="2" t="inlineStr">
        <is>
          <t>D05</t>
        </is>
      </c>
      <c r="F11" s="2" t="inlineStr">
        <is>
          <t>—</t>
        </is>
      </c>
      <c r="G11" s="2" t="inlineStr">
        <is>
          <t>—</t>
        </is>
      </c>
      <c r="H11" s="2" t="inlineStr">
        <is>
          <t>Defined rubric / evidence-coded score</t>
        </is>
      </c>
      <c r="I11" s="2" t="inlineStr">
        <is>
          <t>AMBER</t>
        </is>
      </c>
      <c r="J11" s="2" t="inlineStr">
        <is>
          <t>Define explicit metric-level measurement specification before scoring freeze.</t>
        </is>
      </c>
    </row>
    <row r="12">
      <c r="A12" s="2" t="inlineStr">
        <is>
          <t>I11</t>
        </is>
      </c>
      <c r="B12" s="2" t="inlineStr">
        <is>
          <t>Academic Leadership for AI</t>
        </is>
      </c>
      <c r="C12" s="2" t="inlineStr">
        <is>
          <t>Department/school leaders translating AI change into academic action</t>
        </is>
      </c>
      <c r="D12" s="2" t="inlineStr">
        <is>
          <t>—</t>
        </is>
      </c>
      <c r="E12" s="2" t="inlineStr">
        <is>
          <t>D05</t>
        </is>
      </c>
      <c r="F12" s="2" t="inlineStr">
        <is>
          <t>—</t>
        </is>
      </c>
      <c r="G12" s="2" t="inlineStr">
        <is>
          <t>—</t>
        </is>
      </c>
      <c r="H12" s="2" t="inlineStr">
        <is>
          <t>Defined rubric / evidence-coded score</t>
        </is>
      </c>
      <c r="I12" s="2" t="inlineStr">
        <is>
          <t>AMBER</t>
        </is>
      </c>
      <c r="J12" s="2" t="inlineStr">
        <is>
          <t>Define explicit metric-level measurement specification before scoring freeze.</t>
        </is>
      </c>
    </row>
    <row r="13">
      <c r="A13" s="2" t="inlineStr">
        <is>
          <t>I12</t>
        </is>
      </c>
      <c r="B13" s="2" t="inlineStr">
        <is>
          <t>Faculty Adoption Learning Loop</t>
        </is>
      </c>
      <c r="C13" s="2" t="inlineStr">
        <is>
          <t>Institution learns from adoption, resistance, failure and emerging practice</t>
        </is>
      </c>
      <c r="D13" s="2" t="inlineStr">
        <is>
          <t>—</t>
        </is>
      </c>
      <c r="E13" s="2" t="inlineStr">
        <is>
          <t>D05; D05</t>
        </is>
      </c>
      <c r="F13" s="2" t="inlineStr">
        <is>
          <t>—</t>
        </is>
      </c>
      <c r="G13" s="2" t="inlineStr">
        <is>
          <t>—</t>
        </is>
      </c>
      <c r="H13" s="2" t="inlineStr">
        <is>
          <t>Defined rubric / evidence-coded score</t>
        </is>
      </c>
      <c r="I13" s="2" t="inlineStr">
        <is>
          <t>AMBER</t>
        </is>
      </c>
      <c r="J13" s="2" t="inlineStr">
        <is>
          <t>Define explicit metric-level measurement specification before scoring freeze.</t>
        </is>
      </c>
    </row>
  </sheetData>
  <autoFilter ref="A1:J13"/>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23" t="inlineStr">
        <is>
          <t>Metric ID</t>
        </is>
      </c>
      <c r="B1" s="23" t="inlineStr">
        <is>
          <t>Metric</t>
        </is>
      </c>
      <c r="C1" s="23" t="inlineStr">
        <is>
          <t>Definition</t>
        </is>
      </c>
      <c r="D1" s="23" t="inlineStr">
        <is>
          <t>Cards</t>
        </is>
      </c>
      <c r="E1" s="23" t="inlineStr">
        <is>
          <t>Questions</t>
        </is>
      </c>
      <c r="F1" s="23" t="inlineStr">
        <is>
          <t>Evidence</t>
        </is>
      </c>
      <c r="G1" s="23" t="inlineStr">
        <is>
          <t>Institutional Data</t>
        </is>
      </c>
      <c r="H1" s="23" t="inlineStr">
        <is>
          <t>Measurement Type</t>
        </is>
      </c>
      <c r="I1" s="23" t="inlineStr">
        <is>
          <t>Status</t>
        </is>
      </c>
      <c r="J1" s="23" t="inlineStr">
        <is>
          <t>Next Action</t>
        </is>
      </c>
    </row>
    <row r="2">
      <c r="A2" s="2" t="inlineStr">
        <is>
          <t>I01</t>
        </is>
      </c>
      <c r="B2" s="2" t="inlineStr">
        <is>
          <t>Student AI Literacy</t>
        </is>
      </c>
      <c r="C2" s="2" t="inlineStr">
        <is>
          <t>Students understand capabilities, limits, responsible use and verification</t>
        </is>
      </c>
      <c r="D2" s="2" t="inlineStr">
        <is>
          <t>D06</t>
        </is>
      </c>
      <c r="E2" s="2" t="inlineStr">
        <is>
          <t>D06</t>
        </is>
      </c>
      <c r="F2" s="2" t="inlineStr">
        <is>
          <t>—</t>
        </is>
      </c>
      <c r="G2" s="2" t="inlineStr">
        <is>
          <t>—</t>
        </is>
      </c>
      <c r="H2" s="2" t="inlineStr">
        <is>
          <t>Defined rubric / evidence-coded score</t>
        </is>
      </c>
      <c r="I2" s="2" t="inlineStr">
        <is>
          <t>GREEN</t>
        </is>
      </c>
      <c r="J2" s="2" t="inlineStr">
        <is>
          <t>Formalise the existing measurement path; assign evidence and scoring rule.</t>
        </is>
      </c>
    </row>
    <row r="3">
      <c r="A3" s="2" t="inlineStr">
        <is>
          <t>I02</t>
        </is>
      </c>
      <c r="B3" s="2" t="inlineStr">
        <is>
          <t>Critical AI Evaluation</t>
        </is>
      </c>
      <c r="C3" s="2" t="inlineStr">
        <is>
          <t>Students can interrogate, verify and challenge AI outputs</t>
        </is>
      </c>
      <c r="D3" s="2" t="inlineStr">
        <is>
          <t>D06</t>
        </is>
      </c>
      <c r="E3" s="2" t="inlineStr">
        <is>
          <t>D06; D06</t>
        </is>
      </c>
      <c r="F3" s="2" t="inlineStr">
        <is>
          <t>—</t>
        </is>
      </c>
      <c r="G3" s="2" t="inlineStr">
        <is>
          <t>—</t>
        </is>
      </c>
      <c r="H3" s="2" t="inlineStr">
        <is>
          <t>Defined rubric / evidence-coded score</t>
        </is>
      </c>
      <c r="I3" s="2" t="inlineStr">
        <is>
          <t>GREEN</t>
        </is>
      </c>
      <c r="J3" s="2" t="inlineStr">
        <is>
          <t>Formalise the existing measurement path; assign evidence and scoring rule.</t>
        </is>
      </c>
    </row>
    <row r="4">
      <c r="A4" s="2" t="inlineStr">
        <is>
          <t>I03</t>
        </is>
      </c>
      <c r="B4" s="2" t="inlineStr">
        <is>
          <t>Learning Agency</t>
        </is>
      </c>
      <c r="C4" s="2" t="inlineStr">
        <is>
          <t>Students use AI to extend learning without surrendering intellectual responsibility</t>
        </is>
      </c>
      <c r="D4" s="2" t="inlineStr">
        <is>
          <t>D06</t>
        </is>
      </c>
      <c r="E4" s="2" t="inlineStr">
        <is>
          <t>D06</t>
        </is>
      </c>
      <c r="F4" s="2" t="inlineStr">
        <is>
          <t>—</t>
        </is>
      </c>
      <c r="G4" s="2" t="inlineStr">
        <is>
          <t>—</t>
        </is>
      </c>
      <c r="H4" s="2" t="inlineStr">
        <is>
          <t>Defined rubric / evidence-coded score</t>
        </is>
      </c>
      <c r="I4" s="2" t="inlineStr">
        <is>
          <t>GREEN</t>
        </is>
      </c>
      <c r="J4" s="2" t="inlineStr">
        <is>
          <t>Formalise the existing measurement path; assign evidence and scoring rule.</t>
        </is>
      </c>
    </row>
    <row r="5">
      <c r="A5" s="2" t="inlineStr">
        <is>
          <t>I04</t>
        </is>
      </c>
      <c r="B5" s="2" t="inlineStr">
        <is>
          <t>Independent Intellectual Agency</t>
        </is>
      </c>
      <c r="C5" s="2" t="inlineStr">
        <is>
          <t>Students can formulate positions, questions and solutions independently</t>
        </is>
      </c>
      <c r="D5" s="2" t="inlineStr">
        <is>
          <t>—</t>
        </is>
      </c>
      <c r="E5" s="2" t="inlineStr">
        <is>
          <t>D06; D06</t>
        </is>
      </c>
      <c r="F5" s="2" t="inlineStr">
        <is>
          <t>—</t>
        </is>
      </c>
      <c r="G5" s="2" t="inlineStr">
        <is>
          <t>—</t>
        </is>
      </c>
      <c r="H5" s="2" t="inlineStr">
        <is>
          <t>Defined rubric / evidence-coded score</t>
        </is>
      </c>
      <c r="I5" s="2" t="inlineStr">
        <is>
          <t>AMBER</t>
        </is>
      </c>
      <c r="J5" s="2" t="inlineStr">
        <is>
          <t>Define explicit metric-level measurement specification before scoring freeze.</t>
        </is>
      </c>
    </row>
    <row r="6">
      <c r="A6" s="2" t="inlineStr">
        <is>
          <t>I05</t>
        </is>
      </c>
      <c r="B6" s="2" t="inlineStr">
        <is>
          <t>Communication &amp; Defence</t>
        </is>
      </c>
      <c r="C6" s="2" t="inlineStr">
        <is>
          <t>Students can explain and defend their reasoning, sources and decisions</t>
        </is>
      </c>
      <c r="D6" s="2" t="inlineStr">
        <is>
          <t>—</t>
        </is>
      </c>
      <c r="E6" s="2" t="inlineStr">
        <is>
          <t>D06</t>
        </is>
      </c>
      <c r="F6" s="2" t="inlineStr">
        <is>
          <t>—</t>
        </is>
      </c>
      <c r="G6" s="2" t="inlineStr">
        <is>
          <t>—</t>
        </is>
      </c>
      <c r="H6" s="2" t="inlineStr">
        <is>
          <t>Defined rubric / evidence-coded score</t>
        </is>
      </c>
      <c r="I6" s="2" t="inlineStr">
        <is>
          <t>AMBER</t>
        </is>
      </c>
      <c r="J6" s="2" t="inlineStr">
        <is>
          <t>Define explicit metric-level measurement specification before scoring freeze.</t>
        </is>
      </c>
    </row>
    <row r="7">
      <c r="A7" s="2" t="inlineStr">
        <is>
          <t>I06</t>
        </is>
      </c>
      <c r="B7" s="2" t="inlineStr">
        <is>
          <t>Collaboration Capability</t>
        </is>
      </c>
      <c r="C7" s="2" t="inlineStr">
        <is>
          <t>Students collaborate with people and AI appropriately</t>
        </is>
      </c>
      <c r="D7" s="2" t="inlineStr">
        <is>
          <t>—</t>
        </is>
      </c>
      <c r="E7" s="2" t="inlineStr">
        <is>
          <t>—</t>
        </is>
      </c>
      <c r="F7" s="2" t="inlineStr">
        <is>
          <t>—</t>
        </is>
      </c>
      <c r="G7" s="2" t="inlineStr">
        <is>
          <t>—</t>
        </is>
      </c>
      <c r="H7" s="2" t="inlineStr">
        <is>
          <t>Rubric + evidence anchored ordinal score (0–5)</t>
        </is>
      </c>
      <c r="I7" s="2" t="inlineStr">
        <is>
          <t>RED</t>
        </is>
      </c>
      <c r="J7" s="2" t="inlineStr">
        <is>
          <t>Define explicit metric-level measurement specification before scoring freeze.</t>
        </is>
      </c>
    </row>
    <row r="8">
      <c r="A8" s="2" t="inlineStr">
        <is>
          <t>I07</t>
        </is>
      </c>
      <c r="B8" s="2" t="inlineStr">
        <is>
          <t>Practical Capability</t>
        </is>
      </c>
      <c r="C8" s="2" t="inlineStr">
        <is>
          <t>Students can act in real or simulated contexts beyond content generation</t>
        </is>
      </c>
      <c r="D8" s="2" t="inlineStr">
        <is>
          <t>—</t>
        </is>
      </c>
      <c r="E8" s="2" t="inlineStr">
        <is>
          <t>D06</t>
        </is>
      </c>
      <c r="F8" s="2" t="inlineStr">
        <is>
          <t>—</t>
        </is>
      </c>
      <c r="G8" s="2" t="inlineStr">
        <is>
          <t>—</t>
        </is>
      </c>
      <c r="H8" s="2" t="inlineStr">
        <is>
          <t>Rubric + evidence anchored ordinal score (0–5)</t>
        </is>
      </c>
      <c r="I8" s="2" t="inlineStr">
        <is>
          <t>AMBER</t>
        </is>
      </c>
      <c r="J8" s="2" t="inlineStr">
        <is>
          <t>Define explicit metric-level measurement specification before scoring freeze.</t>
        </is>
      </c>
    </row>
    <row r="9">
      <c r="A9" s="2" t="inlineStr">
        <is>
          <t>I08</t>
        </is>
      </c>
      <c r="B9" s="2" t="inlineStr">
        <is>
          <t>Career Adaptability</t>
        </is>
      </c>
      <c r="C9" s="2" t="inlineStr">
        <is>
          <t>Students can interpret changing work requirements and update capabilities</t>
        </is>
      </c>
      <c r="D9" s="2" t="inlineStr">
        <is>
          <t>—</t>
        </is>
      </c>
      <c r="E9" s="2" t="inlineStr">
        <is>
          <t>D06</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Portfolio &amp; Capability Signalling</t>
        </is>
      </c>
      <c r="C10" s="2" t="inlineStr">
        <is>
          <t>Students can show credible evidence of what they can do</t>
        </is>
      </c>
      <c r="D10" s="2" t="inlineStr">
        <is>
          <t>—</t>
        </is>
      </c>
      <c r="E10" s="2" t="inlineStr">
        <is>
          <t>D06</t>
        </is>
      </c>
      <c r="F10" s="2" t="inlineStr">
        <is>
          <t>—</t>
        </is>
      </c>
      <c r="G10" s="2" t="inlineStr">
        <is>
          <t>—</t>
        </is>
      </c>
      <c r="H10" s="2" t="inlineStr">
        <is>
          <t>Rubric + evidence anchored ordinal score (0–5)</t>
        </is>
      </c>
      <c r="I10" s="2" t="inlineStr">
        <is>
          <t>AMBER</t>
        </is>
      </c>
      <c r="J10" s="2" t="inlineStr">
        <is>
          <t>Define explicit metric-level measurement specification before scoring freeze.</t>
        </is>
      </c>
    </row>
    <row r="11">
      <c r="A11" s="2" t="inlineStr">
        <is>
          <t>I10</t>
        </is>
      </c>
      <c r="B11" s="2" t="inlineStr">
        <is>
          <t>Problem Solving &amp; Transfer</t>
        </is>
      </c>
      <c r="C11" s="2" t="inlineStr">
        <is>
          <t>Students apply learning to unfamiliar/ambiguous problems</t>
        </is>
      </c>
      <c r="D11" s="2" t="inlineStr">
        <is>
          <t>—</t>
        </is>
      </c>
      <c r="E11" s="2" t="inlineStr">
        <is>
          <t>D06</t>
        </is>
      </c>
      <c r="F11" s="2" t="inlineStr">
        <is>
          <t>—</t>
        </is>
      </c>
      <c r="G11" s="2" t="inlineStr">
        <is>
          <t>—</t>
        </is>
      </c>
      <c r="H11" s="2" t="inlineStr">
        <is>
          <t>Defined rubric / evidence-coded score</t>
        </is>
      </c>
      <c r="I11" s="2" t="inlineStr">
        <is>
          <t>AMBER</t>
        </is>
      </c>
      <c r="J11" s="2" t="inlineStr">
        <is>
          <t>Define explicit metric-level measurement specification before scoring freeze.</t>
        </is>
      </c>
    </row>
    <row r="12">
      <c r="A12" s="2" t="inlineStr">
        <is>
          <t>I11</t>
        </is>
      </c>
      <c r="B12" s="2" t="inlineStr">
        <is>
          <t>Creator &amp; Entrepreneurial Agency</t>
        </is>
      </c>
      <c r="C12" s="2" t="inlineStr">
        <is>
          <t>Students use AI to create, prototype, innovate or build value</t>
        </is>
      </c>
      <c r="D12" s="2" t="inlineStr">
        <is>
          <t>—</t>
        </is>
      </c>
      <c r="E12" s="2" t="inlineStr">
        <is>
          <t>D06</t>
        </is>
      </c>
      <c r="F12" s="2" t="inlineStr">
        <is>
          <t>—</t>
        </is>
      </c>
      <c r="G12" s="2" t="inlineStr">
        <is>
          <t>—</t>
        </is>
      </c>
      <c r="H12" s="2" t="inlineStr">
        <is>
          <t>Defined rubric / evidence-coded score</t>
        </is>
      </c>
      <c r="I12" s="2" t="inlineStr">
        <is>
          <t>AMBER</t>
        </is>
      </c>
      <c r="J12" s="2" t="inlineStr">
        <is>
          <t>Define explicit metric-level measurement specification before scoring freeze.</t>
        </is>
      </c>
    </row>
    <row r="13">
      <c r="A13" s="2" t="inlineStr">
        <is>
          <t>I12</t>
        </is>
      </c>
      <c r="B13" s="2" t="inlineStr">
        <is>
          <t>Digital Citizenship &amp; Responsible Use</t>
        </is>
      </c>
      <c r="C13" s="2" t="inlineStr">
        <is>
          <t>Students understand privacy, IP, bias, integrity and social consequences</t>
        </is>
      </c>
      <c r="D13" s="2" t="inlineStr">
        <is>
          <t>—</t>
        </is>
      </c>
      <c r="E13" s="2" t="inlineStr">
        <is>
          <t>—</t>
        </is>
      </c>
      <c r="F13" s="2" t="inlineStr">
        <is>
          <t>—</t>
        </is>
      </c>
      <c r="G13" s="2" t="inlineStr">
        <is>
          <t>—</t>
        </is>
      </c>
      <c r="H13" s="2" t="inlineStr">
        <is>
          <t>Defined rubric / evidence-coded score</t>
        </is>
      </c>
      <c r="I13" s="2" t="inlineStr">
        <is>
          <t>RED</t>
        </is>
      </c>
      <c r="J13" s="2" t="inlineStr">
        <is>
          <t>Define explicit metric-level measurement specification before scoring freeze.</t>
        </is>
      </c>
    </row>
    <row r="14">
      <c r="A14" s="2" t="inlineStr">
        <is>
          <t>I13</t>
        </is>
      </c>
      <c r="B14" s="2" t="inlineStr">
        <is>
          <t>Equitable AI Access</t>
        </is>
      </c>
      <c r="C14" s="2" t="inlineStr">
        <is>
          <t>Institution identifies and mitigates unequal access/capability barriers</t>
        </is>
      </c>
      <c r="D14" s="2" t="inlineStr">
        <is>
          <t>—</t>
        </is>
      </c>
      <c r="E14" s="2" t="inlineStr">
        <is>
          <t>D06</t>
        </is>
      </c>
      <c r="F14" s="2" t="inlineStr">
        <is>
          <t>—</t>
        </is>
      </c>
      <c r="G14" s="2" t="inlineStr">
        <is>
          <t>—</t>
        </is>
      </c>
      <c r="H14" s="2" t="inlineStr">
        <is>
          <t>Defined rubric / evidence-coded score</t>
        </is>
      </c>
      <c r="I14" s="2" t="inlineStr">
        <is>
          <t>AMBER</t>
        </is>
      </c>
      <c r="J14" s="2" t="inlineStr">
        <is>
          <t>Define explicit metric-level measurement specification before scoring freeze.</t>
        </is>
      </c>
    </row>
    <row r="15">
      <c r="A15" s="2" t="inlineStr">
        <is>
          <t>I14</t>
        </is>
      </c>
      <c r="B15" s="2" t="inlineStr">
        <is>
          <t>Student Voice &amp; Feedback Loop</t>
        </is>
      </c>
      <c r="C15" s="2" t="inlineStr">
        <is>
          <t>Student experience informs AI-era curriculum and capability design</t>
        </is>
      </c>
      <c r="D15" s="2" t="inlineStr">
        <is>
          <t>—</t>
        </is>
      </c>
      <c r="E15" s="2" t="inlineStr">
        <is>
          <t>D06</t>
        </is>
      </c>
      <c r="F15" s="2" t="inlineStr">
        <is>
          <t>—</t>
        </is>
      </c>
      <c r="G15" s="2" t="inlineStr">
        <is>
          <t>—</t>
        </is>
      </c>
      <c r="H15" s="2" t="inlineStr">
        <is>
          <t>Defined rubric / evidence-coded score</t>
        </is>
      </c>
      <c r="I15" s="2" t="inlineStr">
        <is>
          <t>AMBER</t>
        </is>
      </c>
      <c r="J15" s="2" t="inlineStr">
        <is>
          <t>Define explicit metric-level measurement specification before scoring freeze.</t>
        </is>
      </c>
    </row>
  </sheetData>
  <autoFilter ref="A1:J15"/>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23" t="inlineStr">
        <is>
          <t>Metric ID</t>
        </is>
      </c>
      <c r="B1" s="23" t="inlineStr">
        <is>
          <t>Metric</t>
        </is>
      </c>
      <c r="C1" s="23" t="inlineStr">
        <is>
          <t>Definition</t>
        </is>
      </c>
      <c r="D1" s="23" t="inlineStr">
        <is>
          <t>Cards</t>
        </is>
      </c>
      <c r="E1" s="23" t="inlineStr">
        <is>
          <t>Questions</t>
        </is>
      </c>
      <c r="F1" s="23" t="inlineStr">
        <is>
          <t>Evidence</t>
        </is>
      </c>
      <c r="G1" s="23" t="inlineStr">
        <is>
          <t>Institutional Data</t>
        </is>
      </c>
      <c r="H1" s="23" t="inlineStr">
        <is>
          <t>Measurement Type</t>
        </is>
      </c>
      <c r="I1" s="23" t="inlineStr">
        <is>
          <t>Status</t>
        </is>
      </c>
      <c r="J1" s="23" t="inlineStr">
        <is>
          <t>Next Action</t>
        </is>
      </c>
    </row>
    <row r="2">
      <c r="A2" s="2" t="inlineStr">
        <is>
          <t>I01</t>
        </is>
      </c>
      <c r="B2" s="2" t="inlineStr">
        <is>
          <t>Assessment Design Maturity</t>
        </is>
      </c>
      <c r="C2" s="2" t="inlineStr">
        <is>
          <t>Whether assessment is deliberately designed around intended capabilities rather than answer production.</t>
        </is>
      </c>
      <c r="D2" s="2" t="inlineStr">
        <is>
          <t>D07</t>
        </is>
      </c>
      <c r="E2" s="2" t="inlineStr">
        <is>
          <t>D07</t>
        </is>
      </c>
      <c r="F2" s="2" t="inlineStr">
        <is>
          <t>—</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Cognitive Demonstration Depth</t>
        </is>
      </c>
      <c r="C3" s="2" t="inlineStr">
        <is>
          <t>Extent to which students must demonstrate reasoning, judgement, interpretation and problem-solving.</t>
        </is>
      </c>
      <c r="D3" s="2" t="inlineStr">
        <is>
          <t>D07</t>
        </is>
      </c>
      <c r="E3" s="2" t="inlineStr">
        <is>
          <t>D07; D07</t>
        </is>
      </c>
      <c r="F3" s="2" t="inlineStr">
        <is>
          <t>—</t>
        </is>
      </c>
      <c r="G3" s="2" t="inlineStr">
        <is>
          <t>—</t>
        </is>
      </c>
      <c r="H3" s="2" t="inlineStr">
        <is>
          <t>Rubric + evidence anchored ordinal score (0–5)</t>
        </is>
      </c>
      <c r="I3" s="2" t="inlineStr">
        <is>
          <t>GREEN</t>
        </is>
      </c>
      <c r="J3" s="2" t="inlineStr">
        <is>
          <t>Formalise the existing measurement path; assign evidence and scoring rule.</t>
        </is>
      </c>
    </row>
    <row r="4">
      <c r="A4" s="2" t="inlineStr">
        <is>
          <t>I03</t>
        </is>
      </c>
      <c r="B4" s="2" t="inlineStr">
        <is>
          <t>Authenticity of Demonstration</t>
        </is>
      </c>
      <c r="C4" s="2" t="inlineStr">
        <is>
          <t>Use of real, unfamiliar, contextual and practice-linked tasks.</t>
        </is>
      </c>
      <c r="D4" s="2" t="inlineStr">
        <is>
          <t>D07</t>
        </is>
      </c>
      <c r="E4" s="2" t="inlineStr">
        <is>
          <t>D07; D07</t>
        </is>
      </c>
      <c r="F4" s="2" t="inlineStr">
        <is>
          <t>—</t>
        </is>
      </c>
      <c r="G4" s="2" t="inlineStr">
        <is>
          <t>—</t>
        </is>
      </c>
      <c r="H4" s="2" t="inlineStr">
        <is>
          <t>Defined rubric / evidence-coded score</t>
        </is>
      </c>
      <c r="I4" s="2" t="inlineStr">
        <is>
          <t>GREEN</t>
        </is>
      </c>
      <c r="J4" s="2" t="inlineStr">
        <is>
          <t>Formalise the existing measurement path; assign evidence and scoring rule.</t>
        </is>
      </c>
    </row>
    <row r="5">
      <c r="A5" s="2" t="inlineStr">
        <is>
          <t>I04</t>
        </is>
      </c>
      <c r="B5" s="2" t="inlineStr">
        <is>
          <t>AI-Aware Assessment Maturity</t>
        </is>
      </c>
      <c r="C5" s="2" t="inlineStr">
        <is>
          <t>Extent to which assessment design responds intelligently to generative AI availability.</t>
        </is>
      </c>
      <c r="D5" s="2" t="inlineStr">
        <is>
          <t>—</t>
        </is>
      </c>
      <c r="E5" s="2" t="inlineStr">
        <is>
          <t>D07</t>
        </is>
      </c>
      <c r="F5" s="2" t="inlineStr">
        <is>
          <t>—</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Verification &amp; Defence</t>
        </is>
      </c>
      <c r="C6" s="2" t="inlineStr">
        <is>
          <t>Ability of students to explain, defend and interrogate their own work.</t>
        </is>
      </c>
      <c r="D6" s="2" t="inlineStr">
        <is>
          <t>—</t>
        </is>
      </c>
      <c r="E6" s="2" t="inlineStr">
        <is>
          <t>D07</t>
        </is>
      </c>
      <c r="F6" s="2" t="inlineStr">
        <is>
          <t>—</t>
        </is>
      </c>
      <c r="G6" s="2" t="inlineStr">
        <is>
          <t>—</t>
        </is>
      </c>
      <c r="H6" s="2" t="inlineStr">
        <is>
          <t>Defined rubric / evidence-coded score</t>
        </is>
      </c>
      <c r="I6" s="2" t="inlineStr">
        <is>
          <t>AMBER</t>
        </is>
      </c>
      <c r="J6" s="2" t="inlineStr">
        <is>
          <t>Define explicit metric-level measurement specification before scoring freeze.</t>
        </is>
      </c>
    </row>
    <row r="7">
      <c r="A7" s="2" t="inlineStr">
        <is>
          <t>I06</t>
        </is>
      </c>
      <c r="B7" s="2" t="inlineStr">
        <is>
          <t>Feedback Intelligence</t>
        </is>
      </c>
      <c r="C7" s="2" t="inlineStr">
        <is>
          <t>Use of feedback to improve capability rather than merely correct answers.</t>
        </is>
      </c>
      <c r="D7" s="2" t="inlineStr">
        <is>
          <t>—</t>
        </is>
      </c>
      <c r="E7" s="2" t="inlineStr">
        <is>
          <t>D07</t>
        </is>
      </c>
      <c r="F7" s="2" t="inlineStr">
        <is>
          <t>—</t>
        </is>
      </c>
      <c r="G7" s="2" t="inlineStr">
        <is>
          <t>—</t>
        </is>
      </c>
      <c r="H7" s="2" t="inlineStr">
        <is>
          <t>Rubric + evidence anchored ordinal score (0–5)</t>
        </is>
      </c>
      <c r="I7" s="2" t="inlineStr">
        <is>
          <t>AMBER</t>
        </is>
      </c>
      <c r="J7" s="2" t="inlineStr">
        <is>
          <t>Define explicit metric-level measurement specification before scoring freeze.</t>
        </is>
      </c>
    </row>
    <row r="8">
      <c r="A8" s="2" t="inlineStr">
        <is>
          <t>I07</t>
        </is>
      </c>
      <c r="B8" s="2" t="inlineStr">
        <is>
          <t>Evidence of Learning</t>
        </is>
      </c>
      <c r="C8" s="2" t="inlineStr">
        <is>
          <t>Quality of institutional evidence showing that intended learning actually occurred.</t>
        </is>
      </c>
      <c r="D8" s="2" t="inlineStr">
        <is>
          <t>—</t>
        </is>
      </c>
      <c r="E8" s="2" t="inlineStr">
        <is>
          <t>D07</t>
        </is>
      </c>
      <c r="F8" s="2" t="inlineStr">
        <is>
          <t>—</t>
        </is>
      </c>
      <c r="G8" s="2" t="inlineStr">
        <is>
          <t>—</t>
        </is>
      </c>
      <c r="H8" s="2" t="inlineStr">
        <is>
          <t>Defined rubric / evidence-coded score</t>
        </is>
      </c>
      <c r="I8" s="2" t="inlineStr">
        <is>
          <t>AMBER</t>
        </is>
      </c>
      <c r="J8" s="2" t="inlineStr">
        <is>
          <t>Define explicit metric-level measurement specification before scoring freeze.</t>
        </is>
      </c>
    </row>
    <row r="9">
      <c r="A9" s="2" t="inlineStr">
        <is>
          <t>I08</t>
        </is>
      </c>
      <c r="B9" s="2" t="inlineStr">
        <is>
          <t>Capability Outcome Measurement</t>
        </is>
      </c>
      <c r="C9" s="2" t="inlineStr">
        <is>
          <t>Extent to which learning outcomes are measured with meaningful evidence.</t>
        </is>
      </c>
      <c r="D9" s="2" t="inlineStr">
        <is>
          <t>—</t>
        </is>
      </c>
      <c r="E9" s="2" t="inlineStr">
        <is>
          <t>D07</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Assessment Equity &amp; Access</t>
        </is>
      </c>
      <c r="C10" s="2" t="inlineStr">
        <is>
          <t>Ability to assess capability fairly across diverse student contexts and access conditions.</t>
        </is>
      </c>
      <c r="D10" s="2" t="inlineStr">
        <is>
          <t>—</t>
        </is>
      </c>
      <c r="E10" s="2" t="inlineStr">
        <is>
          <t>D07</t>
        </is>
      </c>
      <c r="F10" s="2" t="inlineStr">
        <is>
          <t>—</t>
        </is>
      </c>
      <c r="G10" s="2" t="inlineStr">
        <is>
          <t>—</t>
        </is>
      </c>
      <c r="H10" s="2" t="inlineStr">
        <is>
          <t>Defined rubric / evidence-coded score</t>
        </is>
      </c>
      <c r="I10" s="2" t="inlineStr">
        <is>
          <t>AMBER</t>
        </is>
      </c>
      <c r="J10" s="2" t="inlineStr">
        <is>
          <t>Define explicit metric-level measurement specification before scoring freeze.</t>
        </is>
      </c>
    </row>
    <row r="11">
      <c r="A11" s="2" t="inlineStr">
        <is>
          <t>I10</t>
        </is>
      </c>
      <c r="B11" s="2" t="inlineStr">
        <is>
          <t>Assessment Governance</t>
        </is>
      </c>
      <c r="C11" s="2" t="inlineStr">
        <is>
          <t>Institutional oversight of assessment quality, integrity and consistency.</t>
        </is>
      </c>
      <c r="D11" s="2" t="inlineStr">
        <is>
          <t>—</t>
        </is>
      </c>
      <c r="E11" s="2" t="inlineStr">
        <is>
          <t>—</t>
        </is>
      </c>
      <c r="F11" s="2" t="inlineStr">
        <is>
          <t>—</t>
        </is>
      </c>
      <c r="G11" s="2" t="inlineStr">
        <is>
          <t>—</t>
        </is>
      </c>
      <c r="H11" s="2" t="inlineStr">
        <is>
          <t>Defined rubric / evidence-coded score</t>
        </is>
      </c>
      <c r="I11" s="2" t="inlineStr">
        <is>
          <t>RED</t>
        </is>
      </c>
      <c r="J11" s="2" t="inlineStr">
        <is>
          <t>Define explicit metric-level measurement specification before scoring freeze.</t>
        </is>
      </c>
    </row>
    <row r="12">
      <c r="A12" s="2" t="inlineStr">
        <is>
          <t>I11</t>
        </is>
      </c>
      <c r="B12" s="2" t="inlineStr">
        <is>
          <t>Assessment Innovation</t>
        </is>
      </c>
      <c r="C12" s="2" t="inlineStr">
        <is>
          <t>Ability to experiment with and evaluate new assessment models.</t>
        </is>
      </c>
      <c r="D12" s="2" t="inlineStr">
        <is>
          <t>—</t>
        </is>
      </c>
      <c r="E12" s="2" t="inlineStr">
        <is>
          <t>D07</t>
        </is>
      </c>
      <c r="F12" s="2" t="inlineStr">
        <is>
          <t>—</t>
        </is>
      </c>
      <c r="G12" s="2" t="inlineStr">
        <is>
          <t>—</t>
        </is>
      </c>
      <c r="H12" s="2" t="inlineStr">
        <is>
          <t>Defined rubric / evidence-coded score</t>
        </is>
      </c>
      <c r="I12" s="2" t="inlineStr">
        <is>
          <t>AMBER</t>
        </is>
      </c>
      <c r="J12" s="2" t="inlineStr">
        <is>
          <t>Define explicit metric-level measurement specification before scoring freeze.</t>
        </is>
      </c>
    </row>
    <row r="13">
      <c r="A13" s="2" t="inlineStr">
        <is>
          <t>I12</t>
        </is>
      </c>
      <c r="B13" s="2" t="inlineStr">
        <is>
          <t>Learning Evidence Analytics</t>
        </is>
      </c>
      <c r="C13" s="2" t="inlineStr">
        <is>
          <t>Use of data to identify capability gaps and improve learning design.</t>
        </is>
      </c>
      <c r="D13" s="2" t="inlineStr">
        <is>
          <t>—</t>
        </is>
      </c>
      <c r="E13" s="2" t="inlineStr">
        <is>
          <t>—</t>
        </is>
      </c>
      <c r="F13" s="2" t="inlineStr">
        <is>
          <t>—</t>
        </is>
      </c>
      <c r="G13" s="2" t="inlineStr">
        <is>
          <t>—</t>
        </is>
      </c>
      <c r="H13" s="2" t="inlineStr">
        <is>
          <t>Defined rubric / evidence-coded score</t>
        </is>
      </c>
      <c r="I13" s="2" t="inlineStr">
        <is>
          <t>RED</t>
        </is>
      </c>
      <c r="J13" s="2" t="inlineStr">
        <is>
          <t>Define explicit metric-level measurement specification before scoring freeze.</t>
        </is>
      </c>
    </row>
  </sheetData>
  <autoFilter ref="A1:J13"/>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23" t="inlineStr">
        <is>
          <t>Metric ID</t>
        </is>
      </c>
      <c r="B1" s="23" t="inlineStr">
        <is>
          <t>Metric</t>
        </is>
      </c>
      <c r="C1" s="23" t="inlineStr">
        <is>
          <t>Definition</t>
        </is>
      </c>
      <c r="D1" s="23" t="inlineStr">
        <is>
          <t>Cards</t>
        </is>
      </c>
      <c r="E1" s="23" t="inlineStr">
        <is>
          <t>Questions</t>
        </is>
      </c>
      <c r="F1" s="23" t="inlineStr">
        <is>
          <t>Evidence</t>
        </is>
      </c>
      <c r="G1" s="23" t="inlineStr">
        <is>
          <t>Institutional Data</t>
        </is>
      </c>
      <c r="H1" s="23" t="inlineStr">
        <is>
          <t>Measurement Type</t>
        </is>
      </c>
      <c r="I1" s="23" t="inlineStr">
        <is>
          <t>Status</t>
        </is>
      </c>
      <c r="J1" s="23" t="inlineStr">
        <is>
          <t>Next Action</t>
        </is>
      </c>
    </row>
    <row r="2">
      <c r="A2" s="2" t="inlineStr">
        <is>
          <t>I01</t>
        </is>
      </c>
      <c r="B2" s="2" t="inlineStr">
        <is>
          <t>Digital Environment Readiness</t>
        </is>
      </c>
      <c r="C2" s="2" t="inlineStr">
        <is>
          <t>Suitability of the institutional digital environment for emerging academic and administrative needs.</t>
        </is>
      </c>
      <c r="D2" s="2" t="inlineStr">
        <is>
          <t>—</t>
        </is>
      </c>
      <c r="E2" s="2" t="inlineStr">
        <is>
          <t>D08</t>
        </is>
      </c>
      <c r="F2" s="2" t="inlineStr">
        <is>
          <t>—</t>
        </is>
      </c>
      <c r="G2" s="2" t="inlineStr">
        <is>
          <t>—</t>
        </is>
      </c>
      <c r="H2" s="2" t="inlineStr">
        <is>
          <t>Rubric + evidence anchored ordinal score (0–5)</t>
        </is>
      </c>
      <c r="I2" s="2" t="inlineStr">
        <is>
          <t>AMBER</t>
        </is>
      </c>
      <c r="J2" s="2" t="inlineStr">
        <is>
          <t>Define explicit metric-level measurement specification before scoring freeze.</t>
        </is>
      </c>
    </row>
    <row r="3">
      <c r="A3" s="2" t="inlineStr">
        <is>
          <t>I02</t>
        </is>
      </c>
      <c r="B3" s="2" t="inlineStr">
        <is>
          <t>Institutional Data Architecture</t>
        </is>
      </c>
      <c r="C3" s="2" t="inlineStr">
        <is>
          <t>Degree to which important institutional data are structured, connected and usable.</t>
        </is>
      </c>
      <c r="D3" s="2" t="inlineStr">
        <is>
          <t>D08</t>
        </is>
      </c>
      <c r="E3" s="2" t="inlineStr">
        <is>
          <t>D08; D08</t>
        </is>
      </c>
      <c r="F3" s="2" t="inlineStr">
        <is>
          <t>—</t>
        </is>
      </c>
      <c r="G3" s="2" t="inlineStr">
        <is>
          <t>—</t>
        </is>
      </c>
      <c r="H3" s="2" t="inlineStr">
        <is>
          <t>Rubric + evidence anchored ordinal score (0–5)</t>
        </is>
      </c>
      <c r="I3" s="2" t="inlineStr">
        <is>
          <t>GREEN</t>
        </is>
      </c>
      <c r="J3" s="2" t="inlineStr">
        <is>
          <t>Formalise the existing measurement path; assign evidence and scoring rule.</t>
        </is>
      </c>
    </row>
    <row r="4">
      <c r="A4" s="2" t="inlineStr">
        <is>
          <t>I03</t>
        </is>
      </c>
      <c r="B4" s="2" t="inlineStr">
        <is>
          <t>Data Quality &amp; Integrity</t>
        </is>
      </c>
      <c r="C4" s="2" t="inlineStr">
        <is>
          <t>Reliability, completeness, consistency and stewardship of institutional data.</t>
        </is>
      </c>
      <c r="D4" s="2" t="inlineStr">
        <is>
          <t>—</t>
        </is>
      </c>
      <c r="E4" s="2" t="inlineStr">
        <is>
          <t>D08</t>
        </is>
      </c>
      <c r="F4" s="2" t="inlineStr">
        <is>
          <t>—</t>
        </is>
      </c>
      <c r="G4" s="2" t="inlineStr">
        <is>
          <t>—</t>
        </is>
      </c>
      <c r="H4" s="2" t="inlineStr">
        <is>
          <t>Rubric + evidence anchored ordinal score (0–5)</t>
        </is>
      </c>
      <c r="I4" s="2" t="inlineStr">
        <is>
          <t>AMBER</t>
        </is>
      </c>
      <c r="J4" s="2" t="inlineStr">
        <is>
          <t>Define explicit metric-level measurement specification before scoring freeze.</t>
        </is>
      </c>
    </row>
    <row r="5">
      <c r="A5" s="2" t="inlineStr">
        <is>
          <t>I04</t>
        </is>
      </c>
      <c r="B5" s="2" t="inlineStr">
        <is>
          <t>System Interoperability</t>
        </is>
      </c>
      <c r="C5" s="2" t="inlineStr">
        <is>
          <t>Ability of institutional systems to exchange and use information coherently.</t>
        </is>
      </c>
      <c r="D5" s="2" t="inlineStr">
        <is>
          <t>—</t>
        </is>
      </c>
      <c r="E5" s="2" t="inlineStr">
        <is>
          <t>D08</t>
        </is>
      </c>
      <c r="F5" s="2" t="inlineStr">
        <is>
          <t>—</t>
        </is>
      </c>
      <c r="G5" s="2" t="inlineStr">
        <is>
          <t>—</t>
        </is>
      </c>
      <c r="H5" s="2" t="inlineStr">
        <is>
          <t>Defined rubric / evidence-coded score</t>
        </is>
      </c>
      <c r="I5" s="2" t="inlineStr">
        <is>
          <t>AMBER</t>
        </is>
      </c>
      <c r="J5" s="2" t="inlineStr">
        <is>
          <t>Define explicit metric-level measurement specification before scoring freeze.</t>
        </is>
      </c>
    </row>
    <row r="6">
      <c r="A6" s="2" t="inlineStr">
        <is>
          <t>I05</t>
        </is>
      </c>
      <c r="B6" s="2" t="inlineStr">
        <is>
          <t>Decision Intelligence</t>
        </is>
      </c>
      <c r="C6" s="2" t="inlineStr">
        <is>
          <t>Use of institutional data and analytics in leadership and operational decisions.</t>
        </is>
      </c>
      <c r="D6" s="2" t="inlineStr">
        <is>
          <t>D08</t>
        </is>
      </c>
      <c r="E6" s="2" t="inlineStr">
        <is>
          <t>D08; D08</t>
        </is>
      </c>
      <c r="F6" s="2" t="inlineStr">
        <is>
          <t>—</t>
        </is>
      </c>
      <c r="G6" s="2" t="inlineStr">
        <is>
          <t>—</t>
        </is>
      </c>
      <c r="H6" s="2" t="inlineStr">
        <is>
          <t>Rubric + evidence anchored ordinal score (0–5)</t>
        </is>
      </c>
      <c r="I6" s="2" t="inlineStr">
        <is>
          <t>GREEN</t>
        </is>
      </c>
      <c r="J6" s="2" t="inlineStr">
        <is>
          <t>Formalise the existing measurement path; assign evidence and scoring rule.</t>
        </is>
      </c>
    </row>
    <row r="7">
      <c r="A7" s="2" t="inlineStr">
        <is>
          <t>I06</t>
        </is>
      </c>
      <c r="B7" s="2" t="inlineStr">
        <is>
          <t>AI Enablement Readiness</t>
        </is>
      </c>
      <c r="C7" s="2" t="inlineStr">
        <is>
          <t>Whether infrastructure and data can responsibly support AI-enabled activity.</t>
        </is>
      </c>
      <c r="D7" s="2" t="inlineStr">
        <is>
          <t>—</t>
        </is>
      </c>
      <c r="E7" s="2" t="inlineStr">
        <is>
          <t>D08</t>
        </is>
      </c>
      <c r="F7" s="2" t="inlineStr">
        <is>
          <t>—</t>
        </is>
      </c>
      <c r="G7" s="2" t="inlineStr">
        <is>
          <t>—</t>
        </is>
      </c>
      <c r="H7" s="2" t="inlineStr">
        <is>
          <t>Rubric + evidence anchored ordinal score (0–5)</t>
        </is>
      </c>
      <c r="I7" s="2" t="inlineStr">
        <is>
          <t>AMBER</t>
        </is>
      </c>
      <c r="J7" s="2" t="inlineStr">
        <is>
          <t>Define explicit metric-level measurement specification before scoring freeze.</t>
        </is>
      </c>
    </row>
    <row r="8">
      <c r="A8" s="2" t="inlineStr">
        <is>
          <t>I07</t>
        </is>
      </c>
      <c r="B8" s="2" t="inlineStr">
        <is>
          <t>Cyber &amp; Information Security</t>
        </is>
      </c>
      <c r="C8" s="2" t="inlineStr">
        <is>
          <t>Protection of institutional information, systems and users.</t>
        </is>
      </c>
      <c r="D8" s="2" t="inlineStr">
        <is>
          <t>—</t>
        </is>
      </c>
      <c r="E8" s="2" t="inlineStr">
        <is>
          <t>D08</t>
        </is>
      </c>
      <c r="F8" s="2" t="inlineStr">
        <is>
          <t>—</t>
        </is>
      </c>
      <c r="G8" s="2" t="inlineStr">
        <is>
          <t>—</t>
        </is>
      </c>
      <c r="H8" s="2" t="inlineStr">
        <is>
          <t>Defined rubric / evidence-coded score</t>
        </is>
      </c>
      <c r="I8" s="2" t="inlineStr">
        <is>
          <t>AMBER</t>
        </is>
      </c>
      <c r="J8" s="2" t="inlineStr">
        <is>
          <t>Define explicit metric-level measurement specification before scoring freeze.</t>
        </is>
      </c>
    </row>
    <row r="9">
      <c r="A9" s="2" t="inlineStr">
        <is>
          <t>I08</t>
        </is>
      </c>
      <c r="B9" s="2" t="inlineStr">
        <is>
          <t>Data Privacy Readiness</t>
        </is>
      </c>
      <c r="C9" s="2" t="inlineStr">
        <is>
          <t>Controls governing sensitive student, faculty and research information.</t>
        </is>
      </c>
      <c r="D9" s="2" t="inlineStr">
        <is>
          <t>—</t>
        </is>
      </c>
      <c r="E9" s="2" t="inlineStr">
        <is>
          <t>D08</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Digital Equity &amp; Access</t>
        </is>
      </c>
      <c r="C10" s="2" t="inlineStr">
        <is>
          <t>Ability to provide appropriate digital/AI access across student groups.</t>
        </is>
      </c>
      <c r="D10" s="2" t="inlineStr">
        <is>
          <t>—</t>
        </is>
      </c>
      <c r="E10" s="2" t="inlineStr">
        <is>
          <t>D08</t>
        </is>
      </c>
      <c r="F10" s="2" t="inlineStr">
        <is>
          <t>—</t>
        </is>
      </c>
      <c r="G10" s="2" t="inlineStr">
        <is>
          <t>—</t>
        </is>
      </c>
      <c r="H10" s="2" t="inlineStr">
        <is>
          <t>Defined rubric / evidence-coded score</t>
        </is>
      </c>
      <c r="I10" s="2" t="inlineStr">
        <is>
          <t>AMBER</t>
        </is>
      </c>
      <c r="J10" s="2" t="inlineStr">
        <is>
          <t>Define explicit metric-level measurement specification before scoring freeze.</t>
        </is>
      </c>
    </row>
    <row r="11">
      <c r="A11" s="2" t="inlineStr">
        <is>
          <t>I10</t>
        </is>
      </c>
      <c r="B11" s="2" t="inlineStr">
        <is>
          <t>Technology Decision Governance</t>
        </is>
      </c>
      <c r="C11" s="2" t="inlineStr">
        <is>
          <t>How technology choices are evaluated, prioritised and governed.</t>
        </is>
      </c>
      <c r="D11" s="2" t="inlineStr">
        <is>
          <t>—</t>
        </is>
      </c>
      <c r="E11" s="2" t="inlineStr">
        <is>
          <t>—</t>
        </is>
      </c>
      <c r="F11" s="2" t="inlineStr">
        <is>
          <t>—</t>
        </is>
      </c>
      <c r="G11" s="2" t="inlineStr">
        <is>
          <t>—</t>
        </is>
      </c>
      <c r="H11" s="2" t="inlineStr">
        <is>
          <t>Defined rubric / evidence-coded score</t>
        </is>
      </c>
      <c r="I11" s="2" t="inlineStr">
        <is>
          <t>RED</t>
        </is>
      </c>
      <c r="J11" s="2" t="inlineStr">
        <is>
          <t>Define explicit metric-level measurement specification before scoring freeze.</t>
        </is>
      </c>
    </row>
    <row r="12">
      <c r="A12" s="2" t="inlineStr">
        <is>
          <t>I11</t>
        </is>
      </c>
      <c r="B12" s="2" t="inlineStr">
        <is>
          <t>Digital Process Maturity</t>
        </is>
      </c>
      <c r="C12" s="2" t="inlineStr">
        <is>
          <t>Extent to which institutional workflows are digitally enabled and intelligently designed.</t>
        </is>
      </c>
      <c r="D12" s="2" t="inlineStr">
        <is>
          <t>—</t>
        </is>
      </c>
      <c r="E12" s="2" t="inlineStr">
        <is>
          <t>—</t>
        </is>
      </c>
      <c r="F12" s="2" t="inlineStr">
        <is>
          <t>—</t>
        </is>
      </c>
      <c r="G12" s="2" t="inlineStr">
        <is>
          <t>—</t>
        </is>
      </c>
      <c r="H12" s="2" t="inlineStr">
        <is>
          <t>Rubric + evidence anchored ordinal score (0–5)</t>
        </is>
      </c>
      <c r="I12" s="2" t="inlineStr">
        <is>
          <t>RED</t>
        </is>
      </c>
      <c r="J12" s="2" t="inlineStr">
        <is>
          <t>Define explicit metric-level measurement specification before scoring freeze.</t>
        </is>
      </c>
    </row>
    <row r="13">
      <c r="A13" s="2" t="inlineStr">
        <is>
          <t>I12</t>
        </is>
      </c>
      <c r="B13" s="2" t="inlineStr">
        <is>
          <t>Institutional Intelligence Capability</t>
        </is>
      </c>
      <c r="C13" s="2" t="inlineStr">
        <is>
          <t>Ability to turn fragmented data into actionable institutional understanding.</t>
        </is>
      </c>
      <c r="D13" s="2" t="inlineStr">
        <is>
          <t>D08</t>
        </is>
      </c>
      <c r="E13" s="2" t="inlineStr">
        <is>
          <t>D08; D08</t>
        </is>
      </c>
      <c r="F13" s="2" t="inlineStr">
        <is>
          <t>—</t>
        </is>
      </c>
      <c r="G13" s="2" t="inlineStr">
        <is>
          <t>—</t>
        </is>
      </c>
      <c r="H13" s="2" t="inlineStr">
        <is>
          <t>Rubric + evidence anchored ordinal score (0–5)</t>
        </is>
      </c>
      <c r="I13" s="2" t="inlineStr">
        <is>
          <t>GREEN</t>
        </is>
      </c>
      <c r="J13" s="2" t="inlineStr">
        <is>
          <t>Formalise the existing measurement path; assign evidence and scoring rule.</t>
        </is>
      </c>
    </row>
  </sheetData>
  <autoFilter ref="A1:J13"/>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23" t="inlineStr">
        <is>
          <t>Metric ID</t>
        </is>
      </c>
      <c r="B1" s="23" t="inlineStr">
        <is>
          <t>Metric</t>
        </is>
      </c>
      <c r="C1" s="23" t="inlineStr">
        <is>
          <t>Definition</t>
        </is>
      </c>
      <c r="D1" s="23" t="inlineStr">
        <is>
          <t>Cards</t>
        </is>
      </c>
      <c r="E1" s="23" t="inlineStr">
        <is>
          <t>Questions</t>
        </is>
      </c>
      <c r="F1" s="23" t="inlineStr">
        <is>
          <t>Evidence</t>
        </is>
      </c>
      <c r="G1" s="23" t="inlineStr">
        <is>
          <t>Institutional Data</t>
        </is>
      </c>
      <c r="H1" s="23" t="inlineStr">
        <is>
          <t>Measurement Type</t>
        </is>
      </c>
      <c r="I1" s="23" t="inlineStr">
        <is>
          <t>Status</t>
        </is>
      </c>
      <c r="J1" s="23" t="inlineStr">
        <is>
          <t>Next Action</t>
        </is>
      </c>
    </row>
    <row r="2">
      <c r="A2" s="2" t="inlineStr">
        <is>
          <t>I01</t>
        </is>
      </c>
      <c r="B2" s="2" t="inlineStr">
        <is>
          <t>Employer Demand Sensing</t>
        </is>
      </c>
      <c r="C2" s="2" t="inlineStr">
        <is>
          <t>How systematically the institution understands changing employer and sector capability needs.</t>
        </is>
      </c>
      <c r="D2" s="2" t="inlineStr">
        <is>
          <t>D09</t>
        </is>
      </c>
      <c r="E2" s="2" t="inlineStr">
        <is>
          <t>D09</t>
        </is>
      </c>
      <c r="F2" s="2" t="inlineStr">
        <is>
          <t>—</t>
        </is>
      </c>
      <c r="G2" s="2" t="inlineStr">
        <is>
          <t>—</t>
        </is>
      </c>
      <c r="H2" s="2" t="inlineStr">
        <is>
          <t>Defined rubric / evidence-coded score</t>
        </is>
      </c>
      <c r="I2" s="2" t="inlineStr">
        <is>
          <t>GREEN</t>
        </is>
      </c>
      <c r="J2" s="2" t="inlineStr">
        <is>
          <t>Formalise the existing measurement path; assign evidence and scoring rule.</t>
        </is>
      </c>
    </row>
    <row r="3">
      <c r="A3" s="2" t="inlineStr">
        <is>
          <t>I02</t>
        </is>
      </c>
      <c r="B3" s="2" t="inlineStr">
        <is>
          <t>Employability Capability Architecture</t>
        </is>
      </c>
      <c r="C3" s="2" t="inlineStr">
        <is>
          <t>Clarity of capabilities graduates are expected to possess beyond credentials.</t>
        </is>
      </c>
      <c r="D3" s="2" t="inlineStr">
        <is>
          <t>—</t>
        </is>
      </c>
      <c r="E3" s="2" t="inlineStr">
        <is>
          <t>D09</t>
        </is>
      </c>
      <c r="F3" s="2" t="inlineStr">
        <is>
          <t>—</t>
        </is>
      </c>
      <c r="G3" s="2" t="inlineStr">
        <is>
          <t>—</t>
        </is>
      </c>
      <c r="H3" s="2" t="inlineStr">
        <is>
          <t>Rubric + evidence anchored ordinal score (0–5)</t>
        </is>
      </c>
      <c r="I3" s="2" t="inlineStr">
        <is>
          <t>AMBER</t>
        </is>
      </c>
      <c r="J3" s="2" t="inlineStr">
        <is>
          <t>Define explicit metric-level measurement specification before scoring freeze.</t>
        </is>
      </c>
    </row>
    <row r="4">
      <c r="A4" s="2" t="inlineStr">
        <is>
          <t>I03</t>
        </is>
      </c>
      <c r="B4" s="2" t="inlineStr">
        <is>
          <t>Industry-Validated Curriculum</t>
        </is>
      </c>
      <c r="C4" s="2" t="inlineStr">
        <is>
          <t>Depth of meaningful industry/professional input into programme design.</t>
        </is>
      </c>
      <c r="D4" s="2" t="inlineStr">
        <is>
          <t>—</t>
        </is>
      </c>
      <c r="E4" s="2" t="inlineStr">
        <is>
          <t>D09; D09</t>
        </is>
      </c>
      <c r="F4" s="2" t="inlineStr">
        <is>
          <t>—</t>
        </is>
      </c>
      <c r="G4" s="2" t="inlineStr">
        <is>
          <t>—</t>
        </is>
      </c>
      <c r="H4" s="2" t="inlineStr">
        <is>
          <t>Defined rubric / evidence-coded score</t>
        </is>
      </c>
      <c r="I4" s="2" t="inlineStr">
        <is>
          <t>AMBER</t>
        </is>
      </c>
      <c r="J4" s="2" t="inlineStr">
        <is>
          <t>Define explicit metric-level measurement specification before scoring freeze.</t>
        </is>
      </c>
    </row>
    <row r="5">
      <c r="A5" s="2" t="inlineStr">
        <is>
          <t>I04</t>
        </is>
      </c>
      <c r="B5" s="2" t="inlineStr">
        <is>
          <t>Practice-Based Learning</t>
        </is>
      </c>
      <c r="C5" s="2" t="inlineStr">
        <is>
          <t>Extent of authentic projects, internships, field exposure and live problem-solving.</t>
        </is>
      </c>
      <c r="D5" s="2" t="inlineStr">
        <is>
          <t>—</t>
        </is>
      </c>
      <c r="E5" s="2" t="inlineStr">
        <is>
          <t>D09</t>
        </is>
      </c>
      <c r="F5" s="2" t="inlineStr">
        <is>
          <t>—</t>
        </is>
      </c>
      <c r="G5" s="2" t="inlineStr">
        <is>
          <t>—</t>
        </is>
      </c>
      <c r="H5" s="2" t="inlineStr">
        <is>
          <t>Defined rubric / evidence-coded score</t>
        </is>
      </c>
      <c r="I5" s="2" t="inlineStr">
        <is>
          <t>AMBER</t>
        </is>
      </c>
      <c r="J5" s="2" t="inlineStr">
        <is>
          <t>Define explicit metric-level measurement specification before scoring freeze.</t>
        </is>
      </c>
    </row>
    <row r="6">
      <c r="A6" s="2" t="inlineStr">
        <is>
          <t>I05</t>
        </is>
      </c>
      <c r="B6" s="2" t="inlineStr">
        <is>
          <t>Recruiter Confidence</t>
        </is>
      </c>
      <c r="C6" s="2" t="inlineStr">
        <is>
          <t>Strength and quality of recurring employer relationships.</t>
        </is>
      </c>
      <c r="D6" s="2" t="inlineStr">
        <is>
          <t>—</t>
        </is>
      </c>
      <c r="E6" s="2" t="inlineStr">
        <is>
          <t>D09</t>
        </is>
      </c>
      <c r="F6" s="2" t="inlineStr">
        <is>
          <t>—</t>
        </is>
      </c>
      <c r="G6" s="2" t="inlineStr">
        <is>
          <t>—</t>
        </is>
      </c>
      <c r="H6" s="2" t="inlineStr">
        <is>
          <t>Outcome/evidence metric with defined denominator or validated rubric</t>
        </is>
      </c>
      <c r="I6" s="2" t="inlineStr">
        <is>
          <t>AMBER</t>
        </is>
      </c>
      <c r="J6" s="2" t="inlineStr">
        <is>
          <t>Define explicit metric-level measurement specification before scoring freeze.</t>
        </is>
      </c>
    </row>
    <row r="7">
      <c r="A7" s="2" t="inlineStr">
        <is>
          <t>I06</t>
        </is>
      </c>
      <c r="B7" s="2" t="inlineStr">
        <is>
          <t>Placement Outcome Quality</t>
        </is>
      </c>
      <c r="C7" s="2" t="inlineStr">
        <is>
          <t>Quality, relevance and transparency of employment outcomes.</t>
        </is>
      </c>
      <c r="D7" s="2" t="inlineStr">
        <is>
          <t>—</t>
        </is>
      </c>
      <c r="E7" s="2" t="inlineStr">
        <is>
          <t>D09</t>
        </is>
      </c>
      <c r="F7" s="2" t="inlineStr">
        <is>
          <t>—</t>
        </is>
      </c>
      <c r="G7" s="2" t="inlineStr">
        <is>
          <t>—</t>
        </is>
      </c>
      <c r="H7" s="2" t="inlineStr">
        <is>
          <t>Rubric + evidence anchored ordinal score (0–5)</t>
        </is>
      </c>
      <c r="I7" s="2" t="inlineStr">
        <is>
          <t>AMBER</t>
        </is>
      </c>
      <c r="J7" s="2" t="inlineStr">
        <is>
          <t>Define explicit metric-level measurement specification before scoring freeze.</t>
        </is>
      </c>
    </row>
    <row r="8">
      <c r="A8" s="2" t="inlineStr">
        <is>
          <t>I07</t>
        </is>
      </c>
      <c r="B8" s="2" t="inlineStr">
        <is>
          <t>Career Adaptability</t>
        </is>
      </c>
      <c r="C8" s="2" t="inlineStr">
        <is>
          <t>Preparation for changing roles, sectors and skill requirements.</t>
        </is>
      </c>
      <c r="D8" s="2" t="inlineStr">
        <is>
          <t>—</t>
        </is>
      </c>
      <c r="E8" s="2" t="inlineStr">
        <is>
          <t>D09</t>
        </is>
      </c>
      <c r="F8" s="2" t="inlineStr">
        <is>
          <t>—</t>
        </is>
      </c>
      <c r="G8" s="2" t="inlineStr">
        <is>
          <t>—</t>
        </is>
      </c>
      <c r="H8" s="2" t="inlineStr">
        <is>
          <t>Rubric + evidence anchored ordinal score (0–5)</t>
        </is>
      </c>
      <c r="I8" s="2" t="inlineStr">
        <is>
          <t>AMBER</t>
        </is>
      </c>
      <c r="J8" s="2" t="inlineStr">
        <is>
          <t>Define explicit metric-level measurement specification before scoring freeze.</t>
        </is>
      </c>
    </row>
    <row r="9">
      <c r="A9" s="2" t="inlineStr">
        <is>
          <t>I08</t>
        </is>
      </c>
      <c r="B9" s="2" t="inlineStr">
        <is>
          <t>AI-Era Employability Readiness</t>
        </is>
      </c>
      <c r="C9" s="2" t="inlineStr">
        <is>
          <t>Preparation for AI-augmented and AI-disrupted work.</t>
        </is>
      </c>
      <c r="D9" s="2" t="inlineStr">
        <is>
          <t>—</t>
        </is>
      </c>
      <c r="E9" s="2" t="inlineStr">
        <is>
          <t>D09</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Capability Signalling</t>
        </is>
      </c>
      <c r="C10" s="2" t="inlineStr">
        <is>
          <t>Student ability to demonstrate capability through portfolios, projects and evidence.</t>
        </is>
      </c>
      <c r="D10" s="2" t="inlineStr">
        <is>
          <t>—</t>
        </is>
      </c>
      <c r="E10" s="2" t="inlineStr">
        <is>
          <t>—</t>
        </is>
      </c>
      <c r="F10" s="2" t="inlineStr">
        <is>
          <t>—</t>
        </is>
      </c>
      <c r="G10" s="2" t="inlineStr">
        <is>
          <t>—</t>
        </is>
      </c>
      <c r="H10" s="2" t="inlineStr">
        <is>
          <t>Rubric + evidence anchored ordinal score (0–5)</t>
        </is>
      </c>
      <c r="I10" s="2" t="inlineStr">
        <is>
          <t>RED</t>
        </is>
      </c>
      <c r="J10" s="2" t="inlineStr">
        <is>
          <t>Define explicit metric-level measurement specification before scoring freeze.</t>
        </is>
      </c>
    </row>
    <row r="11">
      <c r="A11" s="2" t="inlineStr">
        <is>
          <t>I10</t>
        </is>
      </c>
      <c r="B11" s="2" t="inlineStr">
        <is>
          <t>Industry Co-Creation</t>
        </is>
      </c>
      <c r="C11" s="2" t="inlineStr">
        <is>
          <t>Extent to which industry participates in learning, projects, mentoring and innovation.</t>
        </is>
      </c>
      <c r="D11" s="2" t="inlineStr">
        <is>
          <t>—</t>
        </is>
      </c>
      <c r="E11" s="2" t="inlineStr">
        <is>
          <t>D09</t>
        </is>
      </c>
      <c r="F11" s="2" t="inlineStr">
        <is>
          <t>—</t>
        </is>
      </c>
      <c r="G11" s="2" t="inlineStr">
        <is>
          <t>—</t>
        </is>
      </c>
      <c r="H11" s="2" t="inlineStr">
        <is>
          <t>Defined rubric / evidence-coded score</t>
        </is>
      </c>
      <c r="I11" s="2" t="inlineStr">
        <is>
          <t>AMBER</t>
        </is>
      </c>
      <c r="J11" s="2" t="inlineStr">
        <is>
          <t>Define explicit metric-level measurement specification before scoring freeze.</t>
        </is>
      </c>
    </row>
    <row r="12">
      <c r="A12" s="2" t="inlineStr">
        <is>
          <t>I11</t>
        </is>
      </c>
      <c r="B12" s="2" t="inlineStr">
        <is>
          <t>Regional/Economic Relevance</t>
        </is>
      </c>
      <c r="C12" s="2" t="inlineStr">
        <is>
          <t>Alignment with the economic and social context in which the institution operates.</t>
        </is>
      </c>
      <c r="D12" s="2" t="inlineStr">
        <is>
          <t>—</t>
        </is>
      </c>
      <c r="E12" s="2" t="inlineStr">
        <is>
          <t>—</t>
        </is>
      </c>
      <c r="F12" s="2" t="inlineStr">
        <is>
          <t>—</t>
        </is>
      </c>
      <c r="G12" s="2" t="inlineStr">
        <is>
          <t>—</t>
        </is>
      </c>
      <c r="H12" s="2" t="inlineStr">
        <is>
          <t>Defined rubric / evidence-coded score</t>
        </is>
      </c>
      <c r="I12" s="2" t="inlineStr">
        <is>
          <t>RED</t>
        </is>
      </c>
      <c r="J12" s="2" t="inlineStr">
        <is>
          <t>Define explicit metric-level measurement specification before scoring freeze.</t>
        </is>
      </c>
    </row>
    <row r="13">
      <c r="A13" s="2" t="inlineStr">
        <is>
          <t>I12</t>
        </is>
      </c>
      <c r="B13" s="2" t="inlineStr">
        <is>
          <t>Alumni Career Intelligence</t>
        </is>
      </c>
      <c r="C13" s="2" t="inlineStr">
        <is>
          <t>Use of alumni trajectories to understand and improve graduate outcomes.</t>
        </is>
      </c>
      <c r="D13" s="2" t="inlineStr">
        <is>
          <t>—</t>
        </is>
      </c>
      <c r="E13" s="2" t="inlineStr">
        <is>
          <t>D09</t>
        </is>
      </c>
      <c r="F13" s="2" t="inlineStr">
        <is>
          <t>—</t>
        </is>
      </c>
      <c r="G13" s="2" t="inlineStr">
        <is>
          <t>—</t>
        </is>
      </c>
      <c r="H13" s="2" t="inlineStr">
        <is>
          <t>Rubric + evidence anchored ordinal score (0–5)</t>
        </is>
      </c>
      <c r="I13" s="2" t="inlineStr">
        <is>
          <t>AMBER</t>
        </is>
      </c>
      <c r="J13" s="2" t="inlineStr">
        <is>
          <t>Define explicit metric-level measurement specification before scoring freeze.</t>
        </is>
      </c>
    </row>
  </sheetData>
  <autoFilter ref="A1:J13"/>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23" t="inlineStr">
        <is>
          <t>Metric ID</t>
        </is>
      </c>
      <c r="B1" s="23" t="inlineStr">
        <is>
          <t>Metric</t>
        </is>
      </c>
      <c r="C1" s="23" t="inlineStr">
        <is>
          <t>Definition</t>
        </is>
      </c>
      <c r="D1" s="23" t="inlineStr">
        <is>
          <t>Cards</t>
        </is>
      </c>
      <c r="E1" s="23" t="inlineStr">
        <is>
          <t>Questions</t>
        </is>
      </c>
      <c r="F1" s="23" t="inlineStr">
        <is>
          <t>Evidence</t>
        </is>
      </c>
      <c r="G1" s="23" t="inlineStr">
        <is>
          <t>Institutional Data</t>
        </is>
      </c>
      <c r="H1" s="23" t="inlineStr">
        <is>
          <t>Measurement Type</t>
        </is>
      </c>
      <c r="I1" s="23" t="inlineStr">
        <is>
          <t>Status</t>
        </is>
      </c>
      <c r="J1" s="23" t="inlineStr">
        <is>
          <t>Next Action</t>
        </is>
      </c>
    </row>
    <row r="2">
      <c r="A2" s="2" t="inlineStr">
        <is>
          <t>I01</t>
        </is>
      </c>
      <c r="B2" s="2" t="inlineStr">
        <is>
          <t>Research Strategy Maturity</t>
        </is>
      </c>
      <c r="C2" s="2" t="inlineStr">
        <is>
          <t>Whether research priorities are strategically defined and connected to institutional purpose and emerging needs.</t>
        </is>
      </c>
      <c r="D2" s="2" t="inlineStr">
        <is>
          <t>D10</t>
        </is>
      </c>
      <c r="E2" s="2" t="inlineStr">
        <is>
          <t>D10</t>
        </is>
      </c>
      <c r="F2" s="2" t="inlineStr">
        <is>
          <t>—</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Research Portfolio Balance</t>
        </is>
      </c>
      <c r="C3" s="2" t="inlineStr">
        <is>
          <t>Breadth, depth, concentration and strategic coherence of the research portfolio.</t>
        </is>
      </c>
      <c r="D3" s="2" t="inlineStr">
        <is>
          <t>D10</t>
        </is>
      </c>
      <c r="E3" s="2" t="inlineStr">
        <is>
          <t>D10</t>
        </is>
      </c>
      <c r="F3" s="2" t="inlineStr">
        <is>
          <t>—</t>
        </is>
      </c>
      <c r="G3" s="2" t="inlineStr">
        <is>
          <t>—</t>
        </is>
      </c>
      <c r="H3" s="2" t="inlineStr">
        <is>
          <t>Defined rubric / evidence-coded score</t>
        </is>
      </c>
      <c r="I3" s="2" t="inlineStr">
        <is>
          <t>GREEN</t>
        </is>
      </c>
      <c r="J3" s="2" t="inlineStr">
        <is>
          <t>Formalise the existing measurement path; assign evidence and scoring rule.</t>
        </is>
      </c>
    </row>
    <row r="4">
      <c r="A4" s="2" t="inlineStr">
        <is>
          <t>I03</t>
        </is>
      </c>
      <c r="B4" s="2" t="inlineStr">
        <is>
          <t>Interdisciplinary Research Capability</t>
        </is>
      </c>
      <c r="C4" s="2" t="inlineStr">
        <is>
          <t>Ability to bring disciplines together around meaningful questions.</t>
        </is>
      </c>
      <c r="D4" s="2" t="inlineStr">
        <is>
          <t>—</t>
        </is>
      </c>
      <c r="E4" s="2" t="inlineStr">
        <is>
          <t>D10</t>
        </is>
      </c>
      <c r="F4" s="2" t="inlineStr">
        <is>
          <t>—</t>
        </is>
      </c>
      <c r="G4" s="2" t="inlineStr">
        <is>
          <t>—</t>
        </is>
      </c>
      <c r="H4" s="2" t="inlineStr">
        <is>
          <t>Rubric + evidence anchored ordinal score (0–5)</t>
        </is>
      </c>
      <c r="I4" s="2" t="inlineStr">
        <is>
          <t>AMBER</t>
        </is>
      </c>
      <c r="J4" s="2" t="inlineStr">
        <is>
          <t>Define explicit metric-level measurement specification before scoring freeze.</t>
        </is>
      </c>
    </row>
    <row r="5">
      <c r="A5" s="2" t="inlineStr">
        <is>
          <t>I04</t>
        </is>
      </c>
      <c r="B5" s="2" t="inlineStr">
        <is>
          <t>AI-Enabled Research Capability</t>
        </is>
      </c>
      <c r="C5" s="2" t="inlineStr">
        <is>
          <t>Responsible use of AI across discovery, analysis, experimentation and knowledge creation.</t>
        </is>
      </c>
      <c r="D5" s="2" t="inlineStr">
        <is>
          <t>—</t>
        </is>
      </c>
      <c r="E5" s="2" t="inlineStr">
        <is>
          <t>D10</t>
        </is>
      </c>
      <c r="F5" s="2" t="inlineStr">
        <is>
          <t>—</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Research Infrastructure Readiness</t>
        </is>
      </c>
      <c r="C6" s="2" t="inlineStr">
        <is>
          <t>Adequacy and accessibility of research infrastructure, data and tools.</t>
        </is>
      </c>
      <c r="D6" s="2" t="inlineStr">
        <is>
          <t>—</t>
        </is>
      </c>
      <c r="E6" s="2" t="inlineStr">
        <is>
          <t>—</t>
        </is>
      </c>
      <c r="F6" s="2" t="inlineStr">
        <is>
          <t>—</t>
        </is>
      </c>
      <c r="G6" s="2" t="inlineStr">
        <is>
          <t>—</t>
        </is>
      </c>
      <c r="H6" s="2" t="inlineStr">
        <is>
          <t>Rubric + evidence anchored ordinal score (0–5)</t>
        </is>
      </c>
      <c r="I6" s="2" t="inlineStr">
        <is>
          <t>RED</t>
        </is>
      </c>
      <c r="J6" s="2" t="inlineStr">
        <is>
          <t>Define explicit metric-level measurement specification before scoring freeze.</t>
        </is>
      </c>
    </row>
    <row r="7">
      <c r="A7" s="2" t="inlineStr">
        <is>
          <t>I06</t>
        </is>
      </c>
      <c r="B7" s="2" t="inlineStr">
        <is>
          <t>Researcher Capability</t>
        </is>
      </c>
      <c r="C7" s="2" t="inlineStr">
        <is>
          <t>Ability to develop and retain researchers and research-active faculty.</t>
        </is>
      </c>
      <c r="D7" s="2" t="inlineStr">
        <is>
          <t>—</t>
        </is>
      </c>
      <c r="E7" s="2" t="inlineStr">
        <is>
          <t>—</t>
        </is>
      </c>
      <c r="F7" s="2" t="inlineStr">
        <is>
          <t>—</t>
        </is>
      </c>
      <c r="G7" s="2" t="inlineStr">
        <is>
          <t>—</t>
        </is>
      </c>
      <c r="H7" s="2" t="inlineStr">
        <is>
          <t>Rubric + evidence anchored ordinal score (0–5)</t>
        </is>
      </c>
      <c r="I7" s="2" t="inlineStr">
        <is>
          <t>RED</t>
        </is>
      </c>
      <c r="J7" s="2" t="inlineStr">
        <is>
          <t>Define explicit metric-level measurement specification before scoring freeze.</t>
        </is>
      </c>
    </row>
    <row r="8">
      <c r="A8" s="2" t="inlineStr">
        <is>
          <t>I07</t>
        </is>
      </c>
      <c r="B8" s="2" t="inlineStr">
        <is>
          <t>Research Funding Capability</t>
        </is>
      </c>
      <c r="C8" s="2" t="inlineStr">
        <is>
          <t>Ability to identify, develop and secure competitive research resources.</t>
        </is>
      </c>
      <c r="D8" s="2" t="inlineStr">
        <is>
          <t>—</t>
        </is>
      </c>
      <c r="E8" s="2" t="inlineStr">
        <is>
          <t>—</t>
        </is>
      </c>
      <c r="F8" s="2" t="inlineStr">
        <is>
          <t>—</t>
        </is>
      </c>
      <c r="G8" s="2" t="inlineStr">
        <is>
          <t>—</t>
        </is>
      </c>
      <c r="H8" s="2" t="inlineStr">
        <is>
          <t>Rubric + evidence anchored ordinal score (0–5)</t>
        </is>
      </c>
      <c r="I8" s="2" t="inlineStr">
        <is>
          <t>RED</t>
        </is>
      </c>
      <c r="J8" s="2" t="inlineStr">
        <is>
          <t>Define explicit metric-level measurement specification before scoring freeze.</t>
        </is>
      </c>
    </row>
    <row r="9">
      <c r="A9" s="2" t="inlineStr">
        <is>
          <t>I08</t>
        </is>
      </c>
      <c r="B9" s="2" t="inlineStr">
        <is>
          <t>Knowledge Translation Capability</t>
        </is>
      </c>
      <c r="C9" s="2" t="inlineStr">
        <is>
          <t>Movement from research findings to application, policy, practice or public value.</t>
        </is>
      </c>
      <c r="D9" s="2" t="inlineStr">
        <is>
          <t>—</t>
        </is>
      </c>
      <c r="E9" s="2" t="inlineStr">
        <is>
          <t>D10</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Industry-Linked Research</t>
        </is>
      </c>
      <c r="C10" s="2" t="inlineStr">
        <is>
          <t>Depth of meaningful research collaboration with industry and external organisations.</t>
        </is>
      </c>
      <c r="D10" s="2" t="inlineStr">
        <is>
          <t>—</t>
        </is>
      </c>
      <c r="E10" s="2" t="inlineStr">
        <is>
          <t>—</t>
        </is>
      </c>
      <c r="F10" s="2" t="inlineStr">
        <is>
          <t>—</t>
        </is>
      </c>
      <c r="G10" s="2" t="inlineStr">
        <is>
          <t>—</t>
        </is>
      </c>
      <c r="H10" s="2" t="inlineStr">
        <is>
          <t>Defined rubric / evidence-coded score</t>
        </is>
      </c>
      <c r="I10" s="2" t="inlineStr">
        <is>
          <t>RED</t>
        </is>
      </c>
      <c r="J10" s="2" t="inlineStr">
        <is>
          <t>Define explicit metric-level measurement specification before scoring freeze.</t>
        </is>
      </c>
    </row>
    <row r="11">
      <c r="A11" s="2" t="inlineStr">
        <is>
          <t>I10</t>
        </is>
      </c>
      <c r="B11" s="2" t="inlineStr">
        <is>
          <t>Research-to-Innovation Pipeline</t>
        </is>
      </c>
      <c r="C11" s="2" t="inlineStr">
        <is>
          <t>Ability to move promising research toward prototypes, ventures, IP or implementation.</t>
        </is>
      </c>
      <c r="D11" s="2" t="inlineStr">
        <is>
          <t>—</t>
        </is>
      </c>
      <c r="E11" s="2" t="inlineStr">
        <is>
          <t>D10</t>
        </is>
      </c>
      <c r="F11" s="2" t="inlineStr">
        <is>
          <t>—</t>
        </is>
      </c>
      <c r="G11" s="2" t="inlineStr">
        <is>
          <t>—</t>
        </is>
      </c>
      <c r="H11" s="2" t="inlineStr">
        <is>
          <t>Defined rubric / evidence-coded score</t>
        </is>
      </c>
      <c r="I11" s="2" t="inlineStr">
        <is>
          <t>AMBER</t>
        </is>
      </c>
      <c r="J11" s="2" t="inlineStr">
        <is>
          <t>Define explicit metric-level measurement specification before scoring freeze.</t>
        </is>
      </c>
    </row>
    <row r="12">
      <c r="A12" s="2" t="inlineStr">
        <is>
          <t>I11</t>
        </is>
      </c>
      <c r="B12" s="2" t="inlineStr">
        <is>
          <t>IP &amp; Knowledge Assets</t>
        </is>
      </c>
      <c r="C12" s="2" t="inlineStr">
        <is>
          <t>Quality and strategic management of intellectual property and other knowledge assets.</t>
        </is>
      </c>
      <c r="D12" s="2" t="inlineStr">
        <is>
          <t>—</t>
        </is>
      </c>
      <c r="E12" s="2" t="inlineStr">
        <is>
          <t>—</t>
        </is>
      </c>
      <c r="F12" s="2" t="inlineStr">
        <is>
          <t>—</t>
        </is>
      </c>
      <c r="G12" s="2" t="inlineStr">
        <is>
          <t>—</t>
        </is>
      </c>
      <c r="H12" s="2" t="inlineStr">
        <is>
          <t>Defined rubric / evidence-coded score</t>
        </is>
      </c>
      <c r="I12" s="2" t="inlineStr">
        <is>
          <t>RED</t>
        </is>
      </c>
      <c r="J12" s="2" t="inlineStr">
        <is>
          <t>Define explicit metric-level measurement specification before scoring freeze.</t>
        </is>
      </c>
    </row>
    <row r="13">
      <c r="A13" s="2" t="inlineStr">
        <is>
          <t>I12</t>
        </is>
      </c>
      <c r="B13" s="2" t="inlineStr">
        <is>
          <t>Research Integrity &amp; Responsible AI</t>
        </is>
      </c>
      <c r="C13" s="2" t="inlineStr">
        <is>
          <t>Integrity, reproducibility, ethics, authorship, data and responsible AI practices.</t>
        </is>
      </c>
      <c r="D13" s="2" t="inlineStr">
        <is>
          <t>—</t>
        </is>
      </c>
      <c r="E13" s="2" t="inlineStr">
        <is>
          <t>D10</t>
        </is>
      </c>
      <c r="F13" s="2" t="inlineStr">
        <is>
          <t>—</t>
        </is>
      </c>
      <c r="G13" s="2" t="inlineStr">
        <is>
          <t>—</t>
        </is>
      </c>
      <c r="H13" s="2" t="inlineStr">
        <is>
          <t>Defined rubric / evidence-coded score</t>
        </is>
      </c>
      <c r="I13" s="2" t="inlineStr">
        <is>
          <t>AMBER</t>
        </is>
      </c>
      <c r="J13" s="2" t="inlineStr">
        <is>
          <t>Define explicit metric-level measurement specification before scoring freeze.</t>
        </is>
      </c>
    </row>
    <row r="14">
      <c r="A14" s="2" t="inlineStr">
        <is>
          <t>I13</t>
        </is>
      </c>
      <c r="B14" s="2" t="inlineStr">
        <is>
          <t>Research Impact Evidence</t>
        </is>
      </c>
      <c r="C14" s="2" t="inlineStr">
        <is>
          <t>Evidence of scholarly, economic, social, technological or policy impact.</t>
        </is>
      </c>
      <c r="D14" s="2" t="inlineStr">
        <is>
          <t>—</t>
        </is>
      </c>
      <c r="E14" s="2" t="inlineStr">
        <is>
          <t>D10</t>
        </is>
      </c>
      <c r="F14" s="2" t="inlineStr">
        <is>
          <t>—</t>
        </is>
      </c>
      <c r="G14" s="2" t="inlineStr">
        <is>
          <t>—</t>
        </is>
      </c>
      <c r="H14" s="2" t="inlineStr">
        <is>
          <t>Outcome/evidence metric with defined denominator or validated rubric</t>
        </is>
      </c>
      <c r="I14" s="2" t="inlineStr">
        <is>
          <t>AMBER</t>
        </is>
      </c>
      <c r="J14" s="2" t="inlineStr">
        <is>
          <t>Define explicit metric-level measurement specification before scoring freeze.</t>
        </is>
      </c>
    </row>
    <row r="15">
      <c r="A15" s="2" t="inlineStr">
        <is>
          <t>I14</t>
        </is>
      </c>
      <c r="B15" s="2" t="inlineStr">
        <is>
          <t>Student Research Capability</t>
        </is>
      </c>
      <c r="C15" s="2" t="inlineStr">
        <is>
          <t>Extent to which students participate meaningfully in research and knowledge creation.</t>
        </is>
      </c>
      <c r="D15" s="2" t="inlineStr">
        <is>
          <t>—</t>
        </is>
      </c>
      <c r="E15" s="2" t="inlineStr">
        <is>
          <t>D10</t>
        </is>
      </c>
      <c r="F15" s="2" t="inlineStr">
        <is>
          <t>—</t>
        </is>
      </c>
      <c r="G15" s="2" t="inlineStr">
        <is>
          <t>—</t>
        </is>
      </c>
      <c r="H15" s="2" t="inlineStr">
        <is>
          <t>Rubric + evidence anchored ordinal score (0–5)</t>
        </is>
      </c>
      <c r="I15" s="2" t="inlineStr">
        <is>
          <t>AMBER</t>
        </is>
      </c>
      <c r="J15" s="2" t="inlineStr">
        <is>
          <t>Define explicit metric-level measurement specification before scoring freeze.</t>
        </is>
      </c>
    </row>
  </sheetData>
  <autoFilter ref="A1:J15"/>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23" t="inlineStr">
        <is>
          <t>Metric ID</t>
        </is>
      </c>
      <c r="B1" s="23" t="inlineStr">
        <is>
          <t>Metric</t>
        </is>
      </c>
      <c r="C1" s="23" t="inlineStr">
        <is>
          <t>Definition</t>
        </is>
      </c>
      <c r="D1" s="23" t="inlineStr">
        <is>
          <t>Cards</t>
        </is>
      </c>
      <c r="E1" s="23" t="inlineStr">
        <is>
          <t>Questions</t>
        </is>
      </c>
      <c r="F1" s="23" t="inlineStr">
        <is>
          <t>Evidence</t>
        </is>
      </c>
      <c r="G1" s="23" t="inlineStr">
        <is>
          <t>Institutional Data</t>
        </is>
      </c>
      <c r="H1" s="23" t="inlineStr">
        <is>
          <t>Measurement Type</t>
        </is>
      </c>
      <c r="I1" s="23" t="inlineStr">
        <is>
          <t>Status</t>
        </is>
      </c>
      <c r="J1" s="23" t="inlineStr">
        <is>
          <t>Next Action</t>
        </is>
      </c>
    </row>
    <row r="2">
      <c r="A2" s="2" t="inlineStr">
        <is>
          <t>I01</t>
        </is>
      </c>
      <c r="B2" s="2" t="inlineStr">
        <is>
          <t>External Change Sensing</t>
        </is>
      </c>
      <c r="C2" s="2" t="inlineStr">
        <is>
          <t>Ability to detect technological, economic, demographic, policy and learner changes.</t>
        </is>
      </c>
      <c r="D2" s="2" t="inlineStr">
        <is>
          <t>D11</t>
        </is>
      </c>
      <c r="E2" s="2" t="inlineStr">
        <is>
          <t>D11</t>
        </is>
      </c>
      <c r="F2" s="2" t="inlineStr">
        <is>
          <t>—</t>
        </is>
      </c>
      <c r="G2" s="2" t="inlineStr">
        <is>
          <t>—</t>
        </is>
      </c>
      <c r="H2" s="2" t="inlineStr">
        <is>
          <t>Defined rubric / evidence-coded score</t>
        </is>
      </c>
      <c r="I2" s="2" t="inlineStr">
        <is>
          <t>GREEN</t>
        </is>
      </c>
      <c r="J2" s="2" t="inlineStr">
        <is>
          <t>Formalise the existing measurement path; assign evidence and scoring rule.</t>
        </is>
      </c>
    </row>
    <row r="3">
      <c r="A3" s="2" t="inlineStr">
        <is>
          <t>I02</t>
        </is>
      </c>
      <c r="B3" s="2" t="inlineStr">
        <is>
          <t>Strategic Response Agility</t>
        </is>
      </c>
      <c r="C3" s="2" t="inlineStr">
        <is>
          <t>Speed and quality with which significant changes become institutional decisions.</t>
        </is>
      </c>
      <c r="D3" s="2" t="inlineStr">
        <is>
          <t>D11</t>
        </is>
      </c>
      <c r="E3" s="2" t="inlineStr">
        <is>
          <t>D11; D11</t>
        </is>
      </c>
      <c r="F3" s="2" t="inlineStr">
        <is>
          <t>—</t>
        </is>
      </c>
      <c r="G3" s="2" t="inlineStr">
        <is>
          <t>—</t>
        </is>
      </c>
      <c r="H3" s="2" t="inlineStr">
        <is>
          <t>Rubric + evidence anchored ordinal score (0–5)</t>
        </is>
      </c>
      <c r="I3" s="2" t="inlineStr">
        <is>
          <t>GREEN</t>
        </is>
      </c>
      <c r="J3" s="2" t="inlineStr">
        <is>
          <t>Formalise the existing measurement path; assign evidence and scoring rule.</t>
        </is>
      </c>
    </row>
    <row r="4">
      <c r="A4" s="2" t="inlineStr">
        <is>
          <t>I03</t>
        </is>
      </c>
      <c r="B4" s="2" t="inlineStr">
        <is>
          <t>Adaptive Decision Architecture</t>
        </is>
      </c>
      <c r="C4" s="2" t="inlineStr">
        <is>
          <t>Clarity of who can act, escalate and allocate resources when circumstances change.</t>
        </is>
      </c>
      <c r="D4" s="2" t="inlineStr">
        <is>
          <t>D11</t>
        </is>
      </c>
      <c r="E4" s="2" t="inlineStr">
        <is>
          <t>D11</t>
        </is>
      </c>
      <c r="F4" s="2" t="inlineStr">
        <is>
          <t>—</t>
        </is>
      </c>
      <c r="G4" s="2" t="inlineStr">
        <is>
          <t>—</t>
        </is>
      </c>
      <c r="H4" s="2" t="inlineStr">
        <is>
          <t>Rubric + evidence anchored ordinal score (0–5)</t>
        </is>
      </c>
      <c r="I4" s="2" t="inlineStr">
        <is>
          <t>GREEN</t>
        </is>
      </c>
      <c r="J4" s="2" t="inlineStr">
        <is>
          <t>Formalise the existing measurement path; assign evidence and scoring rule.</t>
        </is>
      </c>
    </row>
    <row r="5">
      <c r="A5" s="2" t="inlineStr">
        <is>
          <t>I04</t>
        </is>
      </c>
      <c r="B5" s="2" t="inlineStr">
        <is>
          <t>Resource Reallocation Agility</t>
        </is>
      </c>
      <c r="C5" s="2" t="inlineStr">
        <is>
          <t>Ability to redirect people, money, infrastructure and attention toward emerging priorities.</t>
        </is>
      </c>
      <c r="D5" s="2" t="inlineStr">
        <is>
          <t>—</t>
        </is>
      </c>
      <c r="E5" s="2" t="inlineStr">
        <is>
          <t>D11; D11</t>
        </is>
      </c>
      <c r="F5" s="2" t="inlineStr">
        <is>
          <t>—</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Institutional Experimentation</t>
        </is>
      </c>
      <c r="C6" s="2" t="inlineStr">
        <is>
          <t>Ability to test new approaches without turning every experiment into a large programme.</t>
        </is>
      </c>
      <c r="D6" s="2" t="inlineStr">
        <is>
          <t>—</t>
        </is>
      </c>
      <c r="E6" s="2" t="inlineStr">
        <is>
          <t>—</t>
        </is>
      </c>
      <c r="F6" s="2" t="inlineStr">
        <is>
          <t>—</t>
        </is>
      </c>
      <c r="G6" s="2" t="inlineStr">
        <is>
          <t>—</t>
        </is>
      </c>
      <c r="H6" s="2" t="inlineStr">
        <is>
          <t>Defined rubric / evidence-coded score</t>
        </is>
      </c>
      <c r="I6" s="2" t="inlineStr">
        <is>
          <t>RED</t>
        </is>
      </c>
      <c r="J6" s="2" t="inlineStr">
        <is>
          <t>Define explicit metric-level measurement specification before scoring freeze.</t>
        </is>
      </c>
    </row>
    <row r="7">
      <c r="A7" s="2" t="inlineStr">
        <is>
          <t>I06</t>
        </is>
      </c>
      <c r="B7" s="2" t="inlineStr">
        <is>
          <t>Failure-to-Learning Capability</t>
        </is>
      </c>
      <c r="C7" s="2" t="inlineStr">
        <is>
          <t>Whether unsuccessful initiatives produce institutional learning and changed practice.</t>
        </is>
      </c>
      <c r="D7" s="2" t="inlineStr">
        <is>
          <t>—</t>
        </is>
      </c>
      <c r="E7" s="2" t="inlineStr">
        <is>
          <t>D11</t>
        </is>
      </c>
      <c r="F7" s="2" t="inlineStr">
        <is>
          <t>—</t>
        </is>
      </c>
      <c r="G7" s="2" t="inlineStr">
        <is>
          <t>—</t>
        </is>
      </c>
      <c r="H7" s="2" t="inlineStr">
        <is>
          <t>Rubric + evidence anchored ordinal score (0–5)</t>
        </is>
      </c>
      <c r="I7" s="2" t="inlineStr">
        <is>
          <t>AMBER</t>
        </is>
      </c>
      <c r="J7" s="2" t="inlineStr">
        <is>
          <t>Define explicit metric-level measurement specification before scoring freeze.</t>
        </is>
      </c>
    </row>
    <row r="8">
      <c r="A8" s="2" t="inlineStr">
        <is>
          <t>I07</t>
        </is>
      </c>
      <c r="B8" s="2" t="inlineStr">
        <is>
          <t>Change Management Capacity</t>
        </is>
      </c>
      <c r="C8" s="2" t="inlineStr">
        <is>
          <t>Ability to move people and systems through meaningful institutional change.</t>
        </is>
      </c>
      <c r="D8" s="2" t="inlineStr">
        <is>
          <t>—</t>
        </is>
      </c>
      <c r="E8" s="2" t="inlineStr">
        <is>
          <t>D11</t>
        </is>
      </c>
      <c r="F8" s="2" t="inlineStr">
        <is>
          <t>—</t>
        </is>
      </c>
      <c r="G8" s="2" t="inlineStr">
        <is>
          <t>—</t>
        </is>
      </c>
      <c r="H8" s="2" t="inlineStr">
        <is>
          <t>Defined rubric / evidence-coded score</t>
        </is>
      </c>
      <c r="I8" s="2" t="inlineStr">
        <is>
          <t>AMBER</t>
        </is>
      </c>
      <c r="J8" s="2" t="inlineStr">
        <is>
          <t>Define explicit metric-level measurement specification before scoring freeze.</t>
        </is>
      </c>
    </row>
    <row r="9">
      <c r="A9" s="2" t="inlineStr">
        <is>
          <t>I08</t>
        </is>
      </c>
      <c r="B9" s="2" t="inlineStr">
        <is>
          <t>Adaptive Leadership Alignment</t>
        </is>
      </c>
      <c r="C9" s="2" t="inlineStr">
        <is>
          <t>Extent to which leadership can align around changing priorities.</t>
        </is>
      </c>
      <c r="D9" s="2" t="inlineStr">
        <is>
          <t>—</t>
        </is>
      </c>
      <c r="E9" s="2" t="inlineStr">
        <is>
          <t>—</t>
        </is>
      </c>
      <c r="F9" s="2" t="inlineStr">
        <is>
          <t>—</t>
        </is>
      </c>
      <c r="G9" s="2" t="inlineStr">
        <is>
          <t>—</t>
        </is>
      </c>
      <c r="H9" s="2" t="inlineStr">
        <is>
          <t>Rubric + evidence anchored ordinal score (0–5)</t>
        </is>
      </c>
      <c r="I9" s="2" t="inlineStr">
        <is>
          <t>RED</t>
        </is>
      </c>
      <c r="J9" s="2" t="inlineStr">
        <is>
          <t>Define explicit metric-level measurement specification before scoring freeze.</t>
        </is>
      </c>
    </row>
    <row r="10">
      <c r="A10" s="2" t="inlineStr">
        <is>
          <t>I09</t>
        </is>
      </c>
      <c r="B10" s="2" t="inlineStr">
        <is>
          <t>Learner Signal Responsiveness</t>
        </is>
      </c>
      <c r="C10" s="2" t="inlineStr">
        <is>
          <t>Ability to detect and respond to changing student expectations and experience.</t>
        </is>
      </c>
      <c r="D10" s="2" t="inlineStr">
        <is>
          <t>—</t>
        </is>
      </c>
      <c r="E10" s="2" t="inlineStr">
        <is>
          <t>—</t>
        </is>
      </c>
      <c r="F10" s="2" t="inlineStr">
        <is>
          <t>—</t>
        </is>
      </c>
      <c r="G10" s="2" t="inlineStr">
        <is>
          <t>—</t>
        </is>
      </c>
      <c r="H10" s="2" t="inlineStr">
        <is>
          <t>Rubric + evidence anchored ordinal score (0–5)</t>
        </is>
      </c>
      <c r="I10" s="2" t="inlineStr">
        <is>
          <t>RED</t>
        </is>
      </c>
      <c r="J10" s="2" t="inlineStr">
        <is>
          <t>Define explicit metric-level measurement specification before scoring freeze.</t>
        </is>
      </c>
    </row>
    <row r="11">
      <c r="A11" s="2" t="inlineStr">
        <is>
          <t>I10</t>
        </is>
      </c>
      <c r="B11" s="2" t="inlineStr">
        <is>
          <t>Economic &amp; Workforce Responsiveness</t>
        </is>
      </c>
      <c r="C11" s="2" t="inlineStr">
        <is>
          <t>Ability to respond to changing industry and workforce conditions.</t>
        </is>
      </c>
      <c r="D11" s="2" t="inlineStr">
        <is>
          <t>—</t>
        </is>
      </c>
      <c r="E11" s="2" t="inlineStr">
        <is>
          <t>D11</t>
        </is>
      </c>
      <c r="F11" s="2" t="inlineStr">
        <is>
          <t>—</t>
        </is>
      </c>
      <c r="G11" s="2" t="inlineStr">
        <is>
          <t>—</t>
        </is>
      </c>
      <c r="H11" s="2" t="inlineStr">
        <is>
          <t>Rubric + evidence anchored ordinal score (0–5)</t>
        </is>
      </c>
      <c r="I11" s="2" t="inlineStr">
        <is>
          <t>AMBER</t>
        </is>
      </c>
      <c r="J11" s="2" t="inlineStr">
        <is>
          <t>Define explicit metric-level measurement specification before scoring freeze.</t>
        </is>
      </c>
    </row>
    <row r="12">
      <c r="A12" s="2" t="inlineStr">
        <is>
          <t>I11</t>
        </is>
      </c>
      <c r="B12" s="2" t="inlineStr">
        <is>
          <t>Scenario Planning Capability</t>
        </is>
      </c>
      <c r="C12" s="2" t="inlineStr">
        <is>
          <t>Ability to prepare for multiple plausible futures rather than one forecast.</t>
        </is>
      </c>
      <c r="D12" s="2" t="inlineStr">
        <is>
          <t>—</t>
        </is>
      </c>
      <c r="E12" s="2" t="inlineStr">
        <is>
          <t>—</t>
        </is>
      </c>
      <c r="F12" s="2" t="inlineStr">
        <is>
          <t>—</t>
        </is>
      </c>
      <c r="G12" s="2" t="inlineStr">
        <is>
          <t>—</t>
        </is>
      </c>
      <c r="H12" s="2" t="inlineStr">
        <is>
          <t>Rubric + evidence anchored ordinal score (0–5)</t>
        </is>
      </c>
      <c r="I12" s="2" t="inlineStr">
        <is>
          <t>RED</t>
        </is>
      </c>
      <c r="J12" s="2" t="inlineStr">
        <is>
          <t>Define explicit metric-level measurement specification before scoring freeze.</t>
        </is>
      </c>
    </row>
    <row r="13">
      <c r="A13" s="2" t="inlineStr">
        <is>
          <t>I12</t>
        </is>
      </c>
      <c r="B13" s="2" t="inlineStr">
        <is>
          <t>Institutional Resilience</t>
        </is>
      </c>
      <c r="C13" s="2" t="inlineStr">
        <is>
          <t>Ability to maintain core educational quality while adapting to disruption.</t>
        </is>
      </c>
      <c r="D13" s="2" t="inlineStr">
        <is>
          <t>—</t>
        </is>
      </c>
      <c r="E13" s="2" t="inlineStr">
        <is>
          <t>D11</t>
        </is>
      </c>
      <c r="F13" s="2" t="inlineStr">
        <is>
          <t>—</t>
        </is>
      </c>
      <c r="G13" s="2" t="inlineStr">
        <is>
          <t>—</t>
        </is>
      </c>
      <c r="H13" s="2" t="inlineStr">
        <is>
          <t>Defined rubric / evidence-coded score</t>
        </is>
      </c>
      <c r="I13" s="2" t="inlineStr">
        <is>
          <t>AMBER</t>
        </is>
      </c>
      <c r="J13" s="2" t="inlineStr">
        <is>
          <t>Define explicit metric-level measurement specification before scoring freeze.</t>
        </is>
      </c>
    </row>
    <row r="14">
      <c r="A14" s="2" t="inlineStr">
        <is>
          <t>I13</t>
        </is>
      </c>
      <c r="B14" s="2" t="inlineStr">
        <is>
          <t>Institutional Learning System</t>
        </is>
      </c>
      <c r="C14" s="2" t="inlineStr">
        <is>
          <t>Ability to turn evidence, experience and external signals into repeated improvement.</t>
        </is>
      </c>
      <c r="D14" s="2" t="inlineStr">
        <is>
          <t>—</t>
        </is>
      </c>
      <c r="E14" s="2" t="inlineStr">
        <is>
          <t>D11</t>
        </is>
      </c>
      <c r="F14" s="2" t="inlineStr">
        <is>
          <t>—</t>
        </is>
      </c>
      <c r="G14" s="2" t="inlineStr">
        <is>
          <t>—</t>
        </is>
      </c>
      <c r="H14" s="2" t="inlineStr">
        <is>
          <t>Defined rubric / evidence-coded score</t>
        </is>
      </c>
      <c r="I14" s="2" t="inlineStr">
        <is>
          <t>AMBER</t>
        </is>
      </c>
      <c r="J14" s="2" t="inlineStr">
        <is>
          <t>Define explicit metric-level measurement specification before scoring freeze.</t>
        </is>
      </c>
    </row>
    <row r="15">
      <c r="A15" s="2" t="inlineStr">
        <is>
          <t>I14</t>
        </is>
      </c>
      <c r="B15" s="2" t="inlineStr">
        <is>
          <t>Future Transformation Capacity</t>
        </is>
      </c>
      <c r="C15" s="2" t="inlineStr">
        <is>
          <t>Overall ability to redesign the institution before external pressure forces change.</t>
        </is>
      </c>
      <c r="D15" s="2" t="inlineStr">
        <is>
          <t>—</t>
        </is>
      </c>
      <c r="E15" s="2" t="inlineStr">
        <is>
          <t>D11; D11</t>
        </is>
      </c>
      <c r="F15" s="2" t="inlineStr">
        <is>
          <t>—</t>
        </is>
      </c>
      <c r="G15" s="2" t="inlineStr">
        <is>
          <t>—</t>
        </is>
      </c>
      <c r="H15" s="2" t="inlineStr">
        <is>
          <t>Defined rubric / evidence-coded score</t>
        </is>
      </c>
      <c r="I15" s="2" t="inlineStr">
        <is>
          <t>AMBER</t>
        </is>
      </c>
      <c r="J15" s="2" t="inlineStr">
        <is>
          <t>Define explicit metric-level measurement specification before scoring freeze.</t>
        </is>
      </c>
    </row>
  </sheetData>
  <autoFilter ref="A1:J15"/>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11"/>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28.7109375" customWidth="1" min="2" max="2"/>
    <col width="60.7109375" customWidth="1" min="3" max="3"/>
  </cols>
  <sheetData>
    <row r="1">
      <c r="A1" s="23" t="inlineStr">
        <is>
          <t>Rule ID</t>
        </is>
      </c>
      <c r="B1" s="23" t="inlineStr">
        <is>
          <t>Rule</t>
        </is>
      </c>
      <c r="C1" s="23" t="inlineStr">
        <is>
          <t>Specification</t>
        </is>
      </c>
    </row>
    <row r="2">
      <c r="A2" s="2" t="inlineStr">
        <is>
          <t>M01</t>
        </is>
      </c>
      <c r="B2" s="2" t="inlineStr">
        <is>
          <t>Primary metric owner</t>
        </is>
      </c>
      <c r="C2" s="2" t="inlineStr">
        <is>
          <t>Each metric has exactly one primary domain/construct owner. Cross-domain appearances are validation inputs, not additional score contributions.</t>
        </is>
      </c>
    </row>
    <row r="3">
      <c r="A3" s="2" t="inlineStr">
        <is>
          <t>M02</t>
        </is>
      </c>
      <c r="B3" s="2" t="inlineStr">
        <is>
          <t>No orphan metrics</t>
        </is>
      </c>
      <c r="C3" s="2" t="inlineStr">
        <is>
          <t>A metric cannot enter the final index unless its measurement specification is completed and its source path is defined.</t>
        </is>
      </c>
    </row>
    <row r="4">
      <c r="A4" s="2" t="inlineStr">
        <is>
          <t>M03</t>
        </is>
      </c>
      <c r="B4" s="2" t="inlineStr">
        <is>
          <t>Question ≠ metric</t>
        </is>
      </c>
      <c r="C4" s="2" t="inlineStr">
        <is>
          <t>One question may inform multiple metrics, but each metric must have a documented scoring interpretation; do not award points merely because an option was selected.</t>
        </is>
      </c>
    </row>
    <row r="5">
      <c r="A5" s="2" t="inlineStr">
        <is>
          <t>M04</t>
        </is>
      </c>
      <c r="B5" s="2" t="inlineStr">
        <is>
          <t>Evidence ≠ capability</t>
        </is>
      </c>
      <c r="C5" s="2" t="inlineStr">
        <is>
          <t>Evidence confidence is reported separately from capability score. Weak evidence reduces confidence/eligibility according to the final rule, not automatically capability.</t>
        </is>
      </c>
    </row>
    <row r="6">
      <c r="A6" s="2" t="inlineStr">
        <is>
          <t>M05</t>
        </is>
      </c>
      <c r="B6" s="2" t="inlineStr">
        <is>
          <t>Outcome eligibility</t>
        </is>
      </c>
      <c r="C6" s="2" t="inlineStr">
        <is>
          <t>Outcome evidence is used only where the construct logically produces observable outcomes. N/A must be legitimate and documented.</t>
        </is>
      </c>
    </row>
    <row r="7">
      <c r="A7" s="2" t="inlineStr">
        <is>
          <t>M06</t>
        </is>
      </c>
      <c r="B7" s="2" t="inlineStr">
        <is>
          <t>Cross-domain non-duplication</t>
        </is>
      </c>
      <c r="C7" s="2" t="inlineStr">
        <is>
          <t>The same event/document may corroborate multiple constructs, but cannot be treated as independent evidence for each without distinct causal/construct relevance.</t>
        </is>
      </c>
    </row>
    <row r="8">
      <c r="A8" s="2" t="inlineStr">
        <is>
          <t>M07</t>
        </is>
      </c>
      <c r="B8" s="2" t="inlineStr">
        <is>
          <t>Context neutrality</t>
        </is>
      </c>
      <c r="C8" s="2" t="inlineStr">
        <is>
          <t>Institution type, resources, geography and scale affect applicability, sampling and required maturity—not automatic score bonuses.</t>
        </is>
      </c>
    </row>
    <row r="9">
      <c r="A9" s="2" t="inlineStr">
        <is>
          <t>M08</t>
        </is>
      </c>
      <c r="B9" s="2" t="inlineStr">
        <is>
          <t>Maturity anchoring</t>
        </is>
      </c>
      <c r="C9" s="2" t="inlineStr">
        <is>
          <t>Metric score must map to the domain-specific D01–D11 maturity anchors; generic labels alone are insufficient.</t>
        </is>
      </c>
    </row>
    <row r="10">
      <c r="A10" s="2" t="inlineStr">
        <is>
          <t>M09</t>
        </is>
      </c>
      <c r="B10" s="2" t="inlineStr">
        <is>
          <t>Adaptive depth</t>
        </is>
      </c>
      <c r="C10" s="2" t="inlineStr">
        <is>
          <t>Low-confidence/high-risk/contradictory responses trigger deeper questions or evidence requests rather than immediate score penalties.</t>
        </is>
      </c>
    </row>
    <row r="11">
      <c r="A11" s="2" t="inlineStr">
        <is>
          <t>M10</t>
        </is>
      </c>
      <c r="B11" s="2" t="inlineStr">
        <is>
          <t>Anti-gaming</t>
        </is>
      </c>
      <c r="C11" s="2" t="inlineStr">
        <is>
          <t>High self-reported maturity must trigger evidence/outcome/contradiction checks before Level 4/5 is accepted.</t>
        </is>
      </c>
    </row>
  </sheetData>
  <autoFilter ref="A1:C11"/>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D9"/>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55.7109375" customWidth="1" min="2" max="2"/>
    <col width="15.7109375" customWidth="1" min="3" max="3"/>
    <col width="60.7109375" customWidth="1" min="4" max="4"/>
  </cols>
  <sheetData>
    <row r="1">
      <c r="A1" s="23" t="inlineStr">
        <is>
          <t>Gate</t>
        </is>
      </c>
      <c r="B1" s="23" t="inlineStr">
        <is>
          <t>Requirement</t>
        </is>
      </c>
      <c r="C1" s="23" t="inlineStr">
        <is>
          <t>Status</t>
        </is>
      </c>
      <c r="D1" s="23" t="inlineStr">
        <is>
          <t>Audit Note</t>
        </is>
      </c>
    </row>
    <row r="2">
      <c r="A2" s="2" t="inlineStr">
        <is>
          <t>P0-2-G01</t>
        </is>
      </c>
      <c r="B2" s="2" t="inlineStr">
        <is>
          <t>143 metrics listed and uniquely identified</t>
        </is>
      </c>
      <c r="C2" s="2" t="inlineStr">
        <is>
          <t>PASS</t>
        </is>
      </c>
      <c r="D2" s="2" t="inlineStr">
        <is>
          <t>143 metrics found.</t>
        </is>
      </c>
    </row>
    <row r="3">
      <c r="A3" s="2" t="inlineStr">
        <is>
          <t>P0-2-G02</t>
        </is>
      </c>
      <c r="B3" s="2" t="inlineStr">
        <is>
          <t>Every metric has a defined measurement path</t>
        </is>
      </c>
      <c r="C3" s="2" t="inlineStr">
        <is>
          <t>FAIL</t>
        </is>
      </c>
      <c r="D3" s="2" t="inlineStr">
        <is>
          <t>23 metrics currently lack a clear mapped path in the master architecture.</t>
        </is>
      </c>
    </row>
    <row r="4">
      <c r="A4" s="2" t="inlineStr">
        <is>
          <t>P0-2-G03</t>
        </is>
      </c>
      <c r="B4" s="2" t="inlineStr">
        <is>
          <t>Every metric has metric-specific evidence rule</t>
        </is>
      </c>
      <c r="C4" s="2" t="inlineStr">
        <is>
          <t>AMBER</t>
        </is>
      </c>
      <c r="D4" s="2" t="inlineStr">
        <is>
          <t>Evidence architecture exists but needs explicit metric-level mapping.</t>
        </is>
      </c>
    </row>
    <row r="5">
      <c r="A5" s="2" t="inlineStr">
        <is>
          <t>P0-2-G04</t>
        </is>
      </c>
      <c r="B5" s="2" t="inlineStr">
        <is>
          <t>Every metric has an operational scoring rule</t>
        </is>
      </c>
      <c r="C5" s="2" t="inlineStr">
        <is>
          <t>FAIL</t>
        </is>
      </c>
      <c r="D5" s="2" t="inlineStr">
        <is>
          <t>Current workbook contains conceptual/provisional scoring architecture, not metric-level frozen formulas.</t>
        </is>
      </c>
    </row>
    <row r="6">
      <c r="A6" s="2" t="inlineStr">
        <is>
          <t>P0-2-G05</t>
        </is>
      </c>
      <c r="B6" s="2" t="inlineStr">
        <is>
          <t>N/A applicability rules defined</t>
        </is>
      </c>
      <c r="C6" s="2" t="inlineStr">
        <is>
          <t>FAIL</t>
        </is>
      </c>
      <c r="D6" s="2" t="inlineStr">
        <is>
          <t>Needs metric-by-metric applicability specification.</t>
        </is>
      </c>
    </row>
    <row r="7">
      <c r="A7" s="2" t="inlineStr">
        <is>
          <t>P0-2-G06</t>
        </is>
      </c>
      <c r="B7" s="2" t="inlineStr">
        <is>
          <t>Anti-gaming rule defined</t>
        </is>
      </c>
      <c r="C7" s="2" t="inlineStr">
        <is>
          <t>AMBER</t>
        </is>
      </c>
      <c r="D7" s="2" t="inlineStr">
        <is>
          <t>Global principles exist; metric-specific traps still need definition.</t>
        </is>
      </c>
    </row>
    <row r="8">
      <c r="A8" s="2" t="inlineStr">
        <is>
          <t>P0-2-G07</t>
        </is>
      </c>
      <c r="B8" s="2" t="inlineStr">
        <is>
          <t>Cross-domain validation defined</t>
        </is>
      </c>
      <c r="C8" s="2" t="inlineStr">
        <is>
          <t>AMBER</t>
        </is>
      </c>
      <c r="D8" s="2" t="inlineStr">
        <is>
          <t>Relationships exist; executable metric-level validation is next.</t>
        </is>
      </c>
    </row>
    <row r="9">
      <c r="A9" s="2" t="inlineStr">
        <is>
          <t>P0-2-G08</t>
        </is>
      </c>
      <c r="B9" s="2" t="inlineStr">
        <is>
          <t>Measurement owner defined</t>
        </is>
      </c>
      <c r="C9" s="2" t="inlineStr">
        <is>
          <t>FAIL</t>
        </is>
      </c>
      <c r="D9" s="2" t="inlineStr">
        <is>
          <t>Needs explicit methodology/data ownership per metric.</t>
        </is>
      </c>
    </row>
  </sheetData>
  <autoFilter ref="A1:D9"/>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D7"/>
  <sheetViews>
    <sheetView showGridLines="0" workbookViewId="0">
      <pane ySplit="1" topLeftCell="A2" activePane="bottomLeft" state="frozen"/>
      <selection pane="bottomLeft" activeCell="A1" sqref="A1"/>
    </sheetView>
  </sheetViews>
  <sheetFormatPr baseColWidth="8" defaultRowHeight="15"/>
  <cols>
    <col width="25.7109375" customWidth="1" min="1" max="4"/>
  </cols>
  <sheetData>
    <row r="1">
      <c r="A1" s="23" t="inlineStr">
        <is>
          <t>Level</t>
        </is>
      </c>
      <c r="B1" s="23" t="inlineStr">
        <is>
          <t>Label</t>
        </is>
      </c>
      <c r="C1" s="23" t="inlineStr">
        <is>
          <t>Global definition</t>
        </is>
      </c>
      <c r="D1" s="23" t="inlineStr">
        <is>
          <t>Use in scoring</t>
        </is>
      </c>
    </row>
    <row r="2">
      <c r="A2" s="2" t="inlineStr">
        <is>
          <t>0</t>
        </is>
      </c>
      <c r="B2" s="2" t="inlineStr">
        <is>
          <t>Absent</t>
        </is>
      </c>
      <c r="C2" s="2" t="inlineStr">
        <is>
          <t>No meaningful capability, mechanism or evidence.</t>
        </is>
      </c>
      <c r="D2" s="2" t="inlineStr">
        <is>
          <t>Score 0 only when the construct is applicable and genuinely absent.</t>
        </is>
      </c>
    </row>
    <row r="3">
      <c r="A3" s="2" t="inlineStr">
        <is>
          <t>1</t>
        </is>
      </c>
      <c r="B3" s="2" t="inlineStr">
        <is>
          <t>Reactive</t>
        </is>
      </c>
      <c r="C3" s="2" t="inlineStr">
        <is>
          <t>Individual/ad-hoc responses, usually after pressure or incident.</t>
        </is>
      </c>
      <c r="D3" s="2" t="inlineStr">
        <is>
          <t>Capability is person-dependent and not reliably repeatable.</t>
        </is>
      </c>
    </row>
    <row r="4">
      <c r="A4" s="2" t="inlineStr">
        <is>
          <t>2</t>
        </is>
      </c>
      <c r="B4" s="2" t="inlineStr">
        <is>
          <t>Emerging</t>
        </is>
      </c>
      <c r="C4" s="2" t="inlineStr">
        <is>
          <t>Institutional awareness and initial/repeatable practices exist, but unevenly.</t>
        </is>
      </c>
      <c r="D4" s="2" t="inlineStr">
        <is>
          <t>Some structured capability exists; coverage and consistency remain limited.</t>
        </is>
      </c>
    </row>
    <row r="5">
      <c r="A5" s="2" t="inlineStr">
        <is>
          <t>3</t>
        </is>
      </c>
      <c r="B5" s="2" t="inlineStr">
        <is>
          <t>Structured</t>
        </is>
      </c>
      <c r="C5" s="2" t="inlineStr">
        <is>
          <t>Defined processes, ownership and mechanisms are used.</t>
        </is>
      </c>
      <c r="D5" s="2" t="inlineStr">
        <is>
          <t>Capability is institutionally repeatable and observable in representative areas.</t>
        </is>
      </c>
    </row>
    <row r="6">
      <c r="A6" s="2" t="inlineStr">
        <is>
          <t>4</t>
        </is>
      </c>
      <c r="B6" s="2" t="inlineStr">
        <is>
          <t>Integrated</t>
        </is>
      </c>
      <c r="C6" s="2" t="inlineStr">
        <is>
          <t>Embedded across relevant functions with operational and/or outcome evidence.</t>
        </is>
      </c>
      <c r="D6" s="2" t="inlineStr">
        <is>
          <t>Capability is cross-functional, connected and evidenced.</t>
        </is>
      </c>
    </row>
    <row r="7">
      <c r="A7" s="2" t="inlineStr">
        <is>
          <t>5</t>
        </is>
      </c>
      <c r="B7" s="2" t="inlineStr">
        <is>
          <t>Adaptive</t>
        </is>
      </c>
      <c r="C7" s="2" t="inlineStr">
        <is>
          <t>Institution continuously senses, learns and proactively modifies capability.</t>
        </is>
      </c>
      <c r="D7" s="2" t="inlineStr">
        <is>
          <t>Capability changes based on evidence, emerging signals and learning loops.</t>
        </is>
      </c>
    </row>
  </sheetData>
  <autoFilter ref="A1:D7"/>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G6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23" t="inlineStr">
        <is>
          <t>Domain</t>
        </is>
      </c>
      <c r="B1" s="23" t="inlineStr">
        <is>
          <t>Domain Name</t>
        </is>
      </c>
      <c r="C1" s="23" t="inlineStr">
        <is>
          <t>Level</t>
        </is>
      </c>
      <c r="D1" s="23" t="inlineStr">
        <is>
          <t>Label</t>
        </is>
      </c>
      <c r="E1" s="23" t="inlineStr">
        <is>
          <t>Domain-Specific Behavioural Anchor</t>
        </is>
      </c>
      <c r="F1" s="23" t="inlineStr">
        <is>
          <t>Observable Evidence / Scoring Cue</t>
        </is>
      </c>
      <c r="G1" s="23" t="inlineStr">
        <is>
          <t>Provenance</t>
        </is>
      </c>
    </row>
    <row r="2">
      <c r="A2" s="2" t="inlineStr">
        <is>
          <t>D01</t>
        </is>
      </c>
      <c r="B2" s="2" t="inlineStr">
        <is>
          <t>Institutional Strategy, Foresight &amp; AI Direction</t>
        </is>
      </c>
      <c r="C2" s="2" t="n">
        <v>0</v>
      </c>
      <c r="D2" s="2" t="inlineStr">
        <is>
          <t>Absent</t>
        </is>
      </c>
      <c r="E2" s="2" t="inlineStr">
        <is>
          <t>No meaningful institutional AI/future-direction capability or mechanism.</t>
        </is>
      </c>
      <c r="F2" s="2" t="inlineStr">
        <is>
          <t>No institutional owner, mechanism or evidence.</t>
        </is>
      </c>
      <c r="G2" s="2" t="inlineStr">
        <is>
          <t>No capability demonstrated. | Source-derived: original D01–D03 maturity architecture</t>
        </is>
      </c>
    </row>
    <row r="3">
      <c r="A3" s="2" t="inlineStr">
        <is>
          <t>D01</t>
        </is>
      </c>
      <c r="B3" s="2" t="inlineStr">
        <is>
          <t>Institutional Strategy, Foresight &amp; AI Direction</t>
        </is>
      </c>
      <c r="C3" s="2" t="n">
        <v>1</v>
      </c>
      <c r="D3" s="2" t="inlineStr">
        <is>
          <t>Reactive</t>
        </is>
      </c>
      <c r="E3" s="2" t="inlineStr">
        <is>
          <t>AI is addressed by individuals without a coherent strategic mechanism.</t>
        </is>
      </c>
      <c r="F3" s="2" t="inlineStr">
        <is>
          <t>Isolated decisions, pilots or discussions; response follows external pressure.</t>
        </is>
      </c>
      <c r="G3" s="2" t="inlineStr">
        <is>
          <t>Capability exists only through individuals/ad-hoc responses. | Source-derived: original D01–D03 maturity architecture</t>
        </is>
      </c>
    </row>
    <row r="4">
      <c r="A4" s="2" t="inlineStr">
        <is>
          <t>D01</t>
        </is>
      </c>
      <c r="B4" s="2" t="inlineStr">
        <is>
          <t>Institutional Strategy, Foresight &amp; AI Direction</t>
        </is>
      </c>
      <c r="C4" s="2" t="n">
        <v>2</v>
      </c>
      <c r="D4" s="2" t="inlineStr">
        <is>
          <t>Emerging</t>
        </is>
      </c>
      <c r="E4" s="2" t="inlineStr">
        <is>
          <t>Leadership recognises the importance of AI and future change; planning and pilots begin.</t>
        </is>
      </c>
      <c r="F4" s="2" t="inlineStr">
        <is>
          <t>Initial future assumptions, selected programme reviews or pilots; limited strategic linkage.</t>
        </is>
      </c>
      <c r="G4" s="2" t="inlineStr">
        <is>
          <t>Repeatable beginnings, but uneven and person-dependent. | Source-derived: original D01–D03 maturity architecture</t>
        </is>
      </c>
    </row>
    <row r="5">
      <c r="A5" s="2" t="inlineStr">
        <is>
          <t>D01</t>
        </is>
      </c>
      <c r="B5" s="2" t="inlineStr">
        <is>
          <t>Institutional Strategy, Foresight &amp; AI Direction</t>
        </is>
      </c>
      <c r="C5" s="2" t="n">
        <v>3</v>
      </c>
      <c r="D5" s="2" t="inlineStr">
        <is>
          <t>Structured</t>
        </is>
      </c>
      <c r="E5" s="2" t="inlineStr">
        <is>
          <t>Future implications enter institutional planning, portfolio review and strategic decisions.</t>
        </is>
      </c>
      <c r="F5" s="2" t="inlineStr">
        <is>
          <t>Defined foresight/portfolio mechanisms, ownership, decision pathways and representative evidence.</t>
        </is>
      </c>
      <c r="G5" s="2" t="inlineStr">
        <is>
          <t>Institutional mechanism exists and is used. | Source-derived: original D01–D03 maturity architecture</t>
        </is>
      </c>
    </row>
    <row r="6">
      <c r="A6" s="2" t="inlineStr">
        <is>
          <t>D01</t>
        </is>
      </c>
      <c r="B6" s="2" t="inlineStr">
        <is>
          <t>Institutional Strategy, Foresight &amp; AI Direction</t>
        </is>
      </c>
      <c r="C6" s="2" t="n">
        <v>4</v>
      </c>
      <c r="D6" s="2" t="inlineStr">
        <is>
          <t>Integrated</t>
        </is>
      </c>
      <c r="E6" s="2" t="inlineStr">
        <is>
          <t>Foresight influences functions, resources and measurable strategic priorities.</t>
        </is>
      </c>
      <c r="F6" s="2" t="inlineStr">
        <is>
          <t>AI/future signals influence portfolio, investment, positioning and cross-functional priorities with outcome evidence.</t>
        </is>
      </c>
      <c r="G6" s="2" t="inlineStr">
        <is>
          <t>Capability is embedded across relevant functions. | Source-derived: original D01–D03 maturity architecture</t>
        </is>
      </c>
    </row>
    <row r="7">
      <c r="A7" s="2" t="inlineStr">
        <is>
          <t>D01</t>
        </is>
      </c>
      <c r="B7" s="2" t="inlineStr">
        <is>
          <t>Institutional Strategy, Foresight &amp; AI Direction</t>
        </is>
      </c>
      <c r="C7" s="2" t="n">
        <v>5</v>
      </c>
      <c r="D7" s="2" t="inlineStr">
        <is>
          <t>Adaptive</t>
        </is>
      </c>
      <c r="E7" s="2" t="inlineStr">
        <is>
          <t>Institution continuously tests assumptions and redesigns institutional direction.</t>
        </is>
      </c>
      <c r="F7" s="2" t="inlineStr">
        <is>
          <t>Scenario testing, experimentation, resource shifts and learning loops repeatedly change strategy before external pressure forces change.</t>
        </is>
      </c>
      <c r="G7" s="2" t="inlineStr">
        <is>
          <t>Strategic capability is continuously sensing, learning and redesigning. | Source-derived: original D01–D03 maturity architecture</t>
        </is>
      </c>
    </row>
    <row r="8">
      <c r="A8" s="2" t="inlineStr">
        <is>
          <t>D02</t>
        </is>
      </c>
      <c r="B8" s="2" t="inlineStr">
        <is>
          <t>Governance, Responsible AI &amp; Institutional Risk</t>
        </is>
      </c>
      <c r="C8" s="2" t="n">
        <v>0</v>
      </c>
      <c r="D8" s="2" t="inlineStr">
        <is>
          <t>Absent</t>
        </is>
      </c>
      <c r="E8" s="2" t="inlineStr">
        <is>
          <t>No meaningful AI governance, accountability or risk mechanism.</t>
        </is>
      </c>
      <c r="F8" s="2" t="inlineStr">
        <is>
          <t>No clear owner, decision rights, policy/control or incident mechanism.</t>
        </is>
      </c>
      <c r="G8" s="2" t="inlineStr">
        <is>
          <t>No demonstrated governance capability. | Source-derived: original D01–D03 maturity architecture</t>
        </is>
      </c>
    </row>
    <row r="9">
      <c r="A9" s="2" t="inlineStr">
        <is>
          <t>D02</t>
        </is>
      </c>
      <c r="B9" s="2" t="inlineStr">
        <is>
          <t>Governance, Responsible AI &amp; Institutional Risk</t>
        </is>
      </c>
      <c r="C9" s="2" t="n">
        <v>1</v>
      </c>
      <c r="D9" s="2" t="inlineStr">
        <is>
          <t>Reactive</t>
        </is>
      </c>
      <c r="E9" s="2" t="inlineStr">
        <is>
          <t>AI decisions and incidents are handled case-by-case.</t>
        </is>
      </c>
      <c r="F9" s="2" t="inlineStr">
        <is>
          <t>Individual judgement, informal approvals, reactive incident handling.</t>
        </is>
      </c>
      <c r="G9" s="2" t="inlineStr">
        <is>
          <t>Governance is person-dependent. | Source-derived: original D01–D03 maturity architecture</t>
        </is>
      </c>
    </row>
    <row r="10">
      <c r="A10" s="2" t="inlineStr">
        <is>
          <t>D02</t>
        </is>
      </c>
      <c r="B10" s="2" t="inlineStr">
        <is>
          <t>Governance, Responsible AI &amp; Institutional Risk</t>
        </is>
      </c>
      <c r="C10" s="2" t="n">
        <v>2</v>
      </c>
      <c r="D10" s="2" t="inlineStr">
        <is>
          <t>Emerging</t>
        </is>
      </c>
      <c r="E10" s="2" t="inlineStr">
        <is>
          <t>Basic policy, ownership and risk awareness are developing.</t>
        </is>
      </c>
      <c r="F10" s="2" t="inlineStr">
        <is>
          <t>Initial AI policies, owners, privacy/integrity guidance or risk registers exist in selected areas.</t>
        </is>
      </c>
      <c r="G10" s="2" t="inlineStr">
        <is>
          <t>Foundational governance is present but incomplete. | Source-derived: original D01–D03 maturity architecture</t>
        </is>
      </c>
    </row>
    <row r="11">
      <c r="A11" s="2" t="inlineStr">
        <is>
          <t>D02</t>
        </is>
      </c>
      <c r="B11" s="2" t="inlineStr">
        <is>
          <t>Governance, Responsible AI &amp; Institutional Risk</t>
        </is>
      </c>
      <c r="C11" s="2" t="n">
        <v>3</v>
      </c>
      <c r="D11" s="2" t="inlineStr">
        <is>
          <t>Structured</t>
        </is>
      </c>
      <c r="E11" s="2" t="inlineStr">
        <is>
          <t>Formal governance, decision rights, controls and escalation mechanisms operate.</t>
        </is>
      </c>
      <c r="F11" s="2" t="inlineStr">
        <is>
          <t>Defined approval workflows, accountability, risk controls, human oversight and escalation with representative use.</t>
        </is>
      </c>
      <c r="G11" s="2" t="inlineStr">
        <is>
          <t>Governance is institutionalised. | Source-derived: original D01–D03 maturity architecture</t>
        </is>
      </c>
    </row>
    <row r="12">
      <c r="A12" s="2" t="inlineStr">
        <is>
          <t>D02</t>
        </is>
      </c>
      <c r="B12" s="2" t="inlineStr">
        <is>
          <t>Governance, Responsible AI &amp; Institutional Risk</t>
        </is>
      </c>
      <c r="C12" s="2" t="n">
        <v>4</v>
      </c>
      <c r="D12" s="2" t="inlineStr">
        <is>
          <t>Integrated</t>
        </is>
      </c>
      <c r="E12" s="2" t="inlineStr">
        <is>
          <t>Governance is embedded across academic, research, technology and administrative decisions.</t>
        </is>
      </c>
      <c r="F12" s="2" t="inlineStr">
        <is>
          <t>Consequential AI is governed consistently; vendor/data/academic-integrity/research controls connect across functions and are evidenced.</t>
        </is>
      </c>
      <c r="G12" s="2" t="inlineStr">
        <is>
          <t>Governance is cross-functional and operational. | Source-derived: original D01–D03 maturity architecture</t>
        </is>
      </c>
    </row>
    <row r="13">
      <c r="A13" s="2" t="inlineStr">
        <is>
          <t>D02</t>
        </is>
      </c>
      <c r="B13" s="2" t="inlineStr">
        <is>
          <t>Governance, Responsible AI &amp; Institutional Risk</t>
        </is>
      </c>
      <c r="C13" s="2" t="n">
        <v>5</v>
      </c>
      <c r="D13" s="2" t="inlineStr">
        <is>
          <t>Adaptive</t>
        </is>
      </c>
      <c r="E13" s="2" t="inlineStr">
        <is>
          <t>Governance learns from incidents, evidence and technology change.</t>
        </is>
      </c>
      <c r="F13" s="2" t="inlineStr">
        <is>
          <t>Controls are tested, reviewed, monitored and redesigned as AI risks and uses evolve.</t>
        </is>
      </c>
      <c r="G13" s="2" t="inlineStr">
        <is>
          <t>Governance is continuously improving and anticipatory. | Source-derived: original D01–D03 maturity architecture</t>
        </is>
      </c>
    </row>
    <row r="14">
      <c r="A14" s="2" t="inlineStr">
        <is>
          <t>D03</t>
        </is>
      </c>
      <c r="B14" s="2" t="inlineStr">
        <is>
          <t>Human Capability, Cognitive Readiness &amp; AI-Ready Education</t>
        </is>
      </c>
      <c r="C14" s="2" t="n">
        <v>0</v>
      </c>
      <c r="D14" s="2" t="inlineStr">
        <is>
          <t>Absent</t>
        </is>
      </c>
      <c r="E14" s="2" t="inlineStr">
        <is>
          <t>No meaningful institutional approach to developing human capabilities for an AI-rich environment.</t>
        </is>
      </c>
      <c r="F14" s="2" t="inlineStr">
        <is>
          <t>No deliberate capability architecture or evidence of development.</t>
        </is>
      </c>
      <c r="G14" s="2" t="inlineStr">
        <is>
          <t>Capability intent is absent. | Source-derived: original D01–D03 maturity architecture</t>
        </is>
      </c>
    </row>
    <row r="15">
      <c r="A15" s="2" t="inlineStr">
        <is>
          <t>D03</t>
        </is>
      </c>
      <c r="B15" s="2" t="inlineStr">
        <is>
          <t>Human Capability, Cognitive Readiness &amp; AI-Ready Education</t>
        </is>
      </c>
      <c r="C15" s="2" t="n">
        <v>1</v>
      </c>
      <c r="D15" s="2" t="inlineStr">
        <is>
          <t>Reactive</t>
        </is>
      </c>
      <c r="E15" s="2" t="inlineStr">
        <is>
          <t>Some higher-order capability development exists but is fragmented.</t>
        </is>
      </c>
      <c r="F15" s="2" t="inlineStr">
        <is>
          <t>Selected courses/faculty emphasise critical thinking, creativity, judgement or AI literacy without coherent architecture.</t>
        </is>
      </c>
      <c r="G15" s="2" t="inlineStr">
        <is>
          <t>Development depends on individual practice. | Source-derived: original D01–D03 maturity architecture</t>
        </is>
      </c>
    </row>
    <row r="16">
      <c r="A16" s="2" t="inlineStr">
        <is>
          <t>D03</t>
        </is>
      </c>
      <c r="B16" s="2" t="inlineStr">
        <is>
          <t>Human Capability, Cognitive Readiness &amp; AI-Ready Education</t>
        </is>
      </c>
      <c r="C16" s="2" t="n">
        <v>2</v>
      </c>
      <c r="D16" s="2" t="inlineStr">
        <is>
          <t>Emerging</t>
        </is>
      </c>
      <c r="E16" s="2" t="inlineStr">
        <is>
          <t>Institution recognises the capability shift in selected curricula.</t>
        </is>
      </c>
      <c r="F16" s="2" t="inlineStr">
        <is>
          <t>Priority capabilities are identified and begin appearing in curriculum/learning initiatives.</t>
        </is>
      </c>
      <c r="G16" s="2" t="inlineStr">
        <is>
          <t>Institutional recognition is visible but uneven. | Source-derived: original D01–D03 maturity architecture</t>
        </is>
      </c>
    </row>
    <row r="17">
      <c r="A17" s="2" t="inlineStr">
        <is>
          <t>D03</t>
        </is>
      </c>
      <c r="B17" s="2" t="inlineStr">
        <is>
          <t>Human Capability, Cognitive Readiness &amp; AI-Ready Education</t>
        </is>
      </c>
      <c r="C17" s="2" t="n">
        <v>3</v>
      </c>
      <c r="D17" s="2" t="inlineStr">
        <is>
          <t>Structured</t>
        </is>
      </c>
      <c r="E17" s="2" t="inlineStr">
        <is>
          <t>Capabilities are deliberately mapped into curriculum and assessment.</t>
        </is>
      </c>
      <c r="F17" s="2" t="inlineStr">
        <is>
          <t>Defined capability framework, programme mapping and assessment expectations exist for representative programmes.</t>
        </is>
      </c>
      <c r="G17" s="2" t="inlineStr">
        <is>
          <t>Capability development is designed rather than incidental. | Source-derived: original D01–D03 maturity architecture</t>
        </is>
      </c>
    </row>
    <row r="18">
      <c r="A18" s="2" t="inlineStr">
        <is>
          <t>D03</t>
        </is>
      </c>
      <c r="B18" s="2" t="inlineStr">
        <is>
          <t>Human Capability, Cognitive Readiness &amp; AI-Ready Education</t>
        </is>
      </c>
      <c r="C18" s="2" t="n">
        <v>4</v>
      </c>
      <c r="D18" s="2" t="inlineStr">
        <is>
          <t>Integrated</t>
        </is>
      </c>
      <c r="E18" s="2" t="inlineStr">
        <is>
          <t>Capabilities are systematically developed and demonstrated across programmes.</t>
        </is>
      </c>
      <c r="F18" s="2" t="inlineStr">
        <is>
          <t>Foundational knowledge, reasoning, problem formulation, verification, communication, practical/ethical capability and human-AI collaboration are evidenced across relevant programmes.</t>
        </is>
      </c>
      <c r="G18" s="2" t="inlineStr">
        <is>
          <t>Capability architecture is embedded and evidenced. | Source-derived: original D01–D03 maturity architecture</t>
        </is>
      </c>
    </row>
    <row r="19">
      <c r="A19" s="2" t="inlineStr">
        <is>
          <t>D03</t>
        </is>
      </c>
      <c r="B19" s="2" t="inlineStr">
        <is>
          <t>Human Capability, Cognitive Readiness &amp; AI-Ready Education</t>
        </is>
      </c>
      <c r="C19" s="2" t="n">
        <v>5</v>
      </c>
      <c r="D19" s="2" t="inlineStr">
        <is>
          <t>Adaptive</t>
        </is>
      </c>
      <c r="E19" s="2" t="inlineStr">
        <is>
          <t>Institution continuously identifies valuable human capabilities and redesigns learning.</t>
        </is>
      </c>
      <c r="F19" s="2" t="inlineStr">
        <is>
          <t>External/AI signals change capability priorities; programmes and assessments are repeatedly redesigned and validated through outcomes.</t>
        </is>
      </c>
      <c r="G19" s="2" t="inlineStr">
        <is>
          <t>Human capability model evolves with the environment. | Source-derived: original D01–D03 maturity architecture</t>
        </is>
      </c>
    </row>
    <row r="20">
      <c r="A20" s="2" t="inlineStr">
        <is>
          <t>D04</t>
        </is>
      </c>
      <c r="B20" s="2" t="inlineStr">
        <is>
          <t>Curriculum &amp; Programme Future Resilience</t>
        </is>
      </c>
      <c r="C20" s="2" t="n">
        <v>0</v>
      </c>
      <c r="D20" s="2" t="inlineStr">
        <is>
          <t>Absent</t>
        </is>
      </c>
      <c r="E20" s="2" t="inlineStr">
        <is>
          <t>No future-oriented programme review or meaningful curriculum change mechanism.</t>
        </is>
      </c>
      <c r="F20" s="2" t="inlineStr">
        <is>
          <t>No systematic trigger, review cycle or future capability mapping.</t>
        </is>
      </c>
      <c r="G20" s="2" t="inlineStr">
        <is>
          <t>Programme resilience is absent. | Source-derived: D04–D06 maturity architecture</t>
        </is>
      </c>
    </row>
    <row r="21">
      <c r="A21" s="2" t="inlineStr">
        <is>
          <t>D04</t>
        </is>
      </c>
      <c r="B21" s="2" t="inlineStr">
        <is>
          <t>Curriculum &amp; Programme Future Resilience</t>
        </is>
      </c>
      <c r="C21" s="2" t="n">
        <v>1</v>
      </c>
      <c r="D21" s="2" t="inlineStr">
        <is>
          <t>Reactive</t>
        </is>
      </c>
      <c r="E21" s="2" t="inlineStr">
        <is>
          <t>Individual faculty or programmes change after external pressure.</t>
        </is>
      </c>
      <c r="F21" s="2" t="inlineStr">
        <is>
          <t>Isolated revisions with no consistent institutional trigger or evidence loop.</t>
        </is>
      </c>
      <c r="G21" s="2" t="inlineStr">
        <is>
          <t>Change is reactive and uneven. | Source-derived: D04–D06 maturity architecture</t>
        </is>
      </c>
    </row>
    <row r="22">
      <c r="A22" s="2" t="inlineStr">
        <is>
          <t>D04</t>
        </is>
      </c>
      <c r="B22" s="2" t="inlineStr">
        <is>
          <t>Curriculum &amp; Programme Future Resilience</t>
        </is>
      </c>
      <c r="C22" s="2" t="n">
        <v>2</v>
      </c>
      <c r="D22" s="2" t="inlineStr">
        <is>
          <t>Emerging</t>
        </is>
      </c>
      <c r="E22" s="2" t="inlineStr">
        <is>
          <t>Selected programmes update intentionally using identified future/professional signals.</t>
        </is>
      </c>
      <c r="F22" s="2" t="inlineStr">
        <is>
          <t>Some programme outcomes, AI content, experiential learning or external inputs are updated.</t>
        </is>
      </c>
      <c r="G22" s="2" t="inlineStr">
        <is>
          <t>Repeatable practice exists in selected programmes. | Source-derived: D04–D06 maturity architecture</t>
        </is>
      </c>
    </row>
    <row r="23">
      <c r="A23" s="2" t="inlineStr">
        <is>
          <t>D04</t>
        </is>
      </c>
      <c r="B23" s="2" t="inlineStr">
        <is>
          <t>Curriculum &amp; Programme Future Resilience</t>
        </is>
      </c>
      <c r="C23" s="2" t="n">
        <v>3</v>
      </c>
      <c r="D23" s="2" t="inlineStr">
        <is>
          <t>Structured</t>
        </is>
      </c>
      <c r="E23" s="2" t="inlineStr">
        <is>
          <t>Programme review and future outcome mapping are structured.</t>
        </is>
      </c>
      <c r="F23" s="2" t="inlineStr">
        <is>
          <t>Defined review process, future learning outcomes, obsolescence tests and representative programme evidence.</t>
        </is>
      </c>
      <c r="G23" s="2" t="inlineStr">
        <is>
          <t>Programme change is governed and repeatable. | Source-derived: D04–D06 maturity architecture</t>
        </is>
      </c>
    </row>
    <row r="24">
      <c r="A24" s="2" t="inlineStr">
        <is>
          <t>D04</t>
        </is>
      </c>
      <c r="B24" s="2" t="inlineStr">
        <is>
          <t>Curriculum &amp; Programme Future Resilience</t>
        </is>
      </c>
      <c r="C24" s="2" t="n">
        <v>4</v>
      </c>
      <c r="D24" s="2" t="inlineStr">
        <is>
          <t>Integrated</t>
        </is>
      </c>
      <c r="E24" s="2" t="inlineStr">
        <is>
          <t>Programme, industry and discipline signals drive integrated curriculum change.</t>
        </is>
      </c>
      <c r="F24" s="2" t="inlineStr">
        <is>
          <t>External validation, experiential learning, interdisciplinary flexibility and programme agility are connected to portfolio decisions.</t>
        </is>
      </c>
      <c r="G24" s="2" t="inlineStr">
        <is>
          <t>Curriculum responds coherently across functions. | Source-derived: D04–D06 maturity architecture</t>
        </is>
      </c>
    </row>
    <row r="25">
      <c r="A25" s="2" t="inlineStr">
        <is>
          <t>D04</t>
        </is>
      </c>
      <c r="B25" s="2" t="inlineStr">
        <is>
          <t>Curriculum &amp; Programme Future Resilience</t>
        </is>
      </c>
      <c r="C25" s="2" t="n">
        <v>5</v>
      </c>
      <c r="D25" s="2" t="inlineStr">
        <is>
          <t>Adaptive</t>
        </is>
      </c>
      <c r="E25" s="2" t="inlineStr">
        <is>
          <t>Portfolio and programmes continuously adapt to future signals.</t>
        </is>
      </c>
      <c r="F25" s="2" t="inlineStr">
        <is>
          <t>Rapid sensing, modular redesign, evidence-led retirement/redesign and continuous validation shape the portfolio.</t>
        </is>
      </c>
      <c r="G25" s="2" t="inlineStr">
        <is>
          <t>Programme system anticipates rather than merely reacts. | Source-derived: D04–D06 maturity architecture</t>
        </is>
      </c>
    </row>
    <row r="26">
      <c r="A26" s="2" t="inlineStr">
        <is>
          <t>D05</t>
        </is>
      </c>
      <c r="B26" s="2" t="inlineStr">
        <is>
          <t>Faculty Capability &amp; Academic Workforce Transformation</t>
        </is>
      </c>
      <c r="C26" s="2" t="n">
        <v>0</v>
      </c>
      <c r="D26" s="2" t="inlineStr">
        <is>
          <t>Absent</t>
        </is>
      </c>
      <c r="E26" s="2" t="inlineStr">
        <is>
          <t>No meaningful AI capability support or academic workforce transformation mechanism.</t>
        </is>
      </c>
      <c r="F26" s="2" t="inlineStr">
        <is>
          <t>No structured faculty development, practice support or role redesign.</t>
        </is>
      </c>
      <c r="G26" s="2" t="inlineStr">
        <is>
          <t>Faculty capability is unmanaged. | Source-derived: D04–D06 maturity architecture</t>
        </is>
      </c>
    </row>
    <row r="27">
      <c r="A27" s="2" t="inlineStr">
        <is>
          <t>D05</t>
        </is>
      </c>
      <c r="B27" s="2" t="inlineStr">
        <is>
          <t>Faculty Capability &amp; Academic Workforce Transformation</t>
        </is>
      </c>
      <c r="C27" s="2" t="n">
        <v>1</v>
      </c>
      <c r="D27" s="2" t="inlineStr">
        <is>
          <t>Reactive</t>
        </is>
      </c>
      <c r="E27" s="2" t="inlineStr">
        <is>
          <t>Individual faculty enthusiasts experiment with AI.</t>
        </is>
      </c>
      <c r="F27" s="2" t="inlineStr">
        <is>
          <t>Isolated use in teaching/research; support is informal and uneven.</t>
        </is>
      </c>
      <c r="G27" s="2" t="inlineStr">
        <is>
          <t>Adoption depends on individuals. | Source-derived: D04–D06 maturity architecture</t>
        </is>
      </c>
    </row>
    <row r="28">
      <c r="A28" s="2" t="inlineStr">
        <is>
          <t>D05</t>
        </is>
      </c>
      <c r="B28" s="2" t="inlineStr">
        <is>
          <t>Faculty Capability &amp; Academic Workforce Transformation</t>
        </is>
      </c>
      <c r="C28" s="2" t="n">
        <v>2</v>
      </c>
      <c r="D28" s="2" t="inlineStr">
        <is>
          <t>Emerging</t>
        </is>
      </c>
      <c r="E28" s="2" t="inlineStr">
        <is>
          <t>Training and early faculty practice are emerging.</t>
        </is>
      </c>
      <c r="F28" s="2" t="inlineStr">
        <is>
          <t>AI literacy programmes, communities or selected practice changes exist, but conversion to practice is uneven.</t>
        </is>
      </c>
      <c r="G28" s="2" t="inlineStr">
        <is>
          <t>Capability is developing beyond individual pioneers. | Source-derived: D04–D06 maturity architecture</t>
        </is>
      </c>
    </row>
    <row r="29">
      <c r="A29" s="2" t="inlineStr">
        <is>
          <t>D05</t>
        </is>
      </c>
      <c r="B29" s="2" t="inlineStr">
        <is>
          <t>Faculty Capability &amp; Academic Workforce Transformation</t>
        </is>
      </c>
      <c r="C29" s="2" t="n">
        <v>3</v>
      </c>
      <c r="D29" s="2" t="inlineStr">
        <is>
          <t>Structured</t>
        </is>
      </c>
      <c r="E29" s="2" t="inlineStr">
        <is>
          <t>Faculty practice and support are organised.</t>
        </is>
      </c>
      <c r="F29" s="2" t="inlineStr">
        <is>
          <t>Defined development pathways, peer learning, assessment redesign support and representative evidence of practice change.</t>
        </is>
      </c>
      <c r="G29" s="2" t="inlineStr">
        <is>
          <t>Faculty transformation is institutionally supported. | Source-derived: D04–D06 maturity architecture</t>
        </is>
      </c>
    </row>
    <row r="30">
      <c r="A30" s="2" t="inlineStr">
        <is>
          <t>D05</t>
        </is>
      </c>
      <c r="B30" s="2" t="inlineStr">
        <is>
          <t>Faculty Capability &amp; Academic Workforce Transformation</t>
        </is>
      </c>
      <c r="C30" s="2" t="n">
        <v>4</v>
      </c>
      <c r="D30" s="2" t="inlineStr">
        <is>
          <t>Integrated</t>
        </is>
      </c>
      <c r="E30" s="2" t="inlineStr">
        <is>
          <t>Teaching, assessment, research and academic roles evolve together.</t>
        </is>
      </c>
      <c r="F30" s="2" t="inlineStr">
        <is>
          <t>Discipline-specific AI practice, workflow redesign, research use and workload/support mechanisms are integrated.</t>
        </is>
      </c>
      <c r="G30" s="2" t="inlineStr">
        <is>
          <t>Faculty ecosystem is cross-functional and evidence-informed. | Source-derived: D04–D06 maturity architecture</t>
        </is>
      </c>
    </row>
    <row r="31">
      <c r="A31" s="2" t="inlineStr">
        <is>
          <t>D05</t>
        </is>
      </c>
      <c r="B31" s="2" t="inlineStr">
        <is>
          <t>Faculty Capability &amp; Academic Workforce Transformation</t>
        </is>
      </c>
      <c r="C31" s="2" t="n">
        <v>5</v>
      </c>
      <c r="D31" s="2" t="inlineStr">
        <is>
          <t>Adaptive</t>
        </is>
      </c>
      <c r="E31" s="2" t="inlineStr">
        <is>
          <t>Faculty ecosystem continuously learns, redesigns and scales effective practice.</t>
        </is>
      </c>
      <c r="F31" s="2" t="inlineStr">
        <is>
          <t>Institution senses emerging academic-work changes, evaluates interventions, reallocates support and scales what works.</t>
        </is>
      </c>
      <c r="G31" s="2" t="inlineStr">
        <is>
          <t>Academic workforce transformation is continuous. | Source-derived: D04–D06 maturity architecture</t>
        </is>
      </c>
    </row>
    <row r="32">
      <c r="A32" s="2" t="inlineStr">
        <is>
          <t>D06</t>
        </is>
      </c>
      <c r="B32" s="2" t="inlineStr">
        <is>
          <t>Student Capability, Agency &amp; Future Readiness</t>
        </is>
      </c>
      <c r="C32" s="2" t="n">
        <v>0</v>
      </c>
      <c r="D32" s="2" t="inlineStr">
        <is>
          <t>Absent</t>
        </is>
      </c>
      <c r="E32" s="2" t="inlineStr">
        <is>
          <t>No intentional AI-era capability development for students.</t>
        </is>
      </c>
      <c r="F32" s="2" t="inlineStr">
        <is>
          <t>No coherent AI literacy, agency, practical capability or future-readiness approach.</t>
        </is>
      </c>
      <c r="G32" s="2" t="inlineStr">
        <is>
          <t>Student readiness is unmanaged. | Source-derived: D04–D06 maturity architecture</t>
        </is>
      </c>
    </row>
    <row r="33">
      <c r="A33" s="2" t="inlineStr">
        <is>
          <t>D06</t>
        </is>
      </c>
      <c r="B33" s="2" t="inlineStr">
        <is>
          <t>Student Capability, Agency &amp; Future Readiness</t>
        </is>
      </c>
      <c r="C33" s="2" t="n">
        <v>1</v>
      </c>
      <c r="D33" s="2" t="inlineStr">
        <is>
          <t>Reactive</t>
        </is>
      </c>
      <c r="E33" s="2" t="inlineStr">
        <is>
          <t>Students use AI mainly informally.</t>
        </is>
      </c>
      <c r="F33" s="2" t="inlineStr">
        <is>
          <t>Institution responds to misuse or isolated student demand; capability development is incidental.</t>
        </is>
      </c>
      <c r="G33" s="2" t="inlineStr">
        <is>
          <t>Student readiness is largely student-led. | Source-derived: D04–D06 maturity architecture</t>
        </is>
      </c>
    </row>
    <row r="34">
      <c r="A34" s="2" t="inlineStr">
        <is>
          <t>D06</t>
        </is>
      </c>
      <c r="B34" s="2" t="inlineStr">
        <is>
          <t>Student Capability, Agency &amp; Future Readiness</t>
        </is>
      </c>
      <c r="C34" s="2" t="n">
        <v>2</v>
      </c>
      <c r="D34" s="2" t="inlineStr">
        <is>
          <t>Emerging</t>
        </is>
      </c>
      <c r="E34" s="2" t="inlineStr">
        <is>
          <t>Guidance and selected capability development exist.</t>
        </is>
      </c>
      <c r="F34" s="2" t="inlineStr">
        <is>
          <t>AI literacy, critical evaluation, agency, career or responsible-use initiatives appear in selected programmes/groups.</t>
        </is>
      </c>
      <c r="G34" s="2" t="inlineStr">
        <is>
          <t>Practice is developing but uneven. | Source-derived: D04–D06 maturity architecture</t>
        </is>
      </c>
    </row>
    <row r="35">
      <c r="A35" s="2" t="inlineStr">
        <is>
          <t>D06</t>
        </is>
      </c>
      <c r="B35" s="2" t="inlineStr">
        <is>
          <t>Student Capability, Agency &amp; Future Readiness</t>
        </is>
      </c>
      <c r="C35" s="2" t="n">
        <v>3</v>
      </c>
      <c r="D35" s="2" t="inlineStr">
        <is>
          <t>Structured</t>
        </is>
      </c>
      <c r="E35" s="2" t="inlineStr">
        <is>
          <t>Capability development is embedded in programmes.</t>
        </is>
      </c>
      <c r="F35" s="2" t="inlineStr">
        <is>
          <t>Students have defined opportunities to develop reasoning, verification, communication, collaboration, practical capability, AI literacy and responsible use.</t>
        </is>
      </c>
      <c r="G35" s="2" t="inlineStr">
        <is>
          <t>Development is systematic. | Source-derived: D04–D06 maturity architecture</t>
        </is>
      </c>
    </row>
    <row r="36">
      <c r="A36" s="2" t="inlineStr">
        <is>
          <t>D06</t>
        </is>
      </c>
      <c r="B36" s="2" t="inlineStr">
        <is>
          <t>Student Capability, Agency &amp; Future Readiness</t>
        </is>
      </c>
      <c r="C36" s="2" t="n">
        <v>4</v>
      </c>
      <c r="D36" s="2" t="inlineStr">
        <is>
          <t>Integrated</t>
        </is>
      </c>
      <c r="E36" s="2" t="inlineStr">
        <is>
          <t>Students demonstrate capabilities across contexts.</t>
        </is>
      </c>
      <c r="F36" s="2" t="inlineStr">
        <is>
          <t>Evidence shows transfer, defence, practical application, independent judgement, portfolios/capability signalling and career adaptability across relevant groups.</t>
        </is>
      </c>
      <c r="G36" s="2" t="inlineStr">
        <is>
          <t>Student capability is observable, not merely taught. | Source-derived: D04–D06 maturity architecture</t>
        </is>
      </c>
    </row>
    <row r="37">
      <c r="A37" s="2" t="inlineStr">
        <is>
          <t>D06</t>
        </is>
      </c>
      <c r="B37" s="2" t="inlineStr">
        <is>
          <t>Student Capability, Agency &amp; Future Readiness</t>
        </is>
      </c>
      <c r="C37" s="2" t="n">
        <v>5</v>
      </c>
      <c r="D37" s="2" t="inlineStr">
        <is>
          <t>Adaptive</t>
        </is>
      </c>
      <c r="E37" s="2" t="inlineStr">
        <is>
          <t>Students demonstrate high agency, transfer and adaptability.</t>
        </is>
      </c>
      <c r="F37" s="2" t="inlineStr">
        <is>
          <t>Students continuously create, question, verify, collaborate, build portfolios and respond to changing work/knowledge conditions with institutional support and feedback loops.</t>
        </is>
      </c>
      <c r="G37" s="2" t="inlineStr">
        <is>
          <t>Student capability is resilient and self-directed. | Source-derived: D04–D06 maturity architecture</t>
        </is>
      </c>
    </row>
    <row r="38">
      <c r="A38" s="2" t="inlineStr">
        <is>
          <t>D07</t>
        </is>
      </c>
      <c r="B38" s="2" t="inlineStr">
        <is>
          <t>Learning, Assessment &amp; Evidence of Capability</t>
        </is>
      </c>
      <c r="C38" s="2" t="n">
        <v>0</v>
      </c>
      <c r="D38" s="2" t="inlineStr">
        <is>
          <t>Absent</t>
        </is>
      </c>
      <c r="E38" s="2" t="inlineStr">
        <is>
          <t>Assessment mainly records answer production or completion; no meaningful capability-proof mechanism.</t>
        </is>
      </c>
      <c r="F38" s="2" t="inlineStr">
        <is>
          <t>No deliberate capability-oriented assessment architecture or evidence loop.</t>
        </is>
      </c>
      <c r="G38" s="2" t="inlineStr">
        <is>
          <t>Assessment capability is absent. | Methodology synthesis: D07–D11 matrix + assessment cards; requires pilot validation</t>
        </is>
      </c>
    </row>
    <row r="39">
      <c r="A39" s="2" t="inlineStr">
        <is>
          <t>D07</t>
        </is>
      </c>
      <c r="B39" s="2" t="inlineStr">
        <is>
          <t>Learning, Assessment &amp; Evidence of Capability</t>
        </is>
      </c>
      <c r="C39" s="2" t="n">
        <v>1</v>
      </c>
      <c r="D39" s="2" t="inlineStr">
        <is>
          <t>Reactive</t>
        </is>
      </c>
      <c r="E39" s="2" t="inlineStr">
        <is>
          <t>Assessment changes mainly in response to AI concerns or individual initiatives.</t>
        </is>
      </c>
      <c r="F39" s="2" t="inlineStr">
        <is>
          <t>Some oral checks, process evidence or authentic tasks appear, but remain isolated.</t>
        </is>
      </c>
      <c r="G39" s="2" t="inlineStr">
        <is>
          <t>Response is fragmented. | Methodology synthesis: D07–D11 matrix + assessment cards; requires pilot validation</t>
        </is>
      </c>
    </row>
    <row r="40">
      <c r="A40" s="2" t="inlineStr">
        <is>
          <t>D07</t>
        </is>
      </c>
      <c r="B40" s="2" t="inlineStr">
        <is>
          <t>Learning, Assessment &amp; Evidence of Capability</t>
        </is>
      </c>
      <c r="C40" s="2" t="n">
        <v>2</v>
      </c>
      <c r="D40" s="2" t="inlineStr">
        <is>
          <t>Emerging</t>
        </is>
      </c>
      <c r="E40" s="2" t="inlineStr">
        <is>
          <t>Selected assessments are intentionally redesigned for capability and AI-era conditions.</t>
        </is>
      </c>
      <c r="F40" s="2" t="inlineStr">
        <is>
          <t>Some programmes use reasoning, application, authenticity, defence or process evidence; learning feedback loops begin.</t>
        </is>
      </c>
      <c r="G40" s="2" t="inlineStr">
        <is>
          <t>Assessment innovation is selective. | Methodology synthesis: D07–D11 matrix + assessment cards; requires pilot validation</t>
        </is>
      </c>
    </row>
    <row r="41">
      <c r="A41" s="2" t="inlineStr">
        <is>
          <t>D07</t>
        </is>
      </c>
      <c r="B41" s="2" t="inlineStr">
        <is>
          <t>Learning, Assessment &amp; Evidence of Capability</t>
        </is>
      </c>
      <c r="C41" s="2" t="n">
        <v>3</v>
      </c>
      <c r="D41" s="2" t="inlineStr">
        <is>
          <t>Structured</t>
        </is>
      </c>
      <c r="E41" s="2" t="inlineStr">
        <is>
          <t>Assessment design, capability demonstration and governance are deliberately structured.</t>
        </is>
      </c>
      <c r="F41" s="2" t="inlineStr">
        <is>
          <t>Representative programmes use explicit capability criteria, authentic/unfamiliar tasks, verification/defence and defined evidence of learning.</t>
        </is>
      </c>
      <c r="G41" s="2" t="inlineStr">
        <is>
          <t>Assessment architecture is repeatable. | Methodology synthesis: D07–D11 matrix + assessment cards; requires pilot validation</t>
        </is>
      </c>
    </row>
    <row r="42">
      <c r="A42" s="2" t="inlineStr">
        <is>
          <t>D07</t>
        </is>
      </c>
      <c r="B42" s="2" t="inlineStr">
        <is>
          <t>Learning, Assessment &amp; Evidence of Capability</t>
        </is>
      </c>
      <c r="C42" s="2" t="n">
        <v>4</v>
      </c>
      <c r="D42" s="2" t="inlineStr">
        <is>
          <t>Integrated</t>
        </is>
      </c>
      <c r="E42" s="2" t="inlineStr">
        <is>
          <t>Assessment across programmes systematically demonstrates capability and informs improvement.</t>
        </is>
      </c>
      <c r="F42" s="2" t="inlineStr">
        <is>
          <t>Assessment, feedback, analytics, equity, governance and curriculum are connected; outcome evidence shows capabilities are actually demonstrated.</t>
        </is>
      </c>
      <c r="G42" s="2" t="inlineStr">
        <is>
          <t>Evidence-of-capability is embedded. | Methodology synthesis: D07–D11 matrix + assessment cards; requires pilot validation</t>
        </is>
      </c>
    </row>
    <row r="43">
      <c r="A43" s="2" t="inlineStr">
        <is>
          <t>D07</t>
        </is>
      </c>
      <c r="B43" s="2" t="inlineStr">
        <is>
          <t>Learning, Assessment &amp; Evidence of Capability</t>
        </is>
      </c>
      <c r="C43" s="2" t="n">
        <v>5</v>
      </c>
      <c r="D43" s="2" t="inlineStr">
        <is>
          <t>Adaptive</t>
        </is>
      </c>
      <c r="E43" s="2" t="inlineStr">
        <is>
          <t>Institution continuously redesigns assessment as AI changes how knowledge and work are produced.</t>
        </is>
      </c>
      <c r="F43" s="2" t="inlineStr">
        <is>
          <t>Assessment models are tested, validated, monitored and redesigned using evidence, student outcomes and emerging AI capabilities.</t>
        </is>
      </c>
      <c r="G43" s="2" t="inlineStr">
        <is>
          <t>Assessment is a learning-and-adaptation system. | Methodology synthesis: D07–D11 matrix + assessment cards; requires pilot validation</t>
        </is>
      </c>
    </row>
    <row r="44">
      <c r="A44" s="2" t="inlineStr">
        <is>
          <t>D08</t>
        </is>
      </c>
      <c r="B44" s="2" t="inlineStr">
        <is>
          <t>Digital, Data &amp; Institutional Intelligence</t>
        </is>
      </c>
      <c r="C44" s="2" t="n">
        <v>0</v>
      </c>
      <c r="D44" s="2" t="inlineStr">
        <is>
          <t>Absent</t>
        </is>
      </c>
      <c r="E44" s="2" t="inlineStr">
        <is>
          <t>Digital/data foundations are fragmented and cannot reliably support institutional intelligence.</t>
        </is>
      </c>
      <c r="F44" s="2" t="inlineStr">
        <is>
          <t>Critical data are inaccessible, disconnected or untrusted; AI enablement is unclear.</t>
        </is>
      </c>
      <c r="G44" s="2" t="inlineStr">
        <is>
          <t>No reliable intelligence capability. | Methodology synthesis: D07–D11 matrix + assessment cards; requires pilot validation</t>
        </is>
      </c>
    </row>
    <row r="45">
      <c r="A45" s="2" t="inlineStr">
        <is>
          <t>D08</t>
        </is>
      </c>
      <c r="B45" s="2" t="inlineStr">
        <is>
          <t>Digital, Data &amp; Institutional Intelligence</t>
        </is>
      </c>
      <c r="C45" s="2" t="n">
        <v>1</v>
      </c>
      <c r="D45" s="2" t="inlineStr">
        <is>
          <t>Reactive</t>
        </is>
      </c>
      <c r="E45" s="2" t="inlineStr">
        <is>
          <t>Digital/data activity is mainly local, manual or department-dependent.</t>
        </is>
      </c>
      <c r="F45" s="2" t="inlineStr">
        <is>
          <t>Reports are assembled reactively; systems and data practices vary significantly.</t>
        </is>
      </c>
      <c r="G45" s="2" t="inlineStr">
        <is>
          <t>Institution relies on manual effort and individual expertise. | Methodology synthesis: D07–D11 matrix + assessment cards; requires pilot validation</t>
        </is>
      </c>
    </row>
    <row r="46">
      <c r="A46" s="2" t="inlineStr">
        <is>
          <t>D08</t>
        </is>
      </c>
      <c r="B46" s="2" t="inlineStr">
        <is>
          <t>Digital, Data &amp; Institutional Intelligence</t>
        </is>
      </c>
      <c r="C46" s="2" t="n">
        <v>2</v>
      </c>
      <c r="D46" s="2" t="inlineStr">
        <is>
          <t>Emerging</t>
        </is>
      </c>
      <c r="E46" s="2" t="inlineStr">
        <is>
          <t>Central reporting, selected data standards and early AI/digital capabilities are developing.</t>
        </is>
      </c>
      <c r="F46" s="2" t="inlineStr">
        <is>
          <t>Some validated datasets, dashboards, interoperability, security/privacy or AI infrastructure exist.</t>
        </is>
      </c>
      <c r="G46" s="2" t="inlineStr">
        <is>
          <t>Foundations are emerging but uneven. | Methodology synthesis: D07–D11 matrix + assessment cards; requires pilot validation</t>
        </is>
      </c>
    </row>
    <row r="47">
      <c r="A47" s="2" t="inlineStr">
        <is>
          <t>D08</t>
        </is>
      </c>
      <c r="B47" s="2" t="inlineStr">
        <is>
          <t>Digital, Data &amp; Institutional Intelligence</t>
        </is>
      </c>
      <c r="C47" s="2" t="n">
        <v>3</v>
      </c>
      <c r="D47" s="2" t="inlineStr">
        <is>
          <t>Structured</t>
        </is>
      </c>
      <c r="E47" s="2" t="inlineStr">
        <is>
          <t>Data, systems and digital processes are governed and operationally usable.</t>
        </is>
      </c>
      <c r="F47" s="2" t="inlineStr">
        <is>
          <t>Defined data ownership, quality controls, interoperability, privacy/security, digital workflows and repeatable institutional reporting operate.</t>
        </is>
      </c>
      <c r="G47" s="2" t="inlineStr">
        <is>
          <t>Institution has a dependable digital/data operating model. | Methodology synthesis: D07–D11 matrix + assessment cards; requires pilot validation</t>
        </is>
      </c>
    </row>
    <row r="48">
      <c r="A48" s="2" t="inlineStr">
        <is>
          <t>D08</t>
        </is>
      </c>
      <c r="B48" s="2" t="inlineStr">
        <is>
          <t>Digital, Data &amp; Institutional Intelligence</t>
        </is>
      </c>
      <c r="C48" s="2" t="n">
        <v>4</v>
      </c>
      <c r="D48" s="2" t="inlineStr">
        <is>
          <t>Integrated</t>
        </is>
      </c>
      <c r="E48" s="2" t="inlineStr">
        <is>
          <t>Trusted institutional intelligence informs academic, operational and strategic decisions.</t>
        </is>
      </c>
      <c r="F48" s="2" t="inlineStr">
        <is>
          <t>Integrated data, analytics, AI enablement and digital processes connect across functions; leadership decisions materially use evidence.</t>
        </is>
      </c>
      <c r="G48" s="2" t="inlineStr">
        <is>
          <t>Digital capability is embedded in decision-making. | Methodology synthesis: D07–D11 matrix + assessment cards; requires pilot validation</t>
        </is>
      </c>
    </row>
    <row r="49">
      <c r="A49" s="2" t="inlineStr">
        <is>
          <t>D08</t>
        </is>
      </c>
      <c r="B49" s="2" t="inlineStr">
        <is>
          <t>Digital, Data &amp; Institutional Intelligence</t>
        </is>
      </c>
      <c r="C49" s="2" t="n">
        <v>5</v>
      </c>
      <c r="D49" s="2" t="inlineStr">
        <is>
          <t>Adaptive</t>
        </is>
      </c>
      <c r="E49" s="2" t="inlineStr">
        <is>
          <t>Institution continuously converts data and external signals into anticipatory intelligence and redesign.</t>
        </is>
      </c>
      <c r="F49" s="2" t="inlineStr">
        <is>
          <t>Near-real-time trusted intelligence, scenario/predictive analytics, responsible AI and learning loops change decisions and resource allocation.</t>
        </is>
      </c>
      <c r="G49" s="2" t="inlineStr">
        <is>
          <t>Digital/data capability becomes a strategic sensing system. | Methodology synthesis: D07–D11 matrix + assessment cards; requires pilot validation</t>
        </is>
      </c>
    </row>
    <row r="50">
      <c r="A50" s="2" t="inlineStr">
        <is>
          <t>D09</t>
        </is>
      </c>
      <c r="B50" s="2" t="inlineStr">
        <is>
          <t>Employability, Industry &amp; Economic Relevance</t>
        </is>
      </c>
      <c r="C50" s="2" t="n">
        <v>0</v>
      </c>
      <c r="D50" s="2" t="inlineStr">
        <is>
          <t>Absent</t>
        </is>
      </c>
      <c r="E50" s="2" t="inlineStr">
        <is>
          <t>No coherent mechanism connects graduate capability with external work/economic needs.</t>
        </is>
      </c>
      <c r="F50" s="2" t="inlineStr">
        <is>
          <t>No meaningful employer sensing, capability architecture or outcome evidence.</t>
        </is>
      </c>
      <c r="G50" s="2" t="inlineStr">
        <is>
          <t>External relevance is largely unmeasured. | Methodology synthesis: D07–D11 matrix + assessment cards; requires pilot validation</t>
        </is>
      </c>
    </row>
    <row r="51">
      <c r="A51" s="2" t="inlineStr">
        <is>
          <t>D09</t>
        </is>
      </c>
      <c r="B51" s="2" t="inlineStr">
        <is>
          <t>Employability, Industry &amp; Economic Relevance</t>
        </is>
      </c>
      <c r="C51" s="2" t="n">
        <v>1</v>
      </c>
      <c r="D51" s="2" t="inlineStr">
        <is>
          <t>Reactive</t>
        </is>
      </c>
      <c r="E51" s="2" t="inlineStr">
        <is>
          <t>Employability activity responds to immediate placement pressures.</t>
        </is>
      </c>
      <c r="F51" s="2" t="inlineStr">
        <is>
          <t>Placement counts, ad-hoc employer interactions or isolated curriculum changes dominate.</t>
        </is>
      </c>
      <c r="G51" s="2" t="inlineStr">
        <is>
          <t>External relevance is reactive. | Methodology synthesis: D07–D11 matrix + assessment cards; requires pilot validation</t>
        </is>
      </c>
    </row>
    <row r="52">
      <c r="A52" s="2" t="inlineStr">
        <is>
          <t>D09</t>
        </is>
      </c>
      <c r="B52" s="2" t="inlineStr">
        <is>
          <t>Employability, Industry &amp; Economic Relevance</t>
        </is>
      </c>
      <c r="C52" s="2" t="n">
        <v>2</v>
      </c>
      <c r="D52" s="2" t="inlineStr">
        <is>
          <t>Emerging</t>
        </is>
      </c>
      <c r="E52" s="2" t="inlineStr">
        <is>
          <t>Selected programmes use employer feedback and practical exposure to improve graduate readiness.</t>
        </is>
      </c>
      <c r="F52" s="2" t="inlineStr">
        <is>
          <t>Employer surveys, advisory input, internships, capability mapping or AI-work awareness appear in selected areas.</t>
        </is>
      </c>
      <c r="G52" s="2" t="inlineStr">
        <is>
          <t>External sensing is developing. | Methodology synthesis: D07–D11 matrix + assessment cards; requires pilot validation</t>
        </is>
      </c>
    </row>
    <row r="53">
      <c r="A53" s="2" t="inlineStr">
        <is>
          <t>D09</t>
        </is>
      </c>
      <c r="B53" s="2" t="inlineStr">
        <is>
          <t>Employability, Industry &amp; Economic Relevance</t>
        </is>
      </c>
      <c r="C53" s="2" t="n">
        <v>3</v>
      </c>
      <c r="D53" s="2" t="inlineStr">
        <is>
          <t>Structured</t>
        </is>
      </c>
      <c r="E53" s="2" t="inlineStr">
        <is>
          <t>Graduate capabilities are systematically connected to occupational/professional requirements.</t>
        </is>
      </c>
      <c r="F53" s="2" t="inlineStr">
        <is>
          <t>Defined employer intelligence, capability-to-career mapping, practical learning, recruiter feedback and outcome tracking operate for representative programmes.</t>
        </is>
      </c>
      <c r="G53" s="2" t="inlineStr">
        <is>
          <t>Employability architecture is repeatable. | Methodology synthesis: D07–D11 matrix + assessment cards; requires pilot validation</t>
        </is>
      </c>
    </row>
    <row r="54">
      <c r="A54" s="2" t="inlineStr">
        <is>
          <t>D09</t>
        </is>
      </c>
      <c r="B54" s="2" t="inlineStr">
        <is>
          <t>Employability, Industry &amp; Economic Relevance</t>
        </is>
      </c>
      <c r="C54" s="2" t="n">
        <v>4</v>
      </c>
      <c r="D54" s="2" t="inlineStr">
        <is>
          <t>Integrated</t>
        </is>
      </c>
      <c r="E54" s="2" t="inlineStr">
        <is>
          <t>Industry validation, student capability and employment outcomes reinforce one another.</t>
        </is>
      </c>
      <c r="F54" s="2" t="inlineStr">
        <is>
          <t>Employer demand sensing, co-creation, capability signalling, recruiter confidence, career adaptability and alumni intelligence inform programme and student decisions.</t>
        </is>
      </c>
      <c r="G54" s="2" t="inlineStr">
        <is>
          <t>External relevance is evidenced across the ecosystem. | Methodology synthesis: D07–D11 matrix + assessment cards; requires pilot validation</t>
        </is>
      </c>
    </row>
    <row r="55">
      <c r="A55" s="2" t="inlineStr">
        <is>
          <t>D09</t>
        </is>
      </c>
      <c r="B55" s="2" t="inlineStr">
        <is>
          <t>Employability, Industry &amp; Economic Relevance</t>
        </is>
      </c>
      <c r="C55" s="2" t="n">
        <v>5</v>
      </c>
      <c r="D55" s="2" t="inlineStr">
        <is>
          <t>Adaptive</t>
        </is>
      </c>
      <c r="E55" s="2" t="inlineStr">
        <is>
          <t>Institution continuously senses workforce change and redesigns capability, learning and transition pathways.</t>
        </is>
      </c>
      <c r="F55" s="2" t="inlineStr">
        <is>
          <t>Labour-market intelligence, AI work redesign, employer co-creation and alumni trajectories continuously reshape programmes and career preparation.</t>
        </is>
      </c>
      <c r="G55" s="2" t="inlineStr">
        <is>
          <t>Institution anticipates economic/workforce change. | Methodology synthesis: D07–D11 matrix + assessment cards; requires pilot validation</t>
        </is>
      </c>
    </row>
    <row r="56">
      <c r="A56" s="2" t="inlineStr">
        <is>
          <t>D10</t>
        </is>
      </c>
      <c r="B56" s="2" t="inlineStr">
        <is>
          <t>Research, Innovation &amp; Knowledge Creation</t>
        </is>
      </c>
      <c r="C56" s="2" t="n">
        <v>0</v>
      </c>
      <c r="D56" s="2" t="inlineStr">
        <is>
          <t>Absent</t>
        </is>
      </c>
      <c r="E56" s="2" t="inlineStr">
        <is>
          <t>No meaningful strategic research/innovation capability or evidence of knowledge creation beyond isolated activity.</t>
        </is>
      </c>
      <c r="F56" s="2" t="inlineStr">
        <is>
          <t>No coherent research direction, capability, integrity or translation mechanism.</t>
        </is>
      </c>
      <c r="G56" s="2" t="inlineStr">
        <is>
          <t>Research/innovation system is absent or non-systematic. | Methodology synthesis: D07–D11 matrix + assessment cards; requires pilot validation</t>
        </is>
      </c>
    </row>
    <row r="57">
      <c r="A57" s="2" t="inlineStr">
        <is>
          <t>D10</t>
        </is>
      </c>
      <c r="B57" s="2" t="inlineStr">
        <is>
          <t>Research, Innovation &amp; Knowledge Creation</t>
        </is>
      </c>
      <c r="C57" s="2" t="n">
        <v>1</v>
      </c>
      <c r="D57" s="2" t="inlineStr">
        <is>
          <t>Reactive</t>
        </is>
      </c>
      <c r="E57" s="2" t="inlineStr">
        <is>
          <t>Research is primarily individual/project-driven and responds to immediate opportunities.</t>
        </is>
      </c>
      <c r="F57" s="2" t="inlineStr">
        <is>
          <t>Publication or grant activity exists but strategic direction, translation and infrastructure are fragmented.</t>
        </is>
      </c>
      <c r="G57" s="2" t="inlineStr">
        <is>
          <t>Capability is person-dependent. | Methodology synthesis: D07–D11 matrix + assessment cards; requires pilot validation</t>
        </is>
      </c>
    </row>
    <row r="58">
      <c r="A58" s="2" t="inlineStr">
        <is>
          <t>D10</t>
        </is>
      </c>
      <c r="B58" s="2" t="inlineStr">
        <is>
          <t>Research, Innovation &amp; Knowledge Creation</t>
        </is>
      </c>
      <c r="C58" s="2" t="n">
        <v>2</v>
      </c>
      <c r="D58" s="2" t="inlineStr">
        <is>
          <t>Emerging</t>
        </is>
      </c>
      <c r="E58" s="2" t="inlineStr">
        <is>
          <t>Institutional research themes, selected infrastructure, AI guidance and innovation pathways are developing.</t>
        </is>
      </c>
      <c r="F58" s="2" t="inlineStr">
        <is>
          <t>Some strategic priorities, interdisciplinary projects, researcher support, funding efforts or student research pathways exist.</t>
        </is>
      </c>
      <c r="G58" s="2" t="inlineStr">
        <is>
          <t>Research capability is developing unevenly. | Methodology synthesis: D07–D11 matrix + assessment cards; requires pilot validation</t>
        </is>
      </c>
    </row>
    <row r="59">
      <c r="A59" s="2" t="inlineStr">
        <is>
          <t>D10</t>
        </is>
      </c>
      <c r="B59" s="2" t="inlineStr">
        <is>
          <t>Research, Innovation &amp; Knowledge Creation</t>
        </is>
      </c>
      <c r="C59" s="2" t="n">
        <v>3</v>
      </c>
      <c r="D59" s="2" t="inlineStr">
        <is>
          <t>Structured</t>
        </is>
      </c>
      <c r="E59" s="2" t="inlineStr">
        <is>
          <t>Research direction, portfolio, capability, integrity and translation mechanisms are organised.</t>
        </is>
      </c>
      <c r="F59" s="2" t="inlineStr">
        <is>
          <t>Defined priorities, research support, governance, interdisciplinary structures and representative research-to-value pathways operate.</t>
        </is>
      </c>
      <c r="G59" s="2" t="inlineStr">
        <is>
          <t>Research system is institutionally structured. | Methodology synthesis: D07–D11 matrix + assessment cards; requires pilot validation</t>
        </is>
      </c>
    </row>
    <row r="60">
      <c r="A60" s="2" t="inlineStr">
        <is>
          <t>D10</t>
        </is>
      </c>
      <c r="B60" s="2" t="inlineStr">
        <is>
          <t>Research, Innovation &amp; Knowledge Creation</t>
        </is>
      </c>
      <c r="C60" s="2" t="n">
        <v>4</v>
      </c>
      <c r="D60" s="2" t="inlineStr">
        <is>
          <t>Integrated</t>
        </is>
      </c>
      <c r="E60" s="2" t="inlineStr">
        <is>
          <t>Research, interdisciplinarity, industry, innovation and knowledge translation reinforce institutional purpose.</t>
        </is>
      </c>
      <c r="F60" s="2" t="inlineStr">
        <is>
          <t>Research portfolio, infrastructure, talent, funding, responsible AI, IP, industry links and impact evidence are connected.</t>
        </is>
      </c>
      <c r="G60" s="2" t="inlineStr">
        <is>
          <t>Research creates demonstrated external value. | Methodology synthesis: D07–D11 matrix + assessment cards; requires pilot validation</t>
        </is>
      </c>
    </row>
    <row r="61">
      <c r="A61" s="2" t="inlineStr">
        <is>
          <t>D10</t>
        </is>
      </c>
      <c r="B61" s="2" t="inlineStr">
        <is>
          <t>Research, Innovation &amp; Knowledge Creation</t>
        </is>
      </c>
      <c r="C61" s="2" t="n">
        <v>5</v>
      </c>
      <c r="D61" s="2" t="inlineStr">
        <is>
          <t>Adaptive</t>
        </is>
      </c>
      <c r="E61" s="2" t="inlineStr">
        <is>
          <t>Institution continuously builds new knowledge capacity and converts emerging questions into research, innovation and societal/economic value.</t>
        </is>
      </c>
      <c r="F61" s="2" t="inlineStr">
        <is>
          <t>Future research sensing, rapid interdisciplinary formation, AI-enabled but responsible research, translation and learning loops continually reshape the portfolio.</t>
        </is>
      </c>
      <c r="G61" s="2" t="inlineStr">
        <is>
          <t>Research becomes an adaptive knowledge-creation ecosystem. | Methodology synthesis: D07–D11 matrix + assessment cards; requires pilot validation</t>
        </is>
      </c>
    </row>
    <row r="62">
      <c r="A62" s="2" t="inlineStr">
        <is>
          <t>D11</t>
        </is>
      </c>
      <c r="B62" s="2" t="inlineStr">
        <is>
          <t>Institutional Adaptability &amp; AI Resilience</t>
        </is>
      </c>
      <c r="C62" s="2" t="n">
        <v>0</v>
      </c>
      <c r="D62" s="2" t="inlineStr">
        <is>
          <t>Absent</t>
        </is>
      </c>
      <c r="E62" s="2" t="inlineStr">
        <is>
          <t>No meaningful institutional mechanism for sensing, responding to or learning from disruption.</t>
        </is>
      </c>
      <c r="F62" s="2" t="inlineStr">
        <is>
          <t>No defined response, resource reallocation, experimentation or institutional learning mechanism.</t>
        </is>
      </c>
      <c r="G62" s="2" t="inlineStr">
        <is>
          <t>Resilience is absent. | Methodology synthesis: D07–D11 matrix + assessment cards; requires pilot validation</t>
        </is>
      </c>
    </row>
    <row r="63">
      <c r="A63" s="2" t="inlineStr">
        <is>
          <t>D11</t>
        </is>
      </c>
      <c r="B63" s="2" t="inlineStr">
        <is>
          <t>Institutional Adaptability &amp; AI Resilience</t>
        </is>
      </c>
      <c r="C63" s="2" t="n">
        <v>1</v>
      </c>
      <c r="D63" s="2" t="inlineStr">
        <is>
          <t>Reactive</t>
        </is>
      </c>
      <c r="E63" s="2" t="inlineStr">
        <is>
          <t>Institution mainly responds after change is visible or disruption occurs.</t>
        </is>
      </c>
      <c r="F63" s="2" t="inlineStr">
        <is>
          <t>Decisions are case-by-case; resource movement and learning depend on individual leaders.</t>
        </is>
      </c>
      <c r="G63" s="2" t="inlineStr">
        <is>
          <t>Adaptation is reactive. | Methodology synthesis: D07–D11 matrix + assessment cards; requires pilot validation</t>
        </is>
      </c>
    </row>
    <row r="64">
      <c r="A64" s="2" t="inlineStr">
        <is>
          <t>D11</t>
        </is>
      </c>
      <c r="B64" s="2" t="inlineStr">
        <is>
          <t>Institutional Adaptability &amp; AI Resilience</t>
        </is>
      </c>
      <c r="C64" s="2" t="n">
        <v>2</v>
      </c>
      <c r="D64" s="2" t="inlineStr">
        <is>
          <t>Emerging</t>
        </is>
      </c>
      <c r="E64" s="2" t="inlineStr">
        <is>
          <t>Institution monitors selected changes and periodically redesigns in response.</t>
        </is>
      </c>
      <c r="F64" s="2" t="inlineStr">
        <is>
          <t>Some sensing, review, experiments, resource adjustments or change-management practices are repeatable.</t>
        </is>
      </c>
      <c r="G64" s="2" t="inlineStr">
        <is>
          <t>Adaptation capability is developing. | Methodology synthesis: D07–D11 matrix + assessment cards; requires pilot validation</t>
        </is>
      </c>
    </row>
    <row r="65">
      <c r="A65" s="2" t="inlineStr">
        <is>
          <t>D11</t>
        </is>
      </c>
      <c r="B65" s="2" t="inlineStr">
        <is>
          <t>Institutional Adaptability &amp; AI Resilience</t>
        </is>
      </c>
      <c r="C65" s="2" t="n">
        <v>3</v>
      </c>
      <c r="D65" s="2" t="inlineStr">
        <is>
          <t>Structured</t>
        </is>
      </c>
      <c r="E65" s="2" t="inlineStr">
        <is>
          <t>Institution has defined mechanisms for sensing, deciding, reallocating, experimenting and learning.</t>
        </is>
      </c>
      <c r="F65" s="2" t="inlineStr">
        <is>
          <t>Representative evidence shows coordinated response, explicit decision rights, monitored experiments and documented learning.</t>
        </is>
      </c>
      <c r="G65" s="2" t="inlineStr">
        <is>
          <t>Adaptation is an institutional process. | Methodology synthesis: D07–D11 matrix + assessment cards; requires pilot validation</t>
        </is>
      </c>
    </row>
    <row r="66">
      <c r="A66" s="2" t="inlineStr">
        <is>
          <t>D11</t>
        </is>
      </c>
      <c r="B66" s="2" t="inlineStr">
        <is>
          <t>Institutional Adaptability &amp; AI Resilience</t>
        </is>
      </c>
      <c r="C66" s="2" t="n">
        <v>4</v>
      </c>
      <c r="D66" s="2" t="inlineStr">
        <is>
          <t>Integrated</t>
        </is>
      </c>
      <c r="E66" s="2" t="inlineStr">
        <is>
          <t>Institution continuously connects external signals, leadership, resources and operating systems to coordinated adaptation.</t>
        </is>
      </c>
      <c r="F66" s="2" t="inlineStr">
        <is>
          <t>Strategic, academic, workforce, digital, employability and research responses are aligned; experiments inform scaled change.</t>
        </is>
      </c>
      <c r="G66" s="2" t="inlineStr">
        <is>
          <t>Resilience is cross-functional and evidence-informed. | Methodology synthesis: D07–D11 matrix + assessment cards; requires pilot validation</t>
        </is>
      </c>
    </row>
    <row r="67">
      <c r="A67" s="2" t="inlineStr">
        <is>
          <t>D11</t>
        </is>
      </c>
      <c r="B67" s="2" t="inlineStr">
        <is>
          <t>Institutional Adaptability &amp; AI Resilience</t>
        </is>
      </c>
      <c r="C67" s="2" t="n">
        <v>5</v>
      </c>
      <c r="D67" s="2" t="inlineStr">
        <is>
          <t>Adaptive</t>
        </is>
      </c>
      <c r="E67" s="2" t="inlineStr">
        <is>
          <t>Institution deliberately senses emerging change, acts before pressure peaks, learns rapidly and reshapes itself while maintaining core quality.</t>
        </is>
      </c>
      <c r="F67" s="2" t="inlineStr">
        <is>
          <t>Scenario planning, resource agility, experimentation, failure learning, learner/workforce sensing and transformation loops continuously shape institutional evolution.</t>
        </is>
      </c>
      <c r="G67" s="2" t="inlineStr">
        <is>
          <t>AI resilience is demonstrated as a repeatable institutional capability. | Methodology synthesis: D07–D11 matrix + assessment cards; requires pilot validation</t>
        </is>
      </c>
    </row>
  </sheetData>
  <autoFilter ref="A1:G67"/>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B13"/>
  <sheetViews>
    <sheetView showGridLines="0" workbookViewId="0">
      <pane ySplit="1" topLeftCell="A2" activePane="bottomLeft" state="frozen"/>
      <selection pane="bottomLeft" activeCell="A1" sqref="A1"/>
    </sheetView>
  </sheetViews>
  <sheetFormatPr baseColWidth="8" defaultRowHeight="15"/>
  <cols>
    <col width="25.7109375" customWidth="1" min="1" max="2"/>
  </cols>
  <sheetData>
    <row r="1">
      <c r="A1" s="23" t="inlineStr">
        <is>
          <t>Rule</t>
        </is>
      </c>
      <c r="B1" s="23" t="inlineStr">
        <is>
          <t>Specification</t>
        </is>
      </c>
    </row>
    <row r="2">
      <c r="A2" s="2" t="inlineStr">
        <is>
          <t>R1</t>
        </is>
      </c>
      <c r="B2" s="2" t="inlineStr">
        <is>
          <t>Use the global 0–5 maturity scale as the common language across all 11 domains.</t>
        </is>
      </c>
    </row>
    <row r="3">
      <c r="A3" s="2" t="inlineStr">
        <is>
          <t>R2</t>
        </is>
      </c>
      <c r="B3" s="2" t="inlineStr">
        <is>
          <t>Score each domain against its own behavioural anchors; do not score against generic maturity wording alone.</t>
        </is>
      </c>
    </row>
    <row r="4">
      <c r="A4" s="2" t="inlineStr">
        <is>
          <t>R3</t>
        </is>
      </c>
      <c r="B4" s="2" t="inlineStr">
        <is>
          <t>Level 0 is applicable absence, not “not applicable”. N/A is handled separately in scoring architecture.</t>
        </is>
      </c>
    </row>
    <row r="5">
      <c r="A5" s="2" t="inlineStr">
        <is>
          <t>R4</t>
        </is>
      </c>
      <c r="B5" s="2" t="inlineStr">
        <is>
          <t>The highest level claimed must be supported by observable practice/evidence appropriate to that domain.</t>
        </is>
      </c>
    </row>
    <row r="6">
      <c r="A6" s="2" t="inlineStr">
        <is>
          <t>R5</t>
        </is>
      </c>
      <c r="B6" s="2" t="inlineStr">
        <is>
          <t>A policy or intention alone cannot establish Level 4 or Level 5 where operational evidence is required.</t>
        </is>
      </c>
    </row>
    <row r="7">
      <c r="A7" s="2" t="inlineStr">
        <is>
          <t>R6</t>
        </is>
      </c>
      <c r="B7" s="2" t="inlineStr">
        <is>
          <t>Level 5 requires evidence of sensing, learning and proactive redesign—not merely advanced activity or technology adoption.</t>
        </is>
      </c>
    </row>
    <row r="8">
      <c r="A8" s="2" t="inlineStr">
        <is>
          <t>R7</t>
        </is>
      </c>
      <c r="B8" s="2" t="inlineStr">
        <is>
          <t>Context calibration may alter required maturity, evidence burden and branching, but must not create an automatic score bonus.</t>
        </is>
      </c>
    </row>
    <row r="9">
      <c r="A9" s="2" t="inlineStr">
        <is>
          <t>R8</t>
        </is>
      </c>
      <c r="B9" s="2" t="inlineStr">
        <is>
          <t>Cross-domain evidence may corroborate a maturity claim, but one event must not be counted twice as independent capability evidence.</t>
        </is>
      </c>
    </row>
    <row r="10">
      <c r="A10" s="2" t="inlineStr">
        <is>
          <t>R9</t>
        </is>
      </c>
      <c r="B10" s="2" t="inlineStr">
        <is>
          <t>D07–D11 anchors are explicitly provisional until expert review and pilot validation.</t>
        </is>
      </c>
    </row>
    <row r="11">
      <c r="A11" s="2" t="inlineStr">
        <is>
          <t>R10</t>
        </is>
      </c>
      <c r="B11" s="2" t="inlineStr">
        <is>
          <t>The anchor language is behavioural and institution-level; it is not a checklist. Assessors must use judgement against evidence rules.</t>
        </is>
      </c>
    </row>
    <row r="12">
      <c r="A12" s="2" t="inlineStr">
        <is>
          <t>R11</t>
        </is>
      </c>
      <c r="B12" s="2" t="inlineStr">
        <is>
          <t>For a claimed Level 4/5, contradiction flags from other domains must be investigated before final scoring.</t>
        </is>
      </c>
    </row>
    <row r="13">
      <c r="A13" s="2" t="inlineStr">
        <is>
          <t>R12</t>
        </is>
      </c>
      <c r="B13" s="2" t="inlineStr">
        <is>
          <t>Anchor version must be stored with every assessment result.</t>
        </is>
      </c>
    </row>
  </sheetData>
  <autoFilter ref="A1:B13"/>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F67"/>
  <sheetViews>
    <sheetView showGridLines="0" workbookViewId="0">
      <pane ySplit="1" topLeftCell="A2" activePane="bottomLeft" state="frozen"/>
      <selection pane="bottomLeft" activeCell="A1" sqref="A1"/>
    </sheetView>
  </sheetViews>
  <sheetFormatPr baseColWidth="8" defaultRowHeight="15"/>
  <cols>
    <col width="25.7109375" customWidth="1" min="1" max="6"/>
  </cols>
  <sheetData>
    <row r="1">
      <c r="A1" s="23" t="inlineStr">
        <is>
          <t>Domain</t>
        </is>
      </c>
      <c r="B1" s="23" t="inlineStr">
        <is>
          <t>Level</t>
        </is>
      </c>
      <c r="C1" s="23" t="inlineStr">
        <is>
          <t>Anchor source</t>
        </is>
      </c>
      <c r="D1" s="23" t="inlineStr">
        <is>
          <t>Source workbook/sheet</t>
        </is>
      </c>
      <c r="E1" s="23" t="inlineStr">
        <is>
          <t>Status</t>
        </is>
      </c>
      <c r="F1" s="23" t="inlineStr">
        <is>
          <t>Action</t>
        </is>
      </c>
    </row>
    <row r="2">
      <c r="A2" s="2" t="inlineStr">
        <is>
          <t>D01</t>
        </is>
      </c>
      <c r="B2" s="2" t="n">
        <v>0</v>
      </c>
      <c r="C2" s="2" t="inlineStr">
        <is>
          <t>Source-derived</t>
        </is>
      </c>
      <c r="D2" s="2" t="inlineStr">
        <is>
          <t>Maturity_Anchors</t>
        </is>
      </c>
      <c r="E2" s="2" t="inlineStr">
        <is>
          <t>Restored from canonical D01–D03 source</t>
        </is>
      </c>
      <c r="F2" s="2" t="inlineStr">
        <is>
          <t>Preserve; validate wording in expert review.</t>
        </is>
      </c>
    </row>
    <row r="3">
      <c r="A3" s="2" t="inlineStr">
        <is>
          <t>D01</t>
        </is>
      </c>
      <c r="B3" s="2" t="n">
        <v>1</v>
      </c>
      <c r="C3" s="2" t="inlineStr">
        <is>
          <t>Source-derived</t>
        </is>
      </c>
      <c r="D3" s="2" t="inlineStr">
        <is>
          <t>Maturity_Anchors</t>
        </is>
      </c>
      <c r="E3" s="2" t="inlineStr">
        <is>
          <t>Restored from canonical D01–D03 source</t>
        </is>
      </c>
      <c r="F3" s="2" t="inlineStr">
        <is>
          <t>Preserve; validate wording in expert review.</t>
        </is>
      </c>
    </row>
    <row r="4">
      <c r="A4" s="2" t="inlineStr">
        <is>
          <t>D01</t>
        </is>
      </c>
      <c r="B4" s="2" t="n">
        <v>2</v>
      </c>
      <c r="C4" s="2" t="inlineStr">
        <is>
          <t>Source-derived</t>
        </is>
      </c>
      <c r="D4" s="2" t="inlineStr">
        <is>
          <t>Maturity_Anchors</t>
        </is>
      </c>
      <c r="E4" s="2" t="inlineStr">
        <is>
          <t>Restored from canonical D01–D03 source</t>
        </is>
      </c>
      <c r="F4" s="2" t="inlineStr">
        <is>
          <t>Preserve; validate wording in expert review.</t>
        </is>
      </c>
    </row>
    <row r="5">
      <c r="A5" s="2" t="inlineStr">
        <is>
          <t>D01</t>
        </is>
      </c>
      <c r="B5" s="2" t="n">
        <v>3</v>
      </c>
      <c r="C5" s="2" t="inlineStr">
        <is>
          <t>Source-derived</t>
        </is>
      </c>
      <c r="D5" s="2" t="inlineStr">
        <is>
          <t>Maturity_Anchors</t>
        </is>
      </c>
      <c r="E5" s="2" t="inlineStr">
        <is>
          <t>Restored from canonical D01–D03 source</t>
        </is>
      </c>
      <c r="F5" s="2" t="inlineStr">
        <is>
          <t>Preserve; validate wording in expert review.</t>
        </is>
      </c>
    </row>
    <row r="6">
      <c r="A6" s="2" t="inlineStr">
        <is>
          <t>D01</t>
        </is>
      </c>
      <c r="B6" s="2" t="n">
        <v>4</v>
      </c>
      <c r="C6" s="2" t="inlineStr">
        <is>
          <t>Source-derived</t>
        </is>
      </c>
      <c r="D6" s="2" t="inlineStr">
        <is>
          <t>Maturity_Anchors</t>
        </is>
      </c>
      <c r="E6" s="2" t="inlineStr">
        <is>
          <t>Restored from canonical D01–D03 source</t>
        </is>
      </c>
      <c r="F6" s="2" t="inlineStr">
        <is>
          <t>Preserve; validate wording in expert review.</t>
        </is>
      </c>
    </row>
    <row r="7">
      <c r="A7" s="2" t="inlineStr">
        <is>
          <t>D01</t>
        </is>
      </c>
      <c r="B7" s="2" t="n">
        <v>5</v>
      </c>
      <c r="C7" s="2" t="inlineStr">
        <is>
          <t>Source-derived</t>
        </is>
      </c>
      <c r="D7" s="2" t="inlineStr">
        <is>
          <t>Maturity_Anchors</t>
        </is>
      </c>
      <c r="E7" s="2" t="inlineStr">
        <is>
          <t>Restored from canonical D01–D03 source</t>
        </is>
      </c>
      <c r="F7" s="2" t="inlineStr">
        <is>
          <t>Preserve; validate wording in expert review.</t>
        </is>
      </c>
    </row>
    <row r="8">
      <c r="A8" s="2" t="inlineStr">
        <is>
          <t>D02</t>
        </is>
      </c>
      <c r="B8" s="2" t="n">
        <v>0</v>
      </c>
      <c r="C8" s="2" t="inlineStr">
        <is>
          <t>Source-derived</t>
        </is>
      </c>
      <c r="D8" s="2" t="inlineStr">
        <is>
          <t>Maturity_Anchors</t>
        </is>
      </c>
      <c r="E8" s="2" t="inlineStr">
        <is>
          <t>Restored from canonical D01–D03 source</t>
        </is>
      </c>
      <c r="F8" s="2" t="inlineStr">
        <is>
          <t>Preserve; validate wording in expert review.</t>
        </is>
      </c>
    </row>
    <row r="9">
      <c r="A9" s="2" t="inlineStr">
        <is>
          <t>D02</t>
        </is>
      </c>
      <c r="B9" s="2" t="n">
        <v>1</v>
      </c>
      <c r="C9" s="2" t="inlineStr">
        <is>
          <t>Source-derived</t>
        </is>
      </c>
      <c r="D9" s="2" t="inlineStr">
        <is>
          <t>Maturity_Anchors</t>
        </is>
      </c>
      <c r="E9" s="2" t="inlineStr">
        <is>
          <t>Restored from canonical D01–D03 source</t>
        </is>
      </c>
      <c r="F9" s="2" t="inlineStr">
        <is>
          <t>Preserve; validate wording in expert review.</t>
        </is>
      </c>
    </row>
    <row r="10">
      <c r="A10" s="2" t="inlineStr">
        <is>
          <t>D02</t>
        </is>
      </c>
      <c r="B10" s="2" t="n">
        <v>2</v>
      </c>
      <c r="C10" s="2" t="inlineStr">
        <is>
          <t>Source-derived</t>
        </is>
      </c>
      <c r="D10" s="2" t="inlineStr">
        <is>
          <t>Maturity_Anchors</t>
        </is>
      </c>
      <c r="E10" s="2" t="inlineStr">
        <is>
          <t>Restored from canonical D01–D03 source</t>
        </is>
      </c>
      <c r="F10" s="2" t="inlineStr">
        <is>
          <t>Preserve; validate wording in expert review.</t>
        </is>
      </c>
    </row>
    <row r="11">
      <c r="A11" s="2" t="inlineStr">
        <is>
          <t>D02</t>
        </is>
      </c>
      <c r="B11" s="2" t="n">
        <v>3</v>
      </c>
      <c r="C11" s="2" t="inlineStr">
        <is>
          <t>Source-derived</t>
        </is>
      </c>
      <c r="D11" s="2" t="inlineStr">
        <is>
          <t>Maturity_Anchors</t>
        </is>
      </c>
      <c r="E11" s="2" t="inlineStr">
        <is>
          <t>Restored from canonical D01–D03 source</t>
        </is>
      </c>
      <c r="F11" s="2" t="inlineStr">
        <is>
          <t>Preserve; validate wording in expert review.</t>
        </is>
      </c>
    </row>
    <row r="12">
      <c r="A12" s="2" t="inlineStr">
        <is>
          <t>D02</t>
        </is>
      </c>
      <c r="B12" s="2" t="n">
        <v>4</v>
      </c>
      <c r="C12" s="2" t="inlineStr">
        <is>
          <t>Source-derived</t>
        </is>
      </c>
      <c r="D12" s="2" t="inlineStr">
        <is>
          <t>Maturity_Anchors</t>
        </is>
      </c>
      <c r="E12" s="2" t="inlineStr">
        <is>
          <t>Restored from canonical D01–D03 source</t>
        </is>
      </c>
      <c r="F12" s="2" t="inlineStr">
        <is>
          <t>Preserve; validate wording in expert review.</t>
        </is>
      </c>
    </row>
    <row r="13">
      <c r="A13" s="2" t="inlineStr">
        <is>
          <t>D02</t>
        </is>
      </c>
      <c r="B13" s="2" t="n">
        <v>5</v>
      </c>
      <c r="C13" s="2" t="inlineStr">
        <is>
          <t>Source-derived</t>
        </is>
      </c>
      <c r="D13" s="2" t="inlineStr">
        <is>
          <t>Maturity_Anchors</t>
        </is>
      </c>
      <c r="E13" s="2" t="inlineStr">
        <is>
          <t>Restored from canonical D01–D03 source</t>
        </is>
      </c>
      <c r="F13" s="2" t="inlineStr">
        <is>
          <t>Preserve; validate wording in expert review.</t>
        </is>
      </c>
    </row>
    <row r="14">
      <c r="A14" s="2" t="inlineStr">
        <is>
          <t>D03</t>
        </is>
      </c>
      <c r="B14" s="2" t="n">
        <v>0</v>
      </c>
      <c r="C14" s="2" t="inlineStr">
        <is>
          <t>Source-derived</t>
        </is>
      </c>
      <c r="D14" s="2" t="inlineStr">
        <is>
          <t>Maturity_Anchors</t>
        </is>
      </c>
      <c r="E14" s="2" t="inlineStr">
        <is>
          <t>Restored from canonical D01–D03 source</t>
        </is>
      </c>
      <c r="F14" s="2" t="inlineStr">
        <is>
          <t>Preserve; validate wording in expert review.</t>
        </is>
      </c>
    </row>
    <row r="15">
      <c r="A15" s="2" t="inlineStr">
        <is>
          <t>D03</t>
        </is>
      </c>
      <c r="B15" s="2" t="n">
        <v>1</v>
      </c>
      <c r="C15" s="2" t="inlineStr">
        <is>
          <t>Source-derived</t>
        </is>
      </c>
      <c r="D15" s="2" t="inlineStr">
        <is>
          <t>Maturity_Anchors</t>
        </is>
      </c>
      <c r="E15" s="2" t="inlineStr">
        <is>
          <t>Restored from canonical D01–D03 source</t>
        </is>
      </c>
      <c r="F15" s="2" t="inlineStr">
        <is>
          <t>Preserve; validate wording in expert review.</t>
        </is>
      </c>
    </row>
    <row r="16">
      <c r="A16" s="2" t="inlineStr">
        <is>
          <t>D03</t>
        </is>
      </c>
      <c r="B16" s="2" t="n">
        <v>2</v>
      </c>
      <c r="C16" s="2" t="inlineStr">
        <is>
          <t>Source-derived</t>
        </is>
      </c>
      <c r="D16" s="2" t="inlineStr">
        <is>
          <t>Maturity_Anchors</t>
        </is>
      </c>
      <c r="E16" s="2" t="inlineStr">
        <is>
          <t>Restored from canonical D01–D03 source</t>
        </is>
      </c>
      <c r="F16" s="2" t="inlineStr">
        <is>
          <t>Preserve; validate wording in expert review.</t>
        </is>
      </c>
    </row>
    <row r="17">
      <c r="A17" s="2" t="inlineStr">
        <is>
          <t>D03</t>
        </is>
      </c>
      <c r="B17" s="2" t="n">
        <v>3</v>
      </c>
      <c r="C17" s="2" t="inlineStr">
        <is>
          <t>Source-derived</t>
        </is>
      </c>
      <c r="D17" s="2" t="inlineStr">
        <is>
          <t>Maturity_Anchors</t>
        </is>
      </c>
      <c r="E17" s="2" t="inlineStr">
        <is>
          <t>Restored from canonical D01–D03 source</t>
        </is>
      </c>
      <c r="F17" s="2" t="inlineStr">
        <is>
          <t>Preserve; validate wording in expert review.</t>
        </is>
      </c>
    </row>
    <row r="18">
      <c r="A18" s="2" t="inlineStr">
        <is>
          <t>D03</t>
        </is>
      </c>
      <c r="B18" s="2" t="n">
        <v>4</v>
      </c>
      <c r="C18" s="2" t="inlineStr">
        <is>
          <t>Source-derived</t>
        </is>
      </c>
      <c r="D18" s="2" t="inlineStr">
        <is>
          <t>Maturity_Anchors</t>
        </is>
      </c>
      <c r="E18" s="2" t="inlineStr">
        <is>
          <t>Restored from canonical D01–D03 source</t>
        </is>
      </c>
      <c r="F18" s="2" t="inlineStr">
        <is>
          <t>Preserve; validate wording in expert review.</t>
        </is>
      </c>
    </row>
    <row r="19">
      <c r="A19" s="2" t="inlineStr">
        <is>
          <t>D03</t>
        </is>
      </c>
      <c r="B19" s="2" t="n">
        <v>5</v>
      </c>
      <c r="C19" s="2" t="inlineStr">
        <is>
          <t>Source-derived</t>
        </is>
      </c>
      <c r="D19" s="2" t="inlineStr">
        <is>
          <t>Maturity_Anchors</t>
        </is>
      </c>
      <c r="E19" s="2" t="inlineStr">
        <is>
          <t>Restored from canonical D01–D03 source</t>
        </is>
      </c>
      <c r="F19" s="2" t="inlineStr">
        <is>
          <t>Preserve; validate wording in expert review.</t>
        </is>
      </c>
    </row>
    <row r="20">
      <c r="A20" s="2" t="inlineStr">
        <is>
          <t>D04</t>
        </is>
      </c>
      <c r="B20" s="2" t="n">
        <v>0</v>
      </c>
      <c r="C20" s="2" t="inlineStr">
        <is>
          <t>Source-derived</t>
        </is>
      </c>
      <c r="D20" s="2" t="inlineStr">
        <is>
          <t>D04_D06_Maturity_Anchors</t>
        </is>
      </c>
      <c r="E20" s="2" t="inlineStr">
        <is>
          <t>Restored from D04–D06 source</t>
        </is>
      </c>
      <c r="F20" s="2" t="inlineStr">
        <is>
          <t>Preserve; validate wording in expert review.</t>
        </is>
      </c>
    </row>
    <row r="21">
      <c r="A21" s="2" t="inlineStr">
        <is>
          <t>D04</t>
        </is>
      </c>
      <c r="B21" s="2" t="n">
        <v>1</v>
      </c>
      <c r="C21" s="2" t="inlineStr">
        <is>
          <t>Source-derived</t>
        </is>
      </c>
      <c r="D21" s="2" t="inlineStr">
        <is>
          <t>D04_D06_Maturity_Anchors</t>
        </is>
      </c>
      <c r="E21" s="2" t="inlineStr">
        <is>
          <t>Restored from D04–D06 source</t>
        </is>
      </c>
      <c r="F21" s="2" t="inlineStr">
        <is>
          <t>Preserve; validate wording in expert review.</t>
        </is>
      </c>
    </row>
    <row r="22">
      <c r="A22" s="2" t="inlineStr">
        <is>
          <t>D04</t>
        </is>
      </c>
      <c r="B22" s="2" t="n">
        <v>2</v>
      </c>
      <c r="C22" s="2" t="inlineStr">
        <is>
          <t>Source-derived</t>
        </is>
      </c>
      <c r="D22" s="2" t="inlineStr">
        <is>
          <t>D04_D06_Maturity_Anchors</t>
        </is>
      </c>
      <c r="E22" s="2" t="inlineStr">
        <is>
          <t>Restored from D04–D06 source</t>
        </is>
      </c>
      <c r="F22" s="2" t="inlineStr">
        <is>
          <t>Preserve; validate wording in expert review.</t>
        </is>
      </c>
    </row>
    <row r="23">
      <c r="A23" s="2" t="inlineStr">
        <is>
          <t>D04</t>
        </is>
      </c>
      <c r="B23" s="2" t="n">
        <v>3</v>
      </c>
      <c r="C23" s="2" t="inlineStr">
        <is>
          <t>Source-derived</t>
        </is>
      </c>
      <c r="D23" s="2" t="inlineStr">
        <is>
          <t>D04_D06_Maturity_Anchors</t>
        </is>
      </c>
      <c r="E23" s="2" t="inlineStr">
        <is>
          <t>Restored from D04–D06 source</t>
        </is>
      </c>
      <c r="F23" s="2" t="inlineStr">
        <is>
          <t>Preserve; validate wording in expert review.</t>
        </is>
      </c>
    </row>
    <row r="24">
      <c r="A24" s="2" t="inlineStr">
        <is>
          <t>D04</t>
        </is>
      </c>
      <c r="B24" s="2" t="n">
        <v>4</v>
      </c>
      <c r="C24" s="2" t="inlineStr">
        <is>
          <t>Source-derived</t>
        </is>
      </c>
      <c r="D24" s="2" t="inlineStr">
        <is>
          <t>D04_D06_Maturity_Anchors</t>
        </is>
      </c>
      <c r="E24" s="2" t="inlineStr">
        <is>
          <t>Restored from D04–D06 source</t>
        </is>
      </c>
      <c r="F24" s="2" t="inlineStr">
        <is>
          <t>Preserve; validate wording in expert review.</t>
        </is>
      </c>
    </row>
    <row r="25">
      <c r="A25" s="2" t="inlineStr">
        <is>
          <t>D04</t>
        </is>
      </c>
      <c r="B25" s="2" t="n">
        <v>5</v>
      </c>
      <c r="C25" s="2" t="inlineStr">
        <is>
          <t>Source-derived</t>
        </is>
      </c>
      <c r="D25" s="2" t="inlineStr">
        <is>
          <t>D04_D06_Maturity_Anchors</t>
        </is>
      </c>
      <c r="E25" s="2" t="inlineStr">
        <is>
          <t>Restored from D04–D06 source</t>
        </is>
      </c>
      <c r="F25" s="2" t="inlineStr">
        <is>
          <t>Preserve; validate wording in expert review.</t>
        </is>
      </c>
    </row>
    <row r="26">
      <c r="A26" s="2" t="inlineStr">
        <is>
          <t>D05</t>
        </is>
      </c>
      <c r="B26" s="2" t="n">
        <v>0</v>
      </c>
      <c r="C26" s="2" t="inlineStr">
        <is>
          <t>Source-derived</t>
        </is>
      </c>
      <c r="D26" s="2" t="inlineStr">
        <is>
          <t>D04_D06_Maturity_Anchors</t>
        </is>
      </c>
      <c r="E26" s="2" t="inlineStr">
        <is>
          <t>Restored from D04–D06 source</t>
        </is>
      </c>
      <c r="F26" s="2" t="inlineStr">
        <is>
          <t>Preserve; validate wording in expert review.</t>
        </is>
      </c>
    </row>
    <row r="27">
      <c r="A27" s="2" t="inlineStr">
        <is>
          <t>D05</t>
        </is>
      </c>
      <c r="B27" s="2" t="n">
        <v>1</v>
      </c>
      <c r="C27" s="2" t="inlineStr">
        <is>
          <t>Source-derived</t>
        </is>
      </c>
      <c r="D27" s="2" t="inlineStr">
        <is>
          <t>D04_D06_Maturity_Anchors</t>
        </is>
      </c>
      <c r="E27" s="2" t="inlineStr">
        <is>
          <t>Restored from D04–D06 source</t>
        </is>
      </c>
      <c r="F27" s="2" t="inlineStr">
        <is>
          <t>Preserve; validate wording in expert review.</t>
        </is>
      </c>
    </row>
    <row r="28">
      <c r="A28" s="2" t="inlineStr">
        <is>
          <t>D05</t>
        </is>
      </c>
      <c r="B28" s="2" t="n">
        <v>2</v>
      </c>
      <c r="C28" s="2" t="inlineStr">
        <is>
          <t>Source-derived</t>
        </is>
      </c>
      <c r="D28" s="2" t="inlineStr">
        <is>
          <t>D04_D06_Maturity_Anchors</t>
        </is>
      </c>
      <c r="E28" s="2" t="inlineStr">
        <is>
          <t>Restored from D04–D06 source</t>
        </is>
      </c>
      <c r="F28" s="2" t="inlineStr">
        <is>
          <t>Preserve; validate wording in expert review.</t>
        </is>
      </c>
    </row>
    <row r="29">
      <c r="A29" s="2" t="inlineStr">
        <is>
          <t>D05</t>
        </is>
      </c>
      <c r="B29" s="2" t="n">
        <v>3</v>
      </c>
      <c r="C29" s="2" t="inlineStr">
        <is>
          <t>Source-derived</t>
        </is>
      </c>
      <c r="D29" s="2" t="inlineStr">
        <is>
          <t>D04_D06_Maturity_Anchors</t>
        </is>
      </c>
      <c r="E29" s="2" t="inlineStr">
        <is>
          <t>Restored from D04–D06 source</t>
        </is>
      </c>
      <c r="F29" s="2" t="inlineStr">
        <is>
          <t>Preserve; validate wording in expert review.</t>
        </is>
      </c>
    </row>
    <row r="30">
      <c r="A30" s="2" t="inlineStr">
        <is>
          <t>D05</t>
        </is>
      </c>
      <c r="B30" s="2" t="n">
        <v>4</v>
      </c>
      <c r="C30" s="2" t="inlineStr">
        <is>
          <t>Source-derived</t>
        </is>
      </c>
      <c r="D30" s="2" t="inlineStr">
        <is>
          <t>D04_D06_Maturity_Anchors</t>
        </is>
      </c>
      <c r="E30" s="2" t="inlineStr">
        <is>
          <t>Restored from D04–D06 source</t>
        </is>
      </c>
      <c r="F30" s="2" t="inlineStr">
        <is>
          <t>Preserve; validate wording in expert review.</t>
        </is>
      </c>
    </row>
    <row r="31">
      <c r="A31" s="2" t="inlineStr">
        <is>
          <t>D05</t>
        </is>
      </c>
      <c r="B31" s="2" t="n">
        <v>5</v>
      </c>
      <c r="C31" s="2" t="inlineStr">
        <is>
          <t>Source-derived</t>
        </is>
      </c>
      <c r="D31" s="2" t="inlineStr">
        <is>
          <t>D04_D06_Maturity_Anchors</t>
        </is>
      </c>
      <c r="E31" s="2" t="inlineStr">
        <is>
          <t>Restored from D04–D06 source</t>
        </is>
      </c>
      <c r="F31" s="2" t="inlineStr">
        <is>
          <t>Preserve; validate wording in expert review.</t>
        </is>
      </c>
    </row>
    <row r="32">
      <c r="A32" s="2" t="inlineStr">
        <is>
          <t>D06</t>
        </is>
      </c>
      <c r="B32" s="2" t="n">
        <v>0</v>
      </c>
      <c r="C32" s="2" t="inlineStr">
        <is>
          <t>Source-derived</t>
        </is>
      </c>
      <c r="D32" s="2" t="inlineStr">
        <is>
          <t>D04_D06_Maturity_Anchors</t>
        </is>
      </c>
      <c r="E32" s="2" t="inlineStr">
        <is>
          <t>Restored from D04–D06 source</t>
        </is>
      </c>
      <c r="F32" s="2" t="inlineStr">
        <is>
          <t>Preserve; validate wording in expert review.</t>
        </is>
      </c>
    </row>
    <row r="33">
      <c r="A33" s="2" t="inlineStr">
        <is>
          <t>D06</t>
        </is>
      </c>
      <c r="B33" s="2" t="n">
        <v>1</v>
      </c>
      <c r="C33" s="2" t="inlineStr">
        <is>
          <t>Source-derived</t>
        </is>
      </c>
      <c r="D33" s="2" t="inlineStr">
        <is>
          <t>D04_D06_Maturity_Anchors</t>
        </is>
      </c>
      <c r="E33" s="2" t="inlineStr">
        <is>
          <t>Restored from D04–D06 source</t>
        </is>
      </c>
      <c r="F33" s="2" t="inlineStr">
        <is>
          <t>Preserve; validate wording in expert review.</t>
        </is>
      </c>
    </row>
    <row r="34">
      <c r="A34" s="2" t="inlineStr">
        <is>
          <t>D06</t>
        </is>
      </c>
      <c r="B34" s="2" t="n">
        <v>2</v>
      </c>
      <c r="C34" s="2" t="inlineStr">
        <is>
          <t>Source-derived</t>
        </is>
      </c>
      <c r="D34" s="2" t="inlineStr">
        <is>
          <t>D04_D06_Maturity_Anchors</t>
        </is>
      </c>
      <c r="E34" s="2" t="inlineStr">
        <is>
          <t>Restored from D04–D06 source</t>
        </is>
      </c>
      <c r="F34" s="2" t="inlineStr">
        <is>
          <t>Preserve; validate wording in expert review.</t>
        </is>
      </c>
    </row>
    <row r="35">
      <c r="A35" s="2" t="inlineStr">
        <is>
          <t>D06</t>
        </is>
      </c>
      <c r="B35" s="2" t="n">
        <v>3</v>
      </c>
      <c r="C35" s="2" t="inlineStr">
        <is>
          <t>Source-derived</t>
        </is>
      </c>
      <c r="D35" s="2" t="inlineStr">
        <is>
          <t>D04_D06_Maturity_Anchors</t>
        </is>
      </c>
      <c r="E35" s="2" t="inlineStr">
        <is>
          <t>Restored from D04–D06 source</t>
        </is>
      </c>
      <c r="F35" s="2" t="inlineStr">
        <is>
          <t>Preserve; validate wording in expert review.</t>
        </is>
      </c>
    </row>
    <row r="36">
      <c r="A36" s="2" t="inlineStr">
        <is>
          <t>D06</t>
        </is>
      </c>
      <c r="B36" s="2" t="n">
        <v>4</v>
      </c>
      <c r="C36" s="2" t="inlineStr">
        <is>
          <t>Source-derived</t>
        </is>
      </c>
      <c r="D36" s="2" t="inlineStr">
        <is>
          <t>D04_D06_Maturity_Anchors</t>
        </is>
      </c>
      <c r="E36" s="2" t="inlineStr">
        <is>
          <t>Restored from D04–D06 source</t>
        </is>
      </c>
      <c r="F36" s="2" t="inlineStr">
        <is>
          <t>Preserve; validate wording in expert review.</t>
        </is>
      </c>
    </row>
    <row r="37">
      <c r="A37" s="2" t="inlineStr">
        <is>
          <t>D06</t>
        </is>
      </c>
      <c r="B37" s="2" t="n">
        <v>5</v>
      </c>
      <c r="C37" s="2" t="inlineStr">
        <is>
          <t>Source-derived</t>
        </is>
      </c>
      <c r="D37" s="2" t="inlineStr">
        <is>
          <t>D04_D06_Maturity_Anchors</t>
        </is>
      </c>
      <c r="E37" s="2" t="inlineStr">
        <is>
          <t>Restored from D04–D06 source</t>
        </is>
      </c>
      <c r="F37" s="2" t="inlineStr">
        <is>
          <t>Preserve; validate wording in expert review.</t>
        </is>
      </c>
    </row>
    <row r="38">
      <c r="A38" s="2" t="inlineStr">
        <is>
          <t>D07</t>
        </is>
      </c>
      <c r="B38" s="2" t="n">
        <v>0</v>
      </c>
      <c r="C38" s="2" t="inlineStr">
        <is>
          <t>Synthesised</t>
        </is>
      </c>
      <c r="D38" s="2" t="inlineStr">
        <is>
          <t>D07_Matrix + D07_Assessment_Cards</t>
        </is>
      </c>
      <c r="E38" s="2" t="inlineStr">
        <is>
          <t>New synthesis</t>
        </is>
      </c>
      <c r="F38" s="2" t="inlineStr">
        <is>
          <t>Expert review + cognitive interview + pilot calibration required.</t>
        </is>
      </c>
    </row>
    <row r="39">
      <c r="A39" s="2" t="inlineStr">
        <is>
          <t>D07</t>
        </is>
      </c>
      <c r="B39" s="2" t="n">
        <v>1</v>
      </c>
      <c r="C39" s="2" t="inlineStr">
        <is>
          <t>Synthesised</t>
        </is>
      </c>
      <c r="D39" s="2" t="inlineStr">
        <is>
          <t>D07_Matrix + D07_Assessment_Cards</t>
        </is>
      </c>
      <c r="E39" s="2" t="inlineStr">
        <is>
          <t>New synthesis</t>
        </is>
      </c>
      <c r="F39" s="2" t="inlineStr">
        <is>
          <t>Expert review + cognitive interview + pilot calibration required.</t>
        </is>
      </c>
    </row>
    <row r="40">
      <c r="A40" s="2" t="inlineStr">
        <is>
          <t>D07</t>
        </is>
      </c>
      <c r="B40" s="2" t="n">
        <v>2</v>
      </c>
      <c r="C40" s="2" t="inlineStr">
        <is>
          <t>Synthesised</t>
        </is>
      </c>
      <c r="D40" s="2" t="inlineStr">
        <is>
          <t>D07_Matrix + D07_Assessment_Cards</t>
        </is>
      </c>
      <c r="E40" s="2" t="inlineStr">
        <is>
          <t>New synthesis</t>
        </is>
      </c>
      <c r="F40" s="2" t="inlineStr">
        <is>
          <t>Expert review + cognitive interview + pilot calibration required.</t>
        </is>
      </c>
    </row>
    <row r="41">
      <c r="A41" s="2" t="inlineStr">
        <is>
          <t>D07</t>
        </is>
      </c>
      <c r="B41" s="2" t="n">
        <v>3</v>
      </c>
      <c r="C41" s="2" t="inlineStr">
        <is>
          <t>Synthesised</t>
        </is>
      </c>
      <c r="D41" s="2" t="inlineStr">
        <is>
          <t>D07_Matrix + D07_Assessment_Cards</t>
        </is>
      </c>
      <c r="E41" s="2" t="inlineStr">
        <is>
          <t>New synthesis</t>
        </is>
      </c>
      <c r="F41" s="2" t="inlineStr">
        <is>
          <t>Expert review + cognitive interview + pilot calibration required.</t>
        </is>
      </c>
    </row>
    <row r="42">
      <c r="A42" s="2" t="inlineStr">
        <is>
          <t>D07</t>
        </is>
      </c>
      <c r="B42" s="2" t="n">
        <v>4</v>
      </c>
      <c r="C42" s="2" t="inlineStr">
        <is>
          <t>Synthesised</t>
        </is>
      </c>
      <c r="D42" s="2" t="inlineStr">
        <is>
          <t>D07_Matrix + D07_Assessment_Cards</t>
        </is>
      </c>
      <c r="E42" s="2" t="inlineStr">
        <is>
          <t>New synthesis</t>
        </is>
      </c>
      <c r="F42" s="2" t="inlineStr">
        <is>
          <t>Expert review + cognitive interview + pilot calibration required.</t>
        </is>
      </c>
    </row>
    <row r="43">
      <c r="A43" s="2" t="inlineStr">
        <is>
          <t>D07</t>
        </is>
      </c>
      <c r="B43" s="2" t="n">
        <v>5</v>
      </c>
      <c r="C43" s="2" t="inlineStr">
        <is>
          <t>Synthesised</t>
        </is>
      </c>
      <c r="D43" s="2" t="inlineStr">
        <is>
          <t>D07_Matrix + D07_Assessment_Cards</t>
        </is>
      </c>
      <c r="E43" s="2" t="inlineStr">
        <is>
          <t>New synthesis</t>
        </is>
      </c>
      <c r="F43" s="2" t="inlineStr">
        <is>
          <t>Expert review + cognitive interview + pilot calibration required.</t>
        </is>
      </c>
    </row>
    <row r="44">
      <c r="A44" s="2" t="inlineStr">
        <is>
          <t>D08</t>
        </is>
      </c>
      <c r="B44" s="2" t="n">
        <v>0</v>
      </c>
      <c r="C44" s="2" t="inlineStr">
        <is>
          <t>Synthesised</t>
        </is>
      </c>
      <c r="D44" s="2" t="inlineStr">
        <is>
          <t>D08_Matrix + D08_Assessment_Cards</t>
        </is>
      </c>
      <c r="E44" s="2" t="inlineStr">
        <is>
          <t>New synthesis</t>
        </is>
      </c>
      <c r="F44" s="2" t="inlineStr">
        <is>
          <t>Expert review + cognitive interview + pilot calibration required.</t>
        </is>
      </c>
    </row>
    <row r="45">
      <c r="A45" s="2" t="inlineStr">
        <is>
          <t>D08</t>
        </is>
      </c>
      <c r="B45" s="2" t="n">
        <v>1</v>
      </c>
      <c r="C45" s="2" t="inlineStr">
        <is>
          <t>Synthesised</t>
        </is>
      </c>
      <c r="D45" s="2" t="inlineStr">
        <is>
          <t>D08_Matrix + D08_Assessment_Cards</t>
        </is>
      </c>
      <c r="E45" s="2" t="inlineStr">
        <is>
          <t>New synthesis</t>
        </is>
      </c>
      <c r="F45" s="2" t="inlineStr">
        <is>
          <t>Expert review + cognitive interview + pilot calibration required.</t>
        </is>
      </c>
    </row>
    <row r="46">
      <c r="A46" s="2" t="inlineStr">
        <is>
          <t>D08</t>
        </is>
      </c>
      <c r="B46" s="2" t="n">
        <v>2</v>
      </c>
      <c r="C46" s="2" t="inlineStr">
        <is>
          <t>Synthesised</t>
        </is>
      </c>
      <c r="D46" s="2" t="inlineStr">
        <is>
          <t>D08_Matrix + D08_Assessment_Cards</t>
        </is>
      </c>
      <c r="E46" s="2" t="inlineStr">
        <is>
          <t>New synthesis</t>
        </is>
      </c>
      <c r="F46" s="2" t="inlineStr">
        <is>
          <t>Expert review + cognitive interview + pilot calibration required.</t>
        </is>
      </c>
    </row>
    <row r="47">
      <c r="A47" s="2" t="inlineStr">
        <is>
          <t>D08</t>
        </is>
      </c>
      <c r="B47" s="2" t="n">
        <v>3</v>
      </c>
      <c r="C47" s="2" t="inlineStr">
        <is>
          <t>Synthesised</t>
        </is>
      </c>
      <c r="D47" s="2" t="inlineStr">
        <is>
          <t>D08_Matrix + D08_Assessment_Cards</t>
        </is>
      </c>
      <c r="E47" s="2" t="inlineStr">
        <is>
          <t>New synthesis</t>
        </is>
      </c>
      <c r="F47" s="2" t="inlineStr">
        <is>
          <t>Expert review + cognitive interview + pilot calibration required.</t>
        </is>
      </c>
    </row>
    <row r="48">
      <c r="A48" s="2" t="inlineStr">
        <is>
          <t>D08</t>
        </is>
      </c>
      <c r="B48" s="2" t="n">
        <v>4</v>
      </c>
      <c r="C48" s="2" t="inlineStr">
        <is>
          <t>Synthesised</t>
        </is>
      </c>
      <c r="D48" s="2" t="inlineStr">
        <is>
          <t>D08_Matrix + D08_Assessment_Cards</t>
        </is>
      </c>
      <c r="E48" s="2" t="inlineStr">
        <is>
          <t>New synthesis</t>
        </is>
      </c>
      <c r="F48" s="2" t="inlineStr">
        <is>
          <t>Expert review + cognitive interview + pilot calibration required.</t>
        </is>
      </c>
    </row>
    <row r="49">
      <c r="A49" s="2" t="inlineStr">
        <is>
          <t>D08</t>
        </is>
      </c>
      <c r="B49" s="2" t="n">
        <v>5</v>
      </c>
      <c r="C49" s="2" t="inlineStr">
        <is>
          <t>Synthesised</t>
        </is>
      </c>
      <c r="D49" s="2" t="inlineStr">
        <is>
          <t>D08_Matrix + D08_Assessment_Cards</t>
        </is>
      </c>
      <c r="E49" s="2" t="inlineStr">
        <is>
          <t>New synthesis</t>
        </is>
      </c>
      <c r="F49" s="2" t="inlineStr">
        <is>
          <t>Expert review + cognitive interview + pilot calibration required.</t>
        </is>
      </c>
    </row>
    <row r="50">
      <c r="A50" s="2" t="inlineStr">
        <is>
          <t>D09</t>
        </is>
      </c>
      <c r="B50" s="2" t="n">
        <v>0</v>
      </c>
      <c r="C50" s="2" t="inlineStr">
        <is>
          <t>Synthesised</t>
        </is>
      </c>
      <c r="D50" s="2" t="inlineStr">
        <is>
          <t>D09_Matrix + D09_Assessment_Cards</t>
        </is>
      </c>
      <c r="E50" s="2" t="inlineStr">
        <is>
          <t>New synthesis</t>
        </is>
      </c>
      <c r="F50" s="2" t="inlineStr">
        <is>
          <t>Expert review + cognitive interview + pilot calibration required.</t>
        </is>
      </c>
    </row>
    <row r="51">
      <c r="A51" s="2" t="inlineStr">
        <is>
          <t>D09</t>
        </is>
      </c>
      <c r="B51" s="2" t="n">
        <v>1</v>
      </c>
      <c r="C51" s="2" t="inlineStr">
        <is>
          <t>Synthesised</t>
        </is>
      </c>
      <c r="D51" s="2" t="inlineStr">
        <is>
          <t>D09_Matrix + D09_Assessment_Cards</t>
        </is>
      </c>
      <c r="E51" s="2" t="inlineStr">
        <is>
          <t>New synthesis</t>
        </is>
      </c>
      <c r="F51" s="2" t="inlineStr">
        <is>
          <t>Expert review + cognitive interview + pilot calibration required.</t>
        </is>
      </c>
    </row>
    <row r="52">
      <c r="A52" s="2" t="inlineStr">
        <is>
          <t>D09</t>
        </is>
      </c>
      <c r="B52" s="2" t="n">
        <v>2</v>
      </c>
      <c r="C52" s="2" t="inlineStr">
        <is>
          <t>Synthesised</t>
        </is>
      </c>
      <c r="D52" s="2" t="inlineStr">
        <is>
          <t>D09_Matrix + D09_Assessment_Cards</t>
        </is>
      </c>
      <c r="E52" s="2" t="inlineStr">
        <is>
          <t>New synthesis</t>
        </is>
      </c>
      <c r="F52" s="2" t="inlineStr">
        <is>
          <t>Expert review + cognitive interview + pilot calibration required.</t>
        </is>
      </c>
    </row>
    <row r="53">
      <c r="A53" s="2" t="inlineStr">
        <is>
          <t>D09</t>
        </is>
      </c>
      <c r="B53" s="2" t="n">
        <v>3</v>
      </c>
      <c r="C53" s="2" t="inlineStr">
        <is>
          <t>Synthesised</t>
        </is>
      </c>
      <c r="D53" s="2" t="inlineStr">
        <is>
          <t>D09_Matrix + D09_Assessment_Cards</t>
        </is>
      </c>
      <c r="E53" s="2" t="inlineStr">
        <is>
          <t>New synthesis</t>
        </is>
      </c>
      <c r="F53" s="2" t="inlineStr">
        <is>
          <t>Expert review + cognitive interview + pilot calibration required.</t>
        </is>
      </c>
    </row>
    <row r="54">
      <c r="A54" s="2" t="inlineStr">
        <is>
          <t>D09</t>
        </is>
      </c>
      <c r="B54" s="2" t="n">
        <v>4</v>
      </c>
      <c r="C54" s="2" t="inlineStr">
        <is>
          <t>Synthesised</t>
        </is>
      </c>
      <c r="D54" s="2" t="inlineStr">
        <is>
          <t>D09_Matrix + D09_Assessment_Cards</t>
        </is>
      </c>
      <c r="E54" s="2" t="inlineStr">
        <is>
          <t>New synthesis</t>
        </is>
      </c>
      <c r="F54" s="2" t="inlineStr">
        <is>
          <t>Expert review + cognitive interview + pilot calibration required.</t>
        </is>
      </c>
    </row>
    <row r="55">
      <c r="A55" s="2" t="inlineStr">
        <is>
          <t>D09</t>
        </is>
      </c>
      <c r="B55" s="2" t="n">
        <v>5</v>
      </c>
      <c r="C55" s="2" t="inlineStr">
        <is>
          <t>Synthesised</t>
        </is>
      </c>
      <c r="D55" s="2" t="inlineStr">
        <is>
          <t>D09_Matrix + D09_Assessment_Cards</t>
        </is>
      </c>
      <c r="E55" s="2" t="inlineStr">
        <is>
          <t>New synthesis</t>
        </is>
      </c>
      <c r="F55" s="2" t="inlineStr">
        <is>
          <t>Expert review + cognitive interview + pilot calibration required.</t>
        </is>
      </c>
    </row>
    <row r="56">
      <c r="A56" s="2" t="inlineStr">
        <is>
          <t>D10</t>
        </is>
      </c>
      <c r="B56" s="2" t="n">
        <v>0</v>
      </c>
      <c r="C56" s="2" t="inlineStr">
        <is>
          <t>Synthesised</t>
        </is>
      </c>
      <c r="D56" s="2" t="inlineStr">
        <is>
          <t>D10_Matrix + D10_Assessment_Cards</t>
        </is>
      </c>
      <c r="E56" s="2" t="inlineStr">
        <is>
          <t>New synthesis</t>
        </is>
      </c>
      <c r="F56" s="2" t="inlineStr">
        <is>
          <t>Expert review + cognitive interview + pilot calibration required.</t>
        </is>
      </c>
    </row>
    <row r="57">
      <c r="A57" s="2" t="inlineStr">
        <is>
          <t>D10</t>
        </is>
      </c>
      <c r="B57" s="2" t="n">
        <v>1</v>
      </c>
      <c r="C57" s="2" t="inlineStr">
        <is>
          <t>Synthesised</t>
        </is>
      </c>
      <c r="D57" s="2" t="inlineStr">
        <is>
          <t>D10_Matrix + D10_Assessment_Cards</t>
        </is>
      </c>
      <c r="E57" s="2" t="inlineStr">
        <is>
          <t>New synthesis</t>
        </is>
      </c>
      <c r="F57" s="2" t="inlineStr">
        <is>
          <t>Expert review + cognitive interview + pilot calibration required.</t>
        </is>
      </c>
    </row>
    <row r="58">
      <c r="A58" s="2" t="inlineStr">
        <is>
          <t>D10</t>
        </is>
      </c>
      <c r="B58" s="2" t="n">
        <v>2</v>
      </c>
      <c r="C58" s="2" t="inlineStr">
        <is>
          <t>Synthesised</t>
        </is>
      </c>
      <c r="D58" s="2" t="inlineStr">
        <is>
          <t>D10_Matrix + D10_Assessment_Cards</t>
        </is>
      </c>
      <c r="E58" s="2" t="inlineStr">
        <is>
          <t>New synthesis</t>
        </is>
      </c>
      <c r="F58" s="2" t="inlineStr">
        <is>
          <t>Expert review + cognitive interview + pilot calibration required.</t>
        </is>
      </c>
    </row>
    <row r="59">
      <c r="A59" s="2" t="inlineStr">
        <is>
          <t>D10</t>
        </is>
      </c>
      <c r="B59" s="2" t="n">
        <v>3</v>
      </c>
      <c r="C59" s="2" t="inlineStr">
        <is>
          <t>Synthesised</t>
        </is>
      </c>
      <c r="D59" s="2" t="inlineStr">
        <is>
          <t>D10_Matrix + D10_Assessment_Cards</t>
        </is>
      </c>
      <c r="E59" s="2" t="inlineStr">
        <is>
          <t>New synthesis</t>
        </is>
      </c>
      <c r="F59" s="2" t="inlineStr">
        <is>
          <t>Expert review + cognitive interview + pilot calibration required.</t>
        </is>
      </c>
    </row>
    <row r="60">
      <c r="A60" s="2" t="inlineStr">
        <is>
          <t>D10</t>
        </is>
      </c>
      <c r="B60" s="2" t="n">
        <v>4</v>
      </c>
      <c r="C60" s="2" t="inlineStr">
        <is>
          <t>Synthesised</t>
        </is>
      </c>
      <c r="D60" s="2" t="inlineStr">
        <is>
          <t>D10_Matrix + D10_Assessment_Cards</t>
        </is>
      </c>
      <c r="E60" s="2" t="inlineStr">
        <is>
          <t>New synthesis</t>
        </is>
      </c>
      <c r="F60" s="2" t="inlineStr">
        <is>
          <t>Expert review + cognitive interview + pilot calibration required.</t>
        </is>
      </c>
    </row>
    <row r="61">
      <c r="A61" s="2" t="inlineStr">
        <is>
          <t>D10</t>
        </is>
      </c>
      <c r="B61" s="2" t="n">
        <v>5</v>
      </c>
      <c r="C61" s="2" t="inlineStr">
        <is>
          <t>Synthesised</t>
        </is>
      </c>
      <c r="D61" s="2" t="inlineStr">
        <is>
          <t>D10_Matrix + D10_Assessment_Cards</t>
        </is>
      </c>
      <c r="E61" s="2" t="inlineStr">
        <is>
          <t>New synthesis</t>
        </is>
      </c>
      <c r="F61" s="2" t="inlineStr">
        <is>
          <t>Expert review + cognitive interview + pilot calibration required.</t>
        </is>
      </c>
    </row>
    <row r="62">
      <c r="A62" s="2" t="inlineStr">
        <is>
          <t>D11</t>
        </is>
      </c>
      <c r="B62" s="2" t="n">
        <v>0</v>
      </c>
      <c r="C62" s="2" t="inlineStr">
        <is>
          <t>Synthesised</t>
        </is>
      </c>
      <c r="D62" s="2" t="inlineStr">
        <is>
          <t>D11_Matrix + D11_Assessment_Cards</t>
        </is>
      </c>
      <c r="E62" s="2" t="inlineStr">
        <is>
          <t>New synthesis</t>
        </is>
      </c>
      <c r="F62" s="2" t="inlineStr">
        <is>
          <t>Expert review + cognitive interview + pilot calibration required.</t>
        </is>
      </c>
    </row>
    <row r="63">
      <c r="A63" s="2" t="inlineStr">
        <is>
          <t>D11</t>
        </is>
      </c>
      <c r="B63" s="2" t="n">
        <v>1</v>
      </c>
      <c r="C63" s="2" t="inlineStr">
        <is>
          <t>Synthesised</t>
        </is>
      </c>
      <c r="D63" s="2" t="inlineStr">
        <is>
          <t>D11_Matrix + D11_Assessment_Cards</t>
        </is>
      </c>
      <c r="E63" s="2" t="inlineStr">
        <is>
          <t>New synthesis</t>
        </is>
      </c>
      <c r="F63" s="2" t="inlineStr">
        <is>
          <t>Expert review + cognitive interview + pilot calibration required.</t>
        </is>
      </c>
    </row>
    <row r="64">
      <c r="A64" s="2" t="inlineStr">
        <is>
          <t>D11</t>
        </is>
      </c>
      <c r="B64" s="2" t="n">
        <v>2</v>
      </c>
      <c r="C64" s="2" t="inlineStr">
        <is>
          <t>Synthesised</t>
        </is>
      </c>
      <c r="D64" s="2" t="inlineStr">
        <is>
          <t>D11_Matrix + D11_Assessment_Cards</t>
        </is>
      </c>
      <c r="E64" s="2" t="inlineStr">
        <is>
          <t>New synthesis</t>
        </is>
      </c>
      <c r="F64" s="2" t="inlineStr">
        <is>
          <t>Expert review + cognitive interview + pilot calibration required.</t>
        </is>
      </c>
    </row>
    <row r="65">
      <c r="A65" s="2" t="inlineStr">
        <is>
          <t>D11</t>
        </is>
      </c>
      <c r="B65" s="2" t="n">
        <v>3</v>
      </c>
      <c r="C65" s="2" t="inlineStr">
        <is>
          <t>Synthesised</t>
        </is>
      </c>
      <c r="D65" s="2" t="inlineStr">
        <is>
          <t>D11_Matrix + D11_Assessment_Cards</t>
        </is>
      </c>
      <c r="E65" s="2" t="inlineStr">
        <is>
          <t>New synthesis</t>
        </is>
      </c>
      <c r="F65" s="2" t="inlineStr">
        <is>
          <t>Expert review + cognitive interview + pilot calibration required.</t>
        </is>
      </c>
    </row>
    <row r="66">
      <c r="A66" s="2" t="inlineStr">
        <is>
          <t>D11</t>
        </is>
      </c>
      <c r="B66" s="2" t="n">
        <v>4</v>
      </c>
      <c r="C66" s="2" t="inlineStr">
        <is>
          <t>Synthesised</t>
        </is>
      </c>
      <c r="D66" s="2" t="inlineStr">
        <is>
          <t>D11_Matrix + D11_Assessment_Cards</t>
        </is>
      </c>
      <c r="E66" s="2" t="inlineStr">
        <is>
          <t>New synthesis</t>
        </is>
      </c>
      <c r="F66" s="2" t="inlineStr">
        <is>
          <t>Expert review + cognitive interview + pilot calibration required.</t>
        </is>
      </c>
    </row>
    <row r="67">
      <c r="A67" s="2" t="inlineStr">
        <is>
          <t>D11</t>
        </is>
      </c>
      <c r="B67" s="2" t="n">
        <v>5</v>
      </c>
      <c r="C67" s="2" t="inlineStr">
        <is>
          <t>Synthesised</t>
        </is>
      </c>
      <c r="D67" s="2" t="inlineStr">
        <is>
          <t>D11_Matrix + D11_Assessment_Cards</t>
        </is>
      </c>
      <c r="E67" s="2" t="inlineStr">
        <is>
          <t>New synthesis</t>
        </is>
      </c>
      <c r="F67" s="2" t="inlineStr">
        <is>
          <t>Expert review + cognitive interview + pilot calibration required.</t>
        </is>
      </c>
    </row>
  </sheetData>
  <autoFilter ref="A1:F67"/>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23" t="inlineStr">
        <is>
          <t>Domain</t>
        </is>
      </c>
      <c r="B1" s="23" t="inlineStr">
        <is>
          <t>Domain Name</t>
        </is>
      </c>
      <c r="C1" s="23" t="inlineStr">
        <is>
          <t>Level</t>
        </is>
      </c>
      <c r="D1" s="23" t="inlineStr">
        <is>
          <t>Label</t>
        </is>
      </c>
      <c r="E1" s="23" t="inlineStr">
        <is>
          <t>Domain-Specific Behavioural Anchor</t>
        </is>
      </c>
      <c r="F1" s="23" t="inlineStr">
        <is>
          <t>Observable Evidence / Scoring Cue</t>
        </is>
      </c>
      <c r="G1" s="23" t="inlineStr">
        <is>
          <t>Provenance</t>
        </is>
      </c>
    </row>
    <row r="2">
      <c r="A2" s="2" t="inlineStr">
        <is>
          <t>D01</t>
        </is>
      </c>
      <c r="B2" s="2" t="inlineStr">
        <is>
          <t>Institutional Strategy, Foresight &amp; AI Direction</t>
        </is>
      </c>
      <c r="C2" s="2" t="n">
        <v>0</v>
      </c>
      <c r="D2" s="2" t="inlineStr">
        <is>
          <t>Absent</t>
        </is>
      </c>
      <c r="E2" s="2" t="inlineStr">
        <is>
          <t>No meaningful institutional AI/future-direction capability or mechanism.</t>
        </is>
      </c>
      <c r="F2" s="2" t="inlineStr">
        <is>
          <t>No institutional owner, mechanism or evidence.</t>
        </is>
      </c>
      <c r="G2" s="2" t="inlineStr">
        <is>
          <t>No capability demonstrated. | Source-derived: original D01–D03 maturity architecture</t>
        </is>
      </c>
    </row>
    <row r="3">
      <c r="A3" s="2" t="inlineStr">
        <is>
          <t>D01</t>
        </is>
      </c>
      <c r="B3" s="2" t="inlineStr">
        <is>
          <t>Institutional Strategy, Foresight &amp; AI Direction</t>
        </is>
      </c>
      <c r="C3" s="2" t="n">
        <v>1</v>
      </c>
      <c r="D3" s="2" t="inlineStr">
        <is>
          <t>Reactive</t>
        </is>
      </c>
      <c r="E3" s="2" t="inlineStr">
        <is>
          <t>AI is addressed by individuals without a coherent strategic mechanism.</t>
        </is>
      </c>
      <c r="F3" s="2" t="inlineStr">
        <is>
          <t>Isolated decisions, pilots or discussions; response follows external pressure.</t>
        </is>
      </c>
      <c r="G3" s="2" t="inlineStr">
        <is>
          <t>Capability exists only through individuals/ad-hoc responses. | Source-derived: original D01–D03 maturity architecture</t>
        </is>
      </c>
    </row>
    <row r="4">
      <c r="A4" s="2" t="inlineStr">
        <is>
          <t>D01</t>
        </is>
      </c>
      <c r="B4" s="2" t="inlineStr">
        <is>
          <t>Institutional Strategy, Foresight &amp; AI Direction</t>
        </is>
      </c>
      <c r="C4" s="2" t="n">
        <v>2</v>
      </c>
      <c r="D4" s="2" t="inlineStr">
        <is>
          <t>Emerging</t>
        </is>
      </c>
      <c r="E4" s="2" t="inlineStr">
        <is>
          <t>Leadership recognises the importance of AI and future change; planning and pilots begin.</t>
        </is>
      </c>
      <c r="F4" s="2" t="inlineStr">
        <is>
          <t>Initial future assumptions, selected programme reviews or pilots; limited strategic linkage.</t>
        </is>
      </c>
      <c r="G4" s="2" t="inlineStr">
        <is>
          <t>Repeatable beginnings, but uneven and person-dependent. | Source-derived: original D01–D03 maturity architecture</t>
        </is>
      </c>
    </row>
    <row r="5">
      <c r="A5" s="2" t="inlineStr">
        <is>
          <t>D01</t>
        </is>
      </c>
      <c r="B5" s="2" t="inlineStr">
        <is>
          <t>Institutional Strategy, Foresight &amp; AI Direction</t>
        </is>
      </c>
      <c r="C5" s="2" t="n">
        <v>3</v>
      </c>
      <c r="D5" s="2" t="inlineStr">
        <is>
          <t>Structured</t>
        </is>
      </c>
      <c r="E5" s="2" t="inlineStr">
        <is>
          <t>Future implications enter institutional planning, portfolio review and strategic decisions.</t>
        </is>
      </c>
      <c r="F5" s="2" t="inlineStr">
        <is>
          <t>Defined foresight/portfolio mechanisms, ownership, decision pathways and representative evidence.</t>
        </is>
      </c>
      <c r="G5" s="2" t="inlineStr">
        <is>
          <t>Institutional mechanism exists and is used. | Source-derived: original D01–D03 maturity architecture</t>
        </is>
      </c>
    </row>
    <row r="6">
      <c r="A6" s="2" t="inlineStr">
        <is>
          <t>D01</t>
        </is>
      </c>
      <c r="B6" s="2" t="inlineStr">
        <is>
          <t>Institutional Strategy, Foresight &amp; AI Direction</t>
        </is>
      </c>
      <c r="C6" s="2" t="n">
        <v>4</v>
      </c>
      <c r="D6" s="2" t="inlineStr">
        <is>
          <t>Integrated</t>
        </is>
      </c>
      <c r="E6" s="2" t="inlineStr">
        <is>
          <t>Foresight influences functions, resources and measurable strategic priorities.</t>
        </is>
      </c>
      <c r="F6" s="2" t="inlineStr">
        <is>
          <t>AI/future signals influence portfolio, investment, positioning and cross-functional priorities with outcome evidence.</t>
        </is>
      </c>
      <c r="G6" s="2" t="inlineStr">
        <is>
          <t>Capability is embedded across relevant functions. | Source-derived: original D01–D03 maturity architecture</t>
        </is>
      </c>
    </row>
    <row r="7">
      <c r="A7" s="2" t="inlineStr">
        <is>
          <t>D01</t>
        </is>
      </c>
      <c r="B7" s="2" t="inlineStr">
        <is>
          <t>Institutional Strategy, Foresight &amp; AI Direction</t>
        </is>
      </c>
      <c r="C7" s="2" t="n">
        <v>5</v>
      </c>
      <c r="D7" s="2" t="inlineStr">
        <is>
          <t>Adaptive</t>
        </is>
      </c>
      <c r="E7" s="2" t="inlineStr">
        <is>
          <t>Institution continuously tests assumptions and redesigns institutional direction.</t>
        </is>
      </c>
      <c r="F7" s="2" t="inlineStr">
        <is>
          <t>Scenario testing, experimentation, resource shifts and learning loops repeatedly change strategy before external pressure forces change.</t>
        </is>
      </c>
      <c r="G7" s="2" t="inlineStr">
        <is>
          <t>Strategic capability is continuously sensing, learning and redesigning. | Source-derived: original D01–D03 maturity architecture</t>
        </is>
      </c>
    </row>
  </sheetData>
  <autoFilter ref="A1:G7"/>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23" t="inlineStr">
        <is>
          <t>Domain</t>
        </is>
      </c>
      <c r="B1" s="23" t="inlineStr">
        <is>
          <t>Domain Name</t>
        </is>
      </c>
      <c r="C1" s="23" t="inlineStr">
        <is>
          <t>Level</t>
        </is>
      </c>
      <c r="D1" s="23" t="inlineStr">
        <is>
          <t>Label</t>
        </is>
      </c>
      <c r="E1" s="23" t="inlineStr">
        <is>
          <t>Domain-Specific Behavioural Anchor</t>
        </is>
      </c>
      <c r="F1" s="23" t="inlineStr">
        <is>
          <t>Observable Evidence / Scoring Cue</t>
        </is>
      </c>
      <c r="G1" s="23" t="inlineStr">
        <is>
          <t>Provenance</t>
        </is>
      </c>
    </row>
    <row r="2">
      <c r="A2" s="2" t="inlineStr">
        <is>
          <t>D02</t>
        </is>
      </c>
      <c r="B2" s="2" t="inlineStr">
        <is>
          <t>Governance, Responsible AI &amp; Institutional Risk</t>
        </is>
      </c>
      <c r="C2" s="2" t="n">
        <v>0</v>
      </c>
      <c r="D2" s="2" t="inlineStr">
        <is>
          <t>Absent</t>
        </is>
      </c>
      <c r="E2" s="2" t="inlineStr">
        <is>
          <t>No meaningful AI governance, accountability or risk mechanism.</t>
        </is>
      </c>
      <c r="F2" s="2" t="inlineStr">
        <is>
          <t>No clear owner, decision rights, policy/control or incident mechanism.</t>
        </is>
      </c>
      <c r="G2" s="2" t="inlineStr">
        <is>
          <t>No demonstrated governance capability. | Source-derived: original D01–D03 maturity architecture</t>
        </is>
      </c>
    </row>
    <row r="3">
      <c r="A3" s="2" t="inlineStr">
        <is>
          <t>D02</t>
        </is>
      </c>
      <c r="B3" s="2" t="inlineStr">
        <is>
          <t>Governance, Responsible AI &amp; Institutional Risk</t>
        </is>
      </c>
      <c r="C3" s="2" t="n">
        <v>1</v>
      </c>
      <c r="D3" s="2" t="inlineStr">
        <is>
          <t>Reactive</t>
        </is>
      </c>
      <c r="E3" s="2" t="inlineStr">
        <is>
          <t>AI decisions and incidents are handled case-by-case.</t>
        </is>
      </c>
      <c r="F3" s="2" t="inlineStr">
        <is>
          <t>Individual judgement, informal approvals, reactive incident handling.</t>
        </is>
      </c>
      <c r="G3" s="2" t="inlineStr">
        <is>
          <t>Governance is person-dependent. | Source-derived: original D01–D03 maturity architecture</t>
        </is>
      </c>
    </row>
    <row r="4">
      <c r="A4" s="2" t="inlineStr">
        <is>
          <t>D02</t>
        </is>
      </c>
      <c r="B4" s="2" t="inlineStr">
        <is>
          <t>Governance, Responsible AI &amp; Institutional Risk</t>
        </is>
      </c>
      <c r="C4" s="2" t="n">
        <v>2</v>
      </c>
      <c r="D4" s="2" t="inlineStr">
        <is>
          <t>Emerging</t>
        </is>
      </c>
      <c r="E4" s="2" t="inlineStr">
        <is>
          <t>Basic policy, ownership and risk awareness are developing.</t>
        </is>
      </c>
      <c r="F4" s="2" t="inlineStr">
        <is>
          <t>Initial AI policies, owners, privacy/integrity guidance or risk registers exist in selected areas.</t>
        </is>
      </c>
      <c r="G4" s="2" t="inlineStr">
        <is>
          <t>Foundational governance is present but incomplete. | Source-derived: original D01–D03 maturity architecture</t>
        </is>
      </c>
    </row>
    <row r="5">
      <c r="A5" s="2" t="inlineStr">
        <is>
          <t>D02</t>
        </is>
      </c>
      <c r="B5" s="2" t="inlineStr">
        <is>
          <t>Governance, Responsible AI &amp; Institutional Risk</t>
        </is>
      </c>
      <c r="C5" s="2" t="n">
        <v>3</v>
      </c>
      <c r="D5" s="2" t="inlineStr">
        <is>
          <t>Structured</t>
        </is>
      </c>
      <c r="E5" s="2" t="inlineStr">
        <is>
          <t>Formal governance, decision rights, controls and escalation mechanisms operate.</t>
        </is>
      </c>
      <c r="F5" s="2" t="inlineStr">
        <is>
          <t>Defined approval workflows, accountability, risk controls, human oversight and escalation with representative use.</t>
        </is>
      </c>
      <c r="G5" s="2" t="inlineStr">
        <is>
          <t>Governance is institutionalised. | Source-derived: original D01–D03 maturity architecture</t>
        </is>
      </c>
    </row>
    <row r="6">
      <c r="A6" s="2" t="inlineStr">
        <is>
          <t>D02</t>
        </is>
      </c>
      <c r="B6" s="2" t="inlineStr">
        <is>
          <t>Governance, Responsible AI &amp; Institutional Risk</t>
        </is>
      </c>
      <c r="C6" s="2" t="n">
        <v>4</v>
      </c>
      <c r="D6" s="2" t="inlineStr">
        <is>
          <t>Integrated</t>
        </is>
      </c>
      <c r="E6" s="2" t="inlineStr">
        <is>
          <t>Governance is embedded across academic, research, technology and administrative decisions.</t>
        </is>
      </c>
      <c r="F6" s="2" t="inlineStr">
        <is>
          <t>Consequential AI is governed consistently; vendor/data/academic-integrity/research controls connect across functions and are evidenced.</t>
        </is>
      </c>
      <c r="G6" s="2" t="inlineStr">
        <is>
          <t>Governance is cross-functional and operational. | Source-derived: original D01–D03 maturity architecture</t>
        </is>
      </c>
    </row>
    <row r="7">
      <c r="A7" s="2" t="inlineStr">
        <is>
          <t>D02</t>
        </is>
      </c>
      <c r="B7" s="2" t="inlineStr">
        <is>
          <t>Governance, Responsible AI &amp; Institutional Risk</t>
        </is>
      </c>
      <c r="C7" s="2" t="n">
        <v>5</v>
      </c>
      <c r="D7" s="2" t="inlineStr">
        <is>
          <t>Adaptive</t>
        </is>
      </c>
      <c r="E7" s="2" t="inlineStr">
        <is>
          <t>Governance learns from incidents, evidence and technology change.</t>
        </is>
      </c>
      <c r="F7" s="2" t="inlineStr">
        <is>
          <t>Controls are tested, reviewed, monitored and redesigned as AI risks and uses evolve.</t>
        </is>
      </c>
      <c r="G7" s="2" t="inlineStr">
        <is>
          <t>Governance is continuously improving and anticipatory. | Source-derived: original D01–D03 maturity architecture</t>
        </is>
      </c>
    </row>
  </sheetData>
  <autoFilter ref="A1:G7"/>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23" t="inlineStr">
        <is>
          <t>Domain</t>
        </is>
      </c>
      <c r="B1" s="23" t="inlineStr">
        <is>
          <t>Domain Name</t>
        </is>
      </c>
      <c r="C1" s="23" t="inlineStr">
        <is>
          <t>Level</t>
        </is>
      </c>
      <c r="D1" s="23" t="inlineStr">
        <is>
          <t>Label</t>
        </is>
      </c>
      <c r="E1" s="23" t="inlineStr">
        <is>
          <t>Domain-Specific Behavioural Anchor</t>
        </is>
      </c>
      <c r="F1" s="23" t="inlineStr">
        <is>
          <t>Observable Evidence / Scoring Cue</t>
        </is>
      </c>
      <c r="G1" s="23" t="inlineStr">
        <is>
          <t>Provenance</t>
        </is>
      </c>
    </row>
    <row r="2">
      <c r="A2" s="2" t="inlineStr">
        <is>
          <t>D03</t>
        </is>
      </c>
      <c r="B2" s="2" t="inlineStr">
        <is>
          <t>Human Capability, Cognitive Readiness &amp; AI-Ready Education</t>
        </is>
      </c>
      <c r="C2" s="2" t="n">
        <v>0</v>
      </c>
      <c r="D2" s="2" t="inlineStr">
        <is>
          <t>Absent</t>
        </is>
      </c>
      <c r="E2" s="2" t="inlineStr">
        <is>
          <t>No meaningful institutional approach to developing human capabilities for an AI-rich environment.</t>
        </is>
      </c>
      <c r="F2" s="2" t="inlineStr">
        <is>
          <t>No deliberate capability architecture or evidence of development.</t>
        </is>
      </c>
      <c r="G2" s="2" t="inlineStr">
        <is>
          <t>Capability intent is absent. | Source-derived: original D01–D03 maturity architecture</t>
        </is>
      </c>
    </row>
    <row r="3">
      <c r="A3" s="2" t="inlineStr">
        <is>
          <t>D03</t>
        </is>
      </c>
      <c r="B3" s="2" t="inlineStr">
        <is>
          <t>Human Capability, Cognitive Readiness &amp; AI-Ready Education</t>
        </is>
      </c>
      <c r="C3" s="2" t="n">
        <v>1</v>
      </c>
      <c r="D3" s="2" t="inlineStr">
        <is>
          <t>Reactive</t>
        </is>
      </c>
      <c r="E3" s="2" t="inlineStr">
        <is>
          <t>Some higher-order capability development exists but is fragmented.</t>
        </is>
      </c>
      <c r="F3" s="2" t="inlineStr">
        <is>
          <t>Selected courses/faculty emphasise critical thinking, creativity, judgement or AI literacy without coherent architecture.</t>
        </is>
      </c>
      <c r="G3" s="2" t="inlineStr">
        <is>
          <t>Development depends on individual practice. | Source-derived: original D01–D03 maturity architecture</t>
        </is>
      </c>
    </row>
    <row r="4">
      <c r="A4" s="2" t="inlineStr">
        <is>
          <t>D03</t>
        </is>
      </c>
      <c r="B4" s="2" t="inlineStr">
        <is>
          <t>Human Capability, Cognitive Readiness &amp; AI-Ready Education</t>
        </is>
      </c>
      <c r="C4" s="2" t="n">
        <v>2</v>
      </c>
      <c r="D4" s="2" t="inlineStr">
        <is>
          <t>Emerging</t>
        </is>
      </c>
      <c r="E4" s="2" t="inlineStr">
        <is>
          <t>Institution recognises the capability shift in selected curricula.</t>
        </is>
      </c>
      <c r="F4" s="2" t="inlineStr">
        <is>
          <t>Priority capabilities are identified and begin appearing in curriculum/learning initiatives.</t>
        </is>
      </c>
      <c r="G4" s="2" t="inlineStr">
        <is>
          <t>Institutional recognition is visible but uneven. | Source-derived: original D01–D03 maturity architecture</t>
        </is>
      </c>
    </row>
    <row r="5">
      <c r="A5" s="2" t="inlineStr">
        <is>
          <t>D03</t>
        </is>
      </c>
      <c r="B5" s="2" t="inlineStr">
        <is>
          <t>Human Capability, Cognitive Readiness &amp; AI-Ready Education</t>
        </is>
      </c>
      <c r="C5" s="2" t="n">
        <v>3</v>
      </c>
      <c r="D5" s="2" t="inlineStr">
        <is>
          <t>Structured</t>
        </is>
      </c>
      <c r="E5" s="2" t="inlineStr">
        <is>
          <t>Capabilities are deliberately mapped into curriculum and assessment.</t>
        </is>
      </c>
      <c r="F5" s="2" t="inlineStr">
        <is>
          <t>Defined capability framework, programme mapping and assessment expectations exist for representative programmes.</t>
        </is>
      </c>
      <c r="G5" s="2" t="inlineStr">
        <is>
          <t>Capability development is designed rather than incidental. | Source-derived: original D01–D03 maturity architecture</t>
        </is>
      </c>
    </row>
    <row r="6">
      <c r="A6" s="2" t="inlineStr">
        <is>
          <t>D03</t>
        </is>
      </c>
      <c r="B6" s="2" t="inlineStr">
        <is>
          <t>Human Capability, Cognitive Readiness &amp; AI-Ready Education</t>
        </is>
      </c>
      <c r="C6" s="2" t="n">
        <v>4</v>
      </c>
      <c r="D6" s="2" t="inlineStr">
        <is>
          <t>Integrated</t>
        </is>
      </c>
      <c r="E6" s="2" t="inlineStr">
        <is>
          <t>Capabilities are systematically developed and demonstrated across programmes.</t>
        </is>
      </c>
      <c r="F6" s="2" t="inlineStr">
        <is>
          <t>Foundational knowledge, reasoning, problem formulation, verification, communication, practical/ethical capability and human-AI collaboration are evidenced across relevant programmes.</t>
        </is>
      </c>
      <c r="G6" s="2" t="inlineStr">
        <is>
          <t>Capability architecture is embedded and evidenced. | Source-derived: original D01–D03 maturity architecture</t>
        </is>
      </c>
    </row>
    <row r="7">
      <c r="A7" s="2" t="inlineStr">
        <is>
          <t>D03</t>
        </is>
      </c>
      <c r="B7" s="2" t="inlineStr">
        <is>
          <t>Human Capability, Cognitive Readiness &amp; AI-Ready Education</t>
        </is>
      </c>
      <c r="C7" s="2" t="n">
        <v>5</v>
      </c>
      <c r="D7" s="2" t="inlineStr">
        <is>
          <t>Adaptive</t>
        </is>
      </c>
      <c r="E7" s="2" t="inlineStr">
        <is>
          <t>Institution continuously identifies valuable human capabilities and redesigns learning.</t>
        </is>
      </c>
      <c r="F7" s="2" t="inlineStr">
        <is>
          <t>External/AI signals change capability priorities; programmes and assessments are repeatedly redesigned and validated through outcomes.</t>
        </is>
      </c>
      <c r="G7" s="2" t="inlineStr">
        <is>
          <t>Human capability model evolves with the environment. | Source-derived: original D01–D03 maturity architecture</t>
        </is>
      </c>
    </row>
  </sheetData>
  <autoFilter ref="A1:G7"/>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23" t="inlineStr">
        <is>
          <t>Domain</t>
        </is>
      </c>
      <c r="B1" s="23" t="inlineStr">
        <is>
          <t>Domain Name</t>
        </is>
      </c>
      <c r="C1" s="23" t="inlineStr">
        <is>
          <t>Level</t>
        </is>
      </c>
      <c r="D1" s="23" t="inlineStr">
        <is>
          <t>Label</t>
        </is>
      </c>
      <c r="E1" s="23" t="inlineStr">
        <is>
          <t>Domain-Specific Behavioural Anchor</t>
        </is>
      </c>
      <c r="F1" s="23" t="inlineStr">
        <is>
          <t>Observable Evidence / Scoring Cue</t>
        </is>
      </c>
      <c r="G1" s="23" t="inlineStr">
        <is>
          <t>Provenance</t>
        </is>
      </c>
    </row>
    <row r="2">
      <c r="A2" s="2" t="inlineStr">
        <is>
          <t>D04</t>
        </is>
      </c>
      <c r="B2" s="2" t="inlineStr">
        <is>
          <t>Curriculum &amp; Programme Future Resilience</t>
        </is>
      </c>
      <c r="C2" s="2" t="n">
        <v>0</v>
      </c>
      <c r="D2" s="2" t="inlineStr">
        <is>
          <t>Absent</t>
        </is>
      </c>
      <c r="E2" s="2" t="inlineStr">
        <is>
          <t>No future-oriented programme review or meaningful curriculum change mechanism.</t>
        </is>
      </c>
      <c r="F2" s="2" t="inlineStr">
        <is>
          <t>No systematic trigger, review cycle or future capability mapping.</t>
        </is>
      </c>
      <c r="G2" s="2" t="inlineStr">
        <is>
          <t>Programme resilience is absent. | Source-derived: D04–D06 maturity architecture</t>
        </is>
      </c>
    </row>
    <row r="3">
      <c r="A3" s="2" t="inlineStr">
        <is>
          <t>D04</t>
        </is>
      </c>
      <c r="B3" s="2" t="inlineStr">
        <is>
          <t>Curriculum &amp; Programme Future Resilience</t>
        </is>
      </c>
      <c r="C3" s="2" t="n">
        <v>1</v>
      </c>
      <c r="D3" s="2" t="inlineStr">
        <is>
          <t>Reactive</t>
        </is>
      </c>
      <c r="E3" s="2" t="inlineStr">
        <is>
          <t>Individual faculty or programmes change after external pressure.</t>
        </is>
      </c>
      <c r="F3" s="2" t="inlineStr">
        <is>
          <t>Isolated revisions with no consistent institutional trigger or evidence loop.</t>
        </is>
      </c>
      <c r="G3" s="2" t="inlineStr">
        <is>
          <t>Change is reactive and uneven. | Source-derived: D04–D06 maturity architecture</t>
        </is>
      </c>
    </row>
    <row r="4">
      <c r="A4" s="2" t="inlineStr">
        <is>
          <t>D04</t>
        </is>
      </c>
      <c r="B4" s="2" t="inlineStr">
        <is>
          <t>Curriculum &amp; Programme Future Resilience</t>
        </is>
      </c>
      <c r="C4" s="2" t="n">
        <v>2</v>
      </c>
      <c r="D4" s="2" t="inlineStr">
        <is>
          <t>Emerging</t>
        </is>
      </c>
      <c r="E4" s="2" t="inlineStr">
        <is>
          <t>Selected programmes update intentionally using identified future/professional signals.</t>
        </is>
      </c>
      <c r="F4" s="2" t="inlineStr">
        <is>
          <t>Some programme outcomes, AI content, experiential learning or external inputs are updated.</t>
        </is>
      </c>
      <c r="G4" s="2" t="inlineStr">
        <is>
          <t>Repeatable practice exists in selected programmes. | Source-derived: D04–D06 maturity architecture</t>
        </is>
      </c>
    </row>
    <row r="5">
      <c r="A5" s="2" t="inlineStr">
        <is>
          <t>D04</t>
        </is>
      </c>
      <c r="B5" s="2" t="inlineStr">
        <is>
          <t>Curriculum &amp; Programme Future Resilience</t>
        </is>
      </c>
      <c r="C5" s="2" t="n">
        <v>3</v>
      </c>
      <c r="D5" s="2" t="inlineStr">
        <is>
          <t>Structured</t>
        </is>
      </c>
      <c r="E5" s="2" t="inlineStr">
        <is>
          <t>Programme review and future outcome mapping are structured.</t>
        </is>
      </c>
      <c r="F5" s="2" t="inlineStr">
        <is>
          <t>Defined review process, future learning outcomes, obsolescence tests and representative programme evidence.</t>
        </is>
      </c>
      <c r="G5" s="2" t="inlineStr">
        <is>
          <t>Programme change is governed and repeatable. | Source-derived: D04–D06 maturity architecture</t>
        </is>
      </c>
    </row>
    <row r="6">
      <c r="A6" s="2" t="inlineStr">
        <is>
          <t>D04</t>
        </is>
      </c>
      <c r="B6" s="2" t="inlineStr">
        <is>
          <t>Curriculum &amp; Programme Future Resilience</t>
        </is>
      </c>
      <c r="C6" s="2" t="n">
        <v>4</v>
      </c>
      <c r="D6" s="2" t="inlineStr">
        <is>
          <t>Integrated</t>
        </is>
      </c>
      <c r="E6" s="2" t="inlineStr">
        <is>
          <t>Programme, industry and discipline signals drive integrated curriculum change.</t>
        </is>
      </c>
      <c r="F6" s="2" t="inlineStr">
        <is>
          <t>External validation, experiential learning, interdisciplinary flexibility and programme agility are connected to portfolio decisions.</t>
        </is>
      </c>
      <c r="G6" s="2" t="inlineStr">
        <is>
          <t>Curriculum responds coherently across functions. | Source-derived: D04–D06 maturity architecture</t>
        </is>
      </c>
    </row>
    <row r="7">
      <c r="A7" s="2" t="inlineStr">
        <is>
          <t>D04</t>
        </is>
      </c>
      <c r="B7" s="2" t="inlineStr">
        <is>
          <t>Curriculum &amp; Programme Future Resilience</t>
        </is>
      </c>
      <c r="C7" s="2" t="n">
        <v>5</v>
      </c>
      <c r="D7" s="2" t="inlineStr">
        <is>
          <t>Adaptive</t>
        </is>
      </c>
      <c r="E7" s="2" t="inlineStr">
        <is>
          <t>Portfolio and programmes continuously adapt to future signals.</t>
        </is>
      </c>
      <c r="F7" s="2" t="inlineStr">
        <is>
          <t>Rapid sensing, modular redesign, evidence-led retirement/redesign and continuous validation shape the portfolio.</t>
        </is>
      </c>
      <c r="G7" s="2" t="inlineStr">
        <is>
          <t>Programme system anticipates rather than merely reacts. | Source-derived: D04–D06 maturity architecture</t>
        </is>
      </c>
    </row>
  </sheetData>
  <autoFilter ref="A1:G7"/>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23" t="inlineStr">
        <is>
          <t>Domain</t>
        </is>
      </c>
      <c r="B1" s="23" t="inlineStr">
        <is>
          <t>Domain Name</t>
        </is>
      </c>
      <c r="C1" s="23" t="inlineStr">
        <is>
          <t>Level</t>
        </is>
      </c>
      <c r="D1" s="23" t="inlineStr">
        <is>
          <t>Label</t>
        </is>
      </c>
      <c r="E1" s="23" t="inlineStr">
        <is>
          <t>Domain-Specific Behavioural Anchor</t>
        </is>
      </c>
      <c r="F1" s="23" t="inlineStr">
        <is>
          <t>Observable Evidence / Scoring Cue</t>
        </is>
      </c>
      <c r="G1" s="23" t="inlineStr">
        <is>
          <t>Provenance</t>
        </is>
      </c>
    </row>
    <row r="2">
      <c r="A2" s="2" t="inlineStr">
        <is>
          <t>D05</t>
        </is>
      </c>
      <c r="B2" s="2" t="inlineStr">
        <is>
          <t>Faculty Capability &amp; Academic Workforce Transformation</t>
        </is>
      </c>
      <c r="C2" s="2" t="n">
        <v>0</v>
      </c>
      <c r="D2" s="2" t="inlineStr">
        <is>
          <t>Absent</t>
        </is>
      </c>
      <c r="E2" s="2" t="inlineStr">
        <is>
          <t>No meaningful AI capability support or academic workforce transformation mechanism.</t>
        </is>
      </c>
      <c r="F2" s="2" t="inlineStr">
        <is>
          <t>No structured faculty development, practice support or role redesign.</t>
        </is>
      </c>
      <c r="G2" s="2" t="inlineStr">
        <is>
          <t>Faculty capability is unmanaged. | Source-derived: D04–D06 maturity architecture</t>
        </is>
      </c>
    </row>
    <row r="3">
      <c r="A3" s="2" t="inlineStr">
        <is>
          <t>D05</t>
        </is>
      </c>
      <c r="B3" s="2" t="inlineStr">
        <is>
          <t>Faculty Capability &amp; Academic Workforce Transformation</t>
        </is>
      </c>
      <c r="C3" s="2" t="n">
        <v>1</v>
      </c>
      <c r="D3" s="2" t="inlineStr">
        <is>
          <t>Reactive</t>
        </is>
      </c>
      <c r="E3" s="2" t="inlineStr">
        <is>
          <t>Individual faculty enthusiasts experiment with AI.</t>
        </is>
      </c>
      <c r="F3" s="2" t="inlineStr">
        <is>
          <t>Isolated use in teaching/research; support is informal and uneven.</t>
        </is>
      </c>
      <c r="G3" s="2" t="inlineStr">
        <is>
          <t>Adoption depends on individuals. | Source-derived: D04–D06 maturity architecture</t>
        </is>
      </c>
    </row>
    <row r="4">
      <c r="A4" s="2" t="inlineStr">
        <is>
          <t>D05</t>
        </is>
      </c>
      <c r="B4" s="2" t="inlineStr">
        <is>
          <t>Faculty Capability &amp; Academic Workforce Transformation</t>
        </is>
      </c>
      <c r="C4" s="2" t="n">
        <v>2</v>
      </c>
      <c r="D4" s="2" t="inlineStr">
        <is>
          <t>Emerging</t>
        </is>
      </c>
      <c r="E4" s="2" t="inlineStr">
        <is>
          <t>Training and early faculty practice are emerging.</t>
        </is>
      </c>
      <c r="F4" s="2" t="inlineStr">
        <is>
          <t>AI literacy programmes, communities or selected practice changes exist, but conversion to practice is uneven.</t>
        </is>
      </c>
      <c r="G4" s="2" t="inlineStr">
        <is>
          <t>Capability is developing beyond individual pioneers. | Source-derived: D04–D06 maturity architecture</t>
        </is>
      </c>
    </row>
    <row r="5">
      <c r="A5" s="2" t="inlineStr">
        <is>
          <t>D05</t>
        </is>
      </c>
      <c r="B5" s="2" t="inlineStr">
        <is>
          <t>Faculty Capability &amp; Academic Workforce Transformation</t>
        </is>
      </c>
      <c r="C5" s="2" t="n">
        <v>3</v>
      </c>
      <c r="D5" s="2" t="inlineStr">
        <is>
          <t>Structured</t>
        </is>
      </c>
      <c r="E5" s="2" t="inlineStr">
        <is>
          <t>Faculty practice and support are organised.</t>
        </is>
      </c>
      <c r="F5" s="2" t="inlineStr">
        <is>
          <t>Defined development pathways, peer learning, assessment redesign support and representative evidence of practice change.</t>
        </is>
      </c>
      <c r="G5" s="2" t="inlineStr">
        <is>
          <t>Faculty transformation is institutionally supported. | Source-derived: D04–D06 maturity architecture</t>
        </is>
      </c>
    </row>
    <row r="6">
      <c r="A6" s="2" t="inlineStr">
        <is>
          <t>D05</t>
        </is>
      </c>
      <c r="B6" s="2" t="inlineStr">
        <is>
          <t>Faculty Capability &amp; Academic Workforce Transformation</t>
        </is>
      </c>
      <c r="C6" s="2" t="n">
        <v>4</v>
      </c>
      <c r="D6" s="2" t="inlineStr">
        <is>
          <t>Integrated</t>
        </is>
      </c>
      <c r="E6" s="2" t="inlineStr">
        <is>
          <t>Teaching, assessment, research and academic roles evolve together.</t>
        </is>
      </c>
      <c r="F6" s="2" t="inlineStr">
        <is>
          <t>Discipline-specific AI practice, workflow redesign, research use and workload/support mechanisms are integrated.</t>
        </is>
      </c>
      <c r="G6" s="2" t="inlineStr">
        <is>
          <t>Faculty ecosystem is cross-functional and evidence-informed. | Source-derived: D04–D06 maturity architecture</t>
        </is>
      </c>
    </row>
    <row r="7">
      <c r="A7" s="2" t="inlineStr">
        <is>
          <t>D05</t>
        </is>
      </c>
      <c r="B7" s="2" t="inlineStr">
        <is>
          <t>Faculty Capability &amp; Academic Workforce Transformation</t>
        </is>
      </c>
      <c r="C7" s="2" t="n">
        <v>5</v>
      </c>
      <c r="D7" s="2" t="inlineStr">
        <is>
          <t>Adaptive</t>
        </is>
      </c>
      <c r="E7" s="2" t="inlineStr">
        <is>
          <t>Faculty ecosystem continuously learns, redesigns and scales effective practice.</t>
        </is>
      </c>
      <c r="F7" s="2" t="inlineStr">
        <is>
          <t>Institution senses emerging academic-work changes, evaluates interventions, reallocates support and scales what works.</t>
        </is>
      </c>
      <c r="G7" s="2" t="inlineStr">
        <is>
          <t>Academic workforce transformation is continuous. | Source-derived: D04–D06 maturity architecture</t>
        </is>
      </c>
    </row>
  </sheetData>
  <autoFilter ref="A1:G7"/>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23" t="inlineStr">
        <is>
          <t>Domain</t>
        </is>
      </c>
      <c r="B1" s="23" t="inlineStr">
        <is>
          <t>Domain Name</t>
        </is>
      </c>
      <c r="C1" s="23" t="inlineStr">
        <is>
          <t>Level</t>
        </is>
      </c>
      <c r="D1" s="23" t="inlineStr">
        <is>
          <t>Label</t>
        </is>
      </c>
      <c r="E1" s="23" t="inlineStr">
        <is>
          <t>Domain-Specific Behavioural Anchor</t>
        </is>
      </c>
      <c r="F1" s="23" t="inlineStr">
        <is>
          <t>Observable Evidence / Scoring Cue</t>
        </is>
      </c>
      <c r="G1" s="23" t="inlineStr">
        <is>
          <t>Provenance</t>
        </is>
      </c>
    </row>
    <row r="2">
      <c r="A2" s="2" t="inlineStr">
        <is>
          <t>D06</t>
        </is>
      </c>
      <c r="B2" s="2" t="inlineStr">
        <is>
          <t>Student Capability, Agency &amp; Future Readiness</t>
        </is>
      </c>
      <c r="C2" s="2" t="n">
        <v>0</v>
      </c>
      <c r="D2" s="2" t="inlineStr">
        <is>
          <t>Absent</t>
        </is>
      </c>
      <c r="E2" s="2" t="inlineStr">
        <is>
          <t>No intentional AI-era capability development for students.</t>
        </is>
      </c>
      <c r="F2" s="2" t="inlineStr">
        <is>
          <t>No coherent AI literacy, agency, practical capability or future-readiness approach.</t>
        </is>
      </c>
      <c r="G2" s="2" t="inlineStr">
        <is>
          <t>Student readiness is unmanaged. | Source-derived: D04–D06 maturity architecture</t>
        </is>
      </c>
    </row>
    <row r="3">
      <c r="A3" s="2" t="inlineStr">
        <is>
          <t>D06</t>
        </is>
      </c>
      <c r="B3" s="2" t="inlineStr">
        <is>
          <t>Student Capability, Agency &amp; Future Readiness</t>
        </is>
      </c>
      <c r="C3" s="2" t="n">
        <v>1</v>
      </c>
      <c r="D3" s="2" t="inlineStr">
        <is>
          <t>Reactive</t>
        </is>
      </c>
      <c r="E3" s="2" t="inlineStr">
        <is>
          <t>Students use AI mainly informally.</t>
        </is>
      </c>
      <c r="F3" s="2" t="inlineStr">
        <is>
          <t>Institution responds to misuse or isolated student demand; capability development is incidental.</t>
        </is>
      </c>
      <c r="G3" s="2" t="inlineStr">
        <is>
          <t>Student readiness is largely student-led. | Source-derived: D04–D06 maturity architecture</t>
        </is>
      </c>
    </row>
    <row r="4">
      <c r="A4" s="2" t="inlineStr">
        <is>
          <t>D06</t>
        </is>
      </c>
      <c r="B4" s="2" t="inlineStr">
        <is>
          <t>Student Capability, Agency &amp; Future Readiness</t>
        </is>
      </c>
      <c r="C4" s="2" t="n">
        <v>2</v>
      </c>
      <c r="D4" s="2" t="inlineStr">
        <is>
          <t>Emerging</t>
        </is>
      </c>
      <c r="E4" s="2" t="inlineStr">
        <is>
          <t>Guidance and selected capability development exist.</t>
        </is>
      </c>
      <c r="F4" s="2" t="inlineStr">
        <is>
          <t>AI literacy, critical evaluation, agency, career or responsible-use initiatives appear in selected programmes/groups.</t>
        </is>
      </c>
      <c r="G4" s="2" t="inlineStr">
        <is>
          <t>Practice is developing but uneven. | Source-derived: D04–D06 maturity architecture</t>
        </is>
      </c>
    </row>
    <row r="5">
      <c r="A5" s="2" t="inlineStr">
        <is>
          <t>D06</t>
        </is>
      </c>
      <c r="B5" s="2" t="inlineStr">
        <is>
          <t>Student Capability, Agency &amp; Future Readiness</t>
        </is>
      </c>
      <c r="C5" s="2" t="n">
        <v>3</v>
      </c>
      <c r="D5" s="2" t="inlineStr">
        <is>
          <t>Structured</t>
        </is>
      </c>
      <c r="E5" s="2" t="inlineStr">
        <is>
          <t>Capability development is embedded in programmes.</t>
        </is>
      </c>
      <c r="F5" s="2" t="inlineStr">
        <is>
          <t>Students have defined opportunities to develop reasoning, verification, communication, collaboration, practical capability, AI literacy and responsible use.</t>
        </is>
      </c>
      <c r="G5" s="2" t="inlineStr">
        <is>
          <t>Development is systematic. | Source-derived: D04–D06 maturity architecture</t>
        </is>
      </c>
    </row>
    <row r="6">
      <c r="A6" s="2" t="inlineStr">
        <is>
          <t>D06</t>
        </is>
      </c>
      <c r="B6" s="2" t="inlineStr">
        <is>
          <t>Student Capability, Agency &amp; Future Readiness</t>
        </is>
      </c>
      <c r="C6" s="2" t="n">
        <v>4</v>
      </c>
      <c r="D6" s="2" t="inlineStr">
        <is>
          <t>Integrated</t>
        </is>
      </c>
      <c r="E6" s="2" t="inlineStr">
        <is>
          <t>Students demonstrate capabilities across contexts.</t>
        </is>
      </c>
      <c r="F6" s="2" t="inlineStr">
        <is>
          <t>Evidence shows transfer, defence, practical application, independent judgement, portfolios/capability signalling and career adaptability across relevant groups.</t>
        </is>
      </c>
      <c r="G6" s="2" t="inlineStr">
        <is>
          <t>Student capability is observable, not merely taught. | Source-derived: D04–D06 maturity architecture</t>
        </is>
      </c>
    </row>
    <row r="7">
      <c r="A7" s="2" t="inlineStr">
        <is>
          <t>D06</t>
        </is>
      </c>
      <c r="B7" s="2" t="inlineStr">
        <is>
          <t>Student Capability, Agency &amp; Future Readiness</t>
        </is>
      </c>
      <c r="C7" s="2" t="n">
        <v>5</v>
      </c>
      <c r="D7" s="2" t="inlineStr">
        <is>
          <t>Adaptive</t>
        </is>
      </c>
      <c r="E7" s="2" t="inlineStr">
        <is>
          <t>Students demonstrate high agency, transfer and adaptability.</t>
        </is>
      </c>
      <c r="F7" s="2" t="inlineStr">
        <is>
          <t>Students continuously create, question, verify, collaborate, build portfolios and respond to changing work/knowledge conditions with institutional support and feedback loops.</t>
        </is>
      </c>
      <c r="G7" s="2" t="inlineStr">
        <is>
          <t>Student capability is resilient and self-directed. | Source-derived: D04–D06 maturity architecture</t>
        </is>
      </c>
    </row>
  </sheetData>
  <autoFilter ref="A1:G7"/>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23" t="inlineStr">
        <is>
          <t>Domain</t>
        </is>
      </c>
      <c r="B1" s="23" t="inlineStr">
        <is>
          <t>Domain Name</t>
        </is>
      </c>
      <c r="C1" s="23" t="inlineStr">
        <is>
          <t>Level</t>
        </is>
      </c>
      <c r="D1" s="23" t="inlineStr">
        <is>
          <t>Label</t>
        </is>
      </c>
      <c r="E1" s="23" t="inlineStr">
        <is>
          <t>Domain-Specific Behavioural Anchor</t>
        </is>
      </c>
      <c r="F1" s="23" t="inlineStr">
        <is>
          <t>Observable Evidence / Scoring Cue</t>
        </is>
      </c>
      <c r="G1" s="23" t="inlineStr">
        <is>
          <t>Provenance</t>
        </is>
      </c>
    </row>
    <row r="2">
      <c r="A2" s="2" t="inlineStr">
        <is>
          <t>D07</t>
        </is>
      </c>
      <c r="B2" s="2" t="inlineStr">
        <is>
          <t>Learning, Assessment &amp; Evidence of Capability</t>
        </is>
      </c>
      <c r="C2" s="2" t="n">
        <v>0</v>
      </c>
      <c r="D2" s="2" t="inlineStr">
        <is>
          <t>Absent</t>
        </is>
      </c>
      <c r="E2" s="2" t="inlineStr">
        <is>
          <t>Assessment mainly records answer production or completion; no meaningful capability-proof mechanism.</t>
        </is>
      </c>
      <c r="F2" s="2" t="inlineStr">
        <is>
          <t>No deliberate capability-oriented assessment architecture or evidence loop.</t>
        </is>
      </c>
      <c r="G2" s="2" t="inlineStr">
        <is>
          <t>Assessment capability is absent. | Methodology synthesis: D07–D11 matrix + assessment cards; requires pilot validation</t>
        </is>
      </c>
    </row>
    <row r="3">
      <c r="A3" s="2" t="inlineStr">
        <is>
          <t>D07</t>
        </is>
      </c>
      <c r="B3" s="2" t="inlineStr">
        <is>
          <t>Learning, Assessment &amp; Evidence of Capability</t>
        </is>
      </c>
      <c r="C3" s="2" t="n">
        <v>1</v>
      </c>
      <c r="D3" s="2" t="inlineStr">
        <is>
          <t>Reactive</t>
        </is>
      </c>
      <c r="E3" s="2" t="inlineStr">
        <is>
          <t>Assessment changes mainly in response to AI concerns or individual initiatives.</t>
        </is>
      </c>
      <c r="F3" s="2" t="inlineStr">
        <is>
          <t>Some oral checks, process evidence or authentic tasks appear, but remain isolated.</t>
        </is>
      </c>
      <c r="G3" s="2" t="inlineStr">
        <is>
          <t>Response is fragmented. | Methodology synthesis: D07–D11 matrix + assessment cards; requires pilot validation</t>
        </is>
      </c>
    </row>
    <row r="4">
      <c r="A4" s="2" t="inlineStr">
        <is>
          <t>D07</t>
        </is>
      </c>
      <c r="B4" s="2" t="inlineStr">
        <is>
          <t>Learning, Assessment &amp; Evidence of Capability</t>
        </is>
      </c>
      <c r="C4" s="2" t="n">
        <v>2</v>
      </c>
      <c r="D4" s="2" t="inlineStr">
        <is>
          <t>Emerging</t>
        </is>
      </c>
      <c r="E4" s="2" t="inlineStr">
        <is>
          <t>Selected assessments are intentionally redesigned for capability and AI-era conditions.</t>
        </is>
      </c>
      <c r="F4" s="2" t="inlineStr">
        <is>
          <t>Some programmes use reasoning, application, authenticity, defence or process evidence; learning feedback loops begin.</t>
        </is>
      </c>
      <c r="G4" s="2" t="inlineStr">
        <is>
          <t>Assessment innovation is selective. | Methodology synthesis: D07–D11 matrix + assessment cards; requires pilot validation</t>
        </is>
      </c>
    </row>
    <row r="5">
      <c r="A5" s="2" t="inlineStr">
        <is>
          <t>D07</t>
        </is>
      </c>
      <c r="B5" s="2" t="inlineStr">
        <is>
          <t>Learning, Assessment &amp; Evidence of Capability</t>
        </is>
      </c>
      <c r="C5" s="2" t="n">
        <v>3</v>
      </c>
      <c r="D5" s="2" t="inlineStr">
        <is>
          <t>Structured</t>
        </is>
      </c>
      <c r="E5" s="2" t="inlineStr">
        <is>
          <t>Assessment design, capability demonstration and governance are deliberately structured.</t>
        </is>
      </c>
      <c r="F5" s="2" t="inlineStr">
        <is>
          <t>Representative programmes use explicit capability criteria, authentic/unfamiliar tasks, verification/defence and defined evidence of learning.</t>
        </is>
      </c>
      <c r="G5" s="2" t="inlineStr">
        <is>
          <t>Assessment architecture is repeatable. | Methodology synthesis: D07–D11 matrix + assessment cards; requires pilot validation</t>
        </is>
      </c>
    </row>
    <row r="6">
      <c r="A6" s="2" t="inlineStr">
        <is>
          <t>D07</t>
        </is>
      </c>
      <c r="B6" s="2" t="inlineStr">
        <is>
          <t>Learning, Assessment &amp; Evidence of Capability</t>
        </is>
      </c>
      <c r="C6" s="2" t="n">
        <v>4</v>
      </c>
      <c r="D6" s="2" t="inlineStr">
        <is>
          <t>Integrated</t>
        </is>
      </c>
      <c r="E6" s="2" t="inlineStr">
        <is>
          <t>Assessment across programmes systematically demonstrates capability and informs improvement.</t>
        </is>
      </c>
      <c r="F6" s="2" t="inlineStr">
        <is>
          <t>Assessment, feedback, analytics, equity, governance and curriculum are connected; outcome evidence shows capabilities are actually demonstrated.</t>
        </is>
      </c>
      <c r="G6" s="2" t="inlineStr">
        <is>
          <t>Evidence-of-capability is embedded. | Methodology synthesis: D07–D11 matrix + assessment cards; requires pilot validation</t>
        </is>
      </c>
    </row>
    <row r="7">
      <c r="A7" s="2" t="inlineStr">
        <is>
          <t>D07</t>
        </is>
      </c>
      <c r="B7" s="2" t="inlineStr">
        <is>
          <t>Learning, Assessment &amp; Evidence of Capability</t>
        </is>
      </c>
      <c r="C7" s="2" t="n">
        <v>5</v>
      </c>
      <c r="D7" s="2" t="inlineStr">
        <is>
          <t>Adaptive</t>
        </is>
      </c>
      <c r="E7" s="2" t="inlineStr">
        <is>
          <t>Institution continuously redesigns assessment as AI changes how knowledge and work are produced.</t>
        </is>
      </c>
      <c r="F7" s="2" t="inlineStr">
        <is>
          <t>Assessment models are tested, validated, monitored and redesigned using evidence, student outcomes and emerging AI capabilities.</t>
        </is>
      </c>
      <c r="G7" s="2" t="inlineStr">
        <is>
          <t>Assessment is a learning-and-adaptation system. | Methodology synthesis: D07–D11 matrix + assessment cards; requires pilot validation</t>
        </is>
      </c>
    </row>
  </sheetData>
  <autoFilter ref="A1:G7"/>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23" t="inlineStr">
        <is>
          <t>Domain</t>
        </is>
      </c>
      <c r="B1" s="23" t="inlineStr">
        <is>
          <t>Domain Name</t>
        </is>
      </c>
      <c r="C1" s="23" t="inlineStr">
        <is>
          <t>Level</t>
        </is>
      </c>
      <c r="D1" s="23" t="inlineStr">
        <is>
          <t>Label</t>
        </is>
      </c>
      <c r="E1" s="23" t="inlineStr">
        <is>
          <t>Domain-Specific Behavioural Anchor</t>
        </is>
      </c>
      <c r="F1" s="23" t="inlineStr">
        <is>
          <t>Observable Evidence / Scoring Cue</t>
        </is>
      </c>
      <c r="G1" s="23" t="inlineStr">
        <is>
          <t>Provenance</t>
        </is>
      </c>
    </row>
    <row r="2">
      <c r="A2" s="2" t="inlineStr">
        <is>
          <t>D08</t>
        </is>
      </c>
      <c r="B2" s="2" t="inlineStr">
        <is>
          <t>Digital, Data &amp; Institutional Intelligence</t>
        </is>
      </c>
      <c r="C2" s="2" t="n">
        <v>0</v>
      </c>
      <c r="D2" s="2" t="inlineStr">
        <is>
          <t>Absent</t>
        </is>
      </c>
      <c r="E2" s="2" t="inlineStr">
        <is>
          <t>Digital/data foundations are fragmented and cannot reliably support institutional intelligence.</t>
        </is>
      </c>
      <c r="F2" s="2" t="inlineStr">
        <is>
          <t>Critical data are inaccessible, disconnected or untrusted; AI enablement is unclear.</t>
        </is>
      </c>
      <c r="G2" s="2" t="inlineStr">
        <is>
          <t>No reliable intelligence capability. | Methodology synthesis: D07–D11 matrix + assessment cards; requires pilot validation</t>
        </is>
      </c>
    </row>
    <row r="3">
      <c r="A3" s="2" t="inlineStr">
        <is>
          <t>D08</t>
        </is>
      </c>
      <c r="B3" s="2" t="inlineStr">
        <is>
          <t>Digital, Data &amp; Institutional Intelligence</t>
        </is>
      </c>
      <c r="C3" s="2" t="n">
        <v>1</v>
      </c>
      <c r="D3" s="2" t="inlineStr">
        <is>
          <t>Reactive</t>
        </is>
      </c>
      <c r="E3" s="2" t="inlineStr">
        <is>
          <t>Digital/data activity is mainly local, manual or department-dependent.</t>
        </is>
      </c>
      <c r="F3" s="2" t="inlineStr">
        <is>
          <t>Reports are assembled reactively; systems and data practices vary significantly.</t>
        </is>
      </c>
      <c r="G3" s="2" t="inlineStr">
        <is>
          <t>Institution relies on manual effort and individual expertise. | Methodology synthesis: D07–D11 matrix + assessment cards; requires pilot validation</t>
        </is>
      </c>
    </row>
    <row r="4">
      <c r="A4" s="2" t="inlineStr">
        <is>
          <t>D08</t>
        </is>
      </c>
      <c r="B4" s="2" t="inlineStr">
        <is>
          <t>Digital, Data &amp; Institutional Intelligence</t>
        </is>
      </c>
      <c r="C4" s="2" t="n">
        <v>2</v>
      </c>
      <c r="D4" s="2" t="inlineStr">
        <is>
          <t>Emerging</t>
        </is>
      </c>
      <c r="E4" s="2" t="inlineStr">
        <is>
          <t>Central reporting, selected data standards and early AI/digital capabilities are developing.</t>
        </is>
      </c>
      <c r="F4" s="2" t="inlineStr">
        <is>
          <t>Some validated datasets, dashboards, interoperability, security/privacy or AI infrastructure exist.</t>
        </is>
      </c>
      <c r="G4" s="2" t="inlineStr">
        <is>
          <t>Foundations are emerging but uneven. | Methodology synthesis: D07–D11 matrix + assessment cards; requires pilot validation</t>
        </is>
      </c>
    </row>
    <row r="5">
      <c r="A5" s="2" t="inlineStr">
        <is>
          <t>D08</t>
        </is>
      </c>
      <c r="B5" s="2" t="inlineStr">
        <is>
          <t>Digital, Data &amp; Institutional Intelligence</t>
        </is>
      </c>
      <c r="C5" s="2" t="n">
        <v>3</v>
      </c>
      <c r="D5" s="2" t="inlineStr">
        <is>
          <t>Structured</t>
        </is>
      </c>
      <c r="E5" s="2" t="inlineStr">
        <is>
          <t>Data, systems and digital processes are governed and operationally usable.</t>
        </is>
      </c>
      <c r="F5" s="2" t="inlineStr">
        <is>
          <t>Defined data ownership, quality controls, interoperability, privacy/security, digital workflows and repeatable institutional reporting operate.</t>
        </is>
      </c>
      <c r="G5" s="2" t="inlineStr">
        <is>
          <t>Institution has a dependable digital/data operating model. | Methodology synthesis: D07–D11 matrix + assessment cards; requires pilot validation</t>
        </is>
      </c>
    </row>
    <row r="6">
      <c r="A6" s="2" t="inlineStr">
        <is>
          <t>D08</t>
        </is>
      </c>
      <c r="B6" s="2" t="inlineStr">
        <is>
          <t>Digital, Data &amp; Institutional Intelligence</t>
        </is>
      </c>
      <c r="C6" s="2" t="n">
        <v>4</v>
      </c>
      <c r="D6" s="2" t="inlineStr">
        <is>
          <t>Integrated</t>
        </is>
      </c>
      <c r="E6" s="2" t="inlineStr">
        <is>
          <t>Trusted institutional intelligence informs academic, operational and strategic decisions.</t>
        </is>
      </c>
      <c r="F6" s="2" t="inlineStr">
        <is>
          <t>Integrated data, analytics, AI enablement and digital processes connect across functions; leadership decisions materially use evidence.</t>
        </is>
      </c>
      <c r="G6" s="2" t="inlineStr">
        <is>
          <t>Digital capability is embedded in decision-making. | Methodology synthesis: D07–D11 matrix + assessment cards; requires pilot validation</t>
        </is>
      </c>
    </row>
    <row r="7">
      <c r="A7" s="2" t="inlineStr">
        <is>
          <t>D08</t>
        </is>
      </c>
      <c r="B7" s="2" t="inlineStr">
        <is>
          <t>Digital, Data &amp; Institutional Intelligence</t>
        </is>
      </c>
      <c r="C7" s="2" t="n">
        <v>5</v>
      </c>
      <c r="D7" s="2" t="inlineStr">
        <is>
          <t>Adaptive</t>
        </is>
      </c>
      <c r="E7" s="2" t="inlineStr">
        <is>
          <t>Institution continuously converts data and external signals into anticipatory intelligence and redesign.</t>
        </is>
      </c>
      <c r="F7" s="2" t="inlineStr">
        <is>
          <t>Near-real-time trusted intelligence, scenario/predictive analytics, responsible AI and learning loops change decisions and resource allocation.</t>
        </is>
      </c>
      <c r="G7" s="2" t="inlineStr">
        <is>
          <t>Digital/data capability becomes a strategic sensing system. | Methodology synthesis: D07–D11 matrix + assessment cards; requires pilot validation</t>
        </is>
      </c>
    </row>
  </sheetData>
  <autoFilter ref="A1:G7"/>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23" t="inlineStr">
        <is>
          <t>Domain</t>
        </is>
      </c>
      <c r="B1" s="23" t="inlineStr">
        <is>
          <t>Domain Name</t>
        </is>
      </c>
      <c r="C1" s="23" t="inlineStr">
        <is>
          <t>Level</t>
        </is>
      </c>
      <c r="D1" s="23" t="inlineStr">
        <is>
          <t>Label</t>
        </is>
      </c>
      <c r="E1" s="23" t="inlineStr">
        <is>
          <t>Domain-Specific Behavioural Anchor</t>
        </is>
      </c>
      <c r="F1" s="23" t="inlineStr">
        <is>
          <t>Observable Evidence / Scoring Cue</t>
        </is>
      </c>
      <c r="G1" s="23" t="inlineStr">
        <is>
          <t>Provenance</t>
        </is>
      </c>
    </row>
    <row r="2">
      <c r="A2" s="2" t="inlineStr">
        <is>
          <t>D09</t>
        </is>
      </c>
      <c r="B2" s="2" t="inlineStr">
        <is>
          <t>Employability, Industry &amp; Economic Relevance</t>
        </is>
      </c>
      <c r="C2" s="2" t="n">
        <v>0</v>
      </c>
      <c r="D2" s="2" t="inlineStr">
        <is>
          <t>Absent</t>
        </is>
      </c>
      <c r="E2" s="2" t="inlineStr">
        <is>
          <t>No coherent mechanism connects graduate capability with external work/economic needs.</t>
        </is>
      </c>
      <c r="F2" s="2" t="inlineStr">
        <is>
          <t>No meaningful employer sensing, capability architecture or outcome evidence.</t>
        </is>
      </c>
      <c r="G2" s="2" t="inlineStr">
        <is>
          <t>External relevance is largely unmeasured. | Methodology synthesis: D07–D11 matrix + assessment cards; requires pilot validation</t>
        </is>
      </c>
    </row>
    <row r="3">
      <c r="A3" s="2" t="inlineStr">
        <is>
          <t>D09</t>
        </is>
      </c>
      <c r="B3" s="2" t="inlineStr">
        <is>
          <t>Employability, Industry &amp; Economic Relevance</t>
        </is>
      </c>
      <c r="C3" s="2" t="n">
        <v>1</v>
      </c>
      <c r="D3" s="2" t="inlineStr">
        <is>
          <t>Reactive</t>
        </is>
      </c>
      <c r="E3" s="2" t="inlineStr">
        <is>
          <t>Employability activity responds to immediate placement pressures.</t>
        </is>
      </c>
      <c r="F3" s="2" t="inlineStr">
        <is>
          <t>Placement counts, ad-hoc employer interactions or isolated curriculum changes dominate.</t>
        </is>
      </c>
      <c r="G3" s="2" t="inlineStr">
        <is>
          <t>External relevance is reactive. | Methodology synthesis: D07–D11 matrix + assessment cards; requires pilot validation</t>
        </is>
      </c>
    </row>
    <row r="4">
      <c r="A4" s="2" t="inlineStr">
        <is>
          <t>D09</t>
        </is>
      </c>
      <c r="B4" s="2" t="inlineStr">
        <is>
          <t>Employability, Industry &amp; Economic Relevance</t>
        </is>
      </c>
      <c r="C4" s="2" t="n">
        <v>2</v>
      </c>
      <c r="D4" s="2" t="inlineStr">
        <is>
          <t>Emerging</t>
        </is>
      </c>
      <c r="E4" s="2" t="inlineStr">
        <is>
          <t>Selected programmes use employer feedback and practical exposure to improve graduate readiness.</t>
        </is>
      </c>
      <c r="F4" s="2" t="inlineStr">
        <is>
          <t>Employer surveys, advisory input, internships, capability mapping or AI-work awareness appear in selected areas.</t>
        </is>
      </c>
      <c r="G4" s="2" t="inlineStr">
        <is>
          <t>External sensing is developing. | Methodology synthesis: D07–D11 matrix + assessment cards; requires pilot validation</t>
        </is>
      </c>
    </row>
    <row r="5">
      <c r="A5" s="2" t="inlineStr">
        <is>
          <t>D09</t>
        </is>
      </c>
      <c r="B5" s="2" t="inlineStr">
        <is>
          <t>Employability, Industry &amp; Economic Relevance</t>
        </is>
      </c>
      <c r="C5" s="2" t="n">
        <v>3</v>
      </c>
      <c r="D5" s="2" t="inlineStr">
        <is>
          <t>Structured</t>
        </is>
      </c>
      <c r="E5" s="2" t="inlineStr">
        <is>
          <t>Graduate capabilities are systematically connected to occupational/professional requirements.</t>
        </is>
      </c>
      <c r="F5" s="2" t="inlineStr">
        <is>
          <t>Defined employer intelligence, capability-to-career mapping, practical learning, recruiter feedback and outcome tracking operate for representative programmes.</t>
        </is>
      </c>
      <c r="G5" s="2" t="inlineStr">
        <is>
          <t>Employability architecture is repeatable. | Methodology synthesis: D07–D11 matrix + assessment cards; requires pilot validation</t>
        </is>
      </c>
    </row>
    <row r="6">
      <c r="A6" s="2" t="inlineStr">
        <is>
          <t>D09</t>
        </is>
      </c>
      <c r="B6" s="2" t="inlineStr">
        <is>
          <t>Employability, Industry &amp; Economic Relevance</t>
        </is>
      </c>
      <c r="C6" s="2" t="n">
        <v>4</v>
      </c>
      <c r="D6" s="2" t="inlineStr">
        <is>
          <t>Integrated</t>
        </is>
      </c>
      <c r="E6" s="2" t="inlineStr">
        <is>
          <t>Industry validation, student capability and employment outcomes reinforce one another.</t>
        </is>
      </c>
      <c r="F6" s="2" t="inlineStr">
        <is>
          <t>Employer demand sensing, co-creation, capability signalling, recruiter confidence, career adaptability and alumni intelligence inform programme and student decisions.</t>
        </is>
      </c>
      <c r="G6" s="2" t="inlineStr">
        <is>
          <t>External relevance is evidenced across the ecosystem. | Methodology synthesis: D07–D11 matrix + assessment cards; requires pilot validation</t>
        </is>
      </c>
    </row>
    <row r="7">
      <c r="A7" s="2" t="inlineStr">
        <is>
          <t>D09</t>
        </is>
      </c>
      <c r="B7" s="2" t="inlineStr">
        <is>
          <t>Employability, Industry &amp; Economic Relevance</t>
        </is>
      </c>
      <c r="C7" s="2" t="n">
        <v>5</v>
      </c>
      <c r="D7" s="2" t="inlineStr">
        <is>
          <t>Adaptive</t>
        </is>
      </c>
      <c r="E7" s="2" t="inlineStr">
        <is>
          <t>Institution continuously senses workforce change and redesigns capability, learning and transition pathways.</t>
        </is>
      </c>
      <c r="F7" s="2" t="inlineStr">
        <is>
          <t>Labour-market intelligence, AI work redesign, employer co-creation and alumni trajectories continuously reshape programmes and career preparation.</t>
        </is>
      </c>
      <c r="G7" s="2" t="inlineStr">
        <is>
          <t>Institution anticipates economic/workforce change. | Methodology synthesis: D07–D11 matrix + assessment cards; requires pilot validation</t>
        </is>
      </c>
    </row>
  </sheetData>
  <autoFilter ref="A1:G7"/>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23" t="inlineStr">
        <is>
          <t>Domain</t>
        </is>
      </c>
      <c r="B1" s="23" t="inlineStr">
        <is>
          <t>Domain Name</t>
        </is>
      </c>
      <c r="C1" s="23" t="inlineStr">
        <is>
          <t>Level</t>
        </is>
      </c>
      <c r="D1" s="23" t="inlineStr">
        <is>
          <t>Label</t>
        </is>
      </c>
      <c r="E1" s="23" t="inlineStr">
        <is>
          <t>Domain-Specific Behavioural Anchor</t>
        </is>
      </c>
      <c r="F1" s="23" t="inlineStr">
        <is>
          <t>Observable Evidence / Scoring Cue</t>
        </is>
      </c>
      <c r="G1" s="23" t="inlineStr">
        <is>
          <t>Provenance</t>
        </is>
      </c>
    </row>
    <row r="2">
      <c r="A2" s="2" t="inlineStr">
        <is>
          <t>D10</t>
        </is>
      </c>
      <c r="B2" s="2" t="inlineStr">
        <is>
          <t>Research, Innovation &amp; Knowledge Creation</t>
        </is>
      </c>
      <c r="C2" s="2" t="n">
        <v>0</v>
      </c>
      <c r="D2" s="2" t="inlineStr">
        <is>
          <t>Absent</t>
        </is>
      </c>
      <c r="E2" s="2" t="inlineStr">
        <is>
          <t>No meaningful strategic research/innovation capability or evidence of knowledge creation beyond isolated activity.</t>
        </is>
      </c>
      <c r="F2" s="2" t="inlineStr">
        <is>
          <t>No coherent research direction, capability, integrity or translation mechanism.</t>
        </is>
      </c>
      <c r="G2" s="2" t="inlineStr">
        <is>
          <t>Research/innovation system is absent or non-systematic. | Methodology synthesis: D07–D11 matrix + assessment cards; requires pilot validation</t>
        </is>
      </c>
    </row>
    <row r="3">
      <c r="A3" s="2" t="inlineStr">
        <is>
          <t>D10</t>
        </is>
      </c>
      <c r="B3" s="2" t="inlineStr">
        <is>
          <t>Research, Innovation &amp; Knowledge Creation</t>
        </is>
      </c>
      <c r="C3" s="2" t="n">
        <v>1</v>
      </c>
      <c r="D3" s="2" t="inlineStr">
        <is>
          <t>Reactive</t>
        </is>
      </c>
      <c r="E3" s="2" t="inlineStr">
        <is>
          <t>Research is primarily individual/project-driven and responds to immediate opportunities.</t>
        </is>
      </c>
      <c r="F3" s="2" t="inlineStr">
        <is>
          <t>Publication or grant activity exists but strategic direction, translation and infrastructure are fragmented.</t>
        </is>
      </c>
      <c r="G3" s="2" t="inlineStr">
        <is>
          <t>Capability is person-dependent. | Methodology synthesis: D07–D11 matrix + assessment cards; requires pilot validation</t>
        </is>
      </c>
    </row>
    <row r="4">
      <c r="A4" s="2" t="inlineStr">
        <is>
          <t>D10</t>
        </is>
      </c>
      <c r="B4" s="2" t="inlineStr">
        <is>
          <t>Research, Innovation &amp; Knowledge Creation</t>
        </is>
      </c>
      <c r="C4" s="2" t="n">
        <v>2</v>
      </c>
      <c r="D4" s="2" t="inlineStr">
        <is>
          <t>Emerging</t>
        </is>
      </c>
      <c r="E4" s="2" t="inlineStr">
        <is>
          <t>Institutional research themes, selected infrastructure, AI guidance and innovation pathways are developing.</t>
        </is>
      </c>
      <c r="F4" s="2" t="inlineStr">
        <is>
          <t>Some strategic priorities, interdisciplinary projects, researcher support, funding efforts or student research pathways exist.</t>
        </is>
      </c>
      <c r="G4" s="2" t="inlineStr">
        <is>
          <t>Research capability is developing unevenly. | Methodology synthesis: D07–D11 matrix + assessment cards; requires pilot validation</t>
        </is>
      </c>
    </row>
    <row r="5">
      <c r="A5" s="2" t="inlineStr">
        <is>
          <t>D10</t>
        </is>
      </c>
      <c r="B5" s="2" t="inlineStr">
        <is>
          <t>Research, Innovation &amp; Knowledge Creation</t>
        </is>
      </c>
      <c r="C5" s="2" t="n">
        <v>3</v>
      </c>
      <c r="D5" s="2" t="inlineStr">
        <is>
          <t>Structured</t>
        </is>
      </c>
      <c r="E5" s="2" t="inlineStr">
        <is>
          <t>Research direction, portfolio, capability, integrity and translation mechanisms are organised.</t>
        </is>
      </c>
      <c r="F5" s="2" t="inlineStr">
        <is>
          <t>Defined priorities, research support, governance, interdisciplinary structures and representative research-to-value pathways operate.</t>
        </is>
      </c>
      <c r="G5" s="2" t="inlineStr">
        <is>
          <t>Research system is institutionally structured. | Methodology synthesis: D07–D11 matrix + assessment cards; requires pilot validation</t>
        </is>
      </c>
    </row>
    <row r="6">
      <c r="A6" s="2" t="inlineStr">
        <is>
          <t>D10</t>
        </is>
      </c>
      <c r="B6" s="2" t="inlineStr">
        <is>
          <t>Research, Innovation &amp; Knowledge Creation</t>
        </is>
      </c>
      <c r="C6" s="2" t="n">
        <v>4</v>
      </c>
      <c r="D6" s="2" t="inlineStr">
        <is>
          <t>Integrated</t>
        </is>
      </c>
      <c r="E6" s="2" t="inlineStr">
        <is>
          <t>Research, interdisciplinarity, industry, innovation and knowledge translation reinforce institutional purpose.</t>
        </is>
      </c>
      <c r="F6" s="2" t="inlineStr">
        <is>
          <t>Research portfolio, infrastructure, talent, funding, responsible AI, IP, industry links and impact evidence are connected.</t>
        </is>
      </c>
      <c r="G6" s="2" t="inlineStr">
        <is>
          <t>Research creates demonstrated external value. | Methodology synthesis: D07–D11 matrix + assessment cards; requires pilot validation</t>
        </is>
      </c>
    </row>
    <row r="7">
      <c r="A7" s="2" t="inlineStr">
        <is>
          <t>D10</t>
        </is>
      </c>
      <c r="B7" s="2" t="inlineStr">
        <is>
          <t>Research, Innovation &amp; Knowledge Creation</t>
        </is>
      </c>
      <c r="C7" s="2" t="n">
        <v>5</v>
      </c>
      <c r="D7" s="2" t="inlineStr">
        <is>
          <t>Adaptive</t>
        </is>
      </c>
      <c r="E7" s="2" t="inlineStr">
        <is>
          <t>Institution continuously builds new knowledge capacity and converts emerging questions into research, innovation and societal/economic value.</t>
        </is>
      </c>
      <c r="F7" s="2" t="inlineStr">
        <is>
          <t>Future research sensing, rapid interdisciplinary formation, AI-enabled but responsible research, translation and learning loops continually reshape the portfolio.</t>
        </is>
      </c>
      <c r="G7" s="2" t="inlineStr">
        <is>
          <t>Research becomes an adaptive knowledge-creation ecosystem. | Methodology synthesis: D07–D11 matrix + assessment cards; requires pilot validation</t>
        </is>
      </c>
    </row>
  </sheetData>
  <autoFilter ref="A1:G7"/>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23" t="inlineStr">
        <is>
          <t>Domain</t>
        </is>
      </c>
      <c r="B1" s="23" t="inlineStr">
        <is>
          <t>Domain Name</t>
        </is>
      </c>
      <c r="C1" s="23" t="inlineStr">
        <is>
          <t>Level</t>
        </is>
      </c>
      <c r="D1" s="23" t="inlineStr">
        <is>
          <t>Label</t>
        </is>
      </c>
      <c r="E1" s="23" t="inlineStr">
        <is>
          <t>Domain-Specific Behavioural Anchor</t>
        </is>
      </c>
      <c r="F1" s="23" t="inlineStr">
        <is>
          <t>Observable Evidence / Scoring Cue</t>
        </is>
      </c>
      <c r="G1" s="23" t="inlineStr">
        <is>
          <t>Provenance</t>
        </is>
      </c>
    </row>
    <row r="2">
      <c r="A2" s="2" t="inlineStr">
        <is>
          <t>D11</t>
        </is>
      </c>
      <c r="B2" s="2" t="inlineStr">
        <is>
          <t>Institutional Adaptability &amp; AI Resilience</t>
        </is>
      </c>
      <c r="C2" s="2" t="n">
        <v>0</v>
      </c>
      <c r="D2" s="2" t="inlineStr">
        <is>
          <t>Absent</t>
        </is>
      </c>
      <c r="E2" s="2" t="inlineStr">
        <is>
          <t>No meaningful institutional mechanism for sensing, responding to or learning from disruption.</t>
        </is>
      </c>
      <c r="F2" s="2" t="inlineStr">
        <is>
          <t>No defined response, resource reallocation, experimentation or institutional learning mechanism.</t>
        </is>
      </c>
      <c r="G2" s="2" t="inlineStr">
        <is>
          <t>Resilience is absent. | Methodology synthesis: D07–D11 matrix + assessment cards; requires pilot validation</t>
        </is>
      </c>
    </row>
    <row r="3">
      <c r="A3" s="2" t="inlineStr">
        <is>
          <t>D11</t>
        </is>
      </c>
      <c r="B3" s="2" t="inlineStr">
        <is>
          <t>Institutional Adaptability &amp; AI Resilience</t>
        </is>
      </c>
      <c r="C3" s="2" t="n">
        <v>1</v>
      </c>
      <c r="D3" s="2" t="inlineStr">
        <is>
          <t>Reactive</t>
        </is>
      </c>
      <c r="E3" s="2" t="inlineStr">
        <is>
          <t>Institution mainly responds after change is visible or disruption occurs.</t>
        </is>
      </c>
      <c r="F3" s="2" t="inlineStr">
        <is>
          <t>Decisions are case-by-case; resource movement and learning depend on individual leaders.</t>
        </is>
      </c>
      <c r="G3" s="2" t="inlineStr">
        <is>
          <t>Adaptation is reactive. | Methodology synthesis: D07–D11 matrix + assessment cards; requires pilot validation</t>
        </is>
      </c>
    </row>
    <row r="4">
      <c r="A4" s="2" t="inlineStr">
        <is>
          <t>D11</t>
        </is>
      </c>
      <c r="B4" s="2" t="inlineStr">
        <is>
          <t>Institutional Adaptability &amp; AI Resilience</t>
        </is>
      </c>
      <c r="C4" s="2" t="n">
        <v>2</v>
      </c>
      <c r="D4" s="2" t="inlineStr">
        <is>
          <t>Emerging</t>
        </is>
      </c>
      <c r="E4" s="2" t="inlineStr">
        <is>
          <t>Institution monitors selected changes and periodically redesigns in response.</t>
        </is>
      </c>
      <c r="F4" s="2" t="inlineStr">
        <is>
          <t>Some sensing, review, experiments, resource adjustments or change-management practices are repeatable.</t>
        </is>
      </c>
      <c r="G4" s="2" t="inlineStr">
        <is>
          <t>Adaptation capability is developing. | Methodology synthesis: D07–D11 matrix + assessment cards; requires pilot validation</t>
        </is>
      </c>
    </row>
    <row r="5">
      <c r="A5" s="2" t="inlineStr">
        <is>
          <t>D11</t>
        </is>
      </c>
      <c r="B5" s="2" t="inlineStr">
        <is>
          <t>Institutional Adaptability &amp; AI Resilience</t>
        </is>
      </c>
      <c r="C5" s="2" t="n">
        <v>3</v>
      </c>
      <c r="D5" s="2" t="inlineStr">
        <is>
          <t>Structured</t>
        </is>
      </c>
      <c r="E5" s="2" t="inlineStr">
        <is>
          <t>Institution has defined mechanisms for sensing, deciding, reallocating, experimenting and learning.</t>
        </is>
      </c>
      <c r="F5" s="2" t="inlineStr">
        <is>
          <t>Representative evidence shows coordinated response, explicit decision rights, monitored experiments and documented learning.</t>
        </is>
      </c>
      <c r="G5" s="2" t="inlineStr">
        <is>
          <t>Adaptation is an institutional process. | Methodology synthesis: D07–D11 matrix + assessment cards; requires pilot validation</t>
        </is>
      </c>
    </row>
    <row r="6">
      <c r="A6" s="2" t="inlineStr">
        <is>
          <t>D11</t>
        </is>
      </c>
      <c r="B6" s="2" t="inlineStr">
        <is>
          <t>Institutional Adaptability &amp; AI Resilience</t>
        </is>
      </c>
      <c r="C6" s="2" t="n">
        <v>4</v>
      </c>
      <c r="D6" s="2" t="inlineStr">
        <is>
          <t>Integrated</t>
        </is>
      </c>
      <c r="E6" s="2" t="inlineStr">
        <is>
          <t>Institution continuously connects external signals, leadership, resources and operating systems to coordinated adaptation.</t>
        </is>
      </c>
      <c r="F6" s="2" t="inlineStr">
        <is>
          <t>Strategic, academic, workforce, digital, employability and research responses are aligned; experiments inform scaled change.</t>
        </is>
      </c>
      <c r="G6" s="2" t="inlineStr">
        <is>
          <t>Resilience is cross-functional and evidence-informed. | Methodology synthesis: D07–D11 matrix + assessment cards; requires pilot validation</t>
        </is>
      </c>
    </row>
    <row r="7">
      <c r="A7" s="2" t="inlineStr">
        <is>
          <t>D11</t>
        </is>
      </c>
      <c r="B7" s="2" t="inlineStr">
        <is>
          <t>Institutional Adaptability &amp; AI Resilience</t>
        </is>
      </c>
      <c r="C7" s="2" t="n">
        <v>5</v>
      </c>
      <c r="D7" s="2" t="inlineStr">
        <is>
          <t>Adaptive</t>
        </is>
      </c>
      <c r="E7" s="2" t="inlineStr">
        <is>
          <t>Institution deliberately senses emerging change, acts before pressure peaks, learns rapidly and reshapes itself while maintaining core quality.</t>
        </is>
      </c>
      <c r="F7" s="2" t="inlineStr">
        <is>
          <t>Scenario planning, resource agility, experimentation, failure learning, learner/workforce sensing and transformation loops continuously shape institutional evolution.</t>
        </is>
      </c>
      <c r="G7" s="2" t="inlineStr">
        <is>
          <t>AI resilience is demonstrated as a repeatable institutional capability. | Methodology synthesis: D07–D11 matrix + assessment cards; requires pilot validation</t>
        </is>
      </c>
    </row>
  </sheetData>
  <autoFilter ref="A1:G7"/>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F12"/>
  <sheetViews>
    <sheetView showGridLines="0" workbookViewId="0">
      <pane ySplit="1" topLeftCell="A2" activePane="bottomLeft" state="frozen"/>
      <selection pane="bottomLeft" activeCell="A1" sqref="A1"/>
    </sheetView>
  </sheetViews>
  <sheetFormatPr baseColWidth="8" defaultRowHeight="15"/>
  <cols>
    <col width="13.7109375" customWidth="1" min="1" max="6"/>
  </cols>
  <sheetData>
    <row r="1">
      <c r="A1" s="24" t="inlineStr">
        <is>
          <t>Domain</t>
        </is>
      </c>
      <c r="B1" s="24" t="inlineStr">
        <is>
          <t>Dimension</t>
        </is>
      </c>
      <c r="C1" s="24" t="inlineStr">
        <is>
          <t>Purpose</t>
        </is>
      </c>
      <c r="D1" s="24" t="inlineStr">
        <is>
          <t>Weight</t>
        </is>
      </c>
      <c r="E1" s="24" t="inlineStr">
        <is>
          <t>Status</t>
        </is>
      </c>
      <c r="F1" s="24" t="inlineStr">
        <is>
          <t>Architecture Standard</t>
        </is>
      </c>
    </row>
    <row r="2">
      <c r="A2" s="2" t="inlineStr">
        <is>
          <t>D01</t>
        </is>
      </c>
      <c r="B2" s="2" t="inlineStr">
        <is>
          <t>Institutional Strategy, Foresight &amp; AI Direction</t>
        </is>
      </c>
      <c r="C2" s="2" t="inlineStr">
        <is>
          <t>Future sensing, strategic translation, programme portfolio foresight, experimentation and institutional learning.</t>
        </is>
      </c>
      <c r="D2" s="2" t="n">
        <v>10</v>
      </c>
      <c r="E2" s="2" t="inlineStr">
        <is>
          <t>Engineered</t>
        </is>
      </c>
      <c r="F2" s="2" t="inlineStr">
        <is>
          <t>Context-adjusted, evidence-aware, scenario-based</t>
        </is>
      </c>
    </row>
    <row r="3">
      <c r="A3" s="2" t="inlineStr">
        <is>
          <t>D02</t>
        </is>
      </c>
      <c r="B3" s="2" t="inlineStr">
        <is>
          <t>Governance, Responsible AI &amp; Institutional Risk</t>
        </is>
      </c>
      <c r="C3" s="2" t="inlineStr">
        <is>
          <t>Decision rights, responsible AI, data, integrity, oversight, risk, incidents, vendors and governance adaptation.</t>
        </is>
      </c>
      <c r="D3" s="2" t="n">
        <v>12</v>
      </c>
      <c r="E3" s="2" t="inlineStr">
        <is>
          <t>Engineered</t>
        </is>
      </c>
      <c r="F3" s="2" t="inlineStr">
        <is>
          <t>Decision/process/evidence architecture</t>
        </is>
      </c>
    </row>
    <row r="4">
      <c r="A4" s="2" t="inlineStr">
        <is>
          <t>D03</t>
        </is>
      </c>
      <c r="B4" s="2" t="inlineStr">
        <is>
          <t>Human Capability, Cognitive Readiness &amp; AI-Ready Education</t>
        </is>
      </c>
      <c r="C4" s="2" t="inlineStr">
        <is>
          <t>What students must know, think, question, create, judge, verify and demonstrate in an AI-rich environment.</t>
        </is>
      </c>
      <c r="D4" s="2" t="n">
        <v>12</v>
      </c>
      <c r="E4" s="2" t="inlineStr">
        <is>
          <t>Engineered</t>
        </is>
      </c>
      <c r="F4" s="2" t="inlineStr">
        <is>
          <t>Capability → development → demonstration → evidence → outcome</t>
        </is>
      </c>
    </row>
    <row r="5">
      <c r="A5" s="2" t="inlineStr">
        <is>
          <t>D04</t>
        </is>
      </c>
      <c r="B5" s="2" t="inlineStr">
        <is>
          <t>Curriculum &amp; Programme Future Resilience</t>
        </is>
      </c>
      <c r="C5" s="2" t="inlineStr">
        <is>
          <t>Whether programmes continuously translate changing disciplinary/work realities into relevant learning architecture.</t>
        </is>
      </c>
      <c r="D5" s="2" t="n">
        <v>10</v>
      </c>
      <c r="E5" s="2" t="inlineStr">
        <is>
          <t>Engineered</t>
        </is>
      </c>
      <c r="F5" s="2" t="inlineStr">
        <is>
          <t>Programme-level sensing, review, agility and transfer</t>
        </is>
      </c>
    </row>
    <row r="6">
      <c r="A6" s="2" t="inlineStr">
        <is>
          <t>D05</t>
        </is>
      </c>
      <c r="B6" s="2" t="inlineStr">
        <is>
          <t>Faculty Capability &amp; Academic Workforce Transformation</t>
        </is>
      </c>
      <c r="C6" s="2" t="inlineStr">
        <is>
          <t>Whether faculty can adapt teaching, assessment, research and academic roles as AI changes work.</t>
        </is>
      </c>
      <c r="D6" s="2" t="n">
        <v>10</v>
      </c>
      <c r="E6" s="2" t="inlineStr">
        <is>
          <t>Engineered</t>
        </is>
      </c>
      <c r="F6" s="2" t="inlineStr">
        <is>
          <t>Practice-over-training, discipline context, workforce redesign</t>
        </is>
      </c>
    </row>
    <row r="7">
      <c r="A7" s="2" t="inlineStr">
        <is>
          <t>D06</t>
        </is>
      </c>
      <c r="B7" s="2" t="inlineStr">
        <is>
          <t>Student Capability, Agency &amp; Future Readiness</t>
        </is>
      </c>
      <c r="C7" s="2" t="inlineStr">
        <is>
          <t>Whether students build agency, AI literacy, judgement, adaptability, practical capability and equitable access.</t>
        </is>
      </c>
      <c r="D7" s="2" t="n">
        <v>10</v>
      </c>
      <c r="E7" s="2" t="inlineStr">
        <is>
          <t>Engineered</t>
        </is>
      </c>
      <c r="F7" s="2" t="inlineStr">
        <is>
          <t>Student reality, capability demonstration and transition readiness</t>
        </is>
      </c>
    </row>
    <row r="8">
      <c r="A8" s="2" t="inlineStr">
        <is>
          <t>D07</t>
        </is>
      </c>
      <c r="B8" s="2" t="inlineStr">
        <is>
          <t>Learning, Assessment &amp; Evidence of Capability</t>
        </is>
      </c>
      <c r="C8" s="2" t="inlineStr">
        <is>
          <t>How learning and assessment produce trustworthy evidence of actual student capability.</t>
        </is>
      </c>
      <c r="D8" s="2" t="n">
        <v>10</v>
      </c>
      <c r="E8" s="2" t="inlineStr">
        <is>
          <t>Engineered</t>
        </is>
      </c>
      <c r="F8" s="2" t="inlineStr">
        <is>
          <t>Outcome/evidence architecture</t>
        </is>
      </c>
    </row>
    <row r="9">
      <c r="A9" s="2" t="inlineStr">
        <is>
          <t>D08</t>
        </is>
      </c>
      <c r="B9" s="2" t="inlineStr">
        <is>
          <t>Digital, Data &amp; Institutional Intelligence</t>
        </is>
      </c>
      <c r="C9" s="2" t="inlineStr">
        <is>
          <t>Digital/data foundations and institutional intelligence needed for responsible AI-enabled operations.</t>
        </is>
      </c>
      <c r="D9" s="2" t="n">
        <v>8</v>
      </c>
      <c r="E9" s="2" t="inlineStr">
        <is>
          <t>Engineered</t>
        </is>
      </c>
      <c r="F9" s="2" t="inlineStr">
        <is>
          <t>Data, infrastructure, interoperability, intelligence</t>
        </is>
      </c>
    </row>
    <row r="10">
      <c r="A10" s="2" t="inlineStr">
        <is>
          <t>D09</t>
        </is>
      </c>
      <c r="B10" s="2" t="inlineStr">
        <is>
          <t>Employability, Industry &amp; Economic Relevance</t>
        </is>
      </c>
      <c r="C10" s="2" t="inlineStr">
        <is>
          <t>Alignment with changing work, employers, industry pathways and economic relevance.</t>
        </is>
      </c>
      <c r="D10" s="2" t="n">
        <v>9</v>
      </c>
      <c r="E10" s="2" t="inlineStr">
        <is>
          <t>Engineered</t>
        </is>
      </c>
      <c r="F10" s="2" t="inlineStr">
        <is>
          <t>Employer evidence, pathway strength, future-work exposure</t>
        </is>
      </c>
    </row>
    <row r="11">
      <c r="A11" s="2" t="inlineStr">
        <is>
          <t>D10</t>
        </is>
      </c>
      <c r="B11" s="2" t="inlineStr">
        <is>
          <t>Research, Innovation &amp; Knowledge Creation</t>
        </is>
      </c>
      <c r="C11" s="2" t="inlineStr">
        <is>
          <t>AI-enabled research, innovation, IP, entrepreneurship and knowledge creation.</t>
        </is>
      </c>
      <c r="D11" s="2" t="n">
        <v>5</v>
      </c>
      <c r="E11" s="2" t="inlineStr">
        <is>
          <t>Engineered</t>
        </is>
      </c>
      <c r="F11" s="2" t="inlineStr">
        <is>
          <t>Research maturity, translation, creation and IP</t>
        </is>
      </c>
    </row>
    <row r="12">
      <c r="A12" s="2" t="inlineStr">
        <is>
          <t>D11</t>
        </is>
      </c>
      <c r="B12" s="2" t="inlineStr">
        <is>
          <t>Institutional Adaptability &amp; AI Resilience</t>
        </is>
      </c>
      <c r="C12" s="2" t="inlineStr">
        <is>
          <t>Ability to sense disruption, respond, learn, redeploy and remain institutionally viable.</t>
        </is>
      </c>
      <c r="D12" s="2" t="n">
        <v>4</v>
      </c>
      <c r="E12" s="2" t="inlineStr">
        <is>
          <t>Engineered</t>
        </is>
      </c>
      <c r="F12" s="2" t="inlineStr">
        <is>
          <t>System-level resilience and adaptation</t>
        </is>
      </c>
    </row>
  </sheetData>
  <autoFilter ref="A1:F12"/>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B15"/>
  <sheetViews>
    <sheetView showGridLines="0" workbookViewId="0">
      <pane ySplit="1" topLeftCell="A2" activePane="bottomLeft" state="frozen"/>
      <selection pane="bottomLeft" activeCell="A1" sqref="A1"/>
    </sheetView>
  </sheetViews>
  <sheetFormatPr baseColWidth="8" defaultRowHeight="15"/>
  <cols>
    <col width="60.7109375" customWidth="1" min="1" max="1"/>
    <col width="13.7109375" customWidth="1" min="2" max="2"/>
  </cols>
  <sheetData>
    <row r="1">
      <c r="A1" s="25" t="inlineStr">
        <is>
          <t>P0-1 METHODOLOGY UPDATE</t>
        </is>
      </c>
      <c r="B1" s="14" t="n"/>
    </row>
    <row r="2">
      <c r="A2" s="2" t="inlineStr">
        <is>
          <t>Domain-specific maturity anchors for D01–D11 have been added as a controlled methodology layer.</t>
        </is>
      </c>
      <c r="B2" s="6" t="n"/>
    </row>
    <row r="3">
      <c r="A3" s="2" t="inlineStr">
        <is>
          <t>D01–D06 anchors are restored from the earlier canonical architecture; D07–D11 anchors are explicit methodology synthesis pending expert/pilot validation.</t>
        </is>
      </c>
      <c r="B3" s="6" t="n"/>
    </row>
    <row r="4">
      <c r="A4" s="2" t="inlineStr">
        <is>
          <t>Do not freeze public scoring bands until P0-1 through P0-5 validation gates are completed.</t>
        </is>
      </c>
      <c r="B4" s="6" t="n"/>
    </row>
    <row r="5">
      <c r="A5" s="4" t="inlineStr">
        <is>
          <t>Item</t>
        </is>
      </c>
      <c r="B5" s="4" t="inlineStr">
        <is>
          <t>Specification</t>
        </is>
      </c>
    </row>
    <row r="6">
      <c r="A6" s="2" t="inlineStr">
        <is>
          <t>Purpose</t>
        </is>
      </c>
      <c r="B6" s="2" t="inlineStr">
        <is>
          <t>AI Resilient University Index — Institutional Assessment Engine (D01–D06 release)</t>
        </is>
      </c>
    </row>
    <row r="7">
      <c r="A7" s="2" t="inlineStr">
        <is>
          <t>Design</t>
        </is>
      </c>
      <c r="B7" s="2" t="inlineStr">
        <is>
          <t>Institutional diagnostic system, not a conventional questionnaire.</t>
        </is>
      </c>
    </row>
    <row r="8">
      <c r="A8" s="2" t="inlineStr">
        <is>
          <t>Inputs</t>
        </is>
      </c>
      <c r="B8" s="2" t="inlineStr">
        <is>
          <t>Architecture now includes 11-domain master model; D01–D03 refined and D04–D06 fully engineered. D07–D11 remain to be built in subsequent releases.</t>
        </is>
      </c>
    </row>
    <row r="9">
      <c r="A9" s="2" t="inlineStr">
        <is>
          <t>Outputs</t>
        </is>
      </c>
      <c r="B9" s="2" t="inlineStr">
        <is>
          <t>Maturity, implementation depth, evidence confidence, outcome strength, future exposure, required maturity, transformation distance and derived metrics.</t>
        </is>
      </c>
    </row>
    <row r="10">
      <c r="A10" s="2" t="inlineStr">
        <is>
          <t>D01</t>
        </is>
      </c>
      <c r="B10" s="2" t="inlineStr">
        <is>
          <t>Core principle: Capability Gain, not Capability Size. Context calibrates proportionality; it does not grant lenient scores.</t>
        </is>
      </c>
    </row>
    <row r="11">
      <c r="A11" s="2" t="inlineStr">
        <is>
          <t>D02</t>
        </is>
      </c>
      <c r="B11" s="2" t="inlineStr">
        <is>
          <t>Governance, Responsible AI &amp; Institutional Risk</t>
        </is>
      </c>
    </row>
    <row r="12">
      <c r="A12" s="2" t="inlineStr">
        <is>
          <t>D03</t>
        </is>
      </c>
      <c r="B12" s="2" t="inlineStr">
        <is>
          <t>Assessment layers: Institutional Profile → Data → Diagnostic Questions → Evidence → Outcomes → Leadership Judgement → Cross-Domain Validation.</t>
        </is>
      </c>
    </row>
    <row r="13">
      <c r="A13" s="2" t="inlineStr">
        <is>
          <t>Non-technical students</t>
        </is>
      </c>
      <c r="B13" s="2" t="inlineStr">
        <is>
          <t>Explicit pathway for history, geography, humanities, social sciences, languages, law, education, commerce, arts and other non-technical disciplines.</t>
        </is>
      </c>
    </row>
    <row r="14">
      <c r="A14" s="2" t="inlineStr">
        <is>
          <t>Principle</t>
        </is>
      </c>
      <c r="B14" s="2" t="inlineStr">
        <is>
          <t>Use as a design/assessment engine, not as an official accreditation, ranking, certification or AI-safety guarantee.</t>
        </is>
      </c>
    </row>
    <row r="15">
      <c r="A15" s="2" t="inlineStr">
        <is>
          <t>COMPLETENESS NOTE</t>
        </is>
      </c>
      <c r="B15" s="2" t="inlineStr">
        <is>
          <t>This v2 release integrates D01–D11 into the core Domains, Capability_Areas, Indicators_Metrics, Assessment_Cards and Question_Bank sheets. Earlier D07–D11 matrix/card sheets are retained as source/detail sheets.</t>
        </is>
      </c>
    </row>
  </sheetData>
  <autoFilter ref="A1:B11"/>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C12"/>
  <sheetViews>
    <sheetView showGridLines="0" workbookViewId="0">
      <pane ySplit="1" topLeftCell="A2" activePane="bottomLeft" state="frozen"/>
      <selection pane="bottomLeft" activeCell="A1" sqref="A1"/>
    </sheetView>
  </sheetViews>
  <sheetFormatPr baseColWidth="8" defaultRowHeight="15"/>
  <cols>
    <col width="13.7109375" customWidth="1" min="1" max="3"/>
  </cols>
  <sheetData>
    <row r="1">
      <c r="A1" s="24" t="inlineStr">
        <is>
          <t>ID</t>
        </is>
      </c>
      <c r="B1" s="24" t="inlineStr">
        <is>
          <t>Domain</t>
        </is>
      </c>
      <c r="C1" s="24" t="inlineStr">
        <is>
          <t>Purpose</t>
        </is>
      </c>
    </row>
    <row r="2">
      <c r="A2" s="2" t="inlineStr">
        <is>
          <t>D01</t>
        </is>
      </c>
      <c r="B2" s="2" t="inlineStr">
        <is>
          <t>Institutional Strategy, Foresight &amp; AI Direction</t>
        </is>
      </c>
      <c r="C2" s="2" t="inlineStr">
        <is>
          <t>Future sensing, strategic translation, programme portfolio foresight, experimentation and institutional learning.</t>
        </is>
      </c>
    </row>
    <row r="3">
      <c r="A3" s="2" t="inlineStr">
        <is>
          <t>D02</t>
        </is>
      </c>
      <c r="B3" s="2" t="inlineStr">
        <is>
          <t>Governance, Responsible AI &amp; Institutional Risk</t>
        </is>
      </c>
      <c r="C3" s="2" t="inlineStr">
        <is>
          <t>Decision rights, responsible AI, data, integrity, oversight, risk, incidents, vendors and governance adaptation.</t>
        </is>
      </c>
    </row>
    <row r="4">
      <c r="A4" s="2" t="inlineStr">
        <is>
          <t>D03</t>
        </is>
      </c>
      <c r="B4" s="2" t="inlineStr">
        <is>
          <t>Human Capability, Cognitive Readiness &amp; AI-Ready Education</t>
        </is>
      </c>
      <c r="C4" s="2" t="inlineStr">
        <is>
          <t>What students must know, think, question, create, judge, verify and demonstrate in an AI-rich environment.</t>
        </is>
      </c>
    </row>
    <row r="5">
      <c r="A5" s="2" t="inlineStr">
        <is>
          <t>D04</t>
        </is>
      </c>
      <c r="B5" s="2" t="inlineStr">
        <is>
          <t>Curriculum &amp; Programme Future Resilience</t>
        </is>
      </c>
      <c r="C5" s="2" t="inlineStr">
        <is>
          <t>Whether programmes continuously translate changing disciplinary/work realities into relevant learning architecture.</t>
        </is>
      </c>
    </row>
    <row r="6">
      <c r="A6" s="2" t="inlineStr">
        <is>
          <t>D05</t>
        </is>
      </c>
      <c r="B6" s="2" t="inlineStr">
        <is>
          <t>Faculty Capability &amp; Academic Workforce Transformation</t>
        </is>
      </c>
      <c r="C6" s="2" t="inlineStr">
        <is>
          <t>Whether faculty can adapt teaching, assessment, research and academic roles as AI changes work.</t>
        </is>
      </c>
    </row>
    <row r="7">
      <c r="A7" s="2" t="inlineStr">
        <is>
          <t>D06</t>
        </is>
      </c>
      <c r="B7" s="2" t="inlineStr">
        <is>
          <t>Student Capability, Agency &amp; Future Readiness</t>
        </is>
      </c>
      <c r="C7" s="2" t="inlineStr">
        <is>
          <t>Whether students build agency, AI literacy, judgement, adaptability, practical capability and equitable access.</t>
        </is>
      </c>
    </row>
    <row r="8">
      <c r="A8" s="2" t="inlineStr">
        <is>
          <t>D07</t>
        </is>
      </c>
      <c r="B8" s="2" t="inlineStr">
        <is>
          <t>Learning, Assessment &amp; Evidence of Capability</t>
        </is>
      </c>
      <c r="C8" s="2" t="inlineStr">
        <is>
          <t>How learning and assessment produce trustworthy evidence of actual student capability.</t>
        </is>
      </c>
    </row>
    <row r="9">
      <c r="A9" s="2" t="inlineStr">
        <is>
          <t>D08</t>
        </is>
      </c>
      <c r="B9" s="2" t="inlineStr">
        <is>
          <t>Digital, Data &amp; Institutional Intelligence</t>
        </is>
      </c>
      <c r="C9" s="2" t="inlineStr">
        <is>
          <t>Digital/data foundations and institutional intelligence needed for responsible AI-enabled operations.</t>
        </is>
      </c>
    </row>
    <row r="10">
      <c r="A10" s="2" t="inlineStr">
        <is>
          <t>D09</t>
        </is>
      </c>
      <c r="B10" s="2" t="inlineStr">
        <is>
          <t>Employability, Industry &amp; Economic Relevance</t>
        </is>
      </c>
      <c r="C10" s="2" t="inlineStr">
        <is>
          <t>Alignment with changing work, employers, industry pathways and economic relevance.</t>
        </is>
      </c>
    </row>
    <row r="11">
      <c r="A11" s="2" t="inlineStr">
        <is>
          <t>D10</t>
        </is>
      </c>
      <c r="B11" s="2" t="inlineStr">
        <is>
          <t>Research, Innovation &amp; Knowledge Creation</t>
        </is>
      </c>
      <c r="C11" s="2" t="inlineStr">
        <is>
          <t>AI-enabled research, innovation, IP, entrepreneurship and knowledge creation.</t>
        </is>
      </c>
    </row>
    <row r="12">
      <c r="A12" s="2" t="inlineStr">
        <is>
          <t>D11</t>
        </is>
      </c>
      <c r="B12" s="2" t="inlineStr">
        <is>
          <t>Institutional Adaptability &amp; AI Resilience</t>
        </is>
      </c>
      <c r="C12" s="2" t="inlineStr">
        <is>
          <t>Ability to sense disruption, respond, learn, redeploy and remain institutionally viable.</t>
        </is>
      </c>
    </row>
  </sheetData>
  <autoFilter ref="A1:C12"/>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E26"/>
  <sheetViews>
    <sheetView showGridLines="0" workbookViewId="0">
      <pane ySplit="1" topLeftCell="A2" activePane="bottomLeft" state="frozen"/>
      <selection pane="bottomLeft" activeCell="A1" sqref="A1"/>
    </sheetView>
  </sheetViews>
  <sheetFormatPr baseColWidth="8" defaultRowHeight="15"/>
  <cols>
    <col width="13.7109375" customWidth="1" min="1" max="5"/>
  </cols>
  <sheetData>
    <row r="1">
      <c r="A1" s="24" t="inlineStr">
        <is>
          <t>ID</t>
        </is>
      </c>
      <c r="B1" s="24" t="inlineStr">
        <is>
          <t>Field</t>
        </is>
      </c>
      <c r="C1" s="24" t="inlineStr">
        <is>
          <t>Input</t>
        </is>
      </c>
      <c r="D1" s="24" t="inlineStr">
        <is>
          <t>Requirement</t>
        </is>
      </c>
      <c r="E1" s="24" t="inlineStr">
        <is>
          <t>Use</t>
        </is>
      </c>
    </row>
    <row r="2">
      <c r="A2" s="2" t="inlineStr">
        <is>
          <t>IP01</t>
        </is>
      </c>
      <c r="B2" s="2" t="inlineStr">
        <is>
          <t>Institution name</t>
        </is>
      </c>
      <c r="C2" s="2" t="inlineStr">
        <is>
          <t>Text</t>
        </is>
      </c>
      <c r="D2" s="2" t="inlineStr">
        <is>
          <t>Required</t>
        </is>
      </c>
      <c r="E2" s="2" t="inlineStr">
        <is>
          <t>Context</t>
        </is>
      </c>
    </row>
    <row r="3">
      <c r="A3" s="2" t="inlineStr">
        <is>
          <t>IP02</t>
        </is>
      </c>
      <c r="B3" s="2" t="inlineStr">
        <is>
          <t>Institution type</t>
        </is>
      </c>
      <c r="C3" s="2" t="inlineStr">
        <is>
          <t>Single select</t>
        </is>
      </c>
      <c r="D3" s="2" t="inlineStr">
        <is>
          <t>Required</t>
        </is>
      </c>
      <c r="E3" s="2" t="inlineStr">
        <is>
          <t>Context</t>
        </is>
      </c>
    </row>
    <row r="4">
      <c r="A4" s="2" t="inlineStr">
        <is>
          <t>IP03</t>
        </is>
      </c>
      <c r="B4" s="2" t="inlineStr">
        <is>
          <t>Governance type</t>
        </is>
      </c>
      <c r="C4" s="2" t="inlineStr">
        <is>
          <t>Single select</t>
        </is>
      </c>
      <c r="D4" s="2" t="inlineStr">
        <is>
          <t>Required</t>
        </is>
      </c>
      <c r="E4" s="2" t="inlineStr">
        <is>
          <t>Context</t>
        </is>
      </c>
    </row>
    <row r="5">
      <c r="A5" s="2" t="inlineStr">
        <is>
          <t>IP04</t>
        </is>
      </c>
      <c r="B5" s="2" t="inlineStr">
        <is>
          <t>State</t>
        </is>
      </c>
      <c r="C5" s="2" t="inlineStr">
        <is>
          <t>Dropdown</t>
        </is>
      </c>
      <c r="D5" s="2" t="inlineStr">
        <is>
          <t>Required</t>
        </is>
      </c>
      <c r="E5" s="2" t="inlineStr">
        <is>
          <t>Context</t>
        </is>
      </c>
    </row>
    <row r="6">
      <c r="A6" s="2" t="inlineStr">
        <is>
          <t>IP05</t>
        </is>
      </c>
      <c r="B6" s="2" t="inlineStr">
        <is>
          <t>District</t>
        </is>
      </c>
      <c r="C6" s="2" t="inlineStr">
        <is>
          <t>Dropdown</t>
        </is>
      </c>
      <c r="D6" s="2" t="inlineStr">
        <is>
          <t>Required</t>
        </is>
      </c>
      <c r="E6" s="2" t="inlineStr">
        <is>
          <t>Context</t>
        </is>
      </c>
    </row>
    <row r="7">
      <c r="A7" s="2" t="inlineStr">
        <is>
          <t>IP06</t>
        </is>
      </c>
      <c r="B7" s="2" t="inlineStr">
        <is>
          <t>Location</t>
        </is>
      </c>
      <c r="C7" s="2" t="inlineStr">
        <is>
          <t>Single select</t>
        </is>
      </c>
      <c r="D7" s="2" t="inlineStr">
        <is>
          <t>Required</t>
        </is>
      </c>
      <c r="E7" s="2" t="inlineStr">
        <is>
          <t>Context</t>
        </is>
      </c>
    </row>
    <row r="8">
      <c r="A8" s="2" t="inlineStr">
        <is>
          <t>IP07</t>
        </is>
      </c>
      <c r="B8" s="2" t="inlineStr">
        <is>
          <t>Year established</t>
        </is>
      </c>
      <c r="C8" s="2" t="inlineStr">
        <is>
          <t>Number</t>
        </is>
      </c>
      <c r="D8" s="2" t="inlineStr">
        <is>
          <t>Required</t>
        </is>
      </c>
      <c r="E8" s="2" t="inlineStr">
        <is>
          <t>Context</t>
        </is>
      </c>
    </row>
    <row r="9">
      <c r="A9" s="2" t="inlineStr">
        <is>
          <t>IP08</t>
        </is>
      </c>
      <c r="B9" s="2" t="inlineStr">
        <is>
          <t>Students</t>
        </is>
      </c>
      <c r="C9" s="2" t="inlineStr">
        <is>
          <t>Number</t>
        </is>
      </c>
      <c r="D9" s="2" t="inlineStr">
        <is>
          <t>Required</t>
        </is>
      </c>
      <c r="E9" s="2" t="inlineStr">
        <is>
          <t>Context</t>
        </is>
      </c>
    </row>
    <row r="10">
      <c r="A10" s="2" t="inlineStr">
        <is>
          <t>IP09</t>
        </is>
      </c>
      <c r="B10" s="2" t="inlineStr">
        <is>
          <t>Faculty</t>
        </is>
      </c>
      <c r="C10" s="2" t="inlineStr">
        <is>
          <t>Number</t>
        </is>
      </c>
      <c r="D10" s="2" t="inlineStr">
        <is>
          <t>Required</t>
        </is>
      </c>
      <c r="E10" s="2" t="inlineStr">
        <is>
          <t>Context</t>
        </is>
      </c>
    </row>
    <row r="11">
      <c r="A11" s="2" t="inlineStr">
        <is>
          <t>IP10</t>
        </is>
      </c>
      <c r="B11" s="2" t="inlineStr">
        <is>
          <t>Active programmes</t>
        </is>
      </c>
      <c r="C11" s="2" t="inlineStr">
        <is>
          <t>Number</t>
        </is>
      </c>
      <c r="D11" s="2" t="inlineStr">
        <is>
          <t>Required</t>
        </is>
      </c>
      <c r="E11" s="2" t="inlineStr">
        <is>
          <t>Context</t>
        </is>
      </c>
    </row>
    <row r="12">
      <c r="A12" s="2" t="inlineStr">
        <is>
          <t>IP11</t>
        </is>
      </c>
      <c r="B12" s="2" t="inlineStr">
        <is>
          <t>UG programmes</t>
        </is>
      </c>
      <c r="C12" s="2" t="inlineStr">
        <is>
          <t>Number</t>
        </is>
      </c>
      <c r="D12" s="2" t="inlineStr">
        <is>
          <t>Required</t>
        </is>
      </c>
      <c r="E12" s="2" t="inlineStr">
        <is>
          <t>Context</t>
        </is>
      </c>
    </row>
    <row r="13">
      <c r="A13" s="2" t="inlineStr">
        <is>
          <t>IP12</t>
        </is>
      </c>
      <c r="B13" s="2" t="inlineStr">
        <is>
          <t>PG programmes</t>
        </is>
      </c>
      <c r="C13" s="2" t="inlineStr">
        <is>
          <t>Number</t>
        </is>
      </c>
      <c r="D13" s="2" t="inlineStr">
        <is>
          <t>Required</t>
        </is>
      </c>
      <c r="E13" s="2" t="inlineStr">
        <is>
          <t>Context</t>
        </is>
      </c>
    </row>
    <row r="14">
      <c r="A14" s="2" t="inlineStr">
        <is>
          <t>IP13</t>
        </is>
      </c>
      <c r="B14" s="2" t="inlineStr">
        <is>
          <t>Doctoral programmes</t>
        </is>
      </c>
      <c r="C14" s="2" t="inlineStr">
        <is>
          <t>Number</t>
        </is>
      </c>
      <c r="D14" s="2" t="inlineStr">
        <is>
          <t>Optional</t>
        </is>
      </c>
      <c r="E14" s="2" t="inlineStr">
        <is>
          <t>Context</t>
        </is>
      </c>
    </row>
    <row r="15">
      <c r="A15" s="2" t="inlineStr">
        <is>
          <t>IP14</t>
        </is>
      </c>
      <c r="B15" s="2" t="inlineStr">
        <is>
          <t>Major disciplines</t>
        </is>
      </c>
      <c r="C15" s="2" t="inlineStr">
        <is>
          <t>Multi-select</t>
        </is>
      </c>
      <c r="D15" s="2" t="inlineStr">
        <is>
          <t>Required</t>
        </is>
      </c>
      <c r="E15" s="2" t="inlineStr">
        <is>
          <t>Context</t>
        </is>
      </c>
    </row>
    <row r="16">
      <c r="A16" s="2" t="inlineStr">
        <is>
          <t>IP15</t>
        </is>
      </c>
      <c r="B16" s="2" t="inlineStr">
        <is>
          <t>Research intensity</t>
        </is>
      </c>
      <c r="C16" s="2" t="inlineStr">
        <is>
          <t>Single select</t>
        </is>
      </c>
      <c r="D16" s="2" t="inlineStr">
        <is>
          <t>Required</t>
        </is>
      </c>
      <c r="E16" s="2" t="inlineStr">
        <is>
          <t>Context calibration</t>
        </is>
      </c>
    </row>
    <row r="17">
      <c r="A17" s="2" t="inlineStr">
        <is>
          <t>IP16</t>
        </is>
      </c>
      <c r="B17" s="2" t="inlineStr">
        <is>
          <t>Annual expenditure band</t>
        </is>
      </c>
      <c r="C17" s="2" t="inlineStr">
        <is>
          <t>Range</t>
        </is>
      </c>
      <c r="D17" s="2" t="inlineStr">
        <is>
          <t>Required</t>
        </is>
      </c>
      <c r="E17" s="2" t="inlineStr">
        <is>
          <t>Context calibration</t>
        </is>
      </c>
    </row>
    <row r="18">
      <c r="A18" s="2" t="inlineStr">
        <is>
          <t>IP17</t>
        </is>
      </c>
      <c r="B18" s="2" t="inlineStr">
        <is>
          <t>Technology/IT expenditure band</t>
        </is>
      </c>
      <c r="C18" s="2" t="inlineStr">
        <is>
          <t>Range</t>
        </is>
      </c>
      <c r="D18" s="2" t="inlineStr">
        <is>
          <t>Required</t>
        </is>
      </c>
      <c r="E18" s="2" t="inlineStr">
        <is>
          <t>Context calibration</t>
        </is>
      </c>
    </row>
    <row r="19">
      <c r="A19" s="2" t="inlineStr">
        <is>
          <t>IP18</t>
        </is>
      </c>
      <c r="B19" s="2" t="inlineStr">
        <is>
          <t>Research funding band</t>
        </is>
      </c>
      <c r="C19" s="2" t="inlineStr">
        <is>
          <t>Range</t>
        </is>
      </c>
      <c r="D19" s="2" t="inlineStr">
        <is>
          <t>Optional</t>
        </is>
      </c>
      <c r="E19" s="2" t="inlineStr">
        <is>
          <t>Context calibration</t>
        </is>
      </c>
    </row>
    <row r="20">
      <c r="A20" s="2" t="inlineStr">
        <is>
          <t>IP19</t>
        </is>
      </c>
      <c r="B20" s="2" t="inlineStr">
        <is>
          <t>Industry engagement</t>
        </is>
      </c>
      <c r="C20" s="2" t="inlineStr">
        <is>
          <t>Single select</t>
        </is>
      </c>
      <c r="D20" s="2" t="inlineStr">
        <is>
          <t>Required</t>
        </is>
      </c>
      <c r="E20" s="2" t="inlineStr">
        <is>
          <t>Context</t>
        </is>
      </c>
    </row>
    <row r="21">
      <c r="A21" s="2" t="inlineStr">
        <is>
          <t>IP20</t>
        </is>
      </c>
      <c r="B21" s="2" t="inlineStr">
        <is>
          <t>Innovation/incubation ecosystem</t>
        </is>
      </c>
      <c r="C21" s="2" t="inlineStr">
        <is>
          <t>Single select</t>
        </is>
      </c>
      <c r="D21" s="2" t="inlineStr">
        <is>
          <t>Required</t>
        </is>
      </c>
      <c r="E21" s="2" t="inlineStr">
        <is>
          <t>Context</t>
        </is>
      </c>
    </row>
    <row r="22">
      <c r="A22" s="2" t="inlineStr">
        <is>
          <t>IP21</t>
        </is>
      </c>
      <c r="B22" s="2" t="inlineStr">
        <is>
          <t>Student catchment</t>
        </is>
      </c>
      <c r="C22" s="2" t="inlineStr">
        <is>
          <t>Multi-select</t>
        </is>
      </c>
      <c r="D22" s="2" t="inlineStr">
        <is>
          <t>Required</t>
        </is>
      </c>
      <c r="E22" s="2" t="inlineStr">
        <is>
          <t>Context</t>
        </is>
      </c>
    </row>
    <row r="23">
      <c r="A23" s="2" t="inlineStr">
        <is>
          <t>IP22</t>
        </is>
      </c>
      <c r="B23" s="2" t="inlineStr">
        <is>
          <t>Student mobility pattern</t>
        </is>
      </c>
      <c r="C23" s="2" t="inlineStr">
        <is>
          <t>Multi-select</t>
        </is>
      </c>
      <c r="D23" s="2" t="inlineStr">
        <is>
          <t>Required</t>
        </is>
      </c>
      <c r="E23" s="2" t="inlineStr">
        <is>
          <t>Context</t>
        </is>
      </c>
    </row>
    <row r="24">
      <c r="A24" s="2" t="inlineStr">
        <is>
          <t>IP23</t>
        </is>
      </c>
      <c r="B24" s="2" t="inlineStr">
        <is>
          <t>Institutional mandate</t>
        </is>
      </c>
      <c r="C24" s="2" t="inlineStr">
        <is>
          <t>Multi-select</t>
        </is>
      </c>
      <c r="D24" s="2" t="inlineStr">
        <is>
          <t>Required</t>
        </is>
      </c>
      <c r="E24" s="2" t="inlineStr">
        <is>
          <t>Context</t>
        </is>
      </c>
    </row>
    <row r="25">
      <c r="A25" s="2" t="inlineStr">
        <is>
          <t>IP24</t>
        </is>
      </c>
      <c r="B25" s="2" t="inlineStr">
        <is>
          <t>Residential model</t>
        </is>
      </c>
      <c r="C25" s="2" t="inlineStr">
        <is>
          <t>Single select</t>
        </is>
      </c>
      <c r="D25" s="2" t="inlineStr">
        <is>
          <t>Required</t>
        </is>
      </c>
      <c r="E25" s="2" t="inlineStr">
        <is>
          <t>Context</t>
        </is>
      </c>
    </row>
    <row r="26">
      <c r="A26" s="2" t="inlineStr">
        <is>
          <t>IP25</t>
        </is>
      </c>
      <c r="B26" s="2" t="inlineStr">
        <is>
          <t>International exposure</t>
        </is>
      </c>
      <c r="C26" s="2" t="inlineStr">
        <is>
          <t>Single select</t>
        </is>
      </c>
      <c r="D26" s="2" t="inlineStr">
        <is>
          <t>Optional</t>
        </is>
      </c>
      <c r="E26" s="2" t="inlineStr">
        <is>
          <t>Context</t>
        </is>
      </c>
    </row>
  </sheetData>
  <autoFilter ref="A1:E26"/>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E24"/>
  <sheetViews>
    <sheetView showGridLines="0" workbookViewId="0">
      <pane ySplit="1" topLeftCell="A2" activePane="bottomLeft" state="frozen"/>
      <selection pane="bottomLeft" activeCell="A1" sqref="A1"/>
    </sheetView>
  </sheetViews>
  <sheetFormatPr baseColWidth="8" defaultRowHeight="15"/>
  <cols>
    <col width="13.7109375" customWidth="1" min="1" max="5"/>
  </cols>
  <sheetData>
    <row r="1">
      <c r="A1" s="24" t="inlineStr">
        <is>
          <t>Domain</t>
        </is>
      </c>
      <c r="B1" s="24" t="inlineStr">
        <is>
          <t>ID</t>
        </is>
      </c>
      <c r="C1" s="24" t="inlineStr">
        <is>
          <t>Data item</t>
        </is>
      </c>
      <c r="D1" s="24" t="inlineStr">
        <is>
          <t>Input</t>
        </is>
      </c>
      <c r="E1" s="24" t="inlineStr">
        <is>
          <t>Requirement</t>
        </is>
      </c>
    </row>
    <row r="2">
      <c r="A2" s="2" t="inlineStr">
        <is>
          <t>D01</t>
        </is>
      </c>
      <c r="B2" s="2" t="inlineStr">
        <is>
          <t>D01-D01</t>
        </is>
      </c>
      <c r="C2" s="2" t="inlineStr">
        <is>
          <t>Active programmes</t>
        </is>
      </c>
      <c r="D2" s="2" t="inlineStr">
        <is>
          <t>Number</t>
        </is>
      </c>
      <c r="E2" s="2" t="inlineStr">
        <is>
          <t>Required</t>
        </is>
      </c>
    </row>
    <row r="3">
      <c r="A3" s="2" t="inlineStr">
        <is>
          <t>D01</t>
        </is>
      </c>
      <c r="B3" s="2" t="inlineStr">
        <is>
          <t>D01-D02</t>
        </is>
      </c>
      <c r="C3" s="2" t="inlineStr">
        <is>
          <t>Programmes reviewed in last 3 years</t>
        </is>
      </c>
      <c r="D3" s="2" t="inlineStr">
        <is>
          <t>Number</t>
        </is>
      </c>
      <c r="E3" s="2" t="inlineStr">
        <is>
          <t>Required</t>
        </is>
      </c>
    </row>
    <row r="4">
      <c r="A4" s="2" t="inlineStr">
        <is>
          <t>D01</t>
        </is>
      </c>
      <c r="B4" s="2" t="inlineStr">
        <is>
          <t>D01-D03</t>
        </is>
      </c>
      <c r="C4" s="2" t="inlineStr">
        <is>
          <t>Programmes where AI/future implications considered</t>
        </is>
      </c>
      <c r="D4" s="2" t="inlineStr">
        <is>
          <t>Number</t>
        </is>
      </c>
      <c r="E4" s="2" t="inlineStr">
        <is>
          <t>Required</t>
        </is>
      </c>
    </row>
    <row r="5">
      <c r="A5" s="2" t="inlineStr">
        <is>
          <t>D01</t>
        </is>
      </c>
      <c r="B5" s="2" t="inlineStr">
        <is>
          <t>D01-D04</t>
        </is>
      </c>
      <c r="C5" s="2" t="inlineStr">
        <is>
          <t>Programmes modified due to AI/employment changes</t>
        </is>
      </c>
      <c r="D5" s="2" t="inlineStr">
        <is>
          <t>Number</t>
        </is>
      </c>
      <c r="E5" s="2" t="inlineStr">
        <is>
          <t>Optional</t>
        </is>
      </c>
    </row>
    <row r="6">
      <c r="A6" s="2" t="inlineStr">
        <is>
          <t>D01</t>
        </is>
      </c>
      <c r="B6" s="2" t="inlineStr">
        <is>
          <t>D01-D05</t>
        </is>
      </c>
      <c r="C6" s="2" t="inlineStr">
        <is>
          <t>Material AI/future strategic decisions in last 18 months</t>
        </is>
      </c>
      <c r="D6" s="2" t="inlineStr">
        <is>
          <t>Number</t>
        </is>
      </c>
      <c r="E6" s="2" t="inlineStr">
        <is>
          <t>Required</t>
        </is>
      </c>
    </row>
    <row r="7">
      <c r="A7" s="2" t="inlineStr">
        <is>
          <t>D01</t>
        </is>
      </c>
      <c r="B7" s="2" t="inlineStr">
        <is>
          <t>D01-D06</t>
        </is>
      </c>
      <c r="C7" s="2" t="inlineStr">
        <is>
          <t>AI pilots conducted in last 24 months</t>
        </is>
      </c>
      <c r="D7" s="2" t="inlineStr">
        <is>
          <t>Number</t>
        </is>
      </c>
      <c r="E7" s="2" t="inlineStr">
        <is>
          <t>Required</t>
        </is>
      </c>
    </row>
    <row r="8">
      <c r="A8" s="2" t="inlineStr">
        <is>
          <t>D01</t>
        </is>
      </c>
      <c r="B8" s="2" t="inlineStr">
        <is>
          <t>D01-D07</t>
        </is>
      </c>
      <c r="C8" s="2" t="inlineStr">
        <is>
          <t>AI pilots formally evaluated</t>
        </is>
      </c>
      <c r="D8" s="2" t="inlineStr">
        <is>
          <t>Number</t>
        </is>
      </c>
      <c r="E8" s="2" t="inlineStr">
        <is>
          <t>Required</t>
        </is>
      </c>
    </row>
    <row r="9">
      <c r="A9" s="2" t="inlineStr">
        <is>
          <t>D01</t>
        </is>
      </c>
      <c r="B9" s="2" t="inlineStr">
        <is>
          <t>D01-D08</t>
        </is>
      </c>
      <c r="C9" s="2" t="inlineStr">
        <is>
          <t>AI pilots scaled</t>
        </is>
      </c>
      <c r="D9" s="2" t="inlineStr">
        <is>
          <t>Number</t>
        </is>
      </c>
      <c r="E9" s="2" t="inlineStr">
        <is>
          <t>Optional</t>
        </is>
      </c>
    </row>
    <row r="10">
      <c r="A10" s="2" t="inlineStr">
        <is>
          <t>D01</t>
        </is>
      </c>
      <c r="B10" s="2" t="inlineStr">
        <is>
          <t>D01-D09</t>
        </is>
      </c>
      <c r="C10" s="2" t="inlineStr">
        <is>
          <t>AI pilots stopped after evaluation</t>
        </is>
      </c>
      <c r="D10" s="2" t="inlineStr">
        <is>
          <t>Number</t>
        </is>
      </c>
      <c r="E10" s="2" t="inlineStr">
        <is>
          <t>Optional</t>
        </is>
      </c>
    </row>
    <row r="11">
      <c r="A11" s="2" t="inlineStr">
        <is>
          <t>D02</t>
        </is>
      </c>
      <c r="B11" s="2" t="inlineStr">
        <is>
          <t>D02-D01</t>
        </is>
      </c>
      <c r="C11" s="2" t="inlineStr">
        <is>
          <t>Approved AI tools</t>
        </is>
      </c>
      <c r="D11" s="2" t="inlineStr">
        <is>
          <t>Number</t>
        </is>
      </c>
      <c r="E11" s="2" t="inlineStr">
        <is>
          <t>Required</t>
        </is>
      </c>
    </row>
    <row r="12">
      <c r="A12" s="2" t="inlineStr">
        <is>
          <t>D02</t>
        </is>
      </c>
      <c r="B12" s="2" t="inlineStr">
        <is>
          <t>D02-D02</t>
        </is>
      </c>
      <c r="C12" s="2" t="inlineStr">
        <is>
          <t>Approved tools processing personal/student data</t>
        </is>
      </c>
      <c r="D12" s="2" t="inlineStr">
        <is>
          <t>Number</t>
        </is>
      </c>
      <c r="E12" s="2" t="inlineStr">
        <is>
          <t>Required</t>
        </is>
      </c>
    </row>
    <row r="13">
      <c r="A13" s="2" t="inlineStr">
        <is>
          <t>D02</t>
        </is>
      </c>
      <c r="B13" s="2" t="inlineStr">
        <is>
          <t>D02-D03</t>
        </is>
      </c>
      <c r="C13" s="2" t="inlineStr">
        <is>
          <t>Data/privacy reviewed tools</t>
        </is>
      </c>
      <c r="D13" s="2" t="inlineStr">
        <is>
          <t>Number</t>
        </is>
      </c>
      <c r="E13" s="2" t="inlineStr">
        <is>
          <t>Optional</t>
        </is>
      </c>
    </row>
    <row r="14">
      <c r="A14" s="2" t="inlineStr">
        <is>
          <t>D02</t>
        </is>
      </c>
      <c r="B14" s="2" t="inlineStr">
        <is>
          <t>D02-D04</t>
        </is>
      </c>
      <c r="C14" s="2" t="inlineStr">
        <is>
          <t>Consequential AI use cases with named human override</t>
        </is>
      </c>
      <c r="D14" s="2" t="inlineStr">
        <is>
          <t>Number</t>
        </is>
      </c>
      <c r="E14" s="2" t="inlineStr">
        <is>
          <t>Optional</t>
        </is>
      </c>
    </row>
    <row r="15">
      <c r="A15" s="2" t="inlineStr">
        <is>
          <t>D02</t>
        </is>
      </c>
      <c r="B15" s="2" t="inlineStr">
        <is>
          <t>D02-D05</t>
        </is>
      </c>
      <c r="C15" s="2" t="inlineStr">
        <is>
          <t>Approved AI governance policies/guidelines</t>
        </is>
      </c>
      <c r="D15" s="2" t="inlineStr">
        <is>
          <t>Number</t>
        </is>
      </c>
      <c r="E15" s="2" t="inlineStr">
        <is>
          <t>Required</t>
        </is>
      </c>
    </row>
    <row r="16">
      <c r="A16" s="2" t="inlineStr">
        <is>
          <t>D02</t>
        </is>
      </c>
      <c r="B16" s="2" t="inlineStr">
        <is>
          <t>D02-D06</t>
        </is>
      </c>
      <c r="C16" s="2" t="inlineStr">
        <is>
          <t>Governance policies reviewed in last 12 months</t>
        </is>
      </c>
      <c r="D16" s="2" t="inlineStr">
        <is>
          <t>Number</t>
        </is>
      </c>
      <c r="E16" s="2" t="inlineStr">
        <is>
          <t>Optional</t>
        </is>
      </c>
    </row>
    <row r="17">
      <c r="A17" s="2" t="inlineStr">
        <is>
          <t>D03</t>
        </is>
      </c>
      <c r="B17" s="2" t="inlineStr">
        <is>
          <t>D03-D01</t>
        </is>
      </c>
      <c r="C17" s="2" t="inlineStr">
        <is>
          <t>Programmes with explicit graduate capability framework</t>
        </is>
      </c>
      <c r="D17" s="2" t="inlineStr">
        <is>
          <t>Number</t>
        </is>
      </c>
      <c r="E17" s="2" t="inlineStr">
        <is>
          <t>Required</t>
        </is>
      </c>
    </row>
    <row r="18">
      <c r="A18" s="2" t="inlineStr">
        <is>
          <t>D03</t>
        </is>
      </c>
      <c r="B18" s="2" t="inlineStr">
        <is>
          <t>D03-D02</t>
        </is>
      </c>
      <c r="C18" s="2" t="inlineStr">
        <is>
          <t>Programmes using project/case/practical learning</t>
        </is>
      </c>
      <c r="D18" s="2" t="inlineStr">
        <is>
          <t>Number</t>
        </is>
      </c>
      <c r="E18" s="2" t="inlineStr">
        <is>
          <t>Optional</t>
        </is>
      </c>
    </row>
    <row r="19">
      <c r="A19" s="2" t="inlineStr">
        <is>
          <t>D03</t>
        </is>
      </c>
      <c r="B19" s="2" t="inlineStr">
        <is>
          <t>D03-D03</t>
        </is>
      </c>
      <c r="C19" s="2" t="inlineStr">
        <is>
          <t>Programmes requiring unfamiliar/ambiguous problem solving</t>
        </is>
      </c>
      <c r="D19" s="2" t="inlineStr">
        <is>
          <t>Number</t>
        </is>
      </c>
      <c r="E19" s="2" t="inlineStr">
        <is>
          <t>Optional</t>
        </is>
      </c>
    </row>
    <row r="20">
      <c r="A20" s="2" t="inlineStr">
        <is>
          <t>D03</t>
        </is>
      </c>
      <c r="B20" s="2" t="inlineStr">
        <is>
          <t>D03-D04</t>
        </is>
      </c>
      <c r="C20" s="2" t="inlineStr">
        <is>
          <t>Programmes with explicit AI verification activity</t>
        </is>
      </c>
      <c r="D20" s="2" t="inlineStr">
        <is>
          <t>Number</t>
        </is>
      </c>
      <c r="E20" s="2" t="inlineStr">
        <is>
          <t>Optional</t>
        </is>
      </c>
    </row>
    <row r="21">
      <c r="A21" s="2" t="inlineStr">
        <is>
          <t>D03</t>
        </is>
      </c>
      <c r="B21" s="2" t="inlineStr">
        <is>
          <t>D03-D05</t>
        </is>
      </c>
      <c r="C21" s="2" t="inlineStr">
        <is>
          <t>Programmes with interdisciplinary AI learning</t>
        </is>
      </c>
      <c r="D21" s="2" t="inlineStr">
        <is>
          <t>Number</t>
        </is>
      </c>
      <c r="E21" s="2" t="inlineStr">
        <is>
          <t>Optional</t>
        </is>
      </c>
    </row>
    <row r="22">
      <c r="A22" s="2" t="inlineStr">
        <is>
          <t>D03</t>
        </is>
      </c>
      <c r="B22" s="2" t="inlineStr">
        <is>
          <t>D03-D06</t>
        </is>
      </c>
      <c r="C22" s="2" t="inlineStr">
        <is>
          <t>Non-technical programmes with explicit AI capability outcomes</t>
        </is>
      </c>
      <c r="D22" s="2" t="inlineStr">
        <is>
          <t>Number</t>
        </is>
      </c>
      <c r="E22" s="2" t="inlineStr">
        <is>
          <t>Required where applicable</t>
        </is>
      </c>
    </row>
    <row r="23">
      <c r="A23" s="2" t="inlineStr">
        <is>
          <t>D03</t>
        </is>
      </c>
      <c r="B23" s="2" t="inlineStr">
        <is>
          <t>D03-D07</t>
        </is>
      </c>
      <c r="C23" s="2" t="inlineStr">
        <is>
          <t>Students with competency outcome data</t>
        </is>
      </c>
      <c r="D23" s="2" t="inlineStr">
        <is>
          <t>Number</t>
        </is>
      </c>
      <c r="E23" s="2" t="inlineStr">
        <is>
          <t>Optional</t>
        </is>
      </c>
    </row>
    <row r="24">
      <c r="A24" s="2" t="inlineStr">
        <is>
          <t>D03</t>
        </is>
      </c>
      <c r="B24" s="2" t="inlineStr">
        <is>
          <t>D03-D08</t>
        </is>
      </c>
      <c r="C24" s="2" t="inlineStr">
        <is>
          <t>Students meeting defined competency threshold</t>
        </is>
      </c>
      <c r="D24" s="2" t="inlineStr">
        <is>
          <t>Number</t>
        </is>
      </c>
      <c r="E24" s="2" t="inlineStr">
        <is>
          <t>Optional</t>
        </is>
      </c>
    </row>
  </sheetData>
  <autoFilter ref="A1:E24"/>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C144"/>
  <sheetViews>
    <sheetView showGridLines="0" workbookViewId="0">
      <pane ySplit="1" topLeftCell="A2" activePane="bottomLeft" state="frozen"/>
      <selection pane="bottomLeft" activeCell="A1" sqref="A1"/>
    </sheetView>
  </sheetViews>
  <sheetFormatPr baseColWidth="8" defaultRowHeight="15"/>
  <cols>
    <col width="13.7109375" customWidth="1" min="1" max="3"/>
  </cols>
  <sheetData>
    <row r="1">
      <c r="A1" s="24" t="inlineStr">
        <is>
          <t>Domain</t>
        </is>
      </c>
      <c r="B1" s="24" t="inlineStr">
        <is>
          <t>ID</t>
        </is>
      </c>
      <c r="C1" s="24" t="inlineStr">
        <is>
          <t>Capability</t>
        </is>
      </c>
    </row>
    <row r="2">
      <c r="A2" s="2" t="inlineStr">
        <is>
          <t>D01</t>
        </is>
      </c>
      <c r="B2" s="2" t="inlineStr">
        <is>
          <t>C01</t>
        </is>
      </c>
      <c r="C2" s="2" t="inlineStr">
        <is>
          <t>Institutional AI Awareness</t>
        </is>
      </c>
    </row>
    <row r="3">
      <c r="A3" s="2" t="inlineStr">
        <is>
          <t>D01</t>
        </is>
      </c>
      <c r="B3" s="2" t="inlineStr">
        <is>
          <t>C02</t>
        </is>
      </c>
      <c r="C3" s="2" t="inlineStr">
        <is>
          <t>Future-of-Institution Thinking</t>
        </is>
      </c>
    </row>
    <row r="4">
      <c r="A4" s="2" t="inlineStr">
        <is>
          <t>D01</t>
        </is>
      </c>
      <c r="B4" s="2" t="inlineStr">
        <is>
          <t>C03</t>
        </is>
      </c>
      <c r="C4" s="2" t="inlineStr">
        <is>
          <t>Strategic Translation</t>
        </is>
      </c>
    </row>
    <row r="5">
      <c r="A5" s="2" t="inlineStr">
        <is>
          <t>D01</t>
        </is>
      </c>
      <c r="B5" s="2" t="inlineStr">
        <is>
          <t>C04</t>
        </is>
      </c>
      <c r="C5" s="2" t="inlineStr">
        <is>
          <t>Programme Portfolio Foresight</t>
        </is>
      </c>
    </row>
    <row r="6">
      <c r="A6" s="2" t="inlineStr">
        <is>
          <t>D01</t>
        </is>
      </c>
      <c r="B6" s="2" t="inlineStr">
        <is>
          <t>C05</t>
        </is>
      </c>
      <c r="C6" s="2" t="inlineStr">
        <is>
          <t>Institutional Value Proposition</t>
        </is>
      </c>
    </row>
    <row r="7">
      <c r="A7" s="2" t="inlineStr">
        <is>
          <t>D01</t>
        </is>
      </c>
      <c r="B7" s="2" t="inlineStr">
        <is>
          <t>C06</t>
        </is>
      </c>
      <c r="C7" s="2" t="inlineStr">
        <is>
          <t>Scenario &amp; Foresight Capability</t>
        </is>
      </c>
    </row>
    <row r="8">
      <c r="A8" s="2" t="inlineStr">
        <is>
          <t>D01</t>
        </is>
      </c>
      <c r="B8" s="2" t="inlineStr">
        <is>
          <t>C07</t>
        </is>
      </c>
      <c r="C8" s="2" t="inlineStr">
        <is>
          <t>Strategic Investment Alignment</t>
        </is>
      </c>
    </row>
    <row r="9">
      <c r="A9" s="2" t="inlineStr">
        <is>
          <t>D01</t>
        </is>
      </c>
      <c r="B9" s="2" t="inlineStr">
        <is>
          <t>C08</t>
        </is>
      </c>
      <c r="C9" s="2" t="inlineStr">
        <is>
          <t>Leadership Alignment</t>
        </is>
      </c>
    </row>
    <row r="10">
      <c r="A10" s="2" t="inlineStr">
        <is>
          <t>D01</t>
        </is>
      </c>
      <c r="B10" s="2" t="inlineStr">
        <is>
          <t>C09</t>
        </is>
      </c>
      <c r="C10" s="2" t="inlineStr">
        <is>
          <t>Strategic Experimentation</t>
        </is>
      </c>
    </row>
    <row r="11">
      <c r="A11" s="2" t="inlineStr">
        <is>
          <t>D01</t>
        </is>
      </c>
      <c r="B11" s="2" t="inlineStr">
        <is>
          <t>C10</t>
        </is>
      </c>
      <c r="C11" s="2" t="inlineStr">
        <is>
          <t>Institutional Learning Loop</t>
        </is>
      </c>
    </row>
    <row r="12">
      <c r="A12" s="2" t="inlineStr">
        <is>
          <t>D02</t>
        </is>
      </c>
      <c r="B12" s="2" t="inlineStr">
        <is>
          <t>C01</t>
        </is>
      </c>
      <c r="C12" s="2" t="inlineStr">
        <is>
          <t>Governance Ownership</t>
        </is>
      </c>
    </row>
    <row r="13">
      <c r="A13" s="2" t="inlineStr">
        <is>
          <t>D02</t>
        </is>
      </c>
      <c r="B13" s="2" t="inlineStr">
        <is>
          <t>C02</t>
        </is>
      </c>
      <c r="C13" s="2" t="inlineStr">
        <is>
          <t>Decision Architecture</t>
        </is>
      </c>
    </row>
    <row r="14">
      <c r="A14" s="2" t="inlineStr">
        <is>
          <t>D02</t>
        </is>
      </c>
      <c r="B14" s="2" t="inlineStr">
        <is>
          <t>C03</t>
        </is>
      </c>
      <c r="C14" s="2" t="inlineStr">
        <is>
          <t>Responsible AI Framework</t>
        </is>
      </c>
    </row>
    <row r="15">
      <c r="A15" s="2" t="inlineStr">
        <is>
          <t>D02</t>
        </is>
      </c>
      <c r="B15" s="2" t="inlineStr">
        <is>
          <t>C04</t>
        </is>
      </c>
      <c r="C15" s="2" t="inlineStr">
        <is>
          <t>Data Governance</t>
        </is>
      </c>
    </row>
    <row r="16">
      <c r="A16" s="2" t="inlineStr">
        <is>
          <t>D02</t>
        </is>
      </c>
      <c r="B16" s="2" t="inlineStr">
        <is>
          <t>C05</t>
        </is>
      </c>
      <c r="C16" s="2" t="inlineStr">
        <is>
          <t>Academic Integrity Governance</t>
        </is>
      </c>
    </row>
    <row r="17">
      <c r="A17" s="2" t="inlineStr">
        <is>
          <t>D02</t>
        </is>
      </c>
      <c r="B17" s="2" t="inlineStr">
        <is>
          <t>C06</t>
        </is>
      </c>
      <c r="C17" s="2" t="inlineStr">
        <is>
          <t>Assessment Governance</t>
        </is>
      </c>
    </row>
    <row r="18">
      <c r="A18" s="2" t="inlineStr">
        <is>
          <t>D02</t>
        </is>
      </c>
      <c r="B18" s="2" t="inlineStr">
        <is>
          <t>C07</t>
        </is>
      </c>
      <c r="C18" s="2" t="inlineStr">
        <is>
          <t>AI Risk Management</t>
        </is>
      </c>
    </row>
    <row r="19">
      <c r="A19" s="2" t="inlineStr">
        <is>
          <t>D02</t>
        </is>
      </c>
      <c r="B19" s="2" t="inlineStr">
        <is>
          <t>C08</t>
        </is>
      </c>
      <c r="C19" s="2" t="inlineStr">
        <is>
          <t>Incident Response</t>
        </is>
      </c>
    </row>
    <row r="20">
      <c r="A20" s="2" t="inlineStr">
        <is>
          <t>D02</t>
        </is>
      </c>
      <c r="B20" s="2" t="inlineStr">
        <is>
          <t>C09</t>
        </is>
      </c>
      <c r="C20" s="2" t="inlineStr">
        <is>
          <t>Human Oversight</t>
        </is>
      </c>
    </row>
    <row r="21">
      <c r="A21" s="2" t="inlineStr">
        <is>
          <t>D02</t>
        </is>
      </c>
      <c r="B21" s="2" t="inlineStr">
        <is>
          <t>C10</t>
        </is>
      </c>
      <c r="C21" s="2" t="inlineStr">
        <is>
          <t>Vendor/Tool Governance</t>
        </is>
      </c>
    </row>
    <row r="22">
      <c r="A22" s="2" t="inlineStr">
        <is>
          <t>D02</t>
        </is>
      </c>
      <c r="B22" s="2" t="inlineStr">
        <is>
          <t>C11</t>
        </is>
      </c>
      <c r="C22" s="2" t="inlineStr">
        <is>
          <t>Intellectual Property</t>
        </is>
      </c>
    </row>
    <row r="23">
      <c r="A23" s="2" t="inlineStr">
        <is>
          <t>D02</t>
        </is>
      </c>
      <c r="B23" s="2" t="inlineStr">
        <is>
          <t>C12</t>
        </is>
      </c>
      <c r="C23" s="2" t="inlineStr">
        <is>
          <t>Research Governance</t>
        </is>
      </c>
    </row>
    <row r="24">
      <c r="A24" s="2" t="inlineStr">
        <is>
          <t>D02</t>
        </is>
      </c>
      <c r="B24" s="2" t="inlineStr">
        <is>
          <t>C13</t>
        </is>
      </c>
      <c r="C24" s="2" t="inlineStr">
        <is>
          <t>Governance Review</t>
        </is>
      </c>
    </row>
    <row r="25">
      <c r="A25" s="2" t="inlineStr">
        <is>
          <t>D02</t>
        </is>
      </c>
      <c r="B25" s="2" t="inlineStr">
        <is>
          <t>C14</t>
        </is>
      </c>
      <c r="C25" s="2" t="inlineStr">
        <is>
          <t>Governance Effectiveness</t>
        </is>
      </c>
    </row>
    <row r="26">
      <c r="A26" s="2" t="inlineStr">
        <is>
          <t>D03</t>
        </is>
      </c>
      <c r="B26" s="2" t="inlineStr">
        <is>
          <t>C01</t>
        </is>
      </c>
      <c r="C26" s="2" t="inlineStr">
        <is>
          <t>Foundational Knowledge</t>
        </is>
      </c>
    </row>
    <row r="27">
      <c r="A27" s="2" t="inlineStr">
        <is>
          <t>D03</t>
        </is>
      </c>
      <c r="B27" s="2" t="inlineStr">
        <is>
          <t>C02</t>
        </is>
      </c>
      <c r="C27" s="2" t="inlineStr">
        <is>
          <t>Critical Thinking</t>
        </is>
      </c>
    </row>
    <row r="28">
      <c r="A28" s="2" t="inlineStr">
        <is>
          <t>D03</t>
        </is>
      </c>
      <c r="B28" s="2" t="inlineStr">
        <is>
          <t>C03</t>
        </is>
      </c>
      <c r="C28" s="2" t="inlineStr">
        <is>
          <t>Question Formulation</t>
        </is>
      </c>
    </row>
    <row r="29">
      <c r="A29" s="2" t="inlineStr">
        <is>
          <t>D03</t>
        </is>
      </c>
      <c r="B29" s="2" t="inlineStr">
        <is>
          <t>C04</t>
        </is>
      </c>
      <c r="C29" s="2" t="inlineStr">
        <is>
          <t>Analytical Reasoning</t>
        </is>
      </c>
    </row>
    <row r="30">
      <c r="A30" s="2" t="inlineStr">
        <is>
          <t>D03</t>
        </is>
      </c>
      <c r="B30" s="2" t="inlineStr">
        <is>
          <t>C05</t>
        </is>
      </c>
      <c r="C30" s="2" t="inlineStr">
        <is>
          <t>Problem Formulation</t>
        </is>
      </c>
    </row>
    <row r="31">
      <c r="A31" s="2" t="inlineStr">
        <is>
          <t>D03</t>
        </is>
      </c>
      <c r="B31" s="2" t="inlineStr">
        <is>
          <t>C06</t>
        </is>
      </c>
      <c r="C31" s="2" t="inlineStr">
        <is>
          <t>Creativity &amp; Originality</t>
        </is>
      </c>
    </row>
    <row r="32">
      <c r="A32" s="2" t="inlineStr">
        <is>
          <t>D03</t>
        </is>
      </c>
      <c r="B32" s="2" t="inlineStr">
        <is>
          <t>C07</t>
        </is>
      </c>
      <c r="C32" s="2" t="inlineStr">
        <is>
          <t>Judgement &amp; Decision-Making</t>
        </is>
      </c>
    </row>
    <row r="33">
      <c r="A33" s="2" t="inlineStr">
        <is>
          <t>D03</t>
        </is>
      </c>
      <c r="B33" s="2" t="inlineStr">
        <is>
          <t>C08</t>
        </is>
      </c>
      <c r="C33" s="2" t="inlineStr">
        <is>
          <t>Verification &amp; Epistemic Discipline</t>
        </is>
      </c>
    </row>
    <row r="34">
      <c r="A34" s="2" t="inlineStr">
        <is>
          <t>D03</t>
        </is>
      </c>
      <c r="B34" s="2" t="inlineStr">
        <is>
          <t>C09</t>
        </is>
      </c>
      <c r="C34" s="2" t="inlineStr">
        <is>
          <t>Metacognition</t>
        </is>
      </c>
    </row>
    <row r="35">
      <c r="A35" s="2" t="inlineStr">
        <is>
          <t>D03</t>
        </is>
      </c>
      <c r="B35" s="2" t="inlineStr">
        <is>
          <t>C10</t>
        </is>
      </c>
      <c r="C35" s="2" t="inlineStr">
        <is>
          <t>Human-AI Collaboration</t>
        </is>
      </c>
    </row>
    <row r="36">
      <c r="A36" s="2" t="inlineStr">
        <is>
          <t>D03</t>
        </is>
      </c>
      <c r="B36" s="2" t="inlineStr">
        <is>
          <t>C11</t>
        </is>
      </c>
      <c r="C36" s="2" t="inlineStr">
        <is>
          <t>Communication</t>
        </is>
      </c>
    </row>
    <row r="37">
      <c r="A37" s="2" t="inlineStr">
        <is>
          <t>D03</t>
        </is>
      </c>
      <c r="B37" s="2" t="inlineStr">
        <is>
          <t>C12</t>
        </is>
      </c>
      <c r="C37" s="2" t="inlineStr">
        <is>
          <t>Collaboration</t>
        </is>
      </c>
    </row>
    <row r="38">
      <c r="A38" s="2" t="inlineStr">
        <is>
          <t>D03</t>
        </is>
      </c>
      <c r="B38" s="2" t="inlineStr">
        <is>
          <t>C13</t>
        </is>
      </c>
      <c r="C38" s="2" t="inlineStr">
        <is>
          <t>Practical/Embodied Capability</t>
        </is>
      </c>
    </row>
    <row r="39">
      <c r="A39" s="2" t="inlineStr">
        <is>
          <t>D03</t>
        </is>
      </c>
      <c r="B39" s="2" t="inlineStr">
        <is>
          <t>C14</t>
        </is>
      </c>
      <c r="C39" s="2" t="inlineStr">
        <is>
          <t>Ethical &amp; Social Judgement</t>
        </is>
      </c>
    </row>
    <row r="40">
      <c r="A40" s="2" t="inlineStr">
        <is>
          <t>D03</t>
        </is>
      </c>
      <c r="B40" s="2" t="inlineStr">
        <is>
          <t>C15</t>
        </is>
      </c>
      <c r="C40" s="2" t="inlineStr">
        <is>
          <t>Independent Intellectual Agency</t>
        </is>
      </c>
    </row>
    <row r="41">
      <c r="A41" s="2" t="inlineStr">
        <is>
          <t>D03</t>
        </is>
      </c>
      <c r="B41" s="2" t="inlineStr">
        <is>
          <t>C16</t>
        </is>
      </c>
      <c r="C41" s="2" t="inlineStr">
        <is>
          <t>Transfer Capability</t>
        </is>
      </c>
    </row>
    <row r="42">
      <c r="A42" s="2" t="inlineStr">
        <is>
          <t>D03</t>
        </is>
      </c>
      <c r="B42" s="2" t="inlineStr">
        <is>
          <t>C17</t>
        </is>
      </c>
      <c r="C42" s="2" t="inlineStr">
        <is>
          <t>Non-Technical Discipline AI Capability</t>
        </is>
      </c>
    </row>
    <row r="43">
      <c r="A43" s="2" t="inlineStr">
        <is>
          <t>D04</t>
        </is>
      </c>
      <c r="B43" s="2" t="inlineStr">
        <is>
          <t>C01</t>
        </is>
      </c>
      <c r="C43" s="2" t="inlineStr">
        <is>
          <t>Curriculum Environmental Scanning</t>
        </is>
      </c>
    </row>
    <row r="44">
      <c r="A44" s="2" t="inlineStr">
        <is>
          <t>D04</t>
        </is>
      </c>
      <c r="B44" s="2" t="inlineStr">
        <is>
          <t>C02</t>
        </is>
      </c>
      <c r="C44" s="2" t="inlineStr">
        <is>
          <t>Future Learning Outcome Design</t>
        </is>
      </c>
    </row>
    <row r="45">
      <c r="A45" s="2" t="inlineStr">
        <is>
          <t>D04</t>
        </is>
      </c>
      <c r="B45" s="2" t="inlineStr">
        <is>
          <t>C03</t>
        </is>
      </c>
      <c r="C45" s="2" t="inlineStr">
        <is>
          <t>Programme Review Discipline</t>
        </is>
      </c>
    </row>
    <row r="46">
      <c r="A46" s="2" t="inlineStr">
        <is>
          <t>D04</t>
        </is>
      </c>
      <c r="B46" s="2" t="inlineStr">
        <is>
          <t>C04</t>
        </is>
      </c>
      <c r="C46" s="2" t="inlineStr">
        <is>
          <t>Disciplinary AI Integration</t>
        </is>
      </c>
    </row>
    <row r="47">
      <c r="A47" s="2" t="inlineStr">
        <is>
          <t>D04</t>
        </is>
      </c>
      <c r="B47" s="2" t="inlineStr">
        <is>
          <t>C05</t>
        </is>
      </c>
      <c r="C47" s="2" t="inlineStr">
        <is>
          <t>Content Obsolescence Management</t>
        </is>
      </c>
    </row>
    <row r="48">
      <c r="A48" s="2" t="inlineStr">
        <is>
          <t>D04</t>
        </is>
      </c>
      <c r="B48" s="2" t="inlineStr">
        <is>
          <t>C06</t>
        </is>
      </c>
      <c r="C48" s="2" t="inlineStr">
        <is>
          <t>Experiential Learning Architecture</t>
        </is>
      </c>
    </row>
    <row r="49">
      <c r="A49" s="2" t="inlineStr">
        <is>
          <t>D04</t>
        </is>
      </c>
      <c r="B49" s="2" t="inlineStr">
        <is>
          <t>C07</t>
        </is>
      </c>
      <c r="C49" s="2" t="inlineStr">
        <is>
          <t>Interdisciplinary Flexibility</t>
        </is>
      </c>
    </row>
    <row r="50">
      <c r="A50" s="2" t="inlineStr">
        <is>
          <t>D04</t>
        </is>
      </c>
      <c r="B50" s="2" t="inlineStr">
        <is>
          <t>C08</t>
        </is>
      </c>
      <c r="C50" s="2" t="inlineStr">
        <is>
          <t>Programme Agility &amp; Modularity</t>
        </is>
      </c>
    </row>
    <row r="51">
      <c r="A51" s="2" t="inlineStr">
        <is>
          <t>D04</t>
        </is>
      </c>
      <c r="B51" s="2" t="inlineStr">
        <is>
          <t>C09</t>
        </is>
      </c>
      <c r="C51" s="2" t="inlineStr">
        <is>
          <t>Industry/Professional Validation</t>
        </is>
      </c>
    </row>
    <row r="52">
      <c r="A52" s="2" t="inlineStr">
        <is>
          <t>D04</t>
        </is>
      </c>
      <c r="B52" s="2" t="inlineStr">
        <is>
          <t>C10</t>
        </is>
      </c>
      <c r="C52" s="2" t="inlineStr">
        <is>
          <t>External Learning Ecosystem</t>
        </is>
      </c>
    </row>
    <row r="53">
      <c r="A53" s="2" t="inlineStr">
        <is>
          <t>D04</t>
        </is>
      </c>
      <c r="B53" s="2" t="inlineStr">
        <is>
          <t>C11</t>
        </is>
      </c>
      <c r="C53" s="2" t="inlineStr">
        <is>
          <t>Student Transfer &amp; Application</t>
        </is>
      </c>
    </row>
    <row r="54">
      <c r="A54" s="2" t="inlineStr">
        <is>
          <t>D04</t>
        </is>
      </c>
      <c r="B54" s="2" t="inlineStr">
        <is>
          <t>C12</t>
        </is>
      </c>
      <c r="C54" s="2" t="inlineStr">
        <is>
          <t>Programme Portfolio Foresight</t>
        </is>
      </c>
    </row>
    <row r="55">
      <c r="A55" s="2" t="inlineStr">
        <is>
          <t>D05</t>
        </is>
      </c>
      <c r="B55" s="2" t="inlineStr">
        <is>
          <t>C01</t>
        </is>
      </c>
      <c r="C55" s="2" t="inlineStr">
        <is>
          <t>Faculty AI Literacy</t>
        </is>
      </c>
    </row>
    <row r="56">
      <c r="A56" s="2" t="inlineStr">
        <is>
          <t>D05</t>
        </is>
      </c>
      <c r="B56" s="2" t="inlineStr">
        <is>
          <t>C02</t>
        </is>
      </c>
      <c r="C56" s="2" t="inlineStr">
        <is>
          <t>Discipline-Specific AI Practice</t>
        </is>
      </c>
    </row>
    <row r="57">
      <c r="A57" s="2" t="inlineStr">
        <is>
          <t>D05</t>
        </is>
      </c>
      <c r="B57" s="2" t="inlineStr">
        <is>
          <t>C03</t>
        </is>
      </c>
      <c r="C57" s="2" t="inlineStr">
        <is>
          <t>AI-Enhanced Pedagogy</t>
        </is>
      </c>
    </row>
    <row r="58">
      <c r="A58" s="2" t="inlineStr">
        <is>
          <t>D05</t>
        </is>
      </c>
      <c r="B58" s="2" t="inlineStr">
        <is>
          <t>C04</t>
        </is>
      </c>
      <c r="C58" s="2" t="inlineStr">
        <is>
          <t>Assessment Redesign Capability</t>
        </is>
      </c>
    </row>
    <row r="59">
      <c r="A59" s="2" t="inlineStr">
        <is>
          <t>D05</t>
        </is>
      </c>
      <c r="B59" s="2" t="inlineStr">
        <is>
          <t>C05</t>
        </is>
      </c>
      <c r="C59" s="2" t="inlineStr">
        <is>
          <t>Faculty Learning &amp; Development</t>
        </is>
      </c>
    </row>
    <row r="60">
      <c r="A60" s="2" t="inlineStr">
        <is>
          <t>D05</t>
        </is>
      </c>
      <c r="B60" s="2" t="inlineStr">
        <is>
          <t>C06</t>
        </is>
      </c>
      <c r="C60" s="2" t="inlineStr">
        <is>
          <t>Peer Learning &amp; Communities</t>
        </is>
      </c>
    </row>
    <row r="61">
      <c r="A61" s="2" t="inlineStr">
        <is>
          <t>D05</t>
        </is>
      </c>
      <c r="B61" s="2" t="inlineStr">
        <is>
          <t>C07</t>
        </is>
      </c>
      <c r="C61" s="2" t="inlineStr">
        <is>
          <t>Research/Knowledge Creation with AI</t>
        </is>
      </c>
    </row>
    <row r="62">
      <c r="A62" s="2" t="inlineStr">
        <is>
          <t>D05</t>
        </is>
      </c>
      <c r="B62" s="2" t="inlineStr">
        <is>
          <t>C08</t>
        </is>
      </c>
      <c r="C62" s="2" t="inlineStr">
        <is>
          <t>Academic Role Redesign</t>
        </is>
      </c>
    </row>
    <row r="63">
      <c r="A63" s="2" t="inlineStr">
        <is>
          <t>D05</t>
        </is>
      </c>
      <c r="B63" s="2" t="inlineStr">
        <is>
          <t>C09</t>
        </is>
      </c>
      <c r="C63" s="2" t="inlineStr">
        <is>
          <t>Workload &amp; Workflow Transformation</t>
        </is>
      </c>
    </row>
    <row r="64">
      <c r="A64" s="2" t="inlineStr">
        <is>
          <t>D05</t>
        </is>
      </c>
      <c r="B64" s="2" t="inlineStr">
        <is>
          <t>C10</t>
        </is>
      </c>
      <c r="C64" s="2" t="inlineStr">
        <is>
          <t>Faculty Support Infrastructure</t>
        </is>
      </c>
    </row>
    <row r="65">
      <c r="A65" s="2" t="inlineStr">
        <is>
          <t>D05</t>
        </is>
      </c>
      <c r="B65" s="2" t="inlineStr">
        <is>
          <t>C11</t>
        </is>
      </c>
      <c r="C65" s="2" t="inlineStr">
        <is>
          <t>Academic Leadership for AI</t>
        </is>
      </c>
    </row>
    <row r="66">
      <c r="A66" s="2" t="inlineStr">
        <is>
          <t>D05</t>
        </is>
      </c>
      <c r="B66" s="2" t="inlineStr">
        <is>
          <t>C12</t>
        </is>
      </c>
      <c r="C66" s="2" t="inlineStr">
        <is>
          <t>Faculty Adoption &amp; Learning Loop</t>
        </is>
      </c>
    </row>
    <row r="67">
      <c r="A67" s="2" t="inlineStr">
        <is>
          <t>D06</t>
        </is>
      </c>
      <c r="B67" s="2" t="inlineStr">
        <is>
          <t>C01</t>
        </is>
      </c>
      <c r="C67" s="2" t="inlineStr">
        <is>
          <t>Student AI Literacy</t>
        </is>
      </c>
    </row>
    <row r="68">
      <c r="A68" s="2" t="inlineStr">
        <is>
          <t>D06</t>
        </is>
      </c>
      <c r="B68" s="2" t="inlineStr">
        <is>
          <t>C02</t>
        </is>
      </c>
      <c r="C68" s="2" t="inlineStr">
        <is>
          <t>Critical AI Evaluation</t>
        </is>
      </c>
    </row>
    <row r="69">
      <c r="A69" s="2" t="inlineStr">
        <is>
          <t>D06</t>
        </is>
      </c>
      <c r="B69" s="2" t="inlineStr">
        <is>
          <t>C03</t>
        </is>
      </c>
      <c r="C69" s="2" t="inlineStr">
        <is>
          <t>Learning Agency</t>
        </is>
      </c>
    </row>
    <row r="70">
      <c r="A70" s="2" t="inlineStr">
        <is>
          <t>D06</t>
        </is>
      </c>
      <c r="B70" s="2" t="inlineStr">
        <is>
          <t>C04</t>
        </is>
      </c>
      <c r="C70" s="2" t="inlineStr">
        <is>
          <t>Independent Intellectual Agency</t>
        </is>
      </c>
    </row>
    <row r="71">
      <c r="A71" s="2" t="inlineStr">
        <is>
          <t>D06</t>
        </is>
      </c>
      <c r="B71" s="2" t="inlineStr">
        <is>
          <t>C05</t>
        </is>
      </c>
      <c r="C71" s="2" t="inlineStr">
        <is>
          <t>Communication &amp; Defence</t>
        </is>
      </c>
    </row>
    <row r="72">
      <c r="A72" s="2" t="inlineStr">
        <is>
          <t>D06</t>
        </is>
      </c>
      <c r="B72" s="2" t="inlineStr">
        <is>
          <t>C06</t>
        </is>
      </c>
      <c r="C72" s="2" t="inlineStr">
        <is>
          <t>Collaboration</t>
        </is>
      </c>
    </row>
    <row r="73">
      <c r="A73" s="2" t="inlineStr">
        <is>
          <t>D06</t>
        </is>
      </c>
      <c r="B73" s="2" t="inlineStr">
        <is>
          <t>C07</t>
        </is>
      </c>
      <c r="C73" s="2" t="inlineStr">
        <is>
          <t>Practical/Experiential Capability</t>
        </is>
      </c>
    </row>
    <row r="74">
      <c r="A74" s="2" t="inlineStr">
        <is>
          <t>D06</t>
        </is>
      </c>
      <c r="B74" s="2" t="inlineStr">
        <is>
          <t>C08</t>
        </is>
      </c>
      <c r="C74" s="2" t="inlineStr">
        <is>
          <t>Career Adaptability</t>
        </is>
      </c>
    </row>
    <row r="75">
      <c r="A75" s="2" t="inlineStr">
        <is>
          <t>D06</t>
        </is>
      </c>
      <c r="B75" s="2" t="inlineStr">
        <is>
          <t>C09</t>
        </is>
      </c>
      <c r="C75" s="2" t="inlineStr">
        <is>
          <t>Portfolio &amp; Capability Signalling</t>
        </is>
      </c>
    </row>
    <row r="76">
      <c r="A76" s="2" t="inlineStr">
        <is>
          <t>D06</t>
        </is>
      </c>
      <c r="B76" s="2" t="inlineStr">
        <is>
          <t>C10</t>
        </is>
      </c>
      <c r="C76" s="2" t="inlineStr">
        <is>
          <t>Problem Solving &amp; Transfer</t>
        </is>
      </c>
    </row>
    <row r="77">
      <c r="A77" s="2" t="inlineStr">
        <is>
          <t>D06</t>
        </is>
      </c>
      <c r="B77" s="2" t="inlineStr">
        <is>
          <t>C11</t>
        </is>
      </c>
      <c r="C77" s="2" t="inlineStr">
        <is>
          <t>Creator/Entrepreneurial Agency</t>
        </is>
      </c>
    </row>
    <row r="78">
      <c r="A78" s="2" t="inlineStr">
        <is>
          <t>D06</t>
        </is>
      </c>
      <c r="B78" s="2" t="inlineStr">
        <is>
          <t>C12</t>
        </is>
      </c>
      <c r="C78" s="2" t="inlineStr">
        <is>
          <t>Digital Citizenship &amp; Responsible Use</t>
        </is>
      </c>
    </row>
    <row r="79">
      <c r="A79" s="2" t="inlineStr">
        <is>
          <t>D06</t>
        </is>
      </c>
      <c r="B79" s="2" t="inlineStr">
        <is>
          <t>C13</t>
        </is>
      </c>
      <c r="C79" s="2" t="inlineStr">
        <is>
          <t>Equitable AI Access</t>
        </is>
      </c>
    </row>
    <row r="80">
      <c r="A80" s="2" t="inlineStr">
        <is>
          <t>D06</t>
        </is>
      </c>
      <c r="B80" s="2" t="inlineStr">
        <is>
          <t>C14</t>
        </is>
      </c>
      <c r="C80" s="2" t="inlineStr">
        <is>
          <t>Student Voice &amp; Feedback Loop</t>
        </is>
      </c>
    </row>
    <row r="81">
      <c r="A81" s="2" t="inlineStr">
        <is>
          <t>D07</t>
        </is>
      </c>
      <c r="B81" s="2" t="inlineStr">
        <is>
          <t>C01</t>
        </is>
      </c>
      <c r="C81" s="2" t="inlineStr">
        <is>
          <t>Assessment Architecture</t>
        </is>
      </c>
    </row>
    <row r="82">
      <c r="A82" s="2" t="inlineStr">
        <is>
          <t>D07</t>
        </is>
      </c>
      <c r="B82" s="2" t="inlineStr">
        <is>
          <t>C02</t>
        </is>
      </c>
      <c r="C82" s="2" t="inlineStr">
        <is>
          <t>Cognitive Demonstration</t>
        </is>
      </c>
    </row>
    <row r="83">
      <c r="A83" s="2" t="inlineStr">
        <is>
          <t>D07</t>
        </is>
      </c>
      <c r="B83" s="2" t="inlineStr">
        <is>
          <t>C03</t>
        </is>
      </c>
      <c r="C83" s="2" t="inlineStr">
        <is>
          <t>Authentic Assessment</t>
        </is>
      </c>
    </row>
    <row r="84">
      <c r="A84" s="2" t="inlineStr">
        <is>
          <t>D07</t>
        </is>
      </c>
      <c r="B84" s="2" t="inlineStr">
        <is>
          <t>C04</t>
        </is>
      </c>
      <c r="C84" s="2" t="inlineStr">
        <is>
          <t>AI-Aware Assessment</t>
        </is>
      </c>
    </row>
    <row r="85">
      <c r="A85" s="2" t="inlineStr">
        <is>
          <t>D07</t>
        </is>
      </c>
      <c r="B85" s="2" t="inlineStr">
        <is>
          <t>C05</t>
        </is>
      </c>
      <c r="C85" s="2" t="inlineStr">
        <is>
          <t>Oral/Defence</t>
        </is>
      </c>
    </row>
    <row r="86">
      <c r="A86" s="2" t="inlineStr">
        <is>
          <t>D07</t>
        </is>
      </c>
      <c r="B86" s="2" t="inlineStr">
        <is>
          <t>C06</t>
        </is>
      </c>
      <c r="C86" s="2" t="inlineStr">
        <is>
          <t>Feedback</t>
        </is>
      </c>
    </row>
    <row r="87">
      <c r="A87" s="2" t="inlineStr">
        <is>
          <t>D07</t>
        </is>
      </c>
      <c r="B87" s="2" t="inlineStr">
        <is>
          <t>C07</t>
        </is>
      </c>
      <c r="C87" s="2" t="inlineStr">
        <is>
          <t>Learning Evidence</t>
        </is>
      </c>
    </row>
    <row r="88">
      <c r="A88" s="2" t="inlineStr">
        <is>
          <t>D07</t>
        </is>
      </c>
      <c r="B88" s="2" t="inlineStr">
        <is>
          <t>C08</t>
        </is>
      </c>
      <c r="C88" s="2" t="inlineStr">
        <is>
          <t>Outcome Measurement</t>
        </is>
      </c>
    </row>
    <row r="89">
      <c r="A89" s="2" t="inlineStr">
        <is>
          <t>D07</t>
        </is>
      </c>
      <c r="B89" s="2" t="inlineStr">
        <is>
          <t>C09</t>
        </is>
      </c>
      <c r="C89" s="2" t="inlineStr">
        <is>
          <t>Assessment Equity</t>
        </is>
      </c>
    </row>
    <row r="90">
      <c r="A90" s="2" t="inlineStr">
        <is>
          <t>D07</t>
        </is>
      </c>
      <c r="B90" s="2" t="inlineStr">
        <is>
          <t>C10</t>
        </is>
      </c>
      <c r="C90" s="2" t="inlineStr">
        <is>
          <t>Assessment Governance</t>
        </is>
      </c>
    </row>
    <row r="91">
      <c r="A91" s="2" t="inlineStr">
        <is>
          <t>D07</t>
        </is>
      </c>
      <c r="B91" s="2" t="inlineStr">
        <is>
          <t>C11</t>
        </is>
      </c>
      <c r="C91" s="2" t="inlineStr">
        <is>
          <t>Assessment Innovation</t>
        </is>
      </c>
    </row>
    <row r="92">
      <c r="A92" s="2" t="inlineStr">
        <is>
          <t>D07</t>
        </is>
      </c>
      <c r="B92" s="2" t="inlineStr">
        <is>
          <t>C12</t>
        </is>
      </c>
      <c r="C92" s="2" t="inlineStr">
        <is>
          <t>Learning Analytics</t>
        </is>
      </c>
    </row>
    <row r="93">
      <c r="A93" s="2" t="inlineStr">
        <is>
          <t>D08</t>
        </is>
      </c>
      <c r="B93" s="2" t="inlineStr">
        <is>
          <t>C01</t>
        </is>
      </c>
      <c r="C93" s="2" t="inlineStr">
        <is>
          <t>Digital Foundation</t>
        </is>
      </c>
    </row>
    <row r="94">
      <c r="A94" s="2" t="inlineStr">
        <is>
          <t>D08</t>
        </is>
      </c>
      <c r="B94" s="2" t="inlineStr">
        <is>
          <t>C02</t>
        </is>
      </c>
      <c r="C94" s="2" t="inlineStr">
        <is>
          <t>Data Architecture</t>
        </is>
      </c>
    </row>
    <row r="95">
      <c r="A95" s="2" t="inlineStr">
        <is>
          <t>D08</t>
        </is>
      </c>
      <c r="B95" s="2" t="inlineStr">
        <is>
          <t>C03</t>
        </is>
      </c>
      <c r="C95" s="2" t="inlineStr">
        <is>
          <t>Data Quality</t>
        </is>
      </c>
    </row>
    <row r="96">
      <c r="A96" s="2" t="inlineStr">
        <is>
          <t>D08</t>
        </is>
      </c>
      <c r="B96" s="2" t="inlineStr">
        <is>
          <t>C04</t>
        </is>
      </c>
      <c r="C96" s="2" t="inlineStr">
        <is>
          <t>Interoperability</t>
        </is>
      </c>
    </row>
    <row r="97">
      <c r="A97" s="2" t="inlineStr">
        <is>
          <t>D08</t>
        </is>
      </c>
      <c r="B97" s="2" t="inlineStr">
        <is>
          <t>C05</t>
        </is>
      </c>
      <c r="C97" s="2" t="inlineStr">
        <is>
          <t>Analytics</t>
        </is>
      </c>
    </row>
    <row r="98">
      <c r="A98" s="2" t="inlineStr">
        <is>
          <t>D08</t>
        </is>
      </c>
      <c r="B98" s="2" t="inlineStr">
        <is>
          <t>C06</t>
        </is>
      </c>
      <c r="C98" s="2" t="inlineStr">
        <is>
          <t>AI Enablement</t>
        </is>
      </c>
    </row>
    <row r="99">
      <c r="A99" s="2" t="inlineStr">
        <is>
          <t>D08</t>
        </is>
      </c>
      <c r="B99" s="2" t="inlineStr">
        <is>
          <t>C07</t>
        </is>
      </c>
      <c r="C99" s="2" t="inlineStr">
        <is>
          <t>Cybersecurity</t>
        </is>
      </c>
    </row>
    <row r="100">
      <c r="A100" s="2" t="inlineStr">
        <is>
          <t>D08</t>
        </is>
      </c>
      <c r="B100" s="2" t="inlineStr">
        <is>
          <t>C08</t>
        </is>
      </c>
      <c r="C100" s="2" t="inlineStr">
        <is>
          <t>Privacy</t>
        </is>
      </c>
    </row>
    <row r="101">
      <c r="A101" s="2" t="inlineStr">
        <is>
          <t>D08</t>
        </is>
      </c>
      <c r="B101" s="2" t="inlineStr">
        <is>
          <t>C09</t>
        </is>
      </c>
      <c r="C101" s="2" t="inlineStr">
        <is>
          <t>Access</t>
        </is>
      </c>
    </row>
    <row r="102">
      <c r="A102" s="2" t="inlineStr">
        <is>
          <t>D08</t>
        </is>
      </c>
      <c r="B102" s="2" t="inlineStr">
        <is>
          <t>C10</t>
        </is>
      </c>
      <c r="C102" s="2" t="inlineStr">
        <is>
          <t>Technology Governance</t>
        </is>
      </c>
    </row>
    <row r="103">
      <c r="A103" s="2" t="inlineStr">
        <is>
          <t>D08</t>
        </is>
      </c>
      <c r="B103" s="2" t="inlineStr">
        <is>
          <t>C11</t>
        </is>
      </c>
      <c r="C103" s="2" t="inlineStr">
        <is>
          <t>Digital Operations</t>
        </is>
      </c>
    </row>
    <row r="104">
      <c r="A104" s="2" t="inlineStr">
        <is>
          <t>D08</t>
        </is>
      </c>
      <c r="B104" s="2" t="inlineStr">
        <is>
          <t>C12</t>
        </is>
      </c>
      <c r="C104" s="2" t="inlineStr">
        <is>
          <t>Institutional Intelligence</t>
        </is>
      </c>
    </row>
    <row r="105">
      <c r="A105" s="2" t="inlineStr">
        <is>
          <t>D09</t>
        </is>
      </c>
      <c r="B105" s="2" t="inlineStr">
        <is>
          <t>C01</t>
        </is>
      </c>
      <c r="C105" s="2" t="inlineStr">
        <is>
          <t>Employer Intelligence</t>
        </is>
      </c>
    </row>
    <row r="106">
      <c r="A106" s="2" t="inlineStr">
        <is>
          <t>D09</t>
        </is>
      </c>
      <c r="B106" s="2" t="inlineStr">
        <is>
          <t>C02</t>
        </is>
      </c>
      <c r="C106" s="2" t="inlineStr">
        <is>
          <t>Graduate Capability</t>
        </is>
      </c>
    </row>
    <row r="107">
      <c r="A107" s="2" t="inlineStr">
        <is>
          <t>D09</t>
        </is>
      </c>
      <c r="B107" s="2" t="inlineStr">
        <is>
          <t>C03</t>
        </is>
      </c>
      <c r="C107" s="2" t="inlineStr">
        <is>
          <t>Industry Curriculum</t>
        </is>
      </c>
    </row>
    <row r="108">
      <c r="A108" s="2" t="inlineStr">
        <is>
          <t>D09</t>
        </is>
      </c>
      <c r="B108" s="2" t="inlineStr">
        <is>
          <t>C04</t>
        </is>
      </c>
      <c r="C108" s="2" t="inlineStr">
        <is>
          <t>Practical Exposure</t>
        </is>
      </c>
    </row>
    <row r="109">
      <c r="A109" s="2" t="inlineStr">
        <is>
          <t>D09</t>
        </is>
      </c>
      <c r="B109" s="2" t="inlineStr">
        <is>
          <t>C05</t>
        </is>
      </c>
      <c r="C109" s="2" t="inlineStr">
        <is>
          <t>Recruiter Ecosystem</t>
        </is>
      </c>
    </row>
    <row r="110">
      <c r="A110" s="2" t="inlineStr">
        <is>
          <t>D09</t>
        </is>
      </c>
      <c r="B110" s="2" t="inlineStr">
        <is>
          <t>C06</t>
        </is>
      </c>
      <c r="C110" s="2" t="inlineStr">
        <is>
          <t>Placement Quality</t>
        </is>
      </c>
    </row>
    <row r="111">
      <c r="A111" s="2" t="inlineStr">
        <is>
          <t>D09</t>
        </is>
      </c>
      <c r="B111" s="2" t="inlineStr">
        <is>
          <t>C07</t>
        </is>
      </c>
      <c r="C111" s="2" t="inlineStr">
        <is>
          <t>Career Resilience</t>
        </is>
      </c>
    </row>
    <row r="112">
      <c r="A112" s="2" t="inlineStr">
        <is>
          <t>D09</t>
        </is>
      </c>
      <c r="B112" s="2" t="inlineStr">
        <is>
          <t>C08</t>
        </is>
      </c>
      <c r="C112" s="2" t="inlineStr">
        <is>
          <t>AI Workforce</t>
        </is>
      </c>
    </row>
    <row r="113">
      <c r="A113" s="2" t="inlineStr">
        <is>
          <t>D09</t>
        </is>
      </c>
      <c r="B113" s="2" t="inlineStr">
        <is>
          <t>C09</t>
        </is>
      </c>
      <c r="C113" s="2" t="inlineStr">
        <is>
          <t>Portfolio Evidence</t>
        </is>
      </c>
    </row>
    <row r="114">
      <c r="A114" s="2" t="inlineStr">
        <is>
          <t>D09</t>
        </is>
      </c>
      <c r="B114" s="2" t="inlineStr">
        <is>
          <t>C10</t>
        </is>
      </c>
      <c r="C114" s="2" t="inlineStr">
        <is>
          <t>Industry Co-Creation</t>
        </is>
      </c>
    </row>
    <row r="115">
      <c r="A115" s="2" t="inlineStr">
        <is>
          <t>D09</t>
        </is>
      </c>
      <c r="B115" s="2" t="inlineStr">
        <is>
          <t>C11</t>
        </is>
      </c>
      <c r="C115" s="2" t="inlineStr">
        <is>
          <t>Economic Relevance</t>
        </is>
      </c>
    </row>
    <row r="116">
      <c r="A116" s="2" t="inlineStr">
        <is>
          <t>D09</t>
        </is>
      </c>
      <c r="B116" s="2" t="inlineStr">
        <is>
          <t>C12</t>
        </is>
      </c>
      <c r="C116" s="2" t="inlineStr">
        <is>
          <t>Alumni Intelligence</t>
        </is>
      </c>
    </row>
    <row r="117">
      <c r="A117" s="2" t="inlineStr">
        <is>
          <t>D10</t>
        </is>
      </c>
      <c r="B117" s="2" t="inlineStr">
        <is>
          <t>C01</t>
        </is>
      </c>
      <c r="C117" s="2" t="inlineStr">
        <is>
          <t>Research Direction</t>
        </is>
      </c>
    </row>
    <row r="118">
      <c r="A118" s="2" t="inlineStr">
        <is>
          <t>D10</t>
        </is>
      </c>
      <c r="B118" s="2" t="inlineStr">
        <is>
          <t>C02</t>
        </is>
      </c>
      <c r="C118" s="2" t="inlineStr">
        <is>
          <t>Research Portfolio</t>
        </is>
      </c>
    </row>
    <row r="119">
      <c r="A119" s="2" t="inlineStr">
        <is>
          <t>D10</t>
        </is>
      </c>
      <c r="B119" s="2" t="inlineStr">
        <is>
          <t>C03</t>
        </is>
      </c>
      <c r="C119" s="2" t="inlineStr">
        <is>
          <t>Interdisciplinarity</t>
        </is>
      </c>
    </row>
    <row r="120">
      <c r="A120" s="2" t="inlineStr">
        <is>
          <t>D10</t>
        </is>
      </c>
      <c r="B120" s="2" t="inlineStr">
        <is>
          <t>C04</t>
        </is>
      </c>
      <c r="C120" s="2" t="inlineStr">
        <is>
          <t>AI in Research</t>
        </is>
      </c>
    </row>
    <row r="121">
      <c r="A121" s="2" t="inlineStr">
        <is>
          <t>D10</t>
        </is>
      </c>
      <c r="B121" s="2" t="inlineStr">
        <is>
          <t>C05</t>
        </is>
      </c>
      <c r="C121" s="2" t="inlineStr">
        <is>
          <t>Research Infrastructure</t>
        </is>
      </c>
    </row>
    <row r="122">
      <c r="A122" s="2" t="inlineStr">
        <is>
          <t>D10</t>
        </is>
      </c>
      <c r="B122" s="2" t="inlineStr">
        <is>
          <t>C06</t>
        </is>
      </c>
      <c r="C122" s="2" t="inlineStr">
        <is>
          <t>Research Talent</t>
        </is>
      </c>
    </row>
    <row r="123">
      <c r="A123" s="2" t="inlineStr">
        <is>
          <t>D10</t>
        </is>
      </c>
      <c r="B123" s="2" t="inlineStr">
        <is>
          <t>C07</t>
        </is>
      </c>
      <c r="C123" s="2" t="inlineStr">
        <is>
          <t>External Funding</t>
        </is>
      </c>
    </row>
    <row r="124">
      <c r="A124" s="2" t="inlineStr">
        <is>
          <t>D10</t>
        </is>
      </c>
      <c r="B124" s="2" t="inlineStr">
        <is>
          <t>C08</t>
        </is>
      </c>
      <c r="C124" s="2" t="inlineStr">
        <is>
          <t>Knowledge Translation</t>
        </is>
      </c>
    </row>
    <row r="125">
      <c r="A125" s="2" t="inlineStr">
        <is>
          <t>D10</t>
        </is>
      </c>
      <c r="B125" s="2" t="inlineStr">
        <is>
          <t>C09</t>
        </is>
      </c>
      <c r="C125" s="2" t="inlineStr">
        <is>
          <t>Industry Research</t>
        </is>
      </c>
    </row>
    <row r="126">
      <c r="A126" s="2" t="inlineStr">
        <is>
          <t>D10</t>
        </is>
      </c>
      <c r="B126" s="2" t="inlineStr">
        <is>
          <t>C10</t>
        </is>
      </c>
      <c r="C126" s="2" t="inlineStr">
        <is>
          <t>Innovation Pipeline</t>
        </is>
      </c>
    </row>
    <row r="127">
      <c r="A127" s="2" t="inlineStr">
        <is>
          <t>D10</t>
        </is>
      </c>
      <c r="B127" s="2" t="inlineStr">
        <is>
          <t>C11</t>
        </is>
      </c>
      <c r="C127" s="2" t="inlineStr">
        <is>
          <t>IP</t>
        </is>
      </c>
    </row>
    <row r="128">
      <c r="A128" s="2" t="inlineStr">
        <is>
          <t>D10</t>
        </is>
      </c>
      <c r="B128" s="2" t="inlineStr">
        <is>
          <t>C12</t>
        </is>
      </c>
      <c r="C128" s="2" t="inlineStr">
        <is>
          <t>Research Integrity</t>
        </is>
      </c>
    </row>
    <row r="129">
      <c r="A129" s="2" t="inlineStr">
        <is>
          <t>D10</t>
        </is>
      </c>
      <c r="B129" s="2" t="inlineStr">
        <is>
          <t>C13</t>
        </is>
      </c>
      <c r="C129" s="2" t="inlineStr">
        <is>
          <t>Research Outcomes</t>
        </is>
      </c>
    </row>
    <row r="130">
      <c r="A130" s="2" t="inlineStr">
        <is>
          <t>D10</t>
        </is>
      </c>
      <c r="B130" s="2" t="inlineStr">
        <is>
          <t>C14</t>
        </is>
      </c>
      <c r="C130" s="2" t="inlineStr">
        <is>
          <t>Student Research</t>
        </is>
      </c>
    </row>
    <row r="131">
      <c r="A131" s="2" t="inlineStr">
        <is>
          <t>D11</t>
        </is>
      </c>
      <c r="B131" s="2" t="inlineStr">
        <is>
          <t>C01</t>
        </is>
      </c>
      <c r="C131" s="2" t="inlineStr">
        <is>
          <t>Environmental Sensing</t>
        </is>
      </c>
    </row>
    <row r="132">
      <c r="A132" s="2" t="inlineStr">
        <is>
          <t>D11</t>
        </is>
      </c>
      <c r="B132" s="2" t="inlineStr">
        <is>
          <t>C02</t>
        </is>
      </c>
      <c r="C132" s="2" t="inlineStr">
        <is>
          <t>Strategic Agility</t>
        </is>
      </c>
    </row>
    <row r="133">
      <c r="A133" s="2" t="inlineStr">
        <is>
          <t>D11</t>
        </is>
      </c>
      <c r="B133" s="2" t="inlineStr">
        <is>
          <t>C03</t>
        </is>
      </c>
      <c r="C133" s="2" t="inlineStr">
        <is>
          <t>Decision Rights</t>
        </is>
      </c>
    </row>
    <row r="134">
      <c r="A134" s="2" t="inlineStr">
        <is>
          <t>D11</t>
        </is>
      </c>
      <c r="B134" s="2" t="inlineStr">
        <is>
          <t>C04</t>
        </is>
      </c>
      <c r="C134" s="2" t="inlineStr">
        <is>
          <t>Resource Reallocation</t>
        </is>
      </c>
    </row>
    <row r="135">
      <c r="A135" s="2" t="inlineStr">
        <is>
          <t>D11</t>
        </is>
      </c>
      <c r="B135" s="2" t="inlineStr">
        <is>
          <t>C05</t>
        </is>
      </c>
      <c r="C135" s="2" t="inlineStr">
        <is>
          <t>Experimentation</t>
        </is>
      </c>
    </row>
    <row r="136">
      <c r="A136" s="2" t="inlineStr">
        <is>
          <t>D11</t>
        </is>
      </c>
      <c r="B136" s="2" t="inlineStr">
        <is>
          <t>C06</t>
        </is>
      </c>
      <c r="C136" s="2" t="inlineStr">
        <is>
          <t>Learning from Failure</t>
        </is>
      </c>
    </row>
    <row r="137">
      <c r="A137" s="2" t="inlineStr">
        <is>
          <t>D11</t>
        </is>
      </c>
      <c r="B137" s="2" t="inlineStr">
        <is>
          <t>C07</t>
        </is>
      </c>
      <c r="C137" s="2" t="inlineStr">
        <is>
          <t>Change Capacity</t>
        </is>
      </c>
    </row>
    <row r="138">
      <c r="A138" s="2" t="inlineStr">
        <is>
          <t>D11</t>
        </is>
      </c>
      <c r="B138" s="2" t="inlineStr">
        <is>
          <t>C08</t>
        </is>
      </c>
      <c r="C138" s="2" t="inlineStr">
        <is>
          <t>Leadership Alignment</t>
        </is>
      </c>
    </row>
    <row r="139">
      <c r="A139" s="2" t="inlineStr">
        <is>
          <t>D11</t>
        </is>
      </c>
      <c r="B139" s="2" t="inlineStr">
        <is>
          <t>C09</t>
        </is>
      </c>
      <c r="C139" s="2" t="inlineStr">
        <is>
          <t>Student Voice</t>
        </is>
      </c>
    </row>
    <row r="140">
      <c r="A140" s="2" t="inlineStr">
        <is>
          <t>D11</t>
        </is>
      </c>
      <c r="B140" s="2" t="inlineStr">
        <is>
          <t>C10</t>
        </is>
      </c>
      <c r="C140" s="2" t="inlineStr">
        <is>
          <t>Industry Signals</t>
        </is>
      </c>
    </row>
    <row r="141">
      <c r="A141" s="2" t="inlineStr">
        <is>
          <t>D11</t>
        </is>
      </c>
      <c r="B141" s="2" t="inlineStr">
        <is>
          <t>C11</t>
        </is>
      </c>
      <c r="C141" s="2" t="inlineStr">
        <is>
          <t>Scenario Capability</t>
        </is>
      </c>
    </row>
    <row r="142">
      <c r="A142" s="2" t="inlineStr">
        <is>
          <t>D11</t>
        </is>
      </c>
      <c r="B142" s="2" t="inlineStr">
        <is>
          <t>C12</t>
        </is>
      </c>
      <c r="C142" s="2" t="inlineStr">
        <is>
          <t>Continuity</t>
        </is>
      </c>
    </row>
    <row r="143">
      <c r="A143" s="2" t="inlineStr">
        <is>
          <t>D11</t>
        </is>
      </c>
      <c r="B143" s="2" t="inlineStr">
        <is>
          <t>C13</t>
        </is>
      </c>
      <c r="C143" s="2" t="inlineStr">
        <is>
          <t>Learning Loop</t>
        </is>
      </c>
    </row>
    <row r="144">
      <c r="A144" s="2" t="inlineStr">
        <is>
          <t>D11</t>
        </is>
      </c>
      <c r="B144" s="2" t="inlineStr">
        <is>
          <t>C14</t>
        </is>
      </c>
      <c r="C144" s="2" t="inlineStr">
        <is>
          <t>Future Transformation</t>
        </is>
      </c>
    </row>
  </sheetData>
  <autoFilter ref="A1:C144"/>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F144"/>
  <sheetViews>
    <sheetView showGridLines="0" workbookViewId="0">
      <pane ySplit="1" topLeftCell="A2" activePane="bottomLeft" state="frozen"/>
      <selection pane="bottomLeft" activeCell="A1" sqref="A1"/>
    </sheetView>
  </sheetViews>
  <sheetFormatPr baseColWidth="8" defaultRowHeight="15"/>
  <cols>
    <col width="13.7109375" customWidth="1" min="1" max="6"/>
  </cols>
  <sheetData>
    <row r="1">
      <c r="A1" s="24" t="inlineStr">
        <is>
          <t>Domain</t>
        </is>
      </c>
      <c r="B1" s="24" t="inlineStr">
        <is>
          <t>ID</t>
        </is>
      </c>
      <c r="C1" s="24" t="inlineStr">
        <is>
          <t>Metric</t>
        </is>
      </c>
      <c r="D1" s="24" t="inlineStr">
        <is>
          <t>What measured</t>
        </is>
      </c>
      <c r="E1" s="24" t="inlineStr">
        <is>
          <t>Measurement method</t>
        </is>
      </c>
      <c r="F1" s="24" t="inlineStr">
        <is>
          <t>Exposure</t>
        </is>
      </c>
    </row>
    <row r="2">
      <c r="A2" s="2" t="inlineStr">
        <is>
          <t>D01</t>
        </is>
      </c>
      <c r="B2" s="2" t="inlineStr">
        <is>
          <t>I01</t>
        </is>
      </c>
      <c r="C2" s="2" t="inlineStr">
        <is>
          <t>Strategic AI Integration</t>
        </is>
      </c>
      <c r="D2" s="2" t="inlineStr">
        <is>
          <t>Actual AI/future influence on institutional decisions</t>
        </is>
      </c>
      <c r="E2" s="2" t="inlineStr">
        <is>
          <t>Multi-select + sampled decisions</t>
        </is>
      </c>
      <c r="F2" s="2" t="inlineStr">
        <is>
          <t>High</t>
        </is>
      </c>
    </row>
    <row r="3">
      <c r="A3" s="2" t="inlineStr">
        <is>
          <t>D01</t>
        </is>
      </c>
      <c r="B3" s="2" t="inlineStr">
        <is>
          <t>I02</t>
        </is>
      </c>
      <c r="C3" s="2" t="inlineStr">
        <is>
          <t>Future Foresight Maturity</t>
        </is>
      </c>
      <c r="D3" s="2" t="inlineStr">
        <is>
          <t>Ability to test assumptions and detect change early</t>
        </is>
      </c>
      <c r="E3" s="2" t="inlineStr">
        <is>
          <t>Scenario + foresight mechanism + evidence</t>
        </is>
      </c>
      <c r="F3" s="2" t="inlineStr">
        <is>
          <t>Very High</t>
        </is>
      </c>
    </row>
    <row r="4">
      <c r="A4" s="2" t="inlineStr">
        <is>
          <t>D01</t>
        </is>
      </c>
      <c r="B4" s="2" t="inlineStr">
        <is>
          <t>I03</t>
        </is>
      </c>
      <c r="C4" s="2" t="inlineStr">
        <is>
          <t>Strategic Translation Rate</t>
        </is>
      </c>
      <c r="D4" s="2" t="inlineStr">
        <is>
          <t>Identified issues translated into actual decisions</t>
        </is>
      </c>
      <c r="E4" s="2" t="inlineStr">
        <is>
          <t>Numerical ratio + samples</t>
        </is>
      </c>
      <c r="F4" s="2" t="inlineStr">
        <is>
          <t>Very High</t>
        </is>
      </c>
    </row>
    <row r="5">
      <c r="A5" s="2" t="inlineStr">
        <is>
          <t>D01</t>
        </is>
      </c>
      <c r="B5" s="2" t="inlineStr">
        <is>
          <t>I04</t>
        </is>
      </c>
      <c r="C5" s="2" t="inlineStr">
        <is>
          <t>Programme Future-Review Coverage</t>
        </is>
      </c>
      <c r="D5" s="2" t="inlineStr">
        <is>
          <t>Programme reviews considering AI/future-of-work</t>
        </is>
      </c>
      <c r="E5" s="2" t="inlineStr">
        <is>
          <t>Numerical ratio + sample quality</t>
        </is>
      </c>
      <c r="F5" s="2" t="inlineStr">
        <is>
          <t>Very High</t>
        </is>
      </c>
    </row>
    <row r="6">
      <c r="A6" s="2" t="inlineStr">
        <is>
          <t>D01</t>
        </is>
      </c>
      <c r="B6" s="2" t="inlineStr">
        <is>
          <t>I05</t>
        </is>
      </c>
      <c r="C6" s="2" t="inlineStr">
        <is>
          <t>Strategic Differentiation Clarity</t>
        </is>
      </c>
      <c r="D6" s="2" t="inlineStr">
        <is>
          <t>Evidence-backed future value proposition</t>
        </is>
      </c>
      <c r="E6" s="2" t="inlineStr">
        <is>
          <t>Structured response + evidence</t>
        </is>
      </c>
      <c r="F6" s="2" t="inlineStr">
        <is>
          <t>High</t>
        </is>
      </c>
    </row>
    <row r="7">
      <c r="A7" s="2" t="inlineStr">
        <is>
          <t>D01</t>
        </is>
      </c>
      <c r="B7" s="2" t="inlineStr">
        <is>
          <t>I06</t>
        </is>
      </c>
      <c r="C7" s="2" t="inlineStr">
        <is>
          <t>Foresight Response Architecture</t>
        </is>
      </c>
      <c r="D7" s="2" t="inlineStr">
        <is>
          <t>Detect→interpret→decide→act→learn mechanism</t>
        </is>
      </c>
      <c r="E7" s="2" t="inlineStr">
        <is>
          <t>Process map</t>
        </is>
      </c>
      <c r="F7" s="2" t="inlineStr">
        <is>
          <t>Very High</t>
        </is>
      </c>
    </row>
    <row r="8">
      <c r="A8" s="2" t="inlineStr">
        <is>
          <t>D01</t>
        </is>
      </c>
      <c r="B8" s="2" t="inlineStr">
        <is>
          <t>I07</t>
        </is>
      </c>
      <c r="C8" s="2" t="inlineStr">
        <is>
          <t>Resource Alignment</t>
        </is>
      </c>
      <c r="D8" s="2" t="inlineStr">
        <is>
          <t>Strategic priority vs resource movement</t>
        </is>
      </c>
      <c r="E8" s="2" t="inlineStr">
        <is>
          <t>Budget bands + mapping</t>
        </is>
      </c>
      <c r="F8" s="2" t="inlineStr">
        <is>
          <t>High</t>
        </is>
      </c>
    </row>
    <row r="9">
      <c r="A9" s="2" t="inlineStr">
        <is>
          <t>D01</t>
        </is>
      </c>
      <c r="B9" s="2" t="inlineStr">
        <is>
          <t>I08</t>
        </is>
      </c>
      <c r="C9" s="2" t="inlineStr">
        <is>
          <t>Leadership Alignment</t>
        </is>
      </c>
      <c r="D9" s="2" t="inlineStr">
        <is>
          <t>Cross-functional strategic ownership</t>
        </is>
      </c>
      <c r="E9" s="2" t="inlineStr">
        <is>
          <t>Role map + scenario</t>
        </is>
      </c>
      <c r="F9" s="2" t="inlineStr">
        <is>
          <t>High</t>
        </is>
      </c>
    </row>
    <row r="10">
      <c r="A10" s="2" t="inlineStr">
        <is>
          <t>D01</t>
        </is>
      </c>
      <c r="B10" s="2" t="inlineStr">
        <is>
          <t>I09</t>
        </is>
      </c>
      <c r="C10" s="2" t="inlineStr">
        <is>
          <t>Experimentation Effectiveness</t>
        </is>
      </c>
      <c r="D10" s="2" t="inlineStr">
        <is>
          <t>Pilot evaluation, scaling/stopping and learning</t>
        </is>
      </c>
      <c r="E10" s="2" t="inlineStr">
        <is>
          <t>Pilot data + evidence</t>
        </is>
      </c>
      <c r="F10" s="2" t="inlineStr">
        <is>
          <t>High</t>
        </is>
      </c>
    </row>
    <row r="11">
      <c r="A11" s="2" t="inlineStr">
        <is>
          <t>D01</t>
        </is>
      </c>
      <c r="B11" s="2" t="inlineStr">
        <is>
          <t>I10</t>
        </is>
      </c>
      <c r="C11" s="2" t="inlineStr">
        <is>
          <t>Strategic Learning Rate</t>
        </is>
      </c>
      <c r="D11" s="2" t="inlineStr">
        <is>
          <t>Strategy changes after evidence/review</t>
        </is>
      </c>
      <c r="E11" s="2" t="inlineStr">
        <is>
          <t>Decision history</t>
        </is>
      </c>
      <c r="F11" s="2" t="inlineStr">
        <is>
          <t>Very High</t>
        </is>
      </c>
    </row>
    <row r="12">
      <c r="A12" s="2" t="inlineStr">
        <is>
          <t>D02</t>
        </is>
      </c>
      <c r="B12" s="2" t="inlineStr">
        <is>
          <t>I01</t>
        </is>
      </c>
      <c r="C12" s="2" t="inlineStr">
        <is>
          <t>Governance Ownership</t>
        </is>
      </c>
      <c r="D12" s="2" t="inlineStr">
        <is>
          <t>Decision rights for consequential AI</t>
        </is>
      </c>
      <c r="E12" s="2" t="inlineStr">
        <is>
          <t>Responsibility matrix + scenario</t>
        </is>
      </c>
      <c r="F12" s="2" t="inlineStr">
        <is>
          <t>Very High</t>
        </is>
      </c>
    </row>
    <row r="13">
      <c r="A13" s="2" t="inlineStr">
        <is>
          <t>D02</t>
        </is>
      </c>
      <c r="B13" s="2" t="inlineStr">
        <is>
          <t>I02</t>
        </is>
      </c>
      <c r="C13" s="2" t="inlineStr">
        <is>
          <t>Decision Architecture</t>
        </is>
      </c>
      <c r="D13" s="2" t="inlineStr">
        <is>
          <t>Approval/review/escalation workflow</t>
        </is>
      </c>
      <c r="E13" s="2" t="inlineStr">
        <is>
          <t>Workflow + evidence</t>
        </is>
      </c>
      <c r="F13" s="2" t="inlineStr">
        <is>
          <t>Very High</t>
        </is>
      </c>
    </row>
    <row r="14">
      <c r="A14" s="2" t="inlineStr">
        <is>
          <t>D02</t>
        </is>
      </c>
      <c r="B14" s="2" t="inlineStr">
        <is>
          <t>I03</t>
        </is>
      </c>
      <c r="C14" s="2" t="inlineStr">
        <is>
          <t>Responsible AI Maturity</t>
        </is>
      </c>
      <c r="D14" s="2" t="inlineStr">
        <is>
          <t>Operational ethics, fairness, transparency, accountability</t>
        </is>
      </c>
      <c r="E14" s="2" t="inlineStr">
        <is>
          <t>Policy matrix + scenario</t>
        </is>
      </c>
      <c r="F14" s="2" t="inlineStr">
        <is>
          <t>Very High</t>
        </is>
      </c>
    </row>
    <row r="15">
      <c r="A15" s="2" t="inlineStr">
        <is>
          <t>D02</t>
        </is>
      </c>
      <c r="B15" s="2" t="inlineStr">
        <is>
          <t>I04</t>
        </is>
      </c>
      <c r="C15" s="2" t="inlineStr">
        <is>
          <t>Data Governance Readiness</t>
        </is>
      </c>
      <c r="D15" s="2" t="inlineStr">
        <is>
          <t>Controls for data used by AI</t>
        </is>
      </c>
      <c r="E15" s="2" t="inlineStr">
        <is>
          <t>Tool inventory + evidence</t>
        </is>
      </c>
      <c r="F15" s="2" t="inlineStr">
        <is>
          <t>Critical</t>
        </is>
      </c>
    </row>
    <row r="16">
      <c r="A16" s="2" t="inlineStr">
        <is>
          <t>D02</t>
        </is>
      </c>
      <c r="B16" s="2" t="inlineStr">
        <is>
          <t>I05</t>
        </is>
      </c>
      <c r="C16" s="2" t="inlineStr">
        <is>
          <t>Academic Integrity Governance</t>
        </is>
      </c>
      <c r="D16" s="2" t="inlineStr">
        <is>
          <t>AI-use rules and institutional response</t>
        </is>
      </c>
      <c r="E16" s="2" t="inlineStr">
        <is>
          <t>Scenario + guidance + assessment sample</t>
        </is>
      </c>
      <c r="F16" s="2" t="inlineStr">
        <is>
          <t>Critical</t>
        </is>
      </c>
    </row>
    <row r="17">
      <c r="A17" s="2" t="inlineStr">
        <is>
          <t>D02</t>
        </is>
      </c>
      <c r="B17" s="2" t="inlineStr">
        <is>
          <t>I06</t>
        </is>
      </c>
      <c r="C17" s="2" t="inlineStr">
        <is>
          <t>Assessment Governance</t>
        </is>
      </c>
      <c r="D17" s="2" t="inlineStr">
        <is>
          <t>Validity/human oversight under AI</t>
        </is>
      </c>
      <c r="E17" s="2" t="inlineStr">
        <is>
          <t>Assessment governance map</t>
        </is>
      </c>
      <c r="F17" s="2" t="inlineStr">
        <is>
          <t>Critical</t>
        </is>
      </c>
    </row>
    <row r="18">
      <c r="A18" s="2" t="inlineStr">
        <is>
          <t>D02</t>
        </is>
      </c>
      <c r="B18" s="2" t="inlineStr">
        <is>
          <t>I07</t>
        </is>
      </c>
      <c r="C18" s="2" t="inlineStr">
        <is>
          <t>AI Risk Management</t>
        </is>
      </c>
      <c r="D18" s="2" t="inlineStr">
        <is>
          <t>Identify, assess, treat and monitor risk</t>
        </is>
      </c>
      <c r="E18" s="2" t="inlineStr">
        <is>
          <t>Risk map + evidence</t>
        </is>
      </c>
      <c r="F18" s="2" t="inlineStr">
        <is>
          <t>Very High</t>
        </is>
      </c>
    </row>
    <row r="19">
      <c r="A19" s="2" t="inlineStr">
        <is>
          <t>D02</t>
        </is>
      </c>
      <c r="B19" s="2" t="inlineStr">
        <is>
          <t>I08</t>
        </is>
      </c>
      <c r="C19" s="2" t="inlineStr">
        <is>
          <t>Incident Responsiveness</t>
        </is>
      </c>
      <c r="D19" s="2" t="inlineStr">
        <is>
          <t>Detection→action→learning</t>
        </is>
      </c>
      <c r="E19" s="2" t="inlineStr">
        <is>
          <t>Scenario + process/test evidence</t>
        </is>
      </c>
      <c r="F19" s="2" t="inlineStr">
        <is>
          <t>High</t>
        </is>
      </c>
    </row>
    <row r="20">
      <c r="A20" s="2" t="inlineStr">
        <is>
          <t>D02</t>
        </is>
      </c>
      <c r="B20" s="2" t="inlineStr">
        <is>
          <t>I09</t>
        </is>
      </c>
      <c r="C20" s="2" t="inlineStr">
        <is>
          <t>Human Accountability</t>
        </is>
      </c>
      <c r="D20" s="2" t="inlineStr">
        <is>
          <t>Review/override of consequential outputs</t>
        </is>
      </c>
      <c r="E20" s="2" t="inlineStr">
        <is>
          <t>Process matrix</t>
        </is>
      </c>
      <c r="F20" s="2" t="inlineStr">
        <is>
          <t>Very High</t>
        </is>
      </c>
    </row>
    <row r="21">
      <c r="A21" s="2" t="inlineStr">
        <is>
          <t>D02</t>
        </is>
      </c>
      <c r="B21" s="2" t="inlineStr">
        <is>
          <t>I10</t>
        </is>
      </c>
      <c r="C21" s="2" t="inlineStr">
        <is>
          <t>Vendor/Tool Governance</t>
        </is>
      </c>
      <c r="D21" s="2" t="inlineStr">
        <is>
          <t>Lifecycle due diligence</t>
        </is>
      </c>
      <c r="E21" s="2" t="inlineStr">
        <is>
          <t>Top-3 tool sample</t>
        </is>
      </c>
      <c r="F21" s="2" t="inlineStr">
        <is>
          <t>High</t>
        </is>
      </c>
    </row>
    <row r="22">
      <c r="A22" s="2" t="inlineStr">
        <is>
          <t>D02</t>
        </is>
      </c>
      <c r="B22" s="2" t="inlineStr">
        <is>
          <t>I11</t>
        </is>
      </c>
      <c r="C22" s="2" t="inlineStr">
        <is>
          <t>IP Governance</t>
        </is>
      </c>
      <c r="D22" s="2" t="inlineStr">
        <is>
          <t>AI-related IP/copyright/authorship</t>
        </is>
      </c>
      <c r="E22" s="2" t="inlineStr">
        <is>
          <t>Policy/evidence</t>
        </is>
      </c>
      <c r="F22" s="2" t="inlineStr">
        <is>
          <t>High</t>
        </is>
      </c>
    </row>
    <row r="23">
      <c r="A23" s="2" t="inlineStr">
        <is>
          <t>D02</t>
        </is>
      </c>
      <c r="B23" s="2" t="inlineStr">
        <is>
          <t>I12</t>
        </is>
      </c>
      <c r="C23" s="2" t="inlineStr">
        <is>
          <t>Research AI Governance</t>
        </is>
      </c>
      <c r="D23" s="2" t="inlineStr">
        <is>
          <t>Responsible AI in research</t>
        </is>
      </c>
      <c r="E23" s="2" t="inlineStr">
        <is>
          <t>Research guidance/evidence</t>
        </is>
      </c>
      <c r="F23" s="2" t="inlineStr">
        <is>
          <t>High</t>
        </is>
      </c>
    </row>
    <row r="24">
      <c r="A24" s="2" t="inlineStr">
        <is>
          <t>D02</t>
        </is>
      </c>
      <c r="B24" s="2" t="inlineStr">
        <is>
          <t>I13</t>
        </is>
      </c>
      <c r="C24" s="2" t="inlineStr">
        <is>
          <t>Governance Review Adaptability</t>
        </is>
      </c>
      <c r="D24" s="2" t="inlineStr">
        <is>
          <t>Review frequency and change triggers</t>
        </is>
      </c>
      <c r="E24" s="2" t="inlineStr">
        <is>
          <t>Dates + change records</t>
        </is>
      </c>
      <c r="F24" s="2" t="inlineStr">
        <is>
          <t>Very High</t>
        </is>
      </c>
    </row>
    <row r="25">
      <c r="A25" s="2" t="inlineStr">
        <is>
          <t>D02</t>
        </is>
      </c>
      <c r="B25" s="2" t="inlineStr">
        <is>
          <t>I14</t>
        </is>
      </c>
      <c r="C25" s="2" t="inlineStr">
        <is>
          <t>Governance Effectiveness</t>
        </is>
      </c>
      <c r="D25" s="2" t="inlineStr">
        <is>
          <t>Functioning governance vs paper policy</t>
        </is>
      </c>
      <c r="E25" s="2" t="inlineStr">
        <is>
          <t>Triangulation</t>
        </is>
      </c>
      <c r="F25" s="2" t="inlineStr">
        <is>
          <t>Very High</t>
        </is>
      </c>
    </row>
    <row r="26">
      <c r="A26" s="2" t="inlineStr">
        <is>
          <t>D03</t>
        </is>
      </c>
      <c r="B26" s="2" t="inlineStr">
        <is>
          <t>I01</t>
        </is>
      </c>
      <c r="C26" s="2" t="inlineStr">
        <is>
          <t>Foundational Knowledge Depth</t>
        </is>
      </c>
      <c r="D26" s="2" t="inlineStr">
        <is>
          <t>Knowledge substrate for judgement</t>
        </is>
      </c>
      <c r="E26" s="2" t="inlineStr">
        <is>
          <t>Capability map + assessment</t>
        </is>
      </c>
      <c r="F26" s="2" t="inlineStr">
        <is>
          <t>High</t>
        </is>
      </c>
    </row>
    <row r="27">
      <c r="A27" s="2" t="inlineStr">
        <is>
          <t>D03</t>
        </is>
      </c>
      <c r="B27" s="2" t="inlineStr">
        <is>
          <t>I02</t>
        </is>
      </c>
      <c r="C27" s="2" t="inlineStr">
        <is>
          <t>Critical Reasoning Development</t>
        </is>
      </c>
      <c r="D27" s="2" t="inlineStr">
        <is>
          <t>Development and demonstration of reasoning</t>
        </is>
      </c>
      <c r="E27" s="2" t="inlineStr">
        <is>
          <t>Capability evidence chain</t>
        </is>
      </c>
      <c r="F27" s="2" t="inlineStr">
        <is>
          <t>Critical</t>
        </is>
      </c>
    </row>
    <row r="28">
      <c r="A28" s="2" t="inlineStr">
        <is>
          <t>D03</t>
        </is>
      </c>
      <c r="B28" s="2" t="inlineStr">
        <is>
          <t>I03</t>
        </is>
      </c>
      <c r="C28" s="2" t="inlineStr">
        <is>
          <t>Question Formulation</t>
        </is>
      </c>
      <c r="D28" s="2" t="inlineStr">
        <is>
          <t>Ability to formulate meaningful inquiry</t>
        </is>
      </c>
      <c r="E28" s="2" t="inlineStr">
        <is>
          <t>Project/assessment evidence</t>
        </is>
      </c>
      <c r="F28" s="2" t="inlineStr">
        <is>
          <t>Very High</t>
        </is>
      </c>
    </row>
    <row r="29">
      <c r="A29" s="2" t="inlineStr">
        <is>
          <t>D03</t>
        </is>
      </c>
      <c r="B29" s="2" t="inlineStr">
        <is>
          <t>I04</t>
        </is>
      </c>
      <c r="C29" s="2" t="inlineStr">
        <is>
          <t>Analytical Reasoning</t>
        </is>
      </c>
      <c r="D29" s="2" t="inlineStr">
        <is>
          <t>Evidence-based reasoning</t>
        </is>
      </c>
      <c r="E29" s="2" t="inlineStr">
        <is>
          <t>Assessment/rubric</t>
        </is>
      </c>
      <c r="F29" s="2" t="inlineStr">
        <is>
          <t>Critical</t>
        </is>
      </c>
    </row>
    <row r="30">
      <c r="A30" s="2" t="inlineStr">
        <is>
          <t>D03</t>
        </is>
      </c>
      <c r="B30" s="2" t="inlineStr">
        <is>
          <t>I05</t>
        </is>
      </c>
      <c r="C30" s="2" t="inlineStr">
        <is>
          <t>Problem Formulation</t>
        </is>
      </c>
      <c r="D30" s="2" t="inlineStr">
        <is>
          <t>Framing ambiguous problems</t>
        </is>
      </c>
      <c r="E30" s="2" t="inlineStr">
        <is>
          <t>Project/case evidence</t>
        </is>
      </c>
      <c r="F30" s="2" t="inlineStr">
        <is>
          <t>Very High</t>
        </is>
      </c>
    </row>
    <row r="31">
      <c r="A31" s="2" t="inlineStr">
        <is>
          <t>D03</t>
        </is>
      </c>
      <c r="B31" s="2" t="inlineStr">
        <is>
          <t>I06</t>
        </is>
      </c>
      <c r="C31" s="2" t="inlineStr">
        <is>
          <t>Creativity &amp; Originality</t>
        </is>
      </c>
      <c r="D31" s="2" t="inlineStr">
        <is>
          <t>Creation of original value</t>
        </is>
      </c>
      <c r="E31" s="2" t="inlineStr">
        <is>
          <t>Portfolio/project</t>
        </is>
      </c>
      <c r="F31" s="2" t="inlineStr">
        <is>
          <t>High</t>
        </is>
      </c>
    </row>
    <row r="32">
      <c r="A32" s="2" t="inlineStr">
        <is>
          <t>D03</t>
        </is>
      </c>
      <c r="B32" s="2" t="inlineStr">
        <is>
          <t>I07</t>
        </is>
      </c>
      <c r="C32" s="2" t="inlineStr">
        <is>
          <t>Judgement Capability</t>
        </is>
      </c>
      <c r="D32" s="2" t="inlineStr">
        <is>
          <t>Contextual/professional/ethical decisions</t>
        </is>
      </c>
      <c r="E32" s="2" t="inlineStr">
        <is>
          <t>Case/viva/practical</t>
        </is>
      </c>
      <c r="F32" s="2" t="inlineStr">
        <is>
          <t>Critical</t>
        </is>
      </c>
    </row>
    <row r="33">
      <c r="A33" s="2" t="inlineStr">
        <is>
          <t>D03</t>
        </is>
      </c>
      <c r="B33" s="2" t="inlineStr">
        <is>
          <t>I08</t>
        </is>
      </c>
      <c r="C33" s="2" t="inlineStr">
        <is>
          <t>AI Verification Capability</t>
        </is>
      </c>
      <c r="D33" s="2" t="inlineStr">
        <is>
          <t>Challenge, verify, contextualise AI output</t>
        </is>
      </c>
      <c r="E33" s="2" t="inlineStr">
        <is>
          <t>Assessment/activity</t>
        </is>
      </c>
      <c r="F33" s="2" t="inlineStr">
        <is>
          <t>Critical</t>
        </is>
      </c>
    </row>
    <row r="34">
      <c r="A34" s="2" t="inlineStr">
        <is>
          <t>D03</t>
        </is>
      </c>
      <c r="B34" s="2" t="inlineStr">
        <is>
          <t>I09</t>
        </is>
      </c>
      <c r="C34" s="2" t="inlineStr">
        <is>
          <t>Metacognitive Capability</t>
        </is>
      </c>
      <c r="D34" s="2" t="inlineStr">
        <is>
          <t>Reflection and self-correction</t>
        </is>
      </c>
      <c r="E34" s="2" t="inlineStr">
        <is>
          <t>Portfolio/reflection</t>
        </is>
      </c>
      <c r="F34" s="2" t="inlineStr">
        <is>
          <t>Very High</t>
        </is>
      </c>
    </row>
    <row r="35">
      <c r="A35" s="2" t="inlineStr">
        <is>
          <t>D03</t>
        </is>
      </c>
      <c r="B35" s="2" t="inlineStr">
        <is>
          <t>I10</t>
        </is>
      </c>
      <c r="C35" s="2" t="inlineStr">
        <is>
          <t>Human-AI Collaboration</t>
        </is>
      </c>
      <c r="D35" s="2" t="inlineStr">
        <is>
          <t>Appropriate task allocation and iteration</t>
        </is>
      </c>
      <c r="E35" s="2" t="inlineStr">
        <is>
          <t>Project evidence</t>
        </is>
      </c>
      <c r="F35" s="2" t="inlineStr">
        <is>
          <t>Very High</t>
        </is>
      </c>
    </row>
    <row r="36">
      <c r="A36" s="2" t="inlineStr">
        <is>
          <t>D03</t>
        </is>
      </c>
      <c r="B36" s="2" t="inlineStr">
        <is>
          <t>I11</t>
        </is>
      </c>
      <c r="C36" s="2" t="inlineStr">
        <is>
          <t>Communication &amp; Defence</t>
        </is>
      </c>
      <c r="D36" s="2" t="inlineStr">
        <is>
          <t>Explain and defend reasoning</t>
        </is>
      </c>
      <c r="E36" s="2" t="inlineStr">
        <is>
          <t>Viva/oral/project</t>
        </is>
      </c>
      <c r="F36" s="2" t="inlineStr">
        <is>
          <t>High</t>
        </is>
      </c>
    </row>
    <row r="37">
      <c r="A37" s="2" t="inlineStr">
        <is>
          <t>D03</t>
        </is>
      </c>
      <c r="B37" s="2" t="inlineStr">
        <is>
          <t>I12</t>
        </is>
      </c>
      <c r="C37" s="2" t="inlineStr">
        <is>
          <t>Collaboration Capability</t>
        </is>
      </c>
      <c r="D37" s="2" t="inlineStr">
        <is>
          <t>Human/interdisciplinary collaboration</t>
        </is>
      </c>
      <c r="E37" s="2" t="inlineStr">
        <is>
          <t>Project evidence</t>
        </is>
      </c>
      <c r="F37" s="2" t="inlineStr">
        <is>
          <t>High</t>
        </is>
      </c>
    </row>
    <row r="38">
      <c r="A38" s="2" t="inlineStr">
        <is>
          <t>D03</t>
        </is>
      </c>
      <c r="B38" s="2" t="inlineStr">
        <is>
          <t>I13</t>
        </is>
      </c>
      <c r="C38" s="2" t="inlineStr">
        <is>
          <t>Practical Capability</t>
        </is>
      </c>
      <c r="D38" s="2" t="inlineStr">
        <is>
          <t>Real-world/embodied competence</t>
        </is>
      </c>
      <c r="E38" s="2" t="inlineStr">
        <is>
          <t>Practical evidence</t>
        </is>
      </c>
      <c r="F38" s="2" t="inlineStr">
        <is>
          <t>Context-dependent</t>
        </is>
      </c>
    </row>
    <row r="39">
      <c r="A39" s="2" t="inlineStr">
        <is>
          <t>D03</t>
        </is>
      </c>
      <c r="B39" s="2" t="inlineStr">
        <is>
          <t>I14</t>
        </is>
      </c>
      <c r="C39" s="2" t="inlineStr">
        <is>
          <t>Ethical/Social Judgement</t>
        </is>
      </c>
      <c r="D39" s="2" t="inlineStr">
        <is>
          <t>Consequences, values, responsibility</t>
        </is>
      </c>
      <c r="E39" s="2" t="inlineStr">
        <is>
          <t>Case/professional evidence</t>
        </is>
      </c>
      <c r="F39" s="2" t="inlineStr">
        <is>
          <t>Critical</t>
        </is>
      </c>
    </row>
    <row r="40">
      <c r="A40" s="2" t="inlineStr">
        <is>
          <t>D03</t>
        </is>
      </c>
      <c r="B40" s="2" t="inlineStr">
        <is>
          <t>I15</t>
        </is>
      </c>
      <c r="C40" s="2" t="inlineStr">
        <is>
          <t>Intellectual Agency</t>
        </is>
      </c>
      <c r="D40" s="2" t="inlineStr">
        <is>
          <t>Independent inquiry and challenge</t>
        </is>
      </c>
      <c r="E40" s="2" t="inlineStr">
        <is>
          <t>Student work/project</t>
        </is>
      </c>
      <c r="F40" s="2" t="inlineStr">
        <is>
          <t>Very High</t>
        </is>
      </c>
    </row>
    <row r="41">
      <c r="A41" s="2" t="inlineStr">
        <is>
          <t>D03</t>
        </is>
      </c>
      <c r="B41" s="2" t="inlineStr">
        <is>
          <t>I16</t>
        </is>
      </c>
      <c r="C41" s="2" t="inlineStr">
        <is>
          <t>Transfer Capability</t>
        </is>
      </c>
      <c r="D41" s="2" t="inlineStr">
        <is>
          <t>Unfamiliar/ambiguous application</t>
        </is>
      </c>
      <c r="E41" s="2" t="inlineStr">
        <is>
          <t>Case/project/simulation</t>
        </is>
      </c>
      <c r="F41" s="2" t="inlineStr">
        <is>
          <t>Very High</t>
        </is>
      </c>
    </row>
    <row r="42">
      <c r="A42" s="2" t="inlineStr">
        <is>
          <t>D03</t>
        </is>
      </c>
      <c r="B42" s="2" t="inlineStr">
        <is>
          <t>I17</t>
        </is>
      </c>
      <c r="C42" s="2" t="inlineStr">
        <is>
          <t>Non-Technical Discipline AI Capability</t>
        </is>
      </c>
      <c r="D42" s="2" t="inlineStr">
        <is>
          <t>Discipline-relevant AI capability beyond prompting</t>
        </is>
      </c>
      <c r="E42" s="2" t="inlineStr">
        <is>
          <t>Discipline matrix + sample work</t>
        </is>
      </c>
      <c r="F42" s="2" t="inlineStr">
        <is>
          <t>Very High</t>
        </is>
      </c>
    </row>
    <row r="43">
      <c r="A43" s="2" t="inlineStr">
        <is>
          <t>D04</t>
        </is>
      </c>
      <c r="B43" s="2" t="inlineStr">
        <is>
          <t>I01</t>
        </is>
      </c>
      <c r="C43" s="2" t="inlineStr">
        <is>
          <t>Curriculum Sensing Maturity</t>
        </is>
      </c>
      <c r="D43" s="2" t="inlineStr">
        <is>
          <t>How systematically programme teams detect disciplinary, technological and labour-market change</t>
        </is>
      </c>
      <c r="E43" s="2" t="inlineStr">
        <is>
          <t>Evidence + process review</t>
        </is>
      </c>
      <c r="F43" s="2" t="inlineStr">
        <is>
          <t>Very High</t>
        </is>
      </c>
    </row>
    <row r="44">
      <c r="A44" s="2" t="inlineStr">
        <is>
          <t>D04</t>
        </is>
      </c>
      <c r="B44" s="2" t="inlineStr">
        <is>
          <t>I02</t>
        </is>
      </c>
      <c r="C44" s="2" t="inlineStr">
        <is>
          <t>Future Learning Outcome Alignment</t>
        </is>
      </c>
      <c r="D44" s="2" t="inlineStr">
        <is>
          <t>Extent to which outcomes reflect future professional/human capabilities</t>
        </is>
      </c>
      <c r="E44" s="2" t="inlineStr">
        <is>
          <t>Outcome mapping + sample review</t>
        </is>
      </c>
      <c r="F44" s="2" t="inlineStr">
        <is>
          <t>Very High</t>
        </is>
      </c>
    </row>
    <row r="45">
      <c r="A45" s="2" t="inlineStr">
        <is>
          <t>D04</t>
        </is>
      </c>
      <c r="B45" s="2" t="inlineStr">
        <is>
          <t>I03</t>
        </is>
      </c>
      <c r="C45" s="2" t="inlineStr">
        <is>
          <t>Programme Review Effectiveness</t>
        </is>
      </c>
      <c r="D45" s="2" t="inlineStr">
        <is>
          <t>Whether review produces substantive AI/future-related changes</t>
        </is>
      </c>
      <c r="E45" s="2" t="inlineStr">
        <is>
          <t>Review records + before/after sample</t>
        </is>
      </c>
      <c r="F45" s="2" t="inlineStr">
        <is>
          <t>Very High</t>
        </is>
      </c>
    </row>
    <row r="46">
      <c r="A46" s="2" t="inlineStr">
        <is>
          <t>D04</t>
        </is>
      </c>
      <c r="B46" s="2" t="inlineStr">
        <is>
          <t>I04</t>
        </is>
      </c>
      <c r="C46" s="2" t="inlineStr">
        <is>
          <t>Disciplinary AI Integration Depth</t>
        </is>
      </c>
      <c r="D46" s="2" t="inlineStr">
        <is>
          <t>AI integration appropriate to discipline rather than generic AI exposure</t>
        </is>
      </c>
      <c r="E46" s="2" t="inlineStr">
        <is>
          <t>Programme sample + discipline pathway</t>
        </is>
      </c>
      <c r="F46" s="2" t="inlineStr">
        <is>
          <t>High</t>
        </is>
      </c>
    </row>
    <row r="47">
      <c r="A47" s="2" t="inlineStr">
        <is>
          <t>D04</t>
        </is>
      </c>
      <c r="B47" s="2" t="inlineStr">
        <is>
          <t>I05</t>
        </is>
      </c>
      <c r="C47" s="2" t="inlineStr">
        <is>
          <t>Content Obsolescence Response</t>
        </is>
      </c>
      <c r="D47" s="2" t="inlineStr">
        <is>
          <t>Speed and quality of response when content/tasks become less valuable</t>
        </is>
      </c>
      <c r="E47" s="2" t="inlineStr">
        <is>
          <t>Change records + scenario</t>
        </is>
      </c>
      <c r="F47" s="2" t="inlineStr">
        <is>
          <t>High</t>
        </is>
      </c>
    </row>
    <row r="48">
      <c r="A48" s="2" t="inlineStr">
        <is>
          <t>D04</t>
        </is>
      </c>
      <c r="B48" s="2" t="inlineStr">
        <is>
          <t>I06</t>
        </is>
      </c>
      <c r="C48" s="2" t="inlineStr">
        <is>
          <t>Experiential Learning Strength</t>
        </is>
      </c>
      <c r="D48" s="2" t="inlineStr">
        <is>
          <t>Extent of projects, labs, fieldwork, practice and authentic tasks</t>
        </is>
      </c>
      <c r="E48" s="2" t="inlineStr">
        <is>
          <t>Programme evidence + activity sample</t>
        </is>
      </c>
      <c r="F48" s="2" t="inlineStr">
        <is>
          <t>High</t>
        </is>
      </c>
    </row>
    <row r="49">
      <c r="A49" s="2" t="inlineStr">
        <is>
          <t>D04</t>
        </is>
      </c>
      <c r="B49" s="2" t="inlineStr">
        <is>
          <t>I07</t>
        </is>
      </c>
      <c r="C49" s="2" t="inlineStr">
        <is>
          <t>Interdisciplinary Flexibility</t>
        </is>
      </c>
      <c r="D49" s="2" t="inlineStr">
        <is>
          <t>Ability for students to learn/work across boundaries</t>
        </is>
      </c>
      <c r="E49" s="2" t="inlineStr">
        <is>
          <t>Curriculum structure + participation data</t>
        </is>
      </c>
      <c r="F49" s="2" t="inlineStr">
        <is>
          <t>High</t>
        </is>
      </c>
    </row>
    <row r="50">
      <c r="A50" s="2" t="inlineStr">
        <is>
          <t>D04</t>
        </is>
      </c>
      <c r="B50" s="2" t="inlineStr">
        <is>
          <t>I08</t>
        </is>
      </c>
      <c r="C50" s="2" t="inlineStr">
        <is>
          <t>Programme Agility</t>
        </is>
      </c>
      <c r="D50" s="2" t="inlineStr">
        <is>
          <t>Ability to modify modules, electives, pathways and learning experiences</t>
        </is>
      </c>
      <c r="E50" s="2" t="inlineStr">
        <is>
          <t>Change cycle + approval process</t>
        </is>
      </c>
      <c r="F50" s="2" t="inlineStr">
        <is>
          <t>Very High</t>
        </is>
      </c>
    </row>
    <row r="51">
      <c r="A51" s="2" t="inlineStr">
        <is>
          <t>D04</t>
        </is>
      </c>
      <c r="B51" s="2" t="inlineStr">
        <is>
          <t>I09</t>
        </is>
      </c>
      <c r="C51" s="2" t="inlineStr">
        <is>
          <t>External Validation Strength</t>
        </is>
      </c>
      <c r="D51" s="2" t="inlineStr">
        <is>
          <t>Use of employers/professionals/alumni/disciplinary experts in programme evolution</t>
        </is>
      </c>
      <c r="E51" s="2" t="inlineStr">
        <is>
          <t>Validation records + sample</t>
        </is>
      </c>
      <c r="F51" s="2" t="inlineStr">
        <is>
          <t>High</t>
        </is>
      </c>
    </row>
    <row r="52">
      <c r="A52" s="2" t="inlineStr">
        <is>
          <t>D04</t>
        </is>
      </c>
      <c r="B52" s="2" t="inlineStr">
        <is>
          <t>I10</t>
        </is>
      </c>
      <c r="C52" s="2" t="inlineStr">
        <is>
          <t>External Learning Ecosystem</t>
        </is>
      </c>
      <c r="D52" s="2" t="inlineStr">
        <is>
          <t>Use of industry, research, community and external platforms as learning environments</t>
        </is>
      </c>
      <c r="E52" s="2" t="inlineStr">
        <is>
          <t>Partnership/activity evidence</t>
        </is>
      </c>
      <c r="F52" s="2" t="inlineStr">
        <is>
          <t>Medium</t>
        </is>
      </c>
    </row>
    <row r="53">
      <c r="A53" s="2" t="inlineStr">
        <is>
          <t>D04</t>
        </is>
      </c>
      <c r="B53" s="2" t="inlineStr">
        <is>
          <t>I11</t>
        </is>
      </c>
      <c r="C53" s="2" t="inlineStr">
        <is>
          <t>Transfer Capability</t>
        </is>
      </c>
      <c r="D53" s="2" t="inlineStr">
        <is>
          <t>Extent students apply learning to unfamiliar/real situations</t>
        </is>
      </c>
      <c r="E53" s="2" t="inlineStr">
        <is>
          <t>Assessment/project evidence</t>
        </is>
      </c>
      <c r="F53" s="2" t="inlineStr">
        <is>
          <t>Very High</t>
        </is>
      </c>
    </row>
    <row r="54">
      <c r="A54" s="2" t="inlineStr">
        <is>
          <t>D04</t>
        </is>
      </c>
      <c r="B54" s="2" t="inlineStr">
        <is>
          <t>I12</t>
        </is>
      </c>
      <c r="C54" s="2" t="inlineStr">
        <is>
          <t>Portfolio Foresight</t>
        </is>
      </c>
      <c r="D54" s="2" t="inlineStr">
        <is>
          <t>Whether programme portfolio remains aligned with institutional future direction</t>
        </is>
      </c>
      <c r="E54" s="2" t="inlineStr">
        <is>
          <t>Portfolio analysis + scenario</t>
        </is>
      </c>
      <c r="F54" s="2" t="inlineStr">
        <is>
          <t>High</t>
        </is>
      </c>
    </row>
    <row r="55">
      <c r="A55" s="2" t="inlineStr">
        <is>
          <t>D05</t>
        </is>
      </c>
      <c r="B55" s="2" t="inlineStr">
        <is>
          <t>I01</t>
        </is>
      </c>
      <c r="C55" s="2" t="inlineStr">
        <is>
          <t>Faculty AI Literacy Maturity</t>
        </is>
      </c>
      <c r="D55" s="2" t="inlineStr">
        <is>
          <t>Ability to understand AI capabilities, limits, risks and appropriate use</t>
        </is>
      </c>
      <c r="E55" s="2" t="inlineStr">
        <is>
          <t>Capability evidence + sample practice</t>
        </is>
      </c>
      <c r="F55" s="2" t="inlineStr">
        <is>
          <t>Very High</t>
        </is>
      </c>
    </row>
    <row r="56">
      <c r="A56" s="2" t="inlineStr">
        <is>
          <t>D05</t>
        </is>
      </c>
      <c r="B56" s="2" t="inlineStr">
        <is>
          <t>I02</t>
        </is>
      </c>
      <c r="C56" s="2" t="inlineStr">
        <is>
          <t>Discipline-Specific AI Practice</t>
        </is>
      </c>
      <c r="D56" s="2" t="inlineStr">
        <is>
          <t>Use of AI in ways meaningful to the discipline</t>
        </is>
      </c>
      <c r="E56" s="2" t="inlineStr">
        <is>
          <t>Practice sample + discipline mapping</t>
        </is>
      </c>
      <c r="F56" s="2" t="inlineStr">
        <is>
          <t>Very High</t>
        </is>
      </c>
    </row>
    <row r="57">
      <c r="A57" s="2" t="inlineStr">
        <is>
          <t>D05</t>
        </is>
      </c>
      <c r="B57" s="2" t="inlineStr">
        <is>
          <t>I03</t>
        </is>
      </c>
      <c r="C57" s="2" t="inlineStr">
        <is>
          <t>AI-Enhanced Pedagogy</t>
        </is>
      </c>
      <c r="D57" s="2" t="inlineStr">
        <is>
          <t>Ability to redesign learning around AI rather than merely add tools</t>
        </is>
      </c>
      <c r="E57" s="2" t="inlineStr">
        <is>
          <t>Teaching artefacts + observation/self-report</t>
        </is>
      </c>
      <c r="F57" s="2" t="inlineStr">
        <is>
          <t>Very High</t>
        </is>
      </c>
    </row>
    <row r="58">
      <c r="A58" s="2" t="inlineStr">
        <is>
          <t>D05</t>
        </is>
      </c>
      <c r="B58" s="2" t="inlineStr">
        <is>
          <t>I04</t>
        </is>
      </c>
      <c r="C58" s="2" t="inlineStr">
        <is>
          <t>Assessment Redesign Capability</t>
        </is>
      </c>
      <c r="D58" s="2" t="inlineStr">
        <is>
          <t>Faculty ability to redesign tasks so genuine capability remains visible</t>
        </is>
      </c>
      <c r="E58" s="2" t="inlineStr">
        <is>
          <t>Assessment samples + rationale</t>
        </is>
      </c>
      <c r="F58" s="2" t="inlineStr">
        <is>
          <t>Very High</t>
        </is>
      </c>
    </row>
    <row r="59">
      <c r="A59" s="2" t="inlineStr">
        <is>
          <t>D05</t>
        </is>
      </c>
      <c r="B59" s="2" t="inlineStr">
        <is>
          <t>I05</t>
        </is>
      </c>
      <c r="C59" s="2" t="inlineStr">
        <is>
          <t>Faculty Learning &amp; Development Effectiveness</t>
        </is>
      </c>
      <c r="D59" s="2" t="inlineStr">
        <is>
          <t>Conversion of training into sustained academic practice</t>
        </is>
      </c>
      <c r="E59" s="2" t="inlineStr">
        <is>
          <t>Training→practice records + sample</t>
        </is>
      </c>
      <c r="F59" s="2" t="inlineStr">
        <is>
          <t>High</t>
        </is>
      </c>
    </row>
    <row r="60">
      <c r="A60" s="2" t="inlineStr">
        <is>
          <t>D05</t>
        </is>
      </c>
      <c r="B60" s="2" t="inlineStr">
        <is>
          <t>I06</t>
        </is>
      </c>
      <c r="C60" s="2" t="inlineStr">
        <is>
          <t>Peer Learning &amp; Communities</t>
        </is>
      </c>
      <c r="D60" s="2" t="inlineStr">
        <is>
          <t>Institutional mechanisms for sharing AI practice</t>
        </is>
      </c>
      <c r="E60" s="2" t="inlineStr">
        <is>
          <t>Community evidence + participation</t>
        </is>
      </c>
      <c r="F60" s="2" t="inlineStr">
        <is>
          <t>Medium</t>
        </is>
      </c>
    </row>
    <row r="61">
      <c r="A61" s="2" t="inlineStr">
        <is>
          <t>D05</t>
        </is>
      </c>
      <c r="B61" s="2" t="inlineStr">
        <is>
          <t>I07</t>
        </is>
      </c>
      <c r="C61" s="2" t="inlineStr">
        <is>
          <t>AI Research &amp; Knowledge Creation</t>
        </is>
      </c>
      <c r="D61" s="2" t="inlineStr">
        <is>
          <t>Faculty use AI responsibly for research, analysis, scholarship and knowledge creation</t>
        </is>
      </c>
      <c r="E61" s="2" t="inlineStr">
        <is>
          <t>Research samples + policy</t>
        </is>
      </c>
      <c r="F61" s="2" t="inlineStr">
        <is>
          <t>High</t>
        </is>
      </c>
    </row>
    <row r="62">
      <c r="A62" s="2" t="inlineStr">
        <is>
          <t>D05</t>
        </is>
      </c>
      <c r="B62" s="2" t="inlineStr">
        <is>
          <t>I08</t>
        </is>
      </c>
      <c r="C62" s="2" t="inlineStr">
        <is>
          <t>Academic Role Redesign</t>
        </is>
      </c>
      <c r="D62" s="2" t="inlineStr">
        <is>
          <t>Whether AI-driven changes in academic work are anticipated and supported</t>
        </is>
      </c>
      <c r="E62" s="2" t="inlineStr">
        <is>
          <t>Role/workflow examples</t>
        </is>
      </c>
      <c r="F62" s="2" t="inlineStr">
        <is>
          <t>High</t>
        </is>
      </c>
    </row>
    <row r="63">
      <c r="A63" s="2" t="inlineStr">
        <is>
          <t>D05</t>
        </is>
      </c>
      <c r="B63" s="2" t="inlineStr">
        <is>
          <t>I09</t>
        </is>
      </c>
      <c r="C63" s="2" t="inlineStr">
        <is>
          <t>Workload &amp; Workflow Transformation</t>
        </is>
      </c>
      <c r="D63" s="2" t="inlineStr">
        <is>
          <t>Use of AI to reduce low-value work while protecting academic quality</t>
        </is>
      </c>
      <c r="E63" s="2" t="inlineStr">
        <is>
          <t>Workflow evidence + time/use data where available</t>
        </is>
      </c>
      <c r="F63" s="2" t="inlineStr">
        <is>
          <t>High</t>
        </is>
      </c>
    </row>
    <row r="64">
      <c r="A64" s="2" t="inlineStr">
        <is>
          <t>D05</t>
        </is>
      </c>
      <c r="B64" s="2" t="inlineStr">
        <is>
          <t>I10</t>
        </is>
      </c>
      <c r="C64" s="2" t="inlineStr">
        <is>
          <t>Faculty Support Infrastructure</t>
        </is>
      </c>
      <c r="D64" s="2" t="inlineStr">
        <is>
          <t>Access to tools, guidance, help, exemplars and technical support</t>
        </is>
      </c>
      <c r="E64" s="2" t="inlineStr">
        <is>
          <t>Support inventory + usage</t>
        </is>
      </c>
      <c r="F64" s="2" t="inlineStr">
        <is>
          <t>Medium</t>
        </is>
      </c>
    </row>
    <row r="65">
      <c r="A65" s="2" t="inlineStr">
        <is>
          <t>D05</t>
        </is>
      </c>
      <c r="B65" s="2" t="inlineStr">
        <is>
          <t>I11</t>
        </is>
      </c>
      <c r="C65" s="2" t="inlineStr">
        <is>
          <t>Academic Leadership for AI</t>
        </is>
      </c>
      <c r="D65" s="2" t="inlineStr">
        <is>
          <t>Department/school leaders translating AI change into academic action</t>
        </is>
      </c>
      <c r="E65" s="2" t="inlineStr">
        <is>
          <t>Scenario + decision records</t>
        </is>
      </c>
      <c r="F65" s="2" t="inlineStr">
        <is>
          <t>High</t>
        </is>
      </c>
    </row>
    <row r="66">
      <c r="A66" s="2" t="inlineStr">
        <is>
          <t>D05</t>
        </is>
      </c>
      <c r="B66" s="2" t="inlineStr">
        <is>
          <t>I12</t>
        </is>
      </c>
      <c r="C66" s="2" t="inlineStr">
        <is>
          <t>Faculty Adoption Learning Loop</t>
        </is>
      </c>
      <c r="D66" s="2" t="inlineStr">
        <is>
          <t>Institution learns from adoption, resistance, failure and emerging practice</t>
        </is>
      </c>
      <c r="E66" s="2" t="inlineStr">
        <is>
          <t>Review cycle + changes made</t>
        </is>
      </c>
      <c r="F66" s="2" t="inlineStr">
        <is>
          <t>Very High</t>
        </is>
      </c>
    </row>
    <row r="67">
      <c r="A67" s="2" t="inlineStr">
        <is>
          <t>D06</t>
        </is>
      </c>
      <c r="B67" s="2" t="inlineStr">
        <is>
          <t>I01</t>
        </is>
      </c>
      <c r="C67" s="2" t="inlineStr">
        <is>
          <t>Student AI Literacy</t>
        </is>
      </c>
      <c r="D67" s="2" t="inlineStr">
        <is>
          <t>Students understand capabilities, limits, responsible use and verification</t>
        </is>
      </c>
      <c r="E67" s="2" t="inlineStr">
        <is>
          <t>Student evidence + curriculum mapping</t>
        </is>
      </c>
      <c r="F67" s="2" t="inlineStr">
        <is>
          <t>Very High</t>
        </is>
      </c>
    </row>
    <row r="68">
      <c r="A68" s="2" t="inlineStr">
        <is>
          <t>D06</t>
        </is>
      </c>
      <c r="B68" s="2" t="inlineStr">
        <is>
          <t>I02</t>
        </is>
      </c>
      <c r="C68" s="2" t="inlineStr">
        <is>
          <t>Critical AI Evaluation</t>
        </is>
      </c>
      <c r="D68" s="2" t="inlineStr">
        <is>
          <t>Students can interrogate, verify and challenge AI outputs</t>
        </is>
      </c>
      <c r="E68" s="2" t="inlineStr">
        <is>
          <t>Assessment/sample work</t>
        </is>
      </c>
      <c r="F68" s="2" t="inlineStr">
        <is>
          <t>Very High</t>
        </is>
      </c>
    </row>
    <row r="69">
      <c r="A69" s="2" t="inlineStr">
        <is>
          <t>D06</t>
        </is>
      </c>
      <c r="B69" s="2" t="inlineStr">
        <is>
          <t>I03</t>
        </is>
      </c>
      <c r="C69" s="2" t="inlineStr">
        <is>
          <t>Learning Agency</t>
        </is>
      </c>
      <c r="D69" s="2" t="inlineStr">
        <is>
          <t>Students use AI to extend learning without surrendering intellectual responsibility</t>
        </is>
      </c>
      <c r="E69" s="2" t="inlineStr">
        <is>
          <t>Student practice + reflection</t>
        </is>
      </c>
      <c r="F69" s="2" t="inlineStr">
        <is>
          <t>Very High</t>
        </is>
      </c>
    </row>
    <row r="70">
      <c r="A70" s="2" t="inlineStr">
        <is>
          <t>D06</t>
        </is>
      </c>
      <c r="B70" s="2" t="inlineStr">
        <is>
          <t>I04</t>
        </is>
      </c>
      <c r="C70" s="2" t="inlineStr">
        <is>
          <t>Independent Intellectual Agency</t>
        </is>
      </c>
      <c r="D70" s="2" t="inlineStr">
        <is>
          <t>Students can formulate positions, questions and solutions independently</t>
        </is>
      </c>
      <c r="E70" s="2" t="inlineStr">
        <is>
          <t>Work samples + oral/defence evidence</t>
        </is>
      </c>
      <c r="F70" s="2" t="inlineStr">
        <is>
          <t>Very High</t>
        </is>
      </c>
    </row>
    <row r="71">
      <c r="A71" s="2" t="inlineStr">
        <is>
          <t>D06</t>
        </is>
      </c>
      <c r="B71" s="2" t="inlineStr">
        <is>
          <t>I05</t>
        </is>
      </c>
      <c r="C71" s="2" t="inlineStr">
        <is>
          <t>Communication &amp; Defence</t>
        </is>
      </c>
      <c r="D71" s="2" t="inlineStr">
        <is>
          <t>Students can explain and defend their reasoning, sources and decisions</t>
        </is>
      </c>
      <c r="E71" s="2" t="inlineStr">
        <is>
          <t>Oral/project evidence</t>
        </is>
      </c>
      <c r="F71" s="2" t="inlineStr">
        <is>
          <t>High</t>
        </is>
      </c>
    </row>
    <row r="72">
      <c r="A72" s="2" t="inlineStr">
        <is>
          <t>D06</t>
        </is>
      </c>
      <c r="B72" s="2" t="inlineStr">
        <is>
          <t>I06</t>
        </is>
      </c>
      <c r="C72" s="2" t="inlineStr">
        <is>
          <t>Collaboration Capability</t>
        </is>
      </c>
      <c r="D72" s="2" t="inlineStr">
        <is>
          <t>Students collaborate with people and AI appropriately</t>
        </is>
      </c>
      <c r="E72" s="2" t="inlineStr">
        <is>
          <t>Team/project evidence</t>
        </is>
      </c>
      <c r="F72" s="2" t="inlineStr">
        <is>
          <t>High</t>
        </is>
      </c>
    </row>
    <row r="73">
      <c r="A73" s="2" t="inlineStr">
        <is>
          <t>D06</t>
        </is>
      </c>
      <c r="B73" s="2" t="inlineStr">
        <is>
          <t>I07</t>
        </is>
      </c>
      <c r="C73" s="2" t="inlineStr">
        <is>
          <t>Practical Capability</t>
        </is>
      </c>
      <c r="D73" s="2" t="inlineStr">
        <is>
          <t>Students can act in real or simulated contexts beyond content generation</t>
        </is>
      </c>
      <c r="E73" s="2" t="inlineStr">
        <is>
          <t>Projects/labs/internships</t>
        </is>
      </c>
      <c r="F73" s="2" t="inlineStr">
        <is>
          <t>Very High</t>
        </is>
      </c>
    </row>
    <row r="74">
      <c r="A74" s="2" t="inlineStr">
        <is>
          <t>D06</t>
        </is>
      </c>
      <c r="B74" s="2" t="inlineStr">
        <is>
          <t>I08</t>
        </is>
      </c>
      <c r="C74" s="2" t="inlineStr">
        <is>
          <t>Career Adaptability</t>
        </is>
      </c>
      <c r="D74" s="2" t="inlineStr">
        <is>
          <t>Students can interpret changing work requirements and update capabilities</t>
        </is>
      </c>
      <c r="E74" s="2" t="inlineStr">
        <is>
          <t>Career activities + student evidence</t>
        </is>
      </c>
      <c r="F74" s="2" t="inlineStr">
        <is>
          <t>High</t>
        </is>
      </c>
    </row>
    <row r="75">
      <c r="A75" s="2" t="inlineStr">
        <is>
          <t>D06</t>
        </is>
      </c>
      <c r="B75" s="2" t="inlineStr">
        <is>
          <t>I09</t>
        </is>
      </c>
      <c r="C75" s="2" t="inlineStr">
        <is>
          <t>Portfolio &amp; Capability Signalling</t>
        </is>
      </c>
      <c r="D75" s="2" t="inlineStr">
        <is>
          <t>Students can show credible evidence of what they can do</t>
        </is>
      </c>
      <c r="E75" s="2" t="inlineStr">
        <is>
          <t>Portfolios/projects/certifications</t>
        </is>
      </c>
      <c r="F75" s="2" t="inlineStr">
        <is>
          <t>High</t>
        </is>
      </c>
    </row>
    <row r="76">
      <c r="A76" s="2" t="inlineStr">
        <is>
          <t>D06</t>
        </is>
      </c>
      <c r="B76" s="2" t="inlineStr">
        <is>
          <t>I10</t>
        </is>
      </c>
      <c r="C76" s="2" t="inlineStr">
        <is>
          <t>Problem Solving &amp; Transfer</t>
        </is>
      </c>
      <c r="D76" s="2" t="inlineStr">
        <is>
          <t>Students apply learning to unfamiliar/ambiguous problems</t>
        </is>
      </c>
      <c r="E76" s="2" t="inlineStr">
        <is>
          <t>Assessment/project evidence</t>
        </is>
      </c>
      <c r="F76" s="2" t="inlineStr">
        <is>
          <t>Very High</t>
        </is>
      </c>
    </row>
    <row r="77">
      <c r="A77" s="2" t="inlineStr">
        <is>
          <t>D06</t>
        </is>
      </c>
      <c r="B77" s="2" t="inlineStr">
        <is>
          <t>I11</t>
        </is>
      </c>
      <c r="C77" s="2" t="inlineStr">
        <is>
          <t>Creator &amp; Entrepreneurial Agency</t>
        </is>
      </c>
      <c r="D77" s="2" t="inlineStr">
        <is>
          <t>Students use AI to create, prototype, innovate or build value</t>
        </is>
      </c>
      <c r="E77" s="2" t="inlineStr">
        <is>
          <t>Startup/project/creation evidence</t>
        </is>
      </c>
      <c r="F77" s="2" t="inlineStr">
        <is>
          <t>High</t>
        </is>
      </c>
    </row>
    <row r="78">
      <c r="A78" s="2" t="inlineStr">
        <is>
          <t>D06</t>
        </is>
      </c>
      <c r="B78" s="2" t="inlineStr">
        <is>
          <t>I12</t>
        </is>
      </c>
      <c r="C78" s="2" t="inlineStr">
        <is>
          <t>Digital Citizenship &amp; Responsible Use</t>
        </is>
      </c>
      <c r="D78" s="2" t="inlineStr">
        <is>
          <t>Students understand privacy, IP, bias, integrity and social consequences</t>
        </is>
      </c>
      <c r="E78" s="2" t="inlineStr">
        <is>
          <t>Guidance + assessment evidence</t>
        </is>
      </c>
      <c r="F78" s="2" t="inlineStr">
        <is>
          <t>High</t>
        </is>
      </c>
    </row>
    <row r="79">
      <c r="A79" s="2" t="inlineStr">
        <is>
          <t>D06</t>
        </is>
      </c>
      <c r="B79" s="2" t="inlineStr">
        <is>
          <t>I13</t>
        </is>
      </c>
      <c r="C79" s="2" t="inlineStr">
        <is>
          <t>Equitable AI Access</t>
        </is>
      </c>
      <c r="D79" s="2" t="inlineStr">
        <is>
          <t>Institution identifies and mitigates unequal access/capability barriers</t>
        </is>
      </c>
      <c r="E79" s="2" t="inlineStr">
        <is>
          <t>Access data + support mechanisms</t>
        </is>
      </c>
      <c r="F79" s="2" t="inlineStr">
        <is>
          <t>Very High</t>
        </is>
      </c>
    </row>
    <row r="80">
      <c r="A80" s="2" t="inlineStr">
        <is>
          <t>D06</t>
        </is>
      </c>
      <c r="B80" s="2" t="inlineStr">
        <is>
          <t>I14</t>
        </is>
      </c>
      <c r="C80" s="2" t="inlineStr">
        <is>
          <t>Student Voice &amp; Feedback Loop</t>
        </is>
      </c>
      <c r="D80" s="2" t="inlineStr">
        <is>
          <t>Student experience informs AI-era curriculum and capability design</t>
        </is>
      </c>
      <c r="E80" s="2" t="inlineStr">
        <is>
          <t>Survey/feedback + action records</t>
        </is>
      </c>
      <c r="F80" s="2" t="inlineStr">
        <is>
          <t>Medium</t>
        </is>
      </c>
    </row>
    <row r="81">
      <c r="A81" s="2" t="inlineStr">
        <is>
          <t>D07</t>
        </is>
      </c>
      <c r="B81" s="2" t="inlineStr">
        <is>
          <t>I01</t>
        </is>
      </c>
      <c r="C81" s="2" t="inlineStr">
        <is>
          <t>Assessment Design Maturity</t>
        </is>
      </c>
      <c r="D81" s="2" t="inlineStr">
        <is>
          <t>Whether assessment is deliberately designed around intended capabilities rather than answer production.</t>
        </is>
      </c>
      <c r="E81" s="2" t="inlineStr">
        <is>
          <t>Assessment samples + rubric review + evidence triangulation</t>
        </is>
      </c>
      <c r="F81" s="2" t="inlineStr">
        <is>
          <t>High</t>
        </is>
      </c>
    </row>
    <row r="82">
      <c r="A82" s="2" t="inlineStr">
        <is>
          <t>D07</t>
        </is>
      </c>
      <c r="B82" s="2" t="inlineStr">
        <is>
          <t>I02</t>
        </is>
      </c>
      <c r="C82" s="2" t="inlineStr">
        <is>
          <t>Cognitive Demonstration Depth</t>
        </is>
      </c>
      <c r="D82" s="2" t="inlineStr">
        <is>
          <t>Extent to which students must demonstrate reasoning, judgement, interpretation and problem-solving.</t>
        </is>
      </c>
      <c r="E82" s="2" t="inlineStr">
        <is>
          <t>Assessment samples + rubric review + evidence triangulation</t>
        </is>
      </c>
      <c r="F82" s="2" t="inlineStr">
        <is>
          <t>High</t>
        </is>
      </c>
    </row>
    <row r="83">
      <c r="A83" s="2" t="inlineStr">
        <is>
          <t>D07</t>
        </is>
      </c>
      <c r="B83" s="2" t="inlineStr">
        <is>
          <t>I03</t>
        </is>
      </c>
      <c r="C83" s="2" t="inlineStr">
        <is>
          <t>Authenticity of Demonstration</t>
        </is>
      </c>
      <c r="D83" s="2" t="inlineStr">
        <is>
          <t>Use of real, unfamiliar, contextual and practice-linked tasks.</t>
        </is>
      </c>
      <c r="E83" s="2" t="inlineStr">
        <is>
          <t>Assessment samples + rubric review + evidence triangulation</t>
        </is>
      </c>
      <c r="F83" s="2" t="inlineStr">
        <is>
          <t>High</t>
        </is>
      </c>
    </row>
    <row r="84">
      <c r="A84" s="2" t="inlineStr">
        <is>
          <t>D07</t>
        </is>
      </c>
      <c r="B84" s="2" t="inlineStr">
        <is>
          <t>I04</t>
        </is>
      </c>
      <c r="C84" s="2" t="inlineStr">
        <is>
          <t>AI-Aware Assessment Maturity</t>
        </is>
      </c>
      <c r="D84" s="2" t="inlineStr">
        <is>
          <t>Extent to which assessment design responds intelligently to generative AI availability.</t>
        </is>
      </c>
      <c r="E84" s="2" t="inlineStr">
        <is>
          <t>Assessment samples + rubric review + evidence triangulation</t>
        </is>
      </c>
      <c r="F84" s="2" t="inlineStr">
        <is>
          <t>Very High</t>
        </is>
      </c>
    </row>
    <row r="85">
      <c r="A85" s="2" t="inlineStr">
        <is>
          <t>D07</t>
        </is>
      </c>
      <c r="B85" s="2" t="inlineStr">
        <is>
          <t>I05</t>
        </is>
      </c>
      <c r="C85" s="2" t="inlineStr">
        <is>
          <t>Verification &amp; Defence</t>
        </is>
      </c>
      <c r="D85" s="2" t="inlineStr">
        <is>
          <t>Ability of students to explain, defend and interrogate their own work.</t>
        </is>
      </c>
      <c r="E85" s="2" t="inlineStr">
        <is>
          <t>Assessment samples + rubric review + evidence triangulation</t>
        </is>
      </c>
      <c r="F85" s="2" t="inlineStr">
        <is>
          <t>High</t>
        </is>
      </c>
    </row>
    <row r="86">
      <c r="A86" s="2" t="inlineStr">
        <is>
          <t>D07</t>
        </is>
      </c>
      <c r="B86" s="2" t="inlineStr">
        <is>
          <t>I06</t>
        </is>
      </c>
      <c r="C86" s="2" t="inlineStr">
        <is>
          <t>Feedback Intelligence</t>
        </is>
      </c>
      <c r="D86" s="2" t="inlineStr">
        <is>
          <t>Use of feedback to improve capability rather than merely correct answers.</t>
        </is>
      </c>
      <c r="E86" s="2" t="inlineStr">
        <is>
          <t>Assessment samples + rubric review + evidence triangulation</t>
        </is>
      </c>
      <c r="F86" s="2" t="inlineStr">
        <is>
          <t>High</t>
        </is>
      </c>
    </row>
    <row r="87">
      <c r="A87" s="2" t="inlineStr">
        <is>
          <t>D07</t>
        </is>
      </c>
      <c r="B87" s="2" t="inlineStr">
        <is>
          <t>I07</t>
        </is>
      </c>
      <c r="C87" s="2" t="inlineStr">
        <is>
          <t>Evidence of Learning</t>
        </is>
      </c>
      <c r="D87" s="2" t="inlineStr">
        <is>
          <t>Quality of institutional evidence showing that intended learning actually occurred.</t>
        </is>
      </c>
      <c r="E87" s="2" t="inlineStr">
        <is>
          <t>Assessment samples + rubric review + evidence triangulation</t>
        </is>
      </c>
      <c r="F87" s="2" t="inlineStr">
        <is>
          <t>High</t>
        </is>
      </c>
    </row>
    <row r="88">
      <c r="A88" s="2" t="inlineStr">
        <is>
          <t>D07</t>
        </is>
      </c>
      <c r="B88" s="2" t="inlineStr">
        <is>
          <t>I08</t>
        </is>
      </c>
      <c r="C88" s="2" t="inlineStr">
        <is>
          <t>Capability Outcome Measurement</t>
        </is>
      </c>
      <c r="D88" s="2" t="inlineStr">
        <is>
          <t>Extent to which learning outcomes are measured with meaningful evidence.</t>
        </is>
      </c>
      <c r="E88" s="2" t="inlineStr">
        <is>
          <t>Assessment samples + rubric review + evidence triangulation</t>
        </is>
      </c>
      <c r="F88" s="2" t="inlineStr">
        <is>
          <t>High</t>
        </is>
      </c>
    </row>
    <row r="89">
      <c r="A89" s="2" t="inlineStr">
        <is>
          <t>D07</t>
        </is>
      </c>
      <c r="B89" s="2" t="inlineStr">
        <is>
          <t>I09</t>
        </is>
      </c>
      <c r="C89" s="2" t="inlineStr">
        <is>
          <t>Assessment Equity &amp; Access</t>
        </is>
      </c>
      <c r="D89" s="2" t="inlineStr">
        <is>
          <t>Ability to assess capability fairly across diverse student contexts and access conditions.</t>
        </is>
      </c>
      <c r="E89" s="2" t="inlineStr">
        <is>
          <t>Assessment samples + rubric review + evidence triangulation</t>
        </is>
      </c>
      <c r="F89" s="2" t="inlineStr">
        <is>
          <t>High</t>
        </is>
      </c>
    </row>
    <row r="90">
      <c r="A90" s="2" t="inlineStr">
        <is>
          <t>D07</t>
        </is>
      </c>
      <c r="B90" s="2" t="inlineStr">
        <is>
          <t>I10</t>
        </is>
      </c>
      <c r="C90" s="2" t="inlineStr">
        <is>
          <t>Assessment Governance</t>
        </is>
      </c>
      <c r="D90" s="2" t="inlineStr">
        <is>
          <t>Institutional oversight of assessment quality, integrity and consistency.</t>
        </is>
      </c>
      <c r="E90" s="2" t="inlineStr">
        <is>
          <t>Assessment samples + rubric review + evidence triangulation</t>
        </is>
      </c>
      <c r="F90" s="2" t="inlineStr">
        <is>
          <t>Very High</t>
        </is>
      </c>
    </row>
    <row r="91">
      <c r="A91" s="2" t="inlineStr">
        <is>
          <t>D07</t>
        </is>
      </c>
      <c r="B91" s="2" t="inlineStr">
        <is>
          <t>I11</t>
        </is>
      </c>
      <c r="C91" s="2" t="inlineStr">
        <is>
          <t>Assessment Innovation</t>
        </is>
      </c>
      <c r="D91" s="2" t="inlineStr">
        <is>
          <t>Ability to experiment with and evaluate new assessment models.</t>
        </is>
      </c>
      <c r="E91" s="2" t="inlineStr">
        <is>
          <t>Assessment samples + rubric review + evidence triangulation</t>
        </is>
      </c>
      <c r="F91" s="2" t="inlineStr">
        <is>
          <t>High</t>
        </is>
      </c>
    </row>
    <row r="92">
      <c r="A92" s="2" t="inlineStr">
        <is>
          <t>D07</t>
        </is>
      </c>
      <c r="B92" s="2" t="inlineStr">
        <is>
          <t>I12</t>
        </is>
      </c>
      <c r="C92" s="2" t="inlineStr">
        <is>
          <t>Learning Evidence Analytics</t>
        </is>
      </c>
      <c r="D92" s="2" t="inlineStr">
        <is>
          <t>Use of data to identify capability gaps and improve learning design.</t>
        </is>
      </c>
      <c r="E92" s="2" t="inlineStr">
        <is>
          <t>Assessment samples + rubric review + evidence triangulation</t>
        </is>
      </c>
      <c r="F92" s="2" t="inlineStr">
        <is>
          <t>High</t>
        </is>
      </c>
    </row>
    <row r="93">
      <c r="A93" s="2" t="inlineStr">
        <is>
          <t>D08</t>
        </is>
      </c>
      <c r="B93" s="2" t="inlineStr">
        <is>
          <t>I01</t>
        </is>
      </c>
      <c r="C93" s="2" t="inlineStr">
        <is>
          <t>Digital Environment Readiness</t>
        </is>
      </c>
      <c r="D93" s="2" t="inlineStr">
        <is>
          <t>Suitability of the institutional digital environment for emerging academic and administrative needs.</t>
        </is>
      </c>
      <c r="E93" s="2" t="inlineStr">
        <is>
          <t>System/data inventory + process sample + decision example</t>
        </is>
      </c>
      <c r="F93" s="2" t="inlineStr">
        <is>
          <t>High</t>
        </is>
      </c>
    </row>
    <row r="94">
      <c r="A94" s="2" t="inlineStr">
        <is>
          <t>D08</t>
        </is>
      </c>
      <c r="B94" s="2" t="inlineStr">
        <is>
          <t>I02</t>
        </is>
      </c>
      <c r="C94" s="2" t="inlineStr">
        <is>
          <t>Institutional Data Architecture</t>
        </is>
      </c>
      <c r="D94" s="2" t="inlineStr">
        <is>
          <t>Degree to which important institutional data are structured, connected and usable.</t>
        </is>
      </c>
      <c r="E94" s="2" t="inlineStr">
        <is>
          <t>System/data inventory + process sample + decision example</t>
        </is>
      </c>
      <c r="F94" s="2" t="inlineStr">
        <is>
          <t>High</t>
        </is>
      </c>
    </row>
    <row r="95">
      <c r="A95" s="2" t="inlineStr">
        <is>
          <t>D08</t>
        </is>
      </c>
      <c r="B95" s="2" t="inlineStr">
        <is>
          <t>I03</t>
        </is>
      </c>
      <c r="C95" s="2" t="inlineStr">
        <is>
          <t>Data Quality &amp; Integrity</t>
        </is>
      </c>
      <c r="D95" s="2" t="inlineStr">
        <is>
          <t>Reliability, completeness, consistency and stewardship of institutional data.</t>
        </is>
      </c>
      <c r="E95" s="2" t="inlineStr">
        <is>
          <t>System/data inventory + process sample + decision example</t>
        </is>
      </c>
      <c r="F95" s="2" t="inlineStr">
        <is>
          <t>High</t>
        </is>
      </c>
    </row>
    <row r="96">
      <c r="A96" s="2" t="inlineStr">
        <is>
          <t>D08</t>
        </is>
      </c>
      <c r="B96" s="2" t="inlineStr">
        <is>
          <t>I04</t>
        </is>
      </c>
      <c r="C96" s="2" t="inlineStr">
        <is>
          <t>System Interoperability</t>
        </is>
      </c>
      <c r="D96" s="2" t="inlineStr">
        <is>
          <t>Ability of institutional systems to exchange and use information coherently.</t>
        </is>
      </c>
      <c r="E96" s="2" t="inlineStr">
        <is>
          <t>System/data inventory + process sample + decision example</t>
        </is>
      </c>
      <c r="F96" s="2" t="inlineStr">
        <is>
          <t>High</t>
        </is>
      </c>
    </row>
    <row r="97">
      <c r="A97" s="2" t="inlineStr">
        <is>
          <t>D08</t>
        </is>
      </c>
      <c r="B97" s="2" t="inlineStr">
        <is>
          <t>I05</t>
        </is>
      </c>
      <c r="C97" s="2" t="inlineStr">
        <is>
          <t>Decision Intelligence</t>
        </is>
      </c>
      <c r="D97" s="2" t="inlineStr">
        <is>
          <t>Use of institutional data and analytics in leadership and operational decisions.</t>
        </is>
      </c>
      <c r="E97" s="2" t="inlineStr">
        <is>
          <t>System/data inventory + process sample + decision example</t>
        </is>
      </c>
      <c r="F97" s="2" t="inlineStr">
        <is>
          <t>High</t>
        </is>
      </c>
    </row>
    <row r="98">
      <c r="A98" s="2" t="inlineStr">
        <is>
          <t>D08</t>
        </is>
      </c>
      <c r="B98" s="2" t="inlineStr">
        <is>
          <t>I06</t>
        </is>
      </c>
      <c r="C98" s="2" t="inlineStr">
        <is>
          <t>AI Enablement Readiness</t>
        </is>
      </c>
      <c r="D98" s="2" t="inlineStr">
        <is>
          <t>Whether infrastructure and data can responsibly support AI-enabled activity.</t>
        </is>
      </c>
      <c r="E98" s="2" t="inlineStr">
        <is>
          <t>System/data inventory + process sample + decision example</t>
        </is>
      </c>
      <c r="F98" s="2" t="inlineStr">
        <is>
          <t>High</t>
        </is>
      </c>
    </row>
    <row r="99">
      <c r="A99" s="2" t="inlineStr">
        <is>
          <t>D08</t>
        </is>
      </c>
      <c r="B99" s="2" t="inlineStr">
        <is>
          <t>I07</t>
        </is>
      </c>
      <c r="C99" s="2" t="inlineStr">
        <is>
          <t>Cyber &amp; Information Security</t>
        </is>
      </c>
      <c r="D99" s="2" t="inlineStr">
        <is>
          <t>Protection of institutional information, systems and users.</t>
        </is>
      </c>
      <c r="E99" s="2" t="inlineStr">
        <is>
          <t>System/data inventory + process sample + decision example</t>
        </is>
      </c>
      <c r="F99" s="2" t="inlineStr">
        <is>
          <t>Very High</t>
        </is>
      </c>
    </row>
    <row r="100">
      <c r="A100" s="2" t="inlineStr">
        <is>
          <t>D08</t>
        </is>
      </c>
      <c r="B100" s="2" t="inlineStr">
        <is>
          <t>I08</t>
        </is>
      </c>
      <c r="C100" s="2" t="inlineStr">
        <is>
          <t>Data Privacy Readiness</t>
        </is>
      </c>
      <c r="D100" s="2" t="inlineStr">
        <is>
          <t>Controls governing sensitive student, faculty and research information.</t>
        </is>
      </c>
      <c r="E100" s="2" t="inlineStr">
        <is>
          <t>System/data inventory + process sample + decision example</t>
        </is>
      </c>
      <c r="F100" s="2" t="inlineStr">
        <is>
          <t>Very High</t>
        </is>
      </c>
    </row>
    <row r="101">
      <c r="A101" s="2" t="inlineStr">
        <is>
          <t>D08</t>
        </is>
      </c>
      <c r="B101" s="2" t="inlineStr">
        <is>
          <t>I09</t>
        </is>
      </c>
      <c r="C101" s="2" t="inlineStr">
        <is>
          <t>Digital Equity &amp; Access</t>
        </is>
      </c>
      <c r="D101" s="2" t="inlineStr">
        <is>
          <t>Ability to provide appropriate digital/AI access across student groups.</t>
        </is>
      </c>
      <c r="E101" s="2" t="inlineStr">
        <is>
          <t>System/data inventory + process sample + decision example</t>
        </is>
      </c>
      <c r="F101" s="2" t="inlineStr">
        <is>
          <t>High</t>
        </is>
      </c>
    </row>
    <row r="102">
      <c r="A102" s="2" t="inlineStr">
        <is>
          <t>D08</t>
        </is>
      </c>
      <c r="B102" s="2" t="inlineStr">
        <is>
          <t>I10</t>
        </is>
      </c>
      <c r="C102" s="2" t="inlineStr">
        <is>
          <t>Technology Decision Governance</t>
        </is>
      </c>
      <c r="D102" s="2" t="inlineStr">
        <is>
          <t>How technology choices are evaluated, prioritised and governed.</t>
        </is>
      </c>
      <c r="E102" s="2" t="inlineStr">
        <is>
          <t>System/data inventory + process sample + decision example</t>
        </is>
      </c>
      <c r="F102" s="2" t="inlineStr">
        <is>
          <t>High</t>
        </is>
      </c>
    </row>
    <row r="103">
      <c r="A103" s="2" t="inlineStr">
        <is>
          <t>D08</t>
        </is>
      </c>
      <c r="B103" s="2" t="inlineStr">
        <is>
          <t>I11</t>
        </is>
      </c>
      <c r="C103" s="2" t="inlineStr">
        <is>
          <t>Digital Process Maturity</t>
        </is>
      </c>
      <c r="D103" s="2" t="inlineStr">
        <is>
          <t>Extent to which institutional workflows are digitally enabled and intelligently designed.</t>
        </is>
      </c>
      <c r="E103" s="2" t="inlineStr">
        <is>
          <t>System/data inventory + process sample + decision example</t>
        </is>
      </c>
      <c r="F103" s="2" t="inlineStr">
        <is>
          <t>High</t>
        </is>
      </c>
    </row>
    <row r="104">
      <c r="A104" s="2" t="inlineStr">
        <is>
          <t>D08</t>
        </is>
      </c>
      <c r="B104" s="2" t="inlineStr">
        <is>
          <t>I12</t>
        </is>
      </c>
      <c r="C104" s="2" t="inlineStr">
        <is>
          <t>Institutional Intelligence Capability</t>
        </is>
      </c>
      <c r="D104" s="2" t="inlineStr">
        <is>
          <t>Ability to turn fragmented data into actionable institutional understanding.</t>
        </is>
      </c>
      <c r="E104" s="2" t="inlineStr">
        <is>
          <t>System/data inventory + process sample + decision example</t>
        </is>
      </c>
      <c r="F104" s="2" t="inlineStr">
        <is>
          <t>High</t>
        </is>
      </c>
    </row>
    <row r="105">
      <c r="A105" s="2" t="inlineStr">
        <is>
          <t>D09</t>
        </is>
      </c>
      <c r="B105" s="2" t="inlineStr">
        <is>
          <t>I01</t>
        </is>
      </c>
      <c r="C105" s="2" t="inlineStr">
        <is>
          <t>Employer Demand Sensing</t>
        </is>
      </c>
      <c r="D105" s="2" t="inlineStr">
        <is>
          <t>How systematically the institution understands changing employer and sector capability needs.</t>
        </is>
      </c>
      <c r="E105" s="2" t="inlineStr">
        <is>
          <t>Employer/placement/alumni evidence + programme sample</t>
        </is>
      </c>
      <c r="F105" s="2" t="inlineStr">
        <is>
          <t>High</t>
        </is>
      </c>
    </row>
    <row r="106">
      <c r="A106" s="2" t="inlineStr">
        <is>
          <t>D09</t>
        </is>
      </c>
      <c r="B106" s="2" t="inlineStr">
        <is>
          <t>I02</t>
        </is>
      </c>
      <c r="C106" s="2" t="inlineStr">
        <is>
          <t>Employability Capability Architecture</t>
        </is>
      </c>
      <c r="D106" s="2" t="inlineStr">
        <is>
          <t>Clarity of capabilities graduates are expected to possess beyond credentials.</t>
        </is>
      </c>
      <c r="E106" s="2" t="inlineStr">
        <is>
          <t>Employer/placement/alumni evidence + programme sample</t>
        </is>
      </c>
      <c r="F106" s="2" t="inlineStr">
        <is>
          <t>High</t>
        </is>
      </c>
    </row>
    <row r="107">
      <c r="A107" s="2" t="inlineStr">
        <is>
          <t>D09</t>
        </is>
      </c>
      <c r="B107" s="2" t="inlineStr">
        <is>
          <t>I03</t>
        </is>
      </c>
      <c r="C107" s="2" t="inlineStr">
        <is>
          <t>Industry-Validated Curriculum</t>
        </is>
      </c>
      <c r="D107" s="2" t="inlineStr">
        <is>
          <t>Depth of meaningful industry/professional input into programme design.</t>
        </is>
      </c>
      <c r="E107" s="2" t="inlineStr">
        <is>
          <t>Employer/placement/alumni evidence + programme sample</t>
        </is>
      </c>
      <c r="F107" s="2" t="inlineStr">
        <is>
          <t>High</t>
        </is>
      </c>
    </row>
    <row r="108">
      <c r="A108" s="2" t="inlineStr">
        <is>
          <t>D09</t>
        </is>
      </c>
      <c r="B108" s="2" t="inlineStr">
        <is>
          <t>I04</t>
        </is>
      </c>
      <c r="C108" s="2" t="inlineStr">
        <is>
          <t>Practice-Based Learning</t>
        </is>
      </c>
      <c r="D108" s="2" t="inlineStr">
        <is>
          <t>Extent of authentic projects, internships, field exposure and live problem-solving.</t>
        </is>
      </c>
      <c r="E108" s="2" t="inlineStr">
        <is>
          <t>Employer/placement/alumni evidence + programme sample</t>
        </is>
      </c>
      <c r="F108" s="2" t="inlineStr">
        <is>
          <t>High</t>
        </is>
      </c>
    </row>
    <row r="109">
      <c r="A109" s="2" t="inlineStr">
        <is>
          <t>D09</t>
        </is>
      </c>
      <c r="B109" s="2" t="inlineStr">
        <is>
          <t>I05</t>
        </is>
      </c>
      <c r="C109" s="2" t="inlineStr">
        <is>
          <t>Recruiter Confidence</t>
        </is>
      </c>
      <c r="D109" s="2" t="inlineStr">
        <is>
          <t>Strength and quality of recurring employer relationships.</t>
        </is>
      </c>
      <c r="E109" s="2" t="inlineStr">
        <is>
          <t>Employer/placement/alumni evidence + programme sample</t>
        </is>
      </c>
      <c r="F109" s="2" t="inlineStr">
        <is>
          <t>High</t>
        </is>
      </c>
    </row>
    <row r="110">
      <c r="A110" s="2" t="inlineStr">
        <is>
          <t>D09</t>
        </is>
      </c>
      <c r="B110" s="2" t="inlineStr">
        <is>
          <t>I06</t>
        </is>
      </c>
      <c r="C110" s="2" t="inlineStr">
        <is>
          <t>Placement Outcome Quality</t>
        </is>
      </c>
      <c r="D110" s="2" t="inlineStr">
        <is>
          <t>Quality, relevance and transparency of employment outcomes.</t>
        </is>
      </c>
      <c r="E110" s="2" t="inlineStr">
        <is>
          <t>Employer/placement/alumni evidence + programme sample</t>
        </is>
      </c>
      <c r="F110" s="2" t="inlineStr">
        <is>
          <t>High</t>
        </is>
      </c>
    </row>
    <row r="111">
      <c r="A111" s="2" t="inlineStr">
        <is>
          <t>D09</t>
        </is>
      </c>
      <c r="B111" s="2" t="inlineStr">
        <is>
          <t>I07</t>
        </is>
      </c>
      <c r="C111" s="2" t="inlineStr">
        <is>
          <t>Career Adaptability</t>
        </is>
      </c>
      <c r="D111" s="2" t="inlineStr">
        <is>
          <t>Preparation for changing roles, sectors and skill requirements.</t>
        </is>
      </c>
      <c r="E111" s="2" t="inlineStr">
        <is>
          <t>Employer/placement/alumni evidence + programme sample</t>
        </is>
      </c>
      <c r="F111" s="2" t="inlineStr">
        <is>
          <t>High</t>
        </is>
      </c>
    </row>
    <row r="112">
      <c r="A112" s="2" t="inlineStr">
        <is>
          <t>D09</t>
        </is>
      </c>
      <c r="B112" s="2" t="inlineStr">
        <is>
          <t>I08</t>
        </is>
      </c>
      <c r="C112" s="2" t="inlineStr">
        <is>
          <t>AI-Era Employability Readiness</t>
        </is>
      </c>
      <c r="D112" s="2" t="inlineStr">
        <is>
          <t>Preparation for AI-augmented and AI-disrupted work.</t>
        </is>
      </c>
      <c r="E112" s="2" t="inlineStr">
        <is>
          <t>Employer/placement/alumni evidence + programme sample</t>
        </is>
      </c>
      <c r="F112" s="2" t="inlineStr">
        <is>
          <t>High</t>
        </is>
      </c>
    </row>
    <row r="113">
      <c r="A113" s="2" t="inlineStr">
        <is>
          <t>D09</t>
        </is>
      </c>
      <c r="B113" s="2" t="inlineStr">
        <is>
          <t>I09</t>
        </is>
      </c>
      <c r="C113" s="2" t="inlineStr">
        <is>
          <t>Capability Signalling</t>
        </is>
      </c>
      <c r="D113" s="2" t="inlineStr">
        <is>
          <t>Student ability to demonstrate capability through portfolios, projects and evidence.</t>
        </is>
      </c>
      <c r="E113" s="2" t="inlineStr">
        <is>
          <t>Employer/placement/alumni evidence + programme sample</t>
        </is>
      </c>
      <c r="F113" s="2" t="inlineStr">
        <is>
          <t>High</t>
        </is>
      </c>
    </row>
    <row r="114">
      <c r="A114" s="2" t="inlineStr">
        <is>
          <t>D09</t>
        </is>
      </c>
      <c r="B114" s="2" t="inlineStr">
        <is>
          <t>I10</t>
        </is>
      </c>
      <c r="C114" s="2" t="inlineStr">
        <is>
          <t>Industry Co-Creation</t>
        </is>
      </c>
      <c r="D114" s="2" t="inlineStr">
        <is>
          <t>Extent to which industry participates in learning, projects, mentoring and innovation.</t>
        </is>
      </c>
      <c r="E114" s="2" t="inlineStr">
        <is>
          <t>Employer/placement/alumni evidence + programme sample</t>
        </is>
      </c>
      <c r="F114" s="2" t="inlineStr">
        <is>
          <t>High</t>
        </is>
      </c>
    </row>
    <row r="115">
      <c r="A115" s="2" t="inlineStr">
        <is>
          <t>D09</t>
        </is>
      </c>
      <c r="B115" s="2" t="inlineStr">
        <is>
          <t>I11</t>
        </is>
      </c>
      <c r="C115" s="2" t="inlineStr">
        <is>
          <t>Regional/Economic Relevance</t>
        </is>
      </c>
      <c r="D115" s="2" t="inlineStr">
        <is>
          <t>Alignment with the economic and social context in which the institution operates.</t>
        </is>
      </c>
      <c r="E115" s="2" t="inlineStr">
        <is>
          <t>Employer/placement/alumni evidence + programme sample</t>
        </is>
      </c>
      <c r="F115" s="2" t="inlineStr">
        <is>
          <t>High</t>
        </is>
      </c>
    </row>
    <row r="116">
      <c r="A116" s="2" t="inlineStr">
        <is>
          <t>D09</t>
        </is>
      </c>
      <c r="B116" s="2" t="inlineStr">
        <is>
          <t>I12</t>
        </is>
      </c>
      <c r="C116" s="2" t="inlineStr">
        <is>
          <t>Alumni Career Intelligence</t>
        </is>
      </c>
      <c r="D116" s="2" t="inlineStr">
        <is>
          <t>Use of alumni trajectories to understand and improve graduate outcomes.</t>
        </is>
      </c>
      <c r="E116" s="2" t="inlineStr">
        <is>
          <t>Employer/placement/alumni evidence + programme sample</t>
        </is>
      </c>
      <c r="F116" s="2" t="inlineStr">
        <is>
          <t>High</t>
        </is>
      </c>
    </row>
    <row r="117">
      <c r="A117" s="2" t="inlineStr">
        <is>
          <t>D10</t>
        </is>
      </c>
      <c r="B117" s="2" t="inlineStr">
        <is>
          <t>I01</t>
        </is>
      </c>
      <c r="C117" s="2" t="inlineStr">
        <is>
          <t>Research Strategy Maturity</t>
        </is>
      </c>
      <c r="D117" s="2" t="inlineStr">
        <is>
          <t>Whether research priorities are strategically defined and connected to institutional purpose and emerging needs.</t>
        </is>
      </c>
      <c r="E117" s="2" t="inlineStr">
        <is>
          <t>Research portfolio + pathway evidence + outcome/impact sample</t>
        </is>
      </c>
      <c r="F117" s="2" t="inlineStr">
        <is>
          <t>High</t>
        </is>
      </c>
    </row>
    <row r="118">
      <c r="A118" s="2" t="inlineStr">
        <is>
          <t>D10</t>
        </is>
      </c>
      <c r="B118" s="2" t="inlineStr">
        <is>
          <t>I02</t>
        </is>
      </c>
      <c r="C118" s="2" t="inlineStr">
        <is>
          <t>Research Portfolio Balance</t>
        </is>
      </c>
      <c r="D118" s="2" t="inlineStr">
        <is>
          <t>Breadth, depth, concentration and strategic coherence of the research portfolio.</t>
        </is>
      </c>
      <c r="E118" s="2" t="inlineStr">
        <is>
          <t>Research portfolio + pathway evidence + outcome/impact sample</t>
        </is>
      </c>
      <c r="F118" s="2" t="inlineStr">
        <is>
          <t>High</t>
        </is>
      </c>
    </row>
    <row r="119">
      <c r="A119" s="2" t="inlineStr">
        <is>
          <t>D10</t>
        </is>
      </c>
      <c r="B119" s="2" t="inlineStr">
        <is>
          <t>I03</t>
        </is>
      </c>
      <c r="C119" s="2" t="inlineStr">
        <is>
          <t>Interdisciplinary Research Capability</t>
        </is>
      </c>
      <c r="D119" s="2" t="inlineStr">
        <is>
          <t>Ability to bring disciplines together around meaningful questions.</t>
        </is>
      </c>
      <c r="E119" s="2" t="inlineStr">
        <is>
          <t>Research portfolio + pathway evidence + outcome/impact sample</t>
        </is>
      </c>
      <c r="F119" s="2" t="inlineStr">
        <is>
          <t>High</t>
        </is>
      </c>
    </row>
    <row r="120">
      <c r="A120" s="2" t="inlineStr">
        <is>
          <t>D10</t>
        </is>
      </c>
      <c r="B120" s="2" t="inlineStr">
        <is>
          <t>I04</t>
        </is>
      </c>
      <c r="C120" s="2" t="inlineStr">
        <is>
          <t>AI-Enabled Research Capability</t>
        </is>
      </c>
      <c r="D120" s="2" t="inlineStr">
        <is>
          <t>Responsible use of AI across discovery, analysis, experimentation and knowledge creation.</t>
        </is>
      </c>
      <c r="E120" s="2" t="inlineStr">
        <is>
          <t>Research portfolio + pathway evidence + outcome/impact sample</t>
        </is>
      </c>
      <c r="F120" s="2" t="inlineStr">
        <is>
          <t>High</t>
        </is>
      </c>
    </row>
    <row r="121">
      <c r="A121" s="2" t="inlineStr">
        <is>
          <t>D10</t>
        </is>
      </c>
      <c r="B121" s="2" t="inlineStr">
        <is>
          <t>I05</t>
        </is>
      </c>
      <c r="C121" s="2" t="inlineStr">
        <is>
          <t>Research Infrastructure Readiness</t>
        </is>
      </c>
      <c r="D121" s="2" t="inlineStr">
        <is>
          <t>Adequacy and accessibility of research infrastructure, data and tools.</t>
        </is>
      </c>
      <c r="E121" s="2" t="inlineStr">
        <is>
          <t>Research portfolio + pathway evidence + outcome/impact sample</t>
        </is>
      </c>
      <c r="F121" s="2" t="inlineStr">
        <is>
          <t>High</t>
        </is>
      </c>
    </row>
    <row r="122">
      <c r="A122" s="2" t="inlineStr">
        <is>
          <t>D10</t>
        </is>
      </c>
      <c r="B122" s="2" t="inlineStr">
        <is>
          <t>I06</t>
        </is>
      </c>
      <c r="C122" s="2" t="inlineStr">
        <is>
          <t>Researcher Capability</t>
        </is>
      </c>
      <c r="D122" s="2" t="inlineStr">
        <is>
          <t>Ability to develop and retain researchers and research-active faculty.</t>
        </is>
      </c>
      <c r="E122" s="2" t="inlineStr">
        <is>
          <t>Research portfolio + pathway evidence + outcome/impact sample</t>
        </is>
      </c>
      <c r="F122" s="2" t="inlineStr">
        <is>
          <t>High</t>
        </is>
      </c>
    </row>
    <row r="123">
      <c r="A123" s="2" t="inlineStr">
        <is>
          <t>D10</t>
        </is>
      </c>
      <c r="B123" s="2" t="inlineStr">
        <is>
          <t>I07</t>
        </is>
      </c>
      <c r="C123" s="2" t="inlineStr">
        <is>
          <t>Research Funding Capability</t>
        </is>
      </c>
      <c r="D123" s="2" t="inlineStr">
        <is>
          <t>Ability to identify, develop and secure competitive research resources.</t>
        </is>
      </c>
      <c r="E123" s="2" t="inlineStr">
        <is>
          <t>Research portfolio + pathway evidence + outcome/impact sample</t>
        </is>
      </c>
      <c r="F123" s="2" t="inlineStr">
        <is>
          <t>High</t>
        </is>
      </c>
    </row>
    <row r="124">
      <c r="A124" s="2" t="inlineStr">
        <is>
          <t>D10</t>
        </is>
      </c>
      <c r="B124" s="2" t="inlineStr">
        <is>
          <t>I08</t>
        </is>
      </c>
      <c r="C124" s="2" t="inlineStr">
        <is>
          <t>Knowledge Translation Capability</t>
        </is>
      </c>
      <c r="D124" s="2" t="inlineStr">
        <is>
          <t>Movement from research findings to application, policy, practice or public value.</t>
        </is>
      </c>
      <c r="E124" s="2" t="inlineStr">
        <is>
          <t>Research portfolio + pathway evidence + outcome/impact sample</t>
        </is>
      </c>
      <c r="F124" s="2" t="inlineStr">
        <is>
          <t>High</t>
        </is>
      </c>
    </row>
    <row r="125">
      <c r="A125" s="2" t="inlineStr">
        <is>
          <t>D10</t>
        </is>
      </c>
      <c r="B125" s="2" t="inlineStr">
        <is>
          <t>I09</t>
        </is>
      </c>
      <c r="C125" s="2" t="inlineStr">
        <is>
          <t>Industry-Linked Research</t>
        </is>
      </c>
      <c r="D125" s="2" t="inlineStr">
        <is>
          <t>Depth of meaningful research collaboration with industry and external organisations.</t>
        </is>
      </c>
      <c r="E125" s="2" t="inlineStr">
        <is>
          <t>Research portfolio + pathway evidence + outcome/impact sample</t>
        </is>
      </c>
      <c r="F125" s="2" t="inlineStr">
        <is>
          <t>High</t>
        </is>
      </c>
    </row>
    <row r="126">
      <c r="A126" s="2" t="inlineStr">
        <is>
          <t>D10</t>
        </is>
      </c>
      <c r="B126" s="2" t="inlineStr">
        <is>
          <t>I10</t>
        </is>
      </c>
      <c r="C126" s="2" t="inlineStr">
        <is>
          <t>Research-to-Innovation Pipeline</t>
        </is>
      </c>
      <c r="D126" s="2" t="inlineStr">
        <is>
          <t>Ability to move promising research toward prototypes, ventures, IP or implementation.</t>
        </is>
      </c>
      <c r="E126" s="2" t="inlineStr">
        <is>
          <t>Research portfolio + pathway evidence + outcome/impact sample</t>
        </is>
      </c>
      <c r="F126" s="2" t="inlineStr">
        <is>
          <t>High</t>
        </is>
      </c>
    </row>
    <row r="127">
      <c r="A127" s="2" t="inlineStr">
        <is>
          <t>D10</t>
        </is>
      </c>
      <c r="B127" s="2" t="inlineStr">
        <is>
          <t>I11</t>
        </is>
      </c>
      <c r="C127" s="2" t="inlineStr">
        <is>
          <t>IP &amp; Knowledge Assets</t>
        </is>
      </c>
      <c r="D127" s="2" t="inlineStr">
        <is>
          <t>Quality and strategic management of intellectual property and other knowledge assets.</t>
        </is>
      </c>
      <c r="E127" s="2" t="inlineStr">
        <is>
          <t>Research portfolio + pathway evidence + outcome/impact sample</t>
        </is>
      </c>
      <c r="F127" s="2" t="inlineStr">
        <is>
          <t>High</t>
        </is>
      </c>
    </row>
    <row r="128">
      <c r="A128" s="2" t="inlineStr">
        <is>
          <t>D10</t>
        </is>
      </c>
      <c r="B128" s="2" t="inlineStr">
        <is>
          <t>I12</t>
        </is>
      </c>
      <c r="C128" s="2" t="inlineStr">
        <is>
          <t>Research Integrity &amp; Responsible AI</t>
        </is>
      </c>
      <c r="D128" s="2" t="inlineStr">
        <is>
          <t>Integrity, reproducibility, ethics, authorship, data and responsible AI practices.</t>
        </is>
      </c>
      <c r="E128" s="2" t="inlineStr">
        <is>
          <t>Research portfolio + pathway evidence + outcome/impact sample</t>
        </is>
      </c>
      <c r="F128" s="2" t="inlineStr">
        <is>
          <t>High</t>
        </is>
      </c>
    </row>
    <row r="129">
      <c r="A129" s="2" t="inlineStr">
        <is>
          <t>D10</t>
        </is>
      </c>
      <c r="B129" s="2" t="inlineStr">
        <is>
          <t>I13</t>
        </is>
      </c>
      <c r="C129" s="2" t="inlineStr">
        <is>
          <t>Research Impact Evidence</t>
        </is>
      </c>
      <c r="D129" s="2" t="inlineStr">
        <is>
          <t>Evidence of scholarly, economic, social, technological or policy impact.</t>
        </is>
      </c>
      <c r="E129" s="2" t="inlineStr">
        <is>
          <t>Research portfolio + pathway evidence + outcome/impact sample</t>
        </is>
      </c>
      <c r="F129" s="2" t="inlineStr">
        <is>
          <t>High</t>
        </is>
      </c>
    </row>
    <row r="130">
      <c r="A130" s="2" t="inlineStr">
        <is>
          <t>D10</t>
        </is>
      </c>
      <c r="B130" s="2" t="inlineStr">
        <is>
          <t>I14</t>
        </is>
      </c>
      <c r="C130" s="2" t="inlineStr">
        <is>
          <t>Student Research Capability</t>
        </is>
      </c>
      <c r="D130" s="2" t="inlineStr">
        <is>
          <t>Extent to which students participate meaningfully in research and knowledge creation.</t>
        </is>
      </c>
      <c r="E130" s="2" t="inlineStr">
        <is>
          <t>Research portfolio + pathway evidence + outcome/impact sample</t>
        </is>
      </c>
      <c r="F130" s="2" t="inlineStr">
        <is>
          <t>High</t>
        </is>
      </c>
    </row>
    <row r="131">
      <c r="A131" s="2" t="inlineStr">
        <is>
          <t>D11</t>
        </is>
      </c>
      <c r="B131" s="2" t="inlineStr">
        <is>
          <t>I01</t>
        </is>
      </c>
      <c r="C131" s="2" t="inlineStr">
        <is>
          <t>External Change Sensing</t>
        </is>
      </c>
      <c r="D131" s="2" t="inlineStr">
        <is>
          <t>Ability to detect technological, economic, demographic, policy and learner changes.</t>
        </is>
      </c>
      <c r="E131" s="2" t="inlineStr">
        <is>
          <t>Recent change cases + scenario + resource/learning evidence</t>
        </is>
      </c>
      <c r="F131" s="2" t="inlineStr">
        <is>
          <t>High</t>
        </is>
      </c>
    </row>
    <row r="132">
      <c r="A132" s="2" t="inlineStr">
        <is>
          <t>D11</t>
        </is>
      </c>
      <c r="B132" s="2" t="inlineStr">
        <is>
          <t>I02</t>
        </is>
      </c>
      <c r="C132" s="2" t="inlineStr">
        <is>
          <t>Strategic Response Agility</t>
        </is>
      </c>
      <c r="D132" s="2" t="inlineStr">
        <is>
          <t>Speed and quality with which significant changes become institutional decisions.</t>
        </is>
      </c>
      <c r="E132" s="2" t="inlineStr">
        <is>
          <t>Recent change cases + scenario + resource/learning evidence</t>
        </is>
      </c>
      <c r="F132" s="2" t="inlineStr">
        <is>
          <t>High</t>
        </is>
      </c>
    </row>
    <row r="133">
      <c r="A133" s="2" t="inlineStr">
        <is>
          <t>D11</t>
        </is>
      </c>
      <c r="B133" s="2" t="inlineStr">
        <is>
          <t>I03</t>
        </is>
      </c>
      <c r="C133" s="2" t="inlineStr">
        <is>
          <t>Adaptive Decision Architecture</t>
        </is>
      </c>
      <c r="D133" s="2" t="inlineStr">
        <is>
          <t>Clarity of who can act, escalate and allocate resources when circumstances change.</t>
        </is>
      </c>
      <c r="E133" s="2" t="inlineStr">
        <is>
          <t>Recent change cases + scenario + resource/learning evidence</t>
        </is>
      </c>
      <c r="F133" s="2" t="inlineStr">
        <is>
          <t>High</t>
        </is>
      </c>
    </row>
    <row r="134">
      <c r="A134" s="2" t="inlineStr">
        <is>
          <t>D11</t>
        </is>
      </c>
      <c r="B134" s="2" t="inlineStr">
        <is>
          <t>I04</t>
        </is>
      </c>
      <c r="C134" s="2" t="inlineStr">
        <is>
          <t>Resource Reallocation Agility</t>
        </is>
      </c>
      <c r="D134" s="2" t="inlineStr">
        <is>
          <t>Ability to redirect people, money, infrastructure and attention toward emerging priorities.</t>
        </is>
      </c>
      <c r="E134" s="2" t="inlineStr">
        <is>
          <t>Recent change cases + scenario + resource/learning evidence</t>
        </is>
      </c>
      <c r="F134" s="2" t="inlineStr">
        <is>
          <t>High</t>
        </is>
      </c>
    </row>
    <row r="135">
      <c r="A135" s="2" t="inlineStr">
        <is>
          <t>D11</t>
        </is>
      </c>
      <c r="B135" s="2" t="inlineStr">
        <is>
          <t>I05</t>
        </is>
      </c>
      <c r="C135" s="2" t="inlineStr">
        <is>
          <t>Institutional Experimentation</t>
        </is>
      </c>
      <c r="D135" s="2" t="inlineStr">
        <is>
          <t>Ability to test new approaches without turning every experiment into a large programme.</t>
        </is>
      </c>
      <c r="E135" s="2" t="inlineStr">
        <is>
          <t>Recent change cases + scenario + resource/learning evidence</t>
        </is>
      </c>
      <c r="F135" s="2" t="inlineStr">
        <is>
          <t>High</t>
        </is>
      </c>
    </row>
    <row r="136">
      <c r="A136" s="2" t="inlineStr">
        <is>
          <t>D11</t>
        </is>
      </c>
      <c r="B136" s="2" t="inlineStr">
        <is>
          <t>I06</t>
        </is>
      </c>
      <c r="C136" s="2" t="inlineStr">
        <is>
          <t>Failure-to-Learning Capability</t>
        </is>
      </c>
      <c r="D136" s="2" t="inlineStr">
        <is>
          <t>Whether unsuccessful initiatives produce institutional learning and changed practice.</t>
        </is>
      </c>
      <c r="E136" s="2" t="inlineStr">
        <is>
          <t>Recent change cases + scenario + resource/learning evidence</t>
        </is>
      </c>
      <c r="F136" s="2" t="inlineStr">
        <is>
          <t>High</t>
        </is>
      </c>
    </row>
    <row r="137">
      <c r="A137" s="2" t="inlineStr">
        <is>
          <t>D11</t>
        </is>
      </c>
      <c r="B137" s="2" t="inlineStr">
        <is>
          <t>I07</t>
        </is>
      </c>
      <c r="C137" s="2" t="inlineStr">
        <is>
          <t>Change Management Capacity</t>
        </is>
      </c>
      <c r="D137" s="2" t="inlineStr">
        <is>
          <t>Ability to move people and systems through meaningful institutional change.</t>
        </is>
      </c>
      <c r="E137" s="2" t="inlineStr">
        <is>
          <t>Recent change cases + scenario + resource/learning evidence</t>
        </is>
      </c>
      <c r="F137" s="2" t="inlineStr">
        <is>
          <t>High</t>
        </is>
      </c>
    </row>
    <row r="138">
      <c r="A138" s="2" t="inlineStr">
        <is>
          <t>D11</t>
        </is>
      </c>
      <c r="B138" s="2" t="inlineStr">
        <is>
          <t>I08</t>
        </is>
      </c>
      <c r="C138" s="2" t="inlineStr">
        <is>
          <t>Adaptive Leadership Alignment</t>
        </is>
      </c>
      <c r="D138" s="2" t="inlineStr">
        <is>
          <t>Extent to which leadership can align around changing priorities.</t>
        </is>
      </c>
      <c r="E138" s="2" t="inlineStr">
        <is>
          <t>Recent change cases + scenario + resource/learning evidence</t>
        </is>
      </c>
      <c r="F138" s="2" t="inlineStr">
        <is>
          <t>High</t>
        </is>
      </c>
    </row>
    <row r="139">
      <c r="A139" s="2" t="inlineStr">
        <is>
          <t>D11</t>
        </is>
      </c>
      <c r="B139" s="2" t="inlineStr">
        <is>
          <t>I09</t>
        </is>
      </c>
      <c r="C139" s="2" t="inlineStr">
        <is>
          <t>Learner Signal Responsiveness</t>
        </is>
      </c>
      <c r="D139" s="2" t="inlineStr">
        <is>
          <t>Ability to detect and respond to changing student expectations and experience.</t>
        </is>
      </c>
      <c r="E139" s="2" t="inlineStr">
        <is>
          <t>Recent change cases + scenario + resource/learning evidence</t>
        </is>
      </c>
      <c r="F139" s="2" t="inlineStr">
        <is>
          <t>High</t>
        </is>
      </c>
    </row>
    <row r="140">
      <c r="A140" s="2" t="inlineStr">
        <is>
          <t>D11</t>
        </is>
      </c>
      <c r="B140" s="2" t="inlineStr">
        <is>
          <t>I10</t>
        </is>
      </c>
      <c r="C140" s="2" t="inlineStr">
        <is>
          <t>Economic &amp; Workforce Responsiveness</t>
        </is>
      </c>
      <c r="D140" s="2" t="inlineStr">
        <is>
          <t>Ability to respond to changing industry and workforce conditions.</t>
        </is>
      </c>
      <c r="E140" s="2" t="inlineStr">
        <is>
          <t>Recent change cases + scenario + resource/learning evidence</t>
        </is>
      </c>
      <c r="F140" s="2" t="inlineStr">
        <is>
          <t>High</t>
        </is>
      </c>
    </row>
    <row r="141">
      <c r="A141" s="2" t="inlineStr">
        <is>
          <t>D11</t>
        </is>
      </c>
      <c r="B141" s="2" t="inlineStr">
        <is>
          <t>I11</t>
        </is>
      </c>
      <c r="C141" s="2" t="inlineStr">
        <is>
          <t>Scenario Planning Capability</t>
        </is>
      </c>
      <c r="D141" s="2" t="inlineStr">
        <is>
          <t>Ability to prepare for multiple plausible futures rather than one forecast.</t>
        </is>
      </c>
      <c r="E141" s="2" t="inlineStr">
        <is>
          <t>Recent change cases + scenario + resource/learning evidence</t>
        </is>
      </c>
      <c r="F141" s="2" t="inlineStr">
        <is>
          <t>High</t>
        </is>
      </c>
    </row>
    <row r="142">
      <c r="A142" s="2" t="inlineStr">
        <is>
          <t>D11</t>
        </is>
      </c>
      <c r="B142" s="2" t="inlineStr">
        <is>
          <t>I12</t>
        </is>
      </c>
      <c r="C142" s="2" t="inlineStr">
        <is>
          <t>Institutional Resilience</t>
        </is>
      </c>
      <c r="D142" s="2" t="inlineStr">
        <is>
          <t>Ability to maintain core educational quality while adapting to disruption.</t>
        </is>
      </c>
      <c r="E142" s="2" t="inlineStr">
        <is>
          <t>Recent change cases + scenario + resource/learning evidence</t>
        </is>
      </c>
      <c r="F142" s="2" t="inlineStr">
        <is>
          <t>High</t>
        </is>
      </c>
    </row>
    <row r="143">
      <c r="A143" s="2" t="inlineStr">
        <is>
          <t>D11</t>
        </is>
      </c>
      <c r="B143" s="2" t="inlineStr">
        <is>
          <t>I13</t>
        </is>
      </c>
      <c r="C143" s="2" t="inlineStr">
        <is>
          <t>Institutional Learning System</t>
        </is>
      </c>
      <c r="D143" s="2" t="inlineStr">
        <is>
          <t>Ability to turn evidence, experience and external signals into repeated improvement.</t>
        </is>
      </c>
      <c r="E143" s="2" t="inlineStr">
        <is>
          <t>Recent change cases + scenario + resource/learning evidence</t>
        </is>
      </c>
      <c r="F143" s="2" t="inlineStr">
        <is>
          <t>High</t>
        </is>
      </c>
    </row>
    <row r="144">
      <c r="A144" s="2" t="inlineStr">
        <is>
          <t>D11</t>
        </is>
      </c>
      <c r="B144" s="2" t="inlineStr">
        <is>
          <t>I14</t>
        </is>
      </c>
      <c r="C144" s="2" t="inlineStr">
        <is>
          <t>Future Transformation Capacity</t>
        </is>
      </c>
      <c r="D144" s="2" t="inlineStr">
        <is>
          <t>Overall ability to redesign the institution before external pressure forces change.</t>
        </is>
      </c>
      <c r="E144" s="2" t="inlineStr">
        <is>
          <t>Recent change cases + scenario + resource/learning evidence</t>
        </is>
      </c>
      <c r="F144" s="2" t="inlineStr">
        <is>
          <t>Very High</t>
        </is>
      </c>
    </row>
  </sheetData>
  <autoFilter ref="A1:F144"/>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F70"/>
  <sheetViews>
    <sheetView showGridLines="0" workbookViewId="0">
      <pane ySplit="1" topLeftCell="A2" activePane="bottomLeft" state="frozen"/>
      <selection pane="bottomLeft" activeCell="A1" sqref="A1"/>
    </sheetView>
  </sheetViews>
  <sheetFormatPr baseColWidth="8" defaultRowHeight="15"/>
  <cols>
    <col width="13.7109375" customWidth="1" min="1" max="6"/>
  </cols>
  <sheetData>
    <row r="1">
      <c r="A1" s="24" t="inlineStr">
        <is>
          <t>Domain</t>
        </is>
      </c>
      <c r="B1" s="24" t="inlineStr">
        <is>
          <t>Card</t>
        </is>
      </c>
      <c r="C1" s="24" t="inlineStr">
        <is>
          <t>Name</t>
        </is>
      </c>
      <c r="D1" s="24" t="inlineStr">
        <is>
          <t>Input Format</t>
        </is>
      </c>
      <c r="E1" s="24" t="inlineStr">
        <is>
          <t>Respondent does</t>
        </is>
      </c>
      <c r="F1" s="24" t="inlineStr">
        <is>
          <t>Metric Link</t>
        </is>
      </c>
    </row>
    <row r="2">
      <c r="A2" s="2" t="inlineStr">
        <is>
          <t>D01</t>
        </is>
      </c>
      <c r="B2" s="2" t="inlineStr">
        <is>
          <t>A01</t>
        </is>
      </c>
      <c r="C2" s="2" t="inlineStr">
        <is>
          <t>Strategic Position</t>
        </is>
      </c>
      <c r="D2" s="2" t="inlineStr">
        <is>
          <t>Single/multi-select</t>
        </is>
      </c>
      <c r="E2" s="2" t="inlineStr">
        <is>
          <t>Actual AI positioning and participants</t>
        </is>
      </c>
      <c r="F2" s="2" t="inlineStr">
        <is>
          <t>I01/I08</t>
        </is>
      </c>
    </row>
    <row r="3">
      <c r="A3" s="2" t="inlineStr">
        <is>
          <t>D01</t>
        </is>
      </c>
      <c r="B3" s="2" t="inlineStr">
        <is>
          <t>A02</t>
        </is>
      </c>
      <c r="C3" s="2" t="inlineStr">
        <is>
          <t>Actual Strategic Changes</t>
        </is>
      </c>
      <c r="D3" s="2" t="inlineStr">
        <is>
          <t>Multi-select + 3 decision records</t>
        </is>
      </c>
      <c r="E3" s="2" t="inlineStr">
        <is>
          <t>What changed in last 18 months</t>
        </is>
      </c>
      <c r="F3" s="2" t="inlineStr">
        <is>
          <t>I01/I03</t>
        </is>
      </c>
    </row>
    <row r="4">
      <c r="A4" s="2" t="inlineStr">
        <is>
          <t>D01</t>
        </is>
      </c>
      <c r="B4" s="2" t="inlineStr">
        <is>
          <t>A03</t>
        </is>
      </c>
      <c r="C4" s="2" t="inlineStr">
        <is>
          <t>Future Assumptions</t>
        </is>
      </c>
      <c r="D4" s="2" t="inlineStr">
        <is>
          <t>Top 5 + explanations</t>
        </is>
      </c>
      <c r="E4" s="2" t="inlineStr">
        <is>
          <t>Institutional assumptions exposed</t>
        </is>
      </c>
      <c r="F4" s="2" t="inlineStr">
        <is>
          <t>I02</t>
        </is>
      </c>
    </row>
    <row r="5">
      <c r="A5" s="2" t="inlineStr">
        <is>
          <t>D01</t>
        </is>
      </c>
      <c r="B5" s="2" t="inlineStr">
        <is>
          <t>A04</t>
        </is>
      </c>
      <c r="C5" s="2" t="inlineStr">
        <is>
          <t>Programme Portfolio Data</t>
        </is>
      </c>
      <c r="D5" s="2" t="inlineStr">
        <is>
          <t>Numerical</t>
        </is>
      </c>
      <c r="E5" s="2" t="inlineStr">
        <is>
          <t>Review/change coverage</t>
        </is>
      </c>
      <c r="F5" s="2" t="inlineStr">
        <is>
          <t>I04</t>
        </is>
      </c>
    </row>
    <row r="6">
      <c r="A6" s="2" t="inlineStr">
        <is>
          <t>D01</t>
        </is>
      </c>
      <c r="B6" s="2" t="inlineStr">
        <is>
          <t>A05</t>
        </is>
      </c>
      <c r="C6" s="2" t="inlineStr">
        <is>
          <t>Foresight Mechanism</t>
        </is>
      </c>
      <c r="D6" s="2" t="inlineStr">
        <is>
          <t>Process map</t>
        </is>
      </c>
      <c r="E6" s="2" t="inlineStr">
        <is>
          <t>Detect→act architecture</t>
        </is>
      </c>
      <c r="F6" s="2" t="inlineStr">
        <is>
          <t>I02/I06</t>
        </is>
      </c>
    </row>
    <row r="7">
      <c r="A7" s="2" t="inlineStr">
        <is>
          <t>D01</t>
        </is>
      </c>
      <c r="B7" s="2" t="inlineStr">
        <is>
          <t>A06</t>
        </is>
      </c>
      <c r="C7" s="2" t="inlineStr">
        <is>
          <t>Experimentation</t>
        </is>
      </c>
      <c r="D7" s="2" t="inlineStr">
        <is>
          <t>Numbers + 3 pilots</t>
        </is>
      </c>
      <c r="E7" s="2" t="inlineStr">
        <is>
          <t>Pilot discipline</t>
        </is>
      </c>
      <c r="F7" s="2" t="inlineStr">
        <is>
          <t>I09</t>
        </is>
      </c>
    </row>
    <row r="8">
      <c r="A8" s="2" t="inlineStr">
        <is>
          <t>D01</t>
        </is>
      </c>
      <c r="B8" s="2" t="inlineStr">
        <is>
          <t>A07</t>
        </is>
      </c>
      <c r="C8" s="2" t="inlineStr">
        <is>
          <t>Resource Alignment</t>
        </is>
      </c>
      <c r="D8" s="2" t="inlineStr">
        <is>
          <t>Bands + mapping</t>
        </is>
      </c>
      <c r="E8" s="2" t="inlineStr">
        <is>
          <t>Priority/resource consistency</t>
        </is>
      </c>
      <c r="F8" s="2" t="inlineStr">
        <is>
          <t>I07</t>
        </is>
      </c>
    </row>
    <row r="9">
      <c r="A9" s="2" t="inlineStr">
        <is>
          <t>D01</t>
        </is>
      </c>
      <c r="B9" s="2" t="inlineStr">
        <is>
          <t>A08</t>
        </is>
      </c>
      <c r="C9" s="2" t="inlineStr">
        <is>
          <t>Leadership Scenario</t>
        </is>
      </c>
      <c r="D9" s="2" t="inlineStr">
        <is>
          <t>Scenario + authority</t>
        </is>
      </c>
      <c r="E9" s="2" t="inlineStr">
        <is>
          <t>Decision behaviour</t>
        </is>
      </c>
      <c r="F9" s="2" t="inlineStr">
        <is>
          <t>I08</t>
        </is>
      </c>
    </row>
    <row r="10">
      <c r="A10" s="2" t="inlineStr">
        <is>
          <t>D01</t>
        </is>
      </c>
      <c r="B10" s="2" t="inlineStr">
        <is>
          <t>A09</t>
        </is>
      </c>
      <c r="C10" s="2" t="inlineStr">
        <is>
          <t>Differentiation</t>
        </is>
      </c>
      <c r="D10" s="2" t="inlineStr">
        <is>
          <t>Structured + evidence</t>
        </is>
      </c>
      <c r="E10" s="2" t="inlineStr">
        <is>
          <t>Future institutional value</t>
        </is>
      </c>
      <c r="F10" s="2" t="inlineStr">
        <is>
          <t>I05</t>
        </is>
      </c>
    </row>
    <row r="11">
      <c r="A11" s="2" t="inlineStr">
        <is>
          <t>D01</t>
        </is>
      </c>
      <c r="B11" s="2" t="inlineStr">
        <is>
          <t>A10</t>
        </is>
      </c>
      <c r="C11" s="2" t="inlineStr">
        <is>
          <t>Evidence</t>
        </is>
      </c>
      <c r="D11" s="2" t="inlineStr">
        <is>
          <t>2–3 items</t>
        </is>
      </c>
      <c r="E11" s="2" t="inlineStr">
        <is>
          <t>Evidence confidence</t>
        </is>
      </c>
      <c r="F11" s="2" t="inlineStr">
        <is>
          <t>All</t>
        </is>
      </c>
    </row>
    <row r="12">
      <c r="A12" s="2" t="inlineStr">
        <is>
          <t>D02</t>
        </is>
      </c>
      <c r="B12" s="2" t="inlineStr">
        <is>
          <t>A01</t>
        </is>
      </c>
      <c r="C12" s="2" t="inlineStr">
        <is>
          <t>Governance Responsibility Matrix</t>
        </is>
      </c>
      <c r="D12" s="2" t="inlineStr">
        <is>
          <t>Matrix</t>
        </is>
      </c>
      <c r="E12" s="2" t="inlineStr">
        <is>
          <t>Authority/accountability</t>
        </is>
      </c>
      <c r="F12" s="2" t="inlineStr">
        <is>
          <t>I01</t>
        </is>
      </c>
    </row>
    <row r="13">
      <c r="A13" s="2" t="inlineStr">
        <is>
          <t>D02</t>
        </is>
      </c>
      <c r="B13" s="2" t="inlineStr">
        <is>
          <t>A02</t>
        </is>
      </c>
      <c r="C13" s="2" t="inlineStr">
        <is>
          <t>Decision Workflow</t>
        </is>
      </c>
      <c r="D13" s="2" t="inlineStr">
        <is>
          <t>Ordered process</t>
        </is>
      </c>
      <c r="E13" s="2" t="inlineStr">
        <is>
          <t>Approval/review/escalation</t>
        </is>
      </c>
      <c r="F13" s="2" t="inlineStr">
        <is>
          <t>I02</t>
        </is>
      </c>
    </row>
    <row r="14">
      <c r="A14" s="2" t="inlineStr">
        <is>
          <t>D02</t>
        </is>
      </c>
      <c r="B14" s="2" t="inlineStr">
        <is>
          <t>A03</t>
        </is>
      </c>
      <c r="C14" s="2" t="inlineStr">
        <is>
          <t>Policy Inventory</t>
        </is>
      </c>
      <c r="D14" s="2" t="inlineStr">
        <is>
          <t>Matrix + dates</t>
        </is>
      </c>
      <c r="E14" s="2" t="inlineStr">
        <is>
          <t>Existence/implementation/review</t>
        </is>
      </c>
      <c r="F14" s="2" t="inlineStr">
        <is>
          <t>I03/I13</t>
        </is>
      </c>
    </row>
    <row r="15">
      <c r="A15" s="2" t="inlineStr">
        <is>
          <t>D02</t>
        </is>
      </c>
      <c r="B15" s="2" t="inlineStr">
        <is>
          <t>A04</t>
        </is>
      </c>
      <c r="C15" s="2" t="inlineStr">
        <is>
          <t>Harm Scenario</t>
        </is>
      </c>
      <c r="D15" s="2" t="inlineStr">
        <is>
          <t>Scenario + process</t>
        </is>
      </c>
      <c r="E15" s="2" t="inlineStr">
        <is>
          <t>Incident response</t>
        </is>
      </c>
      <c r="F15" s="2" t="inlineStr">
        <is>
          <t>I08</t>
        </is>
      </c>
    </row>
    <row r="16">
      <c r="A16" s="2" t="inlineStr">
        <is>
          <t>D02</t>
        </is>
      </c>
      <c r="B16" s="2" t="inlineStr">
        <is>
          <t>A05</t>
        </is>
      </c>
      <c r="C16" s="2" t="inlineStr">
        <is>
          <t>Data Governance Inventory</t>
        </is>
      </c>
      <c r="D16" s="2" t="inlineStr">
        <is>
          <t>Numbers + 1 tool</t>
        </is>
      </c>
      <c r="E16" s="2" t="inlineStr">
        <is>
          <t>Data controls</t>
        </is>
      </c>
      <c r="F16" s="2" t="inlineStr">
        <is>
          <t>I04</t>
        </is>
      </c>
    </row>
    <row r="17">
      <c r="A17" s="2" t="inlineStr">
        <is>
          <t>D02</t>
        </is>
      </c>
      <c r="B17" s="2" t="inlineStr">
        <is>
          <t>A06</t>
        </is>
      </c>
      <c r="C17" s="2" t="inlineStr">
        <is>
          <t>Academic Integrity</t>
        </is>
      </c>
      <c r="D17" s="2" t="inlineStr">
        <is>
          <t>Scenario + guidance + sample</t>
        </is>
      </c>
      <c r="E17" s="2" t="inlineStr">
        <is>
          <t>AI integrity governance</t>
        </is>
      </c>
      <c r="F17" s="2" t="inlineStr">
        <is>
          <t>I05/I06</t>
        </is>
      </c>
    </row>
    <row r="18">
      <c r="A18" s="2" t="inlineStr">
        <is>
          <t>D02</t>
        </is>
      </c>
      <c r="B18" s="2" t="inlineStr">
        <is>
          <t>A07</t>
        </is>
      </c>
      <c r="C18" s="2" t="inlineStr">
        <is>
          <t>Human Oversight</t>
        </is>
      </c>
      <c r="D18" s="2" t="inlineStr">
        <is>
          <t>Process matrix</t>
        </is>
      </c>
      <c r="E18" s="2" t="inlineStr">
        <is>
          <t>Review/override</t>
        </is>
      </c>
      <c r="F18" s="2" t="inlineStr">
        <is>
          <t>I09</t>
        </is>
      </c>
    </row>
    <row r="19">
      <c r="A19" s="2" t="inlineStr">
        <is>
          <t>D02</t>
        </is>
      </c>
      <c r="B19" s="2" t="inlineStr">
        <is>
          <t>A08</t>
        </is>
      </c>
      <c r="C19" s="2" t="inlineStr">
        <is>
          <t>Vendor Governance</t>
        </is>
      </c>
      <c r="D19" s="2" t="inlineStr">
        <is>
          <t>Top 3 systems</t>
        </is>
      </c>
      <c r="E19" s="2" t="inlineStr">
        <is>
          <t>Due diligence</t>
        </is>
      </c>
      <c r="F19" s="2" t="inlineStr">
        <is>
          <t>I10</t>
        </is>
      </c>
    </row>
    <row r="20">
      <c r="A20" s="2" t="inlineStr">
        <is>
          <t>D02</t>
        </is>
      </c>
      <c r="B20" s="2" t="inlineStr">
        <is>
          <t>A09</t>
        </is>
      </c>
      <c r="C20" s="2" t="inlineStr">
        <is>
          <t>Governance Testing</t>
        </is>
      </c>
      <c r="D20" s="2" t="inlineStr">
        <is>
          <t>Single + evidence</t>
        </is>
      </c>
      <c r="E20" s="2" t="inlineStr">
        <is>
          <t>Effectiveness</t>
        </is>
      </c>
      <c r="F20" s="2" t="inlineStr">
        <is>
          <t>I14</t>
        </is>
      </c>
    </row>
    <row r="21">
      <c r="A21" s="2" t="inlineStr">
        <is>
          <t>D02</t>
        </is>
      </c>
      <c r="B21" s="2" t="inlineStr">
        <is>
          <t>A10</t>
        </is>
      </c>
      <c r="C21" s="2" t="inlineStr">
        <is>
          <t>Evidence</t>
        </is>
      </c>
      <c r="D21" s="2" t="inlineStr">
        <is>
          <t>2–4 items</t>
        </is>
      </c>
      <c r="E21" s="2" t="inlineStr">
        <is>
          <t>Evidence confidence</t>
        </is>
      </c>
      <c r="F21" s="2" t="inlineStr">
        <is>
          <t>All</t>
        </is>
      </c>
    </row>
    <row r="22">
      <c r="A22" s="2" t="inlineStr">
        <is>
          <t>D03</t>
        </is>
      </c>
      <c r="B22" s="2" t="inlineStr">
        <is>
          <t>A01</t>
        </is>
      </c>
      <c r="C22" s="2" t="inlineStr">
        <is>
          <t>Graduate Capability Architecture</t>
        </is>
      </c>
      <c r="D22" s="2" t="inlineStr">
        <is>
          <t>Multi-select</t>
        </is>
      </c>
      <c r="E22" s="2" t="inlineStr">
        <is>
          <t>What institution claims to develop</t>
        </is>
      </c>
      <c r="F22" s="2" t="inlineStr">
        <is>
          <t>I01</t>
        </is>
      </c>
    </row>
    <row r="23">
      <c r="A23" s="2" t="inlineStr">
        <is>
          <t>D03</t>
        </is>
      </c>
      <c r="B23" s="2" t="inlineStr">
        <is>
          <t>A02</t>
        </is>
      </c>
      <c r="C23" s="2" t="inlineStr">
        <is>
          <t>Capability Development Map</t>
        </is>
      </c>
      <c r="D23" s="2" t="inlineStr">
        <is>
          <t>Matrix</t>
        </is>
      </c>
      <c r="E23" s="2" t="inlineStr">
        <is>
          <t>Intended→developed→demonstrated→assessed</t>
        </is>
      </c>
      <c r="F23" s="2" t="inlineStr">
        <is>
          <t>I01-I17</t>
        </is>
      </c>
    </row>
    <row r="24">
      <c r="A24" s="2" t="inlineStr">
        <is>
          <t>D03</t>
        </is>
      </c>
      <c r="B24" s="2" t="inlineStr">
        <is>
          <t>A03</t>
        </is>
      </c>
      <c r="C24" s="2" t="inlineStr">
        <is>
          <t>Demonstration Evidence</t>
        </is>
      </c>
      <c r="D24" s="2" t="inlineStr">
        <is>
          <t>3–5 samples</t>
        </is>
      </c>
      <c r="E24" s="2" t="inlineStr">
        <is>
          <t>Actual student capability</t>
        </is>
      </c>
      <c r="F24" s="2" t="inlineStr">
        <is>
          <t>I02/I04/I07/I15/I16</t>
        </is>
      </c>
    </row>
    <row r="25">
      <c r="A25" s="2" t="inlineStr">
        <is>
          <t>D03</t>
        </is>
      </c>
      <c r="B25" s="2" t="inlineStr">
        <is>
          <t>A04</t>
        </is>
      </c>
      <c r="C25" s="2" t="inlineStr">
        <is>
          <t>Assessment Architecture</t>
        </is>
      </c>
      <c r="D25" s="2" t="inlineStr">
        <is>
          <t>Matrix</t>
        </is>
      </c>
      <c r="E25" s="2" t="inlineStr">
        <is>
          <t>How capability is proven</t>
        </is>
      </c>
      <c r="F25" s="2" t="inlineStr">
        <is>
          <t>I02/I04/I07</t>
        </is>
      </c>
    </row>
    <row r="26">
      <c r="A26" s="2" t="inlineStr">
        <is>
          <t>D03</t>
        </is>
      </c>
      <c r="B26" s="2" t="inlineStr">
        <is>
          <t>A05</t>
        </is>
      </c>
      <c r="C26" s="2" t="inlineStr">
        <is>
          <t>AI Verification</t>
        </is>
      </c>
      <c r="D26" s="2" t="inlineStr">
        <is>
          <t>Structured + evidence</t>
        </is>
      </c>
      <c r="E26" s="2" t="inlineStr">
        <is>
          <t>Verification/challenge of AI</t>
        </is>
      </c>
      <c r="F26" s="2" t="inlineStr">
        <is>
          <t>I08</t>
        </is>
      </c>
    </row>
    <row r="27">
      <c r="A27" s="2" t="inlineStr">
        <is>
          <t>D03</t>
        </is>
      </c>
      <c r="B27" s="2" t="inlineStr">
        <is>
          <t>A06</t>
        </is>
      </c>
      <c r="C27" s="2" t="inlineStr">
        <is>
          <t>Problem Formulation &amp; Transfer</t>
        </is>
      </c>
      <c r="D27" s="2" t="inlineStr">
        <is>
          <t>Frequency + evidence</t>
        </is>
      </c>
      <c r="E27" s="2" t="inlineStr">
        <is>
          <t>Unfamiliar/ambiguous work</t>
        </is>
      </c>
      <c r="F27" s="2" t="inlineStr">
        <is>
          <t>I05/I16</t>
        </is>
      </c>
    </row>
    <row r="28">
      <c r="A28" s="2" t="inlineStr">
        <is>
          <t>D03</t>
        </is>
      </c>
      <c r="B28" s="2" t="inlineStr">
        <is>
          <t>A07</t>
        </is>
      </c>
      <c r="C28" s="2" t="inlineStr">
        <is>
          <t>Capability Outcomes</t>
        </is>
      </c>
      <c r="D28" s="2" t="inlineStr">
        <is>
          <t>Numbers if available</t>
        </is>
      </c>
      <c r="E28" s="2" t="inlineStr">
        <is>
          <t>Attainment</t>
        </is>
      </c>
      <c r="F28" s="2" t="inlineStr">
        <is>
          <t>I07/I16</t>
        </is>
      </c>
    </row>
    <row r="29">
      <c r="A29" s="2" t="inlineStr">
        <is>
          <t>D03</t>
        </is>
      </c>
      <c r="B29" s="2" t="inlineStr">
        <is>
          <t>A08</t>
        </is>
      </c>
      <c r="C29" s="2" t="inlineStr">
        <is>
          <t>Non-Technical Pathway</t>
        </is>
      </c>
      <c r="D29" s="2" t="inlineStr">
        <is>
          <t>Discipline matrix + sample</t>
        </is>
      </c>
      <c r="E29" s="2" t="inlineStr">
        <is>
          <t>History/geography/etc.</t>
        </is>
      </c>
      <c r="F29" s="2" t="inlineStr">
        <is>
          <t>I17</t>
        </is>
      </c>
    </row>
    <row r="30">
      <c r="A30" s="2" t="inlineStr">
        <is>
          <t>D03</t>
        </is>
      </c>
      <c r="B30" s="2" t="inlineStr">
        <is>
          <t>A09</t>
        </is>
      </c>
      <c r="C30" s="2" t="inlineStr">
        <is>
          <t>Student Reality Sample</t>
        </is>
      </c>
      <c r="D30" s="2" t="inlineStr">
        <is>
          <t>Optional full assessment</t>
        </is>
      </c>
      <c r="E30" s="2" t="inlineStr">
        <is>
          <t>Reality validation</t>
        </is>
      </c>
      <c r="F30" s="2" t="inlineStr">
        <is>
          <t>All</t>
        </is>
      </c>
    </row>
    <row r="31">
      <c r="A31" s="2" t="inlineStr">
        <is>
          <t>D03</t>
        </is>
      </c>
      <c r="B31" s="2" t="inlineStr">
        <is>
          <t>A10</t>
        </is>
      </c>
      <c r="C31" s="2" t="inlineStr">
        <is>
          <t>Leadership Challenge</t>
        </is>
      </c>
      <c r="D31" s="2" t="inlineStr">
        <is>
          <t>Top 3 + rationale</t>
        </is>
      </c>
      <c r="E31" s="2" t="inlineStr">
        <is>
          <t>Institutional self-awareness</t>
        </is>
      </c>
      <c r="F31" s="2" t="inlineStr">
        <is>
          <t>I15/I16</t>
        </is>
      </c>
    </row>
    <row r="32">
      <c r="A32" s="2" t="inlineStr">
        <is>
          <t>D03</t>
        </is>
      </c>
      <c r="B32" s="2" t="inlineStr">
        <is>
          <t>A11</t>
        </is>
      </c>
      <c r="C32" s="2" t="inlineStr">
        <is>
          <t>Evidence</t>
        </is>
      </c>
      <c r="D32" s="2" t="inlineStr">
        <is>
          <t>2–5 items</t>
        </is>
      </c>
      <c r="E32" s="2" t="inlineStr">
        <is>
          <t>Evidence confidence</t>
        </is>
      </c>
      <c r="F32" s="2" t="inlineStr">
        <is>
          <t>All</t>
        </is>
      </c>
    </row>
    <row r="33">
      <c r="A33" s="2" t="inlineStr">
        <is>
          <t>D04</t>
        </is>
      </c>
      <c r="B33" s="2" t="inlineStr">
        <is>
          <t>A01</t>
        </is>
      </c>
      <c r="C33" s="2" t="inlineStr">
        <is>
          <t>Programme Change Trigger</t>
        </is>
      </c>
      <c r="D33" s="2" t="inlineStr">
        <is>
          <t>Multi-select + 2 programme examples</t>
        </is>
      </c>
      <c r="E33" s="2" t="inlineStr">
        <is>
          <t>Show what actually triggers curriculum/programme change.</t>
        </is>
      </c>
      <c r="F33" s="2" t="inlineStr">
        <is>
          <t>I01/I03/I05</t>
        </is>
      </c>
    </row>
    <row r="34">
      <c r="A34" s="2" t="inlineStr">
        <is>
          <t>D04</t>
        </is>
      </c>
      <c r="B34" s="2" t="inlineStr">
        <is>
          <t>A02</t>
        </is>
      </c>
      <c r="C34" s="2" t="inlineStr">
        <is>
          <t>Future Graduate Outcome Map</t>
        </is>
      </c>
      <c r="D34" s="2" t="inlineStr">
        <is>
          <t>Matrix</t>
        </is>
      </c>
      <c r="E34" s="2" t="inlineStr">
        <is>
          <t>Map selected future capabilities to intended/developed/demonstrated/assessed locations.</t>
        </is>
      </c>
      <c r="F34" s="2" t="inlineStr">
        <is>
          <t>I02/I04/I11</t>
        </is>
      </c>
    </row>
    <row r="35">
      <c r="A35" s="2" t="inlineStr">
        <is>
          <t>D04</t>
        </is>
      </c>
      <c r="B35" s="2" t="inlineStr">
        <is>
          <t>A03</t>
        </is>
      </c>
      <c r="C35" s="2" t="inlineStr">
        <is>
          <t>Programme Obsolescence Scenario</t>
        </is>
      </c>
      <c r="D35" s="2" t="inlineStr">
        <is>
          <t>Scenario + decision path</t>
        </is>
      </c>
      <c r="E35" s="2" t="inlineStr">
        <is>
          <t>Test what happens when a core task/content area becomes less valuable due to AI.</t>
        </is>
      </c>
      <c r="F35" s="2" t="inlineStr">
        <is>
          <t>I05/I08/I12</t>
        </is>
      </c>
    </row>
    <row r="36">
      <c r="A36" s="2" t="inlineStr">
        <is>
          <t>D04</t>
        </is>
      </c>
      <c r="B36" s="2" t="inlineStr">
        <is>
          <t>A04</t>
        </is>
      </c>
      <c r="C36" s="2" t="inlineStr">
        <is>
          <t>Agility &amp; External Validation</t>
        </is>
      </c>
      <c r="D36" s="2" t="inlineStr">
        <is>
          <t>Process + evidence</t>
        </is>
      </c>
      <c r="E36" s="2" t="inlineStr">
        <is>
          <t>Assess review cycle, approval speed and external input.</t>
        </is>
      </c>
      <c r="F36" s="2" t="inlineStr">
        <is>
          <t>I07/I08/I09</t>
        </is>
      </c>
    </row>
    <row r="37">
      <c r="A37" s="2" t="inlineStr">
        <is>
          <t>D04</t>
        </is>
      </c>
      <c r="B37" s="2" t="inlineStr">
        <is>
          <t>A05</t>
        </is>
      </c>
      <c r="C37" s="2" t="inlineStr">
        <is>
          <t>Programme Reality Sample</t>
        </is>
      </c>
      <c r="D37" s="2" t="inlineStr">
        <is>
          <t>3–5 programme records</t>
        </is>
      </c>
      <c r="E37" s="2" t="inlineStr">
        <is>
          <t>Inspect representative programmes for actual implementation and transfer.</t>
        </is>
      </c>
      <c r="F37" s="2" t="inlineStr">
        <is>
          <t>I03/I04/I06/I10/I11</t>
        </is>
      </c>
    </row>
    <row r="38">
      <c r="A38" s="2" t="inlineStr">
        <is>
          <t>D05</t>
        </is>
      </c>
      <c r="B38" s="2" t="inlineStr">
        <is>
          <t>A01</t>
        </is>
      </c>
      <c r="C38" s="2" t="inlineStr">
        <is>
          <t>Faculty Practice Reality</t>
        </is>
      </c>
      <c r="D38" s="2" t="inlineStr">
        <is>
          <t>Multi-select + samples</t>
        </is>
      </c>
      <c r="E38" s="2" t="inlineStr">
        <is>
          <t>Capture where faculty actually use AI and for what academic purpose.</t>
        </is>
      </c>
      <c r="F38" s="2" t="inlineStr">
        <is>
          <t>I01/I02/I03</t>
        </is>
      </c>
    </row>
    <row r="39">
      <c r="A39" s="2" t="inlineStr">
        <is>
          <t>D05</t>
        </is>
      </c>
      <c r="B39" s="2" t="inlineStr">
        <is>
          <t>A02</t>
        </is>
      </c>
      <c r="C39" s="2" t="inlineStr">
        <is>
          <t>Training-to-Practice Conversion</t>
        </is>
      </c>
      <c r="D39" s="2" t="inlineStr">
        <is>
          <t>Numbers + examples</t>
        </is>
      </c>
      <c r="E39" s="2" t="inlineStr">
        <is>
          <t>Measure whether faculty development changes practice rather than attendance only.</t>
        </is>
      </c>
      <c r="F39" s="2" t="inlineStr">
        <is>
          <t>I05/I06/I12</t>
        </is>
      </c>
    </row>
    <row r="40">
      <c r="A40" s="2" t="inlineStr">
        <is>
          <t>D05</t>
        </is>
      </c>
      <c r="B40" s="2" t="inlineStr">
        <is>
          <t>A03</t>
        </is>
      </c>
      <c r="C40" s="2" t="inlineStr">
        <is>
          <t>Teaching Redesign Scenario</t>
        </is>
      </c>
      <c r="D40" s="2" t="inlineStr">
        <is>
          <t>Scenario + artefact</t>
        </is>
      </c>
      <c r="E40" s="2" t="inlineStr">
        <is>
          <t>Test faculty response when AI can perform a taught task.</t>
        </is>
      </c>
      <c r="F40" s="2" t="inlineStr">
        <is>
          <t>I03/I04/I08</t>
        </is>
      </c>
    </row>
    <row r="41">
      <c r="A41" s="2" t="inlineStr">
        <is>
          <t>D05</t>
        </is>
      </c>
      <c r="B41" s="2" t="inlineStr">
        <is>
          <t>A04</t>
        </is>
      </c>
      <c r="C41" s="2" t="inlineStr">
        <is>
          <t>Academic Workforce Change</t>
        </is>
      </c>
      <c r="D41" s="2" t="inlineStr">
        <is>
          <t>Structured + evidence</t>
        </is>
      </c>
      <c r="E41" s="2" t="inlineStr">
        <is>
          <t>Assess role/workflow changes, support and leadership response.</t>
        </is>
      </c>
      <c r="F41" s="2" t="inlineStr">
        <is>
          <t>I08/I09/I10/I11</t>
        </is>
      </c>
    </row>
    <row r="42">
      <c r="A42" s="2" t="inlineStr">
        <is>
          <t>D05</t>
        </is>
      </c>
      <c r="B42" s="2" t="inlineStr">
        <is>
          <t>A05</t>
        </is>
      </c>
      <c r="C42" s="2" t="inlineStr">
        <is>
          <t>Faculty Capability Sample</t>
        </is>
      </c>
      <c r="D42" s="2" t="inlineStr">
        <is>
          <t>Representative sample + evidence</t>
        </is>
      </c>
      <c r="E42" s="2" t="inlineStr">
        <is>
          <t>Triangulate claims through teaching/research artefacts and support mechanisms.</t>
        </is>
      </c>
      <c r="F42" s="2" t="inlineStr">
        <is>
          <t>I01/I02/I07/I12</t>
        </is>
      </c>
    </row>
    <row r="43">
      <c r="A43" s="2" t="inlineStr">
        <is>
          <t>D06</t>
        </is>
      </c>
      <c r="B43" s="2" t="inlineStr">
        <is>
          <t>A01</t>
        </is>
      </c>
      <c r="C43" s="2" t="inlineStr">
        <is>
          <t>Student AI Capability Reality</t>
        </is>
      </c>
      <c r="D43" s="2" t="inlineStr">
        <is>
          <t>Multi-select + sample</t>
        </is>
      </c>
      <c r="E43" s="2" t="inlineStr">
        <is>
          <t>Identify what students can actually do with AI, not merely whether they use it.</t>
        </is>
      </c>
      <c r="F43" s="2" t="inlineStr">
        <is>
          <t>I01/I02/I03</t>
        </is>
      </c>
    </row>
    <row r="44">
      <c r="A44" s="2" t="inlineStr">
        <is>
          <t>D06</t>
        </is>
      </c>
      <c r="B44" s="2" t="inlineStr">
        <is>
          <t>A02</t>
        </is>
      </c>
      <c r="C44" s="2" t="inlineStr">
        <is>
          <t>Agency &amp; Intellectual Independence</t>
        </is>
      </c>
      <c r="D44" s="2" t="inlineStr">
        <is>
          <t>Scenario + work sample</t>
        </is>
      </c>
      <c r="E44" s="2" t="inlineStr">
        <is>
          <t>Test whether students retain responsibility for questions, reasoning and decisions.</t>
        </is>
      </c>
      <c r="F44" s="2" t="inlineStr">
        <is>
          <t>I03/I04/I05</t>
        </is>
      </c>
    </row>
    <row r="45">
      <c r="A45" s="2" t="inlineStr">
        <is>
          <t>D06</t>
        </is>
      </c>
      <c r="B45" s="2" t="inlineStr">
        <is>
          <t>A03</t>
        </is>
      </c>
      <c r="C45" s="2" t="inlineStr">
        <is>
          <t>Transfer &amp; Practical Capability</t>
        </is>
      </c>
      <c r="D45" s="2" t="inlineStr">
        <is>
          <t>Project/experience sample</t>
        </is>
      </c>
      <c r="E45" s="2" t="inlineStr">
        <is>
          <t>Assess application to unfamiliar/real-world situations.</t>
        </is>
      </c>
      <c r="F45" s="2" t="inlineStr">
        <is>
          <t>I07/I10</t>
        </is>
      </c>
    </row>
    <row r="46">
      <c r="A46" s="2" t="inlineStr">
        <is>
          <t>D06</t>
        </is>
      </c>
      <c r="B46" s="2" t="inlineStr">
        <is>
          <t>A04</t>
        </is>
      </c>
      <c r="C46" s="2" t="inlineStr">
        <is>
          <t>Future Transition Readiness</t>
        </is>
      </c>
      <c r="D46" s="2" t="inlineStr">
        <is>
          <t>Structured + student evidence</t>
        </is>
      </c>
      <c r="E46" s="2" t="inlineStr">
        <is>
          <t>Assess career adaptability, portfolios, employer exposure and creator capability.</t>
        </is>
      </c>
      <c r="F46" s="2" t="inlineStr">
        <is>
          <t>I08/I09/I11</t>
        </is>
      </c>
    </row>
    <row r="47">
      <c r="A47" s="2" t="inlineStr">
        <is>
          <t>D06</t>
        </is>
      </c>
      <c r="B47" s="2" t="inlineStr">
        <is>
          <t>A05</t>
        </is>
      </c>
      <c r="C47" s="2" t="inlineStr">
        <is>
          <t>Equity &amp; Student Voice</t>
        </is>
      </c>
      <c r="D47" s="2" t="inlineStr">
        <is>
          <t>Data + action evidence</t>
        </is>
      </c>
      <c r="E47" s="2" t="inlineStr">
        <is>
          <t>Assess unequal access and whether student feedback changes institutional action.</t>
        </is>
      </c>
      <c r="F47" s="2" t="inlineStr">
        <is>
          <t>I13/I14</t>
        </is>
      </c>
    </row>
    <row r="48">
      <c r="A48" s="2" t="inlineStr">
        <is>
          <t>D07</t>
        </is>
      </c>
      <c r="B48" s="2" t="inlineStr">
        <is>
          <t>D07.1</t>
        </is>
      </c>
      <c r="C48" s="2" t="inlineStr">
        <is>
          <t>Assessment Reality Test</t>
        </is>
      </c>
      <c r="D48" s="2" t="inlineStr">
        <is>
          <t>Structured assessment card</t>
        </is>
      </c>
      <c r="E48" s="2" t="inlineStr">
        <is>
          <t>Across representative programmes, what do students actually have to demonstrate to complete major assessments?</t>
        </is>
      </c>
      <c r="F48" s="2" t="inlineStr">
        <is>
          <t>I01/I02/I03</t>
        </is>
      </c>
    </row>
    <row r="49">
      <c r="A49" s="2" t="inlineStr">
        <is>
          <t>D07</t>
        </is>
      </c>
      <c r="B49" s="2" t="inlineStr">
        <is>
          <t>D07.2</t>
        </is>
      </c>
      <c r="C49" s="2" t="inlineStr">
        <is>
          <t>AI Substitution Test</t>
        </is>
      </c>
      <c r="D49" s="2" t="inlineStr">
        <is>
          <t>Structured assessment card</t>
        </is>
      </c>
      <c r="E49" s="2" t="inlineStr">
        <is>
          <t>If generative AI could produce a plausible answer to a major assessment today, what would still make the assessment academically meaningful?</t>
        </is>
      </c>
      <c r="F49" s="2" t="inlineStr">
        <is>
          <t>I04/I05</t>
        </is>
      </c>
    </row>
    <row r="50">
      <c r="A50" s="2" t="inlineStr">
        <is>
          <t>D07</t>
        </is>
      </c>
      <c r="B50" s="2" t="inlineStr">
        <is>
          <t>D07.3</t>
        </is>
      </c>
      <c r="C50" s="2" t="inlineStr">
        <is>
          <t>Capability Proof Test</t>
        </is>
      </c>
      <c r="D50" s="2" t="inlineStr">
        <is>
          <t>Structured assessment card</t>
        </is>
      </c>
      <c r="E50" s="2" t="inlineStr">
        <is>
          <t>How does the institution know that students possess the capabilities its programmes say they develop?</t>
        </is>
      </c>
      <c r="F50" s="2" t="inlineStr">
        <is>
          <t>I07/I08</t>
        </is>
      </c>
    </row>
    <row r="51">
      <c r="A51" s="2" t="inlineStr">
        <is>
          <t>D07</t>
        </is>
      </c>
      <c r="B51" s="2" t="inlineStr">
        <is>
          <t>D07.4</t>
        </is>
      </c>
      <c r="C51" s="2" t="inlineStr">
        <is>
          <t>Unfamiliar Problem Test</t>
        </is>
      </c>
      <c r="D51" s="2" t="inlineStr">
        <is>
          <t>Structured assessment card</t>
        </is>
      </c>
      <c r="E51" s="2" t="inlineStr">
        <is>
          <t>How often are students asked to solve unfamiliar or ambiguous problems where there is no prepared model answer?</t>
        </is>
      </c>
      <c r="F51" s="2" t="inlineStr">
        <is>
          <t>I03/I02</t>
        </is>
      </c>
    </row>
    <row r="52">
      <c r="A52" s="2" t="inlineStr">
        <is>
          <t>D07</t>
        </is>
      </c>
      <c r="B52" s="2" t="inlineStr">
        <is>
          <t>D07.5</t>
        </is>
      </c>
      <c r="C52" s="2" t="inlineStr">
        <is>
          <t>Assessment Learning Loop</t>
        </is>
      </c>
      <c r="D52" s="2" t="inlineStr">
        <is>
          <t>Structured assessment card</t>
        </is>
      </c>
      <c r="E52" s="2" t="inlineStr">
        <is>
          <t>When assessment evidence shows students are weak in an important capability, what normally happens?</t>
        </is>
      </c>
      <c r="F52" s="2" t="inlineStr">
        <is>
          <t>I06/I09/I11</t>
        </is>
      </c>
    </row>
    <row r="53">
      <c r="A53" s="2" t="inlineStr">
        <is>
          <t>D08</t>
        </is>
      </c>
      <c r="B53" s="2" t="inlineStr">
        <is>
          <t>D08.1</t>
        </is>
      </c>
      <c r="C53" s="2" t="inlineStr">
        <is>
          <t>Data Reality Test</t>
        </is>
      </c>
      <c r="D53" s="2" t="inlineStr">
        <is>
          <t>Structured assessment card</t>
        </is>
      </c>
      <c r="E53" s="2" t="inlineStr">
        <is>
          <t>If leadership needs a reliable answer about students, programmes, faculty, placements or research today, how quickly can the institution produce it?</t>
        </is>
      </c>
      <c r="F53" s="2" t="inlineStr">
        <is>
          <t>I02/I05/I12</t>
        </is>
      </c>
    </row>
    <row r="54">
      <c r="A54" s="2" t="inlineStr">
        <is>
          <t>D08</t>
        </is>
      </c>
      <c r="B54" s="2" t="inlineStr">
        <is>
          <t>D08.2</t>
        </is>
      </c>
      <c r="C54" s="2" t="inlineStr">
        <is>
          <t>Data Journey Test</t>
        </is>
      </c>
      <c r="D54" s="2" t="inlineStr">
        <is>
          <t>Structured assessment card</t>
        </is>
      </c>
      <c r="E54" s="2" t="inlineStr">
        <is>
          <t>What normally happens to an important institutional data point from its creation to its use in a decision?</t>
        </is>
      </c>
      <c r="F54" s="2" t="inlineStr">
        <is>
          <t>I02/I03/I04</t>
        </is>
      </c>
    </row>
    <row r="55">
      <c r="A55" s="2" t="inlineStr">
        <is>
          <t>D08</t>
        </is>
      </c>
      <c r="B55" s="2" t="inlineStr">
        <is>
          <t>D08.3</t>
        </is>
      </c>
      <c r="C55" s="2" t="inlineStr">
        <is>
          <t>AI Infrastructure Test</t>
        </is>
      </c>
      <c r="D55" s="2" t="inlineStr">
        <is>
          <t>Structured assessment card</t>
        </is>
      </c>
      <c r="E55" s="2" t="inlineStr">
        <is>
          <t>Which institutional capabilities are currently sufficient to support responsible AI-enabled academic or administrative use?</t>
        </is>
      </c>
      <c r="F55" s="2" t="inlineStr">
        <is>
          <t>I01/I06/I07/I08/I09</t>
        </is>
      </c>
    </row>
    <row r="56">
      <c r="A56" s="2" t="inlineStr">
        <is>
          <t>D08</t>
        </is>
      </c>
      <c r="B56" s="2" t="inlineStr">
        <is>
          <t>D08.4</t>
        </is>
      </c>
      <c r="C56" s="2" t="inlineStr">
        <is>
          <t>Decision Intelligence Test</t>
        </is>
      </c>
      <c r="D56" s="2" t="inlineStr">
        <is>
          <t>Structured assessment card</t>
        </is>
      </c>
      <c r="E56" s="2" t="inlineStr">
        <is>
          <t>Give one recent leadership decision where institutional data or analytics materially changed the decision.</t>
        </is>
      </c>
      <c r="F56" s="2" t="inlineStr">
        <is>
          <t>I05/I12</t>
        </is>
      </c>
    </row>
    <row r="57">
      <c r="A57" s="2" t="inlineStr">
        <is>
          <t>D09</t>
        </is>
      </c>
      <c r="B57" s="2" t="inlineStr">
        <is>
          <t>D09.1</t>
        </is>
      </c>
      <c r="C57" s="2" t="inlineStr">
        <is>
          <t>Employer Signal Test</t>
        </is>
      </c>
      <c r="D57" s="2" t="inlineStr">
        <is>
          <t>Structured assessment card</t>
        </is>
      </c>
      <c r="E57" s="2" t="inlineStr">
        <is>
          <t>How does the institution identify what employers and professional sectors will expect from graduates over the next 3–5 years?</t>
        </is>
      </c>
      <c r="F57" s="2" t="inlineStr">
        <is>
          <t>I01</t>
        </is>
      </c>
    </row>
    <row r="58">
      <c r="A58" s="2" t="inlineStr">
        <is>
          <t>D09</t>
        </is>
      </c>
      <c r="B58" s="2" t="inlineStr">
        <is>
          <t>D09.2</t>
        </is>
      </c>
      <c r="C58" s="2" t="inlineStr">
        <is>
          <t>Capability-to-Career Test</t>
        </is>
      </c>
      <c r="D58" s="2" t="inlineStr">
        <is>
          <t>Structured assessment card</t>
        </is>
      </c>
      <c r="E58" s="2" t="inlineStr">
        <is>
          <t>For a representative programme, how clearly can the institution connect intended graduate capabilities to actual occupational or professional requirements?</t>
        </is>
      </c>
      <c r="F58" s="2" t="inlineStr">
        <is>
          <t>I02/I03/I08</t>
        </is>
      </c>
    </row>
    <row r="59">
      <c r="A59" s="2" t="inlineStr">
        <is>
          <t>D09</t>
        </is>
      </c>
      <c r="B59" s="2" t="inlineStr">
        <is>
          <t>D09.3</t>
        </is>
      </c>
      <c r="C59" s="2" t="inlineStr">
        <is>
          <t>AI Work Redesign Test</t>
        </is>
      </c>
      <c r="D59" s="2" t="inlineStr">
        <is>
          <t>Structured assessment card</t>
        </is>
      </c>
      <c r="E59" s="2" t="inlineStr">
        <is>
          <t>Where AI is changing entry-level work in a major sector relevant to the institution, what has the institution changed for students?</t>
        </is>
      </c>
      <c r="F59" s="2" t="inlineStr">
        <is>
          <t>I03/I04/I07/I10</t>
        </is>
      </c>
    </row>
    <row r="60">
      <c r="A60" s="2" t="inlineStr">
        <is>
          <t>D09</t>
        </is>
      </c>
      <c r="B60" s="2" t="inlineStr">
        <is>
          <t>D09.4</t>
        </is>
      </c>
      <c r="C60" s="2" t="inlineStr">
        <is>
          <t>Recruiter Confidence Test</t>
        </is>
      </c>
      <c r="D60" s="2" t="inlineStr">
        <is>
          <t>Structured assessment card</t>
        </is>
      </c>
      <c r="E60" s="2" t="inlineStr">
        <is>
          <t>What evidence does the institution use to determine whether recruiters trust the capabilities of its graduates?</t>
        </is>
      </c>
      <c r="F60" s="2" t="inlineStr">
        <is>
          <t>I05/I06/I12</t>
        </is>
      </c>
    </row>
    <row r="61">
      <c r="A61" s="2" t="inlineStr">
        <is>
          <t>D10</t>
        </is>
      </c>
      <c r="B61" s="2" t="inlineStr">
        <is>
          <t>D10.1</t>
        </is>
      </c>
      <c r="C61" s="2" t="inlineStr">
        <is>
          <t>Research Direction Test</t>
        </is>
      </c>
      <c r="D61" s="2" t="inlineStr">
        <is>
          <t>Structured assessment card</t>
        </is>
      </c>
      <c r="E61" s="2" t="inlineStr">
        <is>
          <t>What research questions or themes does the institution believe will matter most to its disciplines, region or society over the next 5–10 years?</t>
        </is>
      </c>
      <c r="F61" s="2" t="inlineStr">
        <is>
          <t>I01/I02</t>
        </is>
      </c>
    </row>
    <row r="62">
      <c r="A62" s="2" t="inlineStr">
        <is>
          <t>D10</t>
        </is>
      </c>
      <c r="B62" s="2" t="inlineStr">
        <is>
          <t>D10.2</t>
        </is>
      </c>
      <c r="C62" s="2" t="inlineStr">
        <is>
          <t>Research-to-Value Test</t>
        </is>
      </c>
      <c r="D62" s="2" t="inlineStr">
        <is>
          <t>Structured assessment card</t>
        </is>
      </c>
      <c r="E62" s="2" t="inlineStr">
        <is>
          <t>Take one significant research activity. What happened after the research generated a meaningful finding?</t>
        </is>
      </c>
      <c r="F62" s="2" t="inlineStr">
        <is>
          <t>I08/I10/I13</t>
        </is>
      </c>
    </row>
    <row r="63">
      <c r="A63" s="2" t="inlineStr">
        <is>
          <t>D10</t>
        </is>
      </c>
      <c r="B63" s="2" t="inlineStr">
        <is>
          <t>D10.3</t>
        </is>
      </c>
      <c r="C63" s="2" t="inlineStr">
        <is>
          <t>Interdisciplinary Collision Test</t>
        </is>
      </c>
      <c r="D63" s="2" t="inlineStr">
        <is>
          <t>Structured assessment card</t>
        </is>
      </c>
      <c r="E63" s="2" t="inlineStr">
        <is>
          <t>When a major problem crosses disciplinary boundaries, how does the institution bring the required expertise together?</t>
        </is>
      </c>
      <c r="F63" s="2" t="inlineStr">
        <is>
          <t>I03</t>
        </is>
      </c>
    </row>
    <row r="64">
      <c r="A64" s="2" t="inlineStr">
        <is>
          <t>D10</t>
        </is>
      </c>
      <c r="B64" s="2" t="inlineStr">
        <is>
          <t>D10.4</t>
        </is>
      </c>
      <c r="C64" s="2" t="inlineStr">
        <is>
          <t>AI Research Judgement Test</t>
        </is>
      </c>
      <c r="D64" s="2" t="inlineStr">
        <is>
          <t>Structured assessment card</t>
        </is>
      </c>
      <c r="E64" s="2" t="inlineStr">
        <is>
          <t>Where AI is used in research, how does the institution protect research quality, provenance, integrity and human judgement?</t>
        </is>
      </c>
      <c r="F64" s="2" t="inlineStr">
        <is>
          <t>I04/I12</t>
        </is>
      </c>
    </row>
    <row r="65">
      <c r="A65" s="2" t="inlineStr">
        <is>
          <t>D10</t>
        </is>
      </c>
      <c r="B65" s="2" t="inlineStr">
        <is>
          <t>D10.5</t>
        </is>
      </c>
      <c r="C65" s="2" t="inlineStr">
        <is>
          <t>Student Creator Test</t>
        </is>
      </c>
      <c r="D65" s="2" t="inlineStr">
        <is>
          <t>Structured assessment card</t>
        </is>
      </c>
      <c r="E65" s="2" t="inlineStr">
        <is>
          <t>How are students enabled to move from consuming existing knowledge to creating new knowledge, prototypes, evidence or solutions?</t>
        </is>
      </c>
      <c r="F65" s="2" t="inlineStr">
        <is>
          <t>I14</t>
        </is>
      </c>
    </row>
    <row r="66">
      <c r="A66" s="2" t="inlineStr">
        <is>
          <t>D11</t>
        </is>
      </c>
      <c r="B66" s="2" t="inlineStr">
        <is>
          <t>D11.1</t>
        </is>
      </c>
      <c r="C66" s="2" t="inlineStr">
        <is>
          <t>Change-to-Action Test</t>
        </is>
      </c>
      <c r="D66" s="2" t="inlineStr">
        <is>
          <t>Structured assessment card</t>
        </is>
      </c>
      <c r="E66" s="2" t="inlineStr">
        <is>
          <t>When a development could materially affect the institution, what normally happens between first awareness and an institutional response?</t>
        </is>
      </c>
      <c r="F66" s="2" t="inlineStr">
        <is>
          <t>I01/I02/I03</t>
        </is>
      </c>
    </row>
    <row r="67">
      <c r="A67" s="2" t="inlineStr">
        <is>
          <t>D11</t>
        </is>
      </c>
      <c r="B67" s="2" t="inlineStr">
        <is>
          <t>D11.2</t>
        </is>
      </c>
      <c r="C67" s="2" t="inlineStr">
        <is>
          <t>Resource Reallocation Test</t>
        </is>
      </c>
      <c r="D67" s="2" t="inlineStr">
        <is>
          <t>Structured assessment card</t>
        </is>
      </c>
      <c r="E67" s="2" t="inlineStr">
        <is>
          <t>If leadership decides that an emerging capability has become strategically important, how can resources actually be redirected?</t>
        </is>
      </c>
      <c r="F67" s="2" t="inlineStr">
        <is>
          <t>I04</t>
        </is>
      </c>
    </row>
    <row r="68">
      <c r="A68" s="2" t="inlineStr">
        <is>
          <t>D11</t>
        </is>
      </c>
      <c r="B68" s="2" t="inlineStr">
        <is>
          <t>D11.3</t>
        </is>
      </c>
      <c r="C68" s="2" t="inlineStr">
        <is>
          <t>Failure Learning Test</t>
        </is>
      </c>
      <c r="D68" s="2" t="inlineStr">
        <is>
          <t>Structured assessment card</t>
        </is>
      </c>
      <c r="E68" s="2" t="inlineStr">
        <is>
          <t>When an important institutional experiment does not work, what usually happens?</t>
        </is>
      </c>
      <c r="F68" s="2" t="inlineStr">
        <is>
          <t>I06/I13</t>
        </is>
      </c>
    </row>
    <row r="69">
      <c r="A69" s="2" t="inlineStr">
        <is>
          <t>D11</t>
        </is>
      </c>
      <c r="B69" s="2" t="inlineStr">
        <is>
          <t>D11.4</t>
        </is>
      </c>
      <c r="C69" s="2" t="inlineStr">
        <is>
          <t>Future Shock Test</t>
        </is>
      </c>
      <c r="D69" s="2" t="inlineStr">
        <is>
          <t>Structured assessment card</t>
        </is>
      </c>
      <c r="E69" s="2" t="inlineStr">
        <is>
          <t>Imagine that within five years AI materially changes 20–30% of entry-level tasks across several major sectors relevant to your institution. Which five institutional responses would leadership prioritise first?</t>
        </is>
      </c>
      <c r="F69" s="2" t="inlineStr">
        <is>
          <t>I02/I04/I07/I10/I14</t>
        </is>
      </c>
    </row>
    <row r="70">
      <c r="A70" s="2" t="inlineStr">
        <is>
          <t>D11</t>
        </is>
      </c>
      <c r="B70" s="2" t="inlineStr">
        <is>
          <t>D11.5</t>
        </is>
      </c>
      <c r="C70" s="2" t="inlineStr">
        <is>
          <t>Adaptation Reality Test</t>
        </is>
      </c>
      <c r="D70" s="2" t="inlineStr">
        <is>
          <t>Structured assessment card</t>
        </is>
      </c>
      <c r="E70" s="2" t="inlineStr">
        <is>
          <t>Which statement best describes the institution today?</t>
        </is>
      </c>
      <c r="F70" s="2" t="inlineStr">
        <is>
          <t>I12/I14</t>
        </is>
      </c>
    </row>
  </sheetData>
  <autoFilter ref="A1:F70"/>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G64"/>
  <sheetViews>
    <sheetView showGridLines="0" workbookViewId="0">
      <pane ySplit="1" topLeftCell="A2" activePane="bottomLeft" state="frozen"/>
      <selection pane="bottomLeft" activeCell="A1" sqref="A1"/>
    </sheetView>
  </sheetViews>
  <sheetFormatPr baseColWidth="8" defaultRowHeight="15"/>
  <cols>
    <col width="13.7109375" customWidth="1" min="1" max="7"/>
  </cols>
  <sheetData>
    <row r="1">
      <c r="A1" s="24" t="inlineStr">
        <is>
          <t>Domain</t>
        </is>
      </c>
      <c r="B1" s="24" t="inlineStr">
        <is>
          <t>ID</t>
        </is>
      </c>
      <c r="C1" s="24" t="inlineStr">
        <is>
          <t>Card</t>
        </is>
      </c>
      <c r="D1" s="24" t="inlineStr">
        <is>
          <t>Prompt</t>
        </is>
      </c>
      <c r="E1" s="24" t="inlineStr">
        <is>
          <t>Input Type</t>
        </is>
      </c>
      <c r="F1" s="24" t="inlineStr">
        <is>
          <t>Role</t>
        </is>
      </c>
      <c r="G1" s="24" t="inlineStr">
        <is>
          <t>Metric Link</t>
        </is>
      </c>
    </row>
    <row r="2">
      <c r="A2" s="2" t="inlineStr">
        <is>
          <t>D01</t>
        </is>
      </c>
      <c r="B2" s="2" t="inlineStr">
        <is>
          <t>Q01</t>
        </is>
      </c>
      <c r="C2" s="2" t="inlineStr">
        <is>
          <t>A01</t>
        </is>
      </c>
      <c r="D2" s="2" t="inlineStr">
        <is>
          <t>How is AI currently positioned in institutional decision-making?</t>
        </is>
      </c>
      <c r="E2" s="2" t="inlineStr">
        <is>
          <t>Single</t>
        </is>
      </c>
      <c r="F2" s="2" t="inlineStr">
        <is>
          <t>Diagnostic</t>
        </is>
      </c>
      <c r="G2" s="2" t="inlineStr">
        <is>
          <t>I01/I08</t>
        </is>
      </c>
    </row>
    <row r="3">
      <c r="A3" s="2" t="inlineStr">
        <is>
          <t>D01</t>
        </is>
      </c>
      <c r="B3" s="2" t="inlineStr">
        <is>
          <t>Q02</t>
        </is>
      </c>
      <c r="C3" s="2" t="inlineStr">
        <is>
          <t>A02</t>
        </is>
      </c>
      <c r="D3" s="2" t="inlineStr">
        <is>
          <t>Which institutional decisions have actually changed in the last 18 months because of AI or anticipated AI-driven changes?</t>
        </is>
      </c>
      <c r="E3" s="2" t="inlineStr">
        <is>
          <t>Multi-select + records</t>
        </is>
      </c>
      <c r="F3" s="2" t="inlineStr">
        <is>
          <t>Reality</t>
        </is>
      </c>
      <c r="G3" s="2" t="inlineStr">
        <is>
          <t>I01/I03</t>
        </is>
      </c>
    </row>
    <row r="4">
      <c r="A4" s="2" t="inlineStr">
        <is>
          <t>D01</t>
        </is>
      </c>
      <c r="B4" s="2" t="inlineStr">
        <is>
          <t>Q03</t>
        </is>
      </c>
      <c r="C4" s="2" t="inlineStr">
        <is>
          <t>A03</t>
        </is>
      </c>
      <c r="D4" s="2" t="inlineStr">
        <is>
          <t>Which assumptions underlying the current institutional model could be materially affected by AI in the next 3–5 years?</t>
        </is>
      </c>
      <c r="E4" s="2" t="inlineStr">
        <is>
          <t>Top 5</t>
        </is>
      </c>
      <c r="F4" s="2" t="inlineStr">
        <is>
          <t>Foresight</t>
        </is>
      </c>
      <c r="G4" s="2" t="inlineStr">
        <is>
          <t>I02</t>
        </is>
      </c>
    </row>
    <row r="5">
      <c r="A5" s="2" t="inlineStr">
        <is>
          <t>D01</t>
        </is>
      </c>
      <c r="B5" s="2" t="inlineStr">
        <is>
          <t>Q04</t>
        </is>
      </c>
      <c r="C5" s="2" t="inlineStr">
        <is>
          <t>A05</t>
        </is>
      </c>
      <c r="D5" s="2" t="inlineStr">
        <is>
          <t>When a significant external change is detected, what normally happens from detection to institutional action?</t>
        </is>
      </c>
      <c r="E5" s="2" t="inlineStr">
        <is>
          <t>Process map</t>
        </is>
      </c>
      <c r="F5" s="2" t="inlineStr">
        <is>
          <t>Process</t>
        </is>
      </c>
      <c r="G5" s="2" t="inlineStr">
        <is>
          <t>I02/I06</t>
        </is>
      </c>
    </row>
    <row r="6">
      <c r="A6" s="2" t="inlineStr">
        <is>
          <t>D01</t>
        </is>
      </c>
      <c r="B6" s="2" t="inlineStr">
        <is>
          <t>Q05</t>
        </is>
      </c>
      <c r="C6" s="2" t="inlineStr">
        <is>
          <t>A06</t>
        </is>
      </c>
      <c r="D6" s="2" t="inlineStr">
        <is>
          <t>How many AI pilots were conducted, evaluated, scaled or stopped in the last 24 months?</t>
        </is>
      </c>
      <c r="E6" s="2" t="inlineStr">
        <is>
          <t>Numbers</t>
        </is>
      </c>
      <c r="F6" s="2" t="inlineStr">
        <is>
          <t>Data</t>
        </is>
      </c>
      <c r="G6" s="2" t="inlineStr">
        <is>
          <t>I09</t>
        </is>
      </c>
    </row>
    <row r="7">
      <c r="A7" s="2" t="inlineStr">
        <is>
          <t>D01</t>
        </is>
      </c>
      <c r="B7" s="2" t="inlineStr">
        <is>
          <t>Q06</t>
        </is>
      </c>
      <c r="C7" s="2" t="inlineStr">
        <is>
          <t>A08</t>
        </is>
      </c>
      <c r="D7" s="2" t="inlineStr">
        <is>
          <t>A major AI development threatens a major programme within three years. What would the institution do first, who initiates it, and through what mechanism?</t>
        </is>
      </c>
      <c r="E7" s="2" t="inlineStr">
        <is>
          <t>Scenario</t>
        </is>
      </c>
      <c r="F7" s="2" t="inlineStr">
        <is>
          <t>Diagnostic</t>
        </is>
      </c>
      <c r="G7" s="2" t="inlineStr">
        <is>
          <t>I08</t>
        </is>
      </c>
    </row>
    <row r="8">
      <c r="A8" s="2" t="inlineStr">
        <is>
          <t>D01</t>
        </is>
      </c>
      <c r="B8" s="2" t="inlineStr">
        <is>
          <t>Q07</t>
        </is>
      </c>
      <c r="C8" s="2" t="inlineStr">
        <is>
          <t>A09</t>
        </is>
      </c>
      <c r="D8" s="2" t="inlineStr">
        <is>
          <t>What distinctive institutional value does the university intend to strengthen as AI makes information and routine content increasingly abundant?</t>
        </is>
      </c>
      <c r="E8" s="2" t="inlineStr">
        <is>
          <t>Structured + rationale</t>
        </is>
      </c>
      <c r="F8" s="2" t="inlineStr">
        <is>
          <t>Strategic reflection</t>
        </is>
      </c>
      <c r="G8" s="2" t="inlineStr">
        <is>
          <t>I05</t>
        </is>
      </c>
    </row>
    <row r="9">
      <c r="A9" s="2" t="inlineStr">
        <is>
          <t>D02</t>
        </is>
      </c>
      <c r="B9" s="2" t="inlineStr">
        <is>
          <t>Q01</t>
        </is>
      </c>
      <c r="C9" s="2" t="inlineStr">
        <is>
          <t>A01</t>
        </is>
      </c>
      <c r="D9" s="2" t="inlineStr">
        <is>
          <t>A new AI system processing student information is proposed. Who can authorise institutional deployment?</t>
        </is>
      </c>
      <c r="E9" s="2" t="inlineStr">
        <is>
          <t>Single + authority</t>
        </is>
      </c>
      <c r="F9" s="2" t="inlineStr">
        <is>
          <t>Scenario</t>
        </is>
      </c>
      <c r="G9" s="2" t="inlineStr">
        <is>
          <t>I01</t>
        </is>
      </c>
    </row>
    <row r="10">
      <c r="A10" s="2" t="inlineStr">
        <is>
          <t>D02</t>
        </is>
      </c>
      <c r="B10" s="2" t="inlineStr">
        <is>
          <t>Q02</t>
        </is>
      </c>
      <c r="C10" s="2" t="inlineStr">
        <is>
          <t>A02</t>
        </is>
      </c>
      <c r="D10" s="2" t="inlineStr">
        <is>
          <t>What steps actually occur before a consequential AI system is approved?</t>
        </is>
      </c>
      <c r="E10" s="2" t="inlineStr">
        <is>
          <t>Multi-select + order</t>
        </is>
      </c>
      <c r="F10" s="2" t="inlineStr">
        <is>
          <t>Process</t>
        </is>
      </c>
      <c r="G10" s="2" t="inlineStr">
        <is>
          <t>I02</t>
        </is>
      </c>
    </row>
    <row r="11">
      <c r="A11" s="2" t="inlineStr">
        <is>
          <t>D02</t>
        </is>
      </c>
      <c r="B11" s="2" t="inlineStr">
        <is>
          <t>Q03</t>
        </is>
      </c>
      <c r="C11" s="2" t="inlineStr">
        <is>
          <t>A03</t>
        </is>
      </c>
      <c r="D11" s="2" t="inlineStr">
        <is>
          <t>Which AI governance policies are approved, implemented and reviewed?</t>
        </is>
      </c>
      <c r="E11" s="2" t="inlineStr">
        <is>
          <t>Matrix</t>
        </is>
      </c>
      <c r="F11" s="2" t="inlineStr">
        <is>
          <t>Inventory</t>
        </is>
      </c>
      <c r="G11" s="2" t="inlineStr">
        <is>
          <t>I03/I13</t>
        </is>
      </c>
    </row>
    <row r="12">
      <c r="A12" s="2" t="inlineStr">
        <is>
          <t>D02</t>
        </is>
      </c>
      <c r="B12" s="2" t="inlineStr">
        <is>
          <t>Q04</t>
        </is>
      </c>
      <c r="C12" s="2" t="inlineStr">
        <is>
          <t>A04</t>
        </is>
      </c>
      <c r="D12" s="2" t="inlineStr">
        <is>
          <t>An AI system produces a harmful or discriminatory outcome affecting a student. What happens next?</t>
        </is>
      </c>
      <c r="E12" s="2" t="inlineStr">
        <is>
          <t>Scenario + process</t>
        </is>
      </c>
      <c r="F12" s="2" t="inlineStr">
        <is>
          <t>Diagnostic</t>
        </is>
      </c>
      <c r="G12" s="2" t="inlineStr">
        <is>
          <t>I08</t>
        </is>
      </c>
    </row>
    <row r="13">
      <c r="A13" s="2" t="inlineStr">
        <is>
          <t>D02</t>
        </is>
      </c>
      <c r="B13" s="2" t="inlineStr">
        <is>
          <t>Q05</t>
        </is>
      </c>
      <c r="C13" s="2" t="inlineStr">
        <is>
          <t>A05</t>
        </is>
      </c>
      <c r="D13" s="2" t="inlineStr">
        <is>
          <t>For approved AI tools, how many process personal/student data and how many have undergone defined privacy/data review?</t>
        </is>
      </c>
      <c r="E13" s="2" t="inlineStr">
        <is>
          <t>Numbers</t>
        </is>
      </c>
      <c r="F13" s="2" t="inlineStr">
        <is>
          <t>Data</t>
        </is>
      </c>
      <c r="G13" s="2" t="inlineStr">
        <is>
          <t>I04</t>
        </is>
      </c>
    </row>
    <row r="14">
      <c r="A14" s="2" t="inlineStr">
        <is>
          <t>D02</t>
        </is>
      </c>
      <c r="B14" s="2" t="inlineStr">
        <is>
          <t>Q06</t>
        </is>
      </c>
      <c r="C14" s="2" t="inlineStr">
        <is>
          <t>A06</t>
        </is>
      </c>
      <c r="D14" s="2" t="inlineStr">
        <is>
          <t>How does the institution determine whether student generative-AI use is appropriate?</t>
        </is>
      </c>
      <c r="E14" s="2" t="inlineStr">
        <is>
          <t>Scenario + evidence</t>
        </is>
      </c>
      <c r="F14" s="2" t="inlineStr">
        <is>
          <t>Diagnostic</t>
        </is>
      </c>
      <c r="G14" s="2" t="inlineStr">
        <is>
          <t>I05</t>
        </is>
      </c>
    </row>
    <row r="15">
      <c r="A15" s="2" t="inlineStr">
        <is>
          <t>D02</t>
        </is>
      </c>
      <c r="B15" s="2" t="inlineStr">
        <is>
          <t>Q07</t>
        </is>
      </c>
      <c r="C15" s="2" t="inlineStr">
        <is>
          <t>A07</t>
        </is>
      </c>
      <c r="D15" s="2" t="inlineStr">
        <is>
          <t>For consequential AI-assisted decisions, where can a human review or override the output?</t>
        </is>
      </c>
      <c r="E15" s="2" t="inlineStr">
        <is>
          <t>Matrix</t>
        </is>
      </c>
      <c r="F15" s="2" t="inlineStr">
        <is>
          <t>Process</t>
        </is>
      </c>
      <c r="G15" s="2" t="inlineStr">
        <is>
          <t>I09</t>
        </is>
      </c>
    </row>
    <row r="16">
      <c r="A16" s="2" t="inlineStr">
        <is>
          <t>D02</t>
        </is>
      </c>
      <c r="B16" s="2" t="inlineStr">
        <is>
          <t>Q08</t>
        </is>
      </c>
      <c r="C16" s="2" t="inlineStr">
        <is>
          <t>A08</t>
        </is>
      </c>
      <c r="D16" s="2" t="inlineStr">
        <is>
          <t>For the three most consequential external AI systems, what due diligence and monitoring has occurred?</t>
        </is>
      </c>
      <c r="E16" s="2" t="inlineStr">
        <is>
          <t>Structured records</t>
        </is>
      </c>
      <c r="F16" s="2" t="inlineStr">
        <is>
          <t>Data/evidence</t>
        </is>
      </c>
      <c r="G16" s="2" t="inlineStr">
        <is>
          <t>I10</t>
        </is>
      </c>
    </row>
    <row r="17">
      <c r="A17" s="2" t="inlineStr">
        <is>
          <t>D02</t>
        </is>
      </c>
      <c r="B17" s="2" t="inlineStr">
        <is>
          <t>Q09</t>
        </is>
      </c>
      <c r="C17" s="2" t="inlineStr">
        <is>
          <t>A09</t>
        </is>
      </c>
      <c r="D17" s="2" t="inlineStr">
        <is>
          <t>Has the institution tested its AI governance process? What changed as a result?</t>
        </is>
      </c>
      <c r="E17" s="2" t="inlineStr">
        <is>
          <t>Single + evidence</t>
        </is>
      </c>
      <c r="F17" s="2" t="inlineStr">
        <is>
          <t>Effectiveness</t>
        </is>
      </c>
      <c r="G17" s="2" t="inlineStr">
        <is>
          <t>I14</t>
        </is>
      </c>
    </row>
    <row r="18">
      <c r="A18" s="2" t="inlineStr">
        <is>
          <t>D03</t>
        </is>
      </c>
      <c r="B18" s="2" t="inlineStr">
        <is>
          <t>Q01</t>
        </is>
      </c>
      <c r="C18" s="2" t="inlineStr">
        <is>
          <t>A01</t>
        </is>
      </c>
      <c r="D18" s="2" t="inlineStr">
        <is>
          <t>Which graduate capabilities does the institution explicitly intend students to develop in the AI era?</t>
        </is>
      </c>
      <c r="E18" s="2" t="inlineStr">
        <is>
          <t>Multi-select</t>
        </is>
      </c>
      <c r="F18" s="2" t="inlineStr">
        <is>
          <t>Capability architecture</t>
        </is>
      </c>
      <c r="G18" s="2" t="inlineStr">
        <is>
          <t>I01-I17</t>
        </is>
      </c>
    </row>
    <row r="19">
      <c r="A19" s="2" t="inlineStr">
        <is>
          <t>D03</t>
        </is>
      </c>
      <c r="B19" s="2" t="inlineStr">
        <is>
          <t>Q02</t>
        </is>
      </c>
      <c r="C19" s="2" t="inlineStr">
        <is>
          <t>A02</t>
        </is>
      </c>
      <c r="D19" s="2" t="inlineStr">
        <is>
          <t>For representative programmes, where is each selected capability intended, developed, demonstrated and assessed?</t>
        </is>
      </c>
      <c r="E19" s="2" t="inlineStr">
        <is>
          <t>Matrix</t>
        </is>
      </c>
      <c r="F19" s="2" t="inlineStr">
        <is>
          <t>Capability mapping</t>
        </is>
      </c>
      <c r="G19" s="2" t="inlineStr">
        <is>
          <t>I01-I17</t>
        </is>
      </c>
    </row>
    <row r="20">
      <c r="A20" s="2" t="inlineStr">
        <is>
          <t>D03</t>
        </is>
      </c>
      <c r="B20" s="2" t="inlineStr">
        <is>
          <t>Q03</t>
        </is>
      </c>
      <c r="C20" s="2" t="inlineStr">
        <is>
          <t>A03</t>
        </is>
      </c>
      <c r="D20" s="2" t="inlineStr">
        <is>
          <t>Provide one representative student activity/work sample demonstrating each of 3–5 selected capabilities.</t>
        </is>
      </c>
      <c r="E20" s="2" t="inlineStr">
        <is>
          <t>Evidence</t>
        </is>
      </c>
      <c r="F20" s="2" t="inlineStr">
        <is>
          <t>Validation</t>
        </is>
      </c>
      <c r="G20" s="2" t="inlineStr">
        <is>
          <t>I02/I04/I07/I15/I16</t>
        </is>
      </c>
    </row>
    <row r="21">
      <c r="A21" s="2" t="inlineStr">
        <is>
          <t>D03</t>
        </is>
      </c>
      <c r="B21" s="2" t="inlineStr">
        <is>
          <t>Q04</t>
        </is>
      </c>
      <c r="C21" s="2" t="inlineStr">
        <is>
          <t>A04</t>
        </is>
      </c>
      <c r="D21" s="2" t="inlineStr">
        <is>
          <t>How are students required to demonstrate capability rather than simply produce an answer?</t>
        </is>
      </c>
      <c r="E21" s="2" t="inlineStr">
        <is>
          <t>Matrix</t>
        </is>
      </c>
      <c r="F21" s="2" t="inlineStr">
        <is>
          <t>Assessment</t>
        </is>
      </c>
      <c r="G21" s="2" t="inlineStr">
        <is>
          <t>I02/I04/I07</t>
        </is>
      </c>
    </row>
    <row r="22">
      <c r="A22" s="2" t="inlineStr">
        <is>
          <t>D03</t>
        </is>
      </c>
      <c r="B22" s="2" t="inlineStr">
        <is>
          <t>Q05</t>
        </is>
      </c>
      <c r="C22" s="2" t="inlineStr">
        <is>
          <t>A05</t>
        </is>
      </c>
      <c r="D22" s="2" t="inlineStr">
        <is>
          <t>Where are students expected to verify, challenge or contextualise AI-generated output?</t>
        </is>
      </c>
      <c r="E22" s="2" t="inlineStr">
        <is>
          <t>Multi-select + evidence</t>
        </is>
      </c>
      <c r="F22" s="2" t="inlineStr">
        <is>
          <t>Diagnostic</t>
        </is>
      </c>
      <c r="G22" s="2" t="inlineStr">
        <is>
          <t>I08</t>
        </is>
      </c>
    </row>
    <row r="23">
      <c r="A23" s="2" t="inlineStr">
        <is>
          <t>D03</t>
        </is>
      </c>
      <c r="B23" s="2" t="inlineStr">
        <is>
          <t>Q06</t>
        </is>
      </c>
      <c r="C23" s="2" t="inlineStr">
        <is>
          <t>A06</t>
        </is>
      </c>
      <c r="D23" s="2" t="inlineStr">
        <is>
          <t>How often do students work on unfamiliar or ambiguous problems with no single prepared answer?</t>
        </is>
      </c>
      <c r="E23" s="2" t="inlineStr">
        <is>
          <t>Single + evidence</t>
        </is>
      </c>
      <c r="F23" s="2" t="inlineStr">
        <is>
          <t>Frequency</t>
        </is>
      </c>
      <c r="G23" s="2" t="inlineStr">
        <is>
          <t>I05/I16</t>
        </is>
      </c>
    </row>
    <row r="24">
      <c r="A24" s="2" t="inlineStr">
        <is>
          <t>D03</t>
        </is>
      </c>
      <c r="B24" s="2" t="inlineStr">
        <is>
          <t>Q07</t>
        </is>
      </c>
      <c r="C24" s="2" t="inlineStr">
        <is>
          <t>A07</t>
        </is>
      </c>
      <c r="D24" s="2" t="inlineStr">
        <is>
          <t>Where available, what proportion of students meet defined competency thresholds for selected capabilities?</t>
        </is>
      </c>
      <c r="E24" s="2" t="inlineStr">
        <is>
          <t>Number/NA</t>
        </is>
      </c>
      <c r="F24" s="2" t="inlineStr">
        <is>
          <t>Outcome</t>
        </is>
      </c>
      <c r="G24" s="2" t="inlineStr">
        <is>
          <t>I07</t>
        </is>
      </c>
    </row>
    <row r="25">
      <c r="A25" s="2" t="inlineStr">
        <is>
          <t>D03</t>
        </is>
      </c>
      <c r="B25" s="2" t="inlineStr">
        <is>
          <t>Q08</t>
        </is>
      </c>
      <c r="C25" s="2" t="inlineStr">
        <is>
          <t>A08</t>
        </is>
      </c>
      <c r="D25" s="2" t="inlineStr">
        <is>
          <t>For non-technical disciplines, how are students developing AI capability relevant to their discipline?</t>
        </is>
      </c>
      <c r="E25" s="2" t="inlineStr">
        <is>
          <t>Discipline matrix + sample</t>
        </is>
      </c>
      <c r="F25" s="2" t="inlineStr">
        <is>
          <t>Diagnostic</t>
        </is>
      </c>
      <c r="G25" s="2" t="inlineStr">
        <is>
          <t>I17</t>
        </is>
      </c>
    </row>
    <row r="26">
      <c r="A26" s="2" t="inlineStr">
        <is>
          <t>D03</t>
        </is>
      </c>
      <c r="B26" s="2" t="inlineStr">
        <is>
          <t>Q09</t>
        </is>
      </c>
      <c r="C26" s="2" t="inlineStr">
        <is>
          <t>A10</t>
        </is>
      </c>
      <c r="D26" s="2" t="inlineStr">
        <is>
          <t>Which three graduate capabilities are least convincingly demonstrated today, and what evidence led to that conclusion?</t>
        </is>
      </c>
      <c r="E26" s="2" t="inlineStr">
        <is>
          <t>Top 3 + rationale</t>
        </is>
      </c>
      <c r="F26" s="2" t="inlineStr">
        <is>
          <t>Leadership diagnostic</t>
        </is>
      </c>
      <c r="G26" s="2" t="inlineStr">
        <is>
          <t>I15/I16</t>
        </is>
      </c>
    </row>
    <row r="27">
      <c r="A27" s="2" t="inlineStr">
        <is>
          <t>D04</t>
        </is>
      </c>
      <c r="B27" s="2" t="inlineStr">
        <is>
          <t>Q01</t>
        </is>
      </c>
      <c r="C27" s="2" t="inlineStr">
        <is>
          <t>A01</t>
        </is>
      </c>
      <c r="D27" s="2" t="inlineStr">
        <is>
          <t>When a programme changes because the discipline or work environment is changing, what most often triggers the change?</t>
        </is>
      </c>
      <c r="E27" s="2" t="inlineStr">
        <is>
          <t>Single + examples</t>
        </is>
      </c>
      <c r="F27" s="2" t="inlineStr">
        <is>
          <t>Reality</t>
        </is>
      </c>
      <c r="G27" s="2" t="inlineStr">
        <is>
          <t>I01/I03/I05</t>
        </is>
      </c>
    </row>
    <row r="28">
      <c r="A28" s="2" t="inlineStr">
        <is>
          <t>D04</t>
        </is>
      </c>
      <c r="B28" s="2" t="inlineStr">
        <is>
          <t>Q02</t>
        </is>
      </c>
      <c r="C28" s="2" t="inlineStr">
        <is>
          <t>A02</t>
        </is>
      </c>
      <c r="D28" s="2" t="inlineStr">
        <is>
          <t>For a representative programme, where are the capabilities students will need in five years deliberately developed and where are they actually demonstrated?</t>
        </is>
      </c>
      <c r="E28" s="2" t="inlineStr">
        <is>
          <t>Matrix</t>
        </is>
      </c>
      <c r="F28" s="2" t="inlineStr">
        <is>
          <t>Diagnostic</t>
        </is>
      </c>
      <c r="G28" s="2" t="inlineStr">
        <is>
          <t>I02/I11</t>
        </is>
      </c>
    </row>
    <row r="29">
      <c r="A29" s="2" t="inlineStr">
        <is>
          <t>D04</t>
        </is>
      </c>
      <c r="B29" s="2" t="inlineStr">
        <is>
          <t>Q03</t>
        </is>
      </c>
      <c r="C29" s="2" t="inlineStr">
        <is>
          <t>A03</t>
        </is>
      </c>
      <c r="D29" s="2" t="inlineStr">
        <is>
          <t>A core task taught in a programme can now be performed reliably by AI. How would the institution decide whether to retain it, redesign it, or remove it from the learning experience?</t>
        </is>
      </c>
      <c r="E29" s="2" t="inlineStr">
        <is>
          <t>Scenario + decision path</t>
        </is>
      </c>
      <c r="F29" s="2" t="inlineStr">
        <is>
          <t>Foresight</t>
        </is>
      </c>
      <c r="G29" s="2" t="inlineStr">
        <is>
          <t>I05/I08/I12</t>
        </is>
      </c>
    </row>
    <row r="30">
      <c r="A30" s="2" t="inlineStr">
        <is>
          <t>D04</t>
        </is>
      </c>
      <c r="B30" s="2" t="inlineStr">
        <is>
          <t>Q04</t>
        </is>
      </c>
      <c r="C30" s="2" t="inlineStr">
        <is>
          <t>A04</t>
        </is>
      </c>
      <c r="D30" s="2" t="inlineStr">
        <is>
          <t>How quickly can a programme respond when external evidence shows that a major graduate capability or learning component needs to change?</t>
        </is>
      </c>
      <c r="E30" s="2" t="inlineStr">
        <is>
          <t>Single + process</t>
        </is>
      </c>
      <c r="F30" s="2" t="inlineStr">
        <is>
          <t>Process</t>
        </is>
      </c>
      <c r="G30" s="2" t="inlineStr">
        <is>
          <t>I07/I08/I09</t>
        </is>
      </c>
    </row>
    <row r="31">
      <c r="A31" s="2" t="inlineStr">
        <is>
          <t>D04</t>
        </is>
      </c>
      <c r="B31" s="2" t="inlineStr">
        <is>
          <t>Q05</t>
        </is>
      </c>
      <c r="C31" s="2" t="inlineStr">
        <is>
          <t>A05</t>
        </is>
      </c>
      <c r="D31" s="2" t="inlineStr">
        <is>
          <t>Select 3–5 programmes and identify one meaningful change made because of AI, changing professional practice, or changing learner/work requirements. What evidence shows the change is real?</t>
        </is>
      </c>
      <c r="E31" s="2" t="inlineStr">
        <is>
          <t>Structured records + evidence</t>
        </is>
      </c>
      <c r="F31" s="2" t="inlineStr">
        <is>
          <t>Reality</t>
        </is>
      </c>
      <c r="G31" s="2" t="inlineStr">
        <is>
          <t>I03/I04/I06/I11</t>
        </is>
      </c>
    </row>
    <row r="32">
      <c r="A32" s="2" t="inlineStr">
        <is>
          <t>D05</t>
        </is>
      </c>
      <c r="B32" s="2" t="inlineStr">
        <is>
          <t>Q01</t>
        </is>
      </c>
      <c r="C32" s="2" t="inlineStr">
        <is>
          <t>A01</t>
        </is>
      </c>
      <c r="D32" s="2" t="inlineStr">
        <is>
          <t>Where are faculty currently using AI in their actual academic work, and what is the most meaningful change it has produced?</t>
        </is>
      </c>
      <c r="E32" s="2" t="inlineStr">
        <is>
          <t>Multi-select + examples</t>
        </is>
      </c>
      <c r="F32" s="2" t="inlineStr">
        <is>
          <t>Reality</t>
        </is>
      </c>
      <c r="G32" s="2" t="inlineStr">
        <is>
          <t>I01/I02/I03</t>
        </is>
      </c>
    </row>
    <row r="33">
      <c r="A33" s="2" t="inlineStr">
        <is>
          <t>D05</t>
        </is>
      </c>
      <c r="B33" s="2" t="inlineStr">
        <is>
          <t>Q02</t>
        </is>
      </c>
      <c r="C33" s="2" t="inlineStr">
        <is>
          <t>A02</t>
        </is>
      </c>
      <c r="D33" s="2" t="inlineStr">
        <is>
          <t>After faculty receive AI-related development, what usually happens to the practice they were expected to change?</t>
        </is>
      </c>
      <c r="E33" s="2" t="inlineStr">
        <is>
          <t>Single + numbers</t>
        </is>
      </c>
      <c r="F33" s="2" t="inlineStr">
        <is>
          <t>Implementation</t>
        </is>
      </c>
      <c r="G33" s="2" t="inlineStr">
        <is>
          <t>I05/I06/I12</t>
        </is>
      </c>
    </row>
    <row r="34">
      <c r="A34" s="2" t="inlineStr">
        <is>
          <t>D05</t>
        </is>
      </c>
      <c r="B34" s="2" t="inlineStr">
        <is>
          <t>Q03</t>
        </is>
      </c>
      <c r="C34" s="2" t="inlineStr">
        <is>
          <t>A03</t>
        </is>
      </c>
      <c r="D34" s="2" t="inlineStr">
        <is>
          <t>If an AI system can perform a significant part of an activity faculty currently teach, what would you expect the faculty member to change in the learning experience?</t>
        </is>
      </c>
      <c r="E34" s="2" t="inlineStr">
        <is>
          <t>Scenario</t>
        </is>
      </c>
      <c r="F34" s="2" t="inlineStr">
        <is>
          <t>Diagnostic</t>
        </is>
      </c>
      <c r="G34" s="2" t="inlineStr">
        <is>
          <t>I03/I04/I08</t>
        </is>
      </c>
    </row>
    <row r="35">
      <c r="A35" s="2" t="inlineStr">
        <is>
          <t>D05</t>
        </is>
      </c>
      <c r="B35" s="2" t="inlineStr">
        <is>
          <t>Q04</t>
        </is>
      </c>
      <c r="C35" s="2" t="inlineStr">
        <is>
          <t>A04</t>
        </is>
      </c>
      <c r="D35" s="2" t="inlineStr">
        <is>
          <t>Which parts of academic work are changing because of AI, and how is the institution supporting faculty through those changes?</t>
        </is>
      </c>
      <c r="E35" s="2" t="inlineStr">
        <is>
          <t>Multi-select + evidence</t>
        </is>
      </c>
      <c r="F35" s="2" t="inlineStr">
        <is>
          <t>Workforce</t>
        </is>
      </c>
      <c r="G35" s="2" t="inlineStr">
        <is>
          <t>I08/I09/I10/I11</t>
        </is>
      </c>
    </row>
    <row r="36">
      <c r="A36" s="2" t="inlineStr">
        <is>
          <t>D05</t>
        </is>
      </c>
      <c r="B36" s="2" t="inlineStr">
        <is>
          <t>Q05</t>
        </is>
      </c>
      <c r="C36" s="2" t="inlineStr">
        <is>
          <t>A05</t>
        </is>
      </c>
      <c r="D36" s="2" t="inlineStr">
        <is>
          <t>Provide a representative example of faculty practice where AI has improved, challenged or changed teaching, assessment or research—and show how the institution learned from it.</t>
        </is>
      </c>
      <c r="E36" s="2" t="inlineStr">
        <is>
          <t>Structured example + evidence</t>
        </is>
      </c>
      <c r="F36" s="2" t="inlineStr">
        <is>
          <t>Reality</t>
        </is>
      </c>
      <c r="G36" s="2" t="inlineStr">
        <is>
          <t>I01/I02/I07/I12</t>
        </is>
      </c>
    </row>
    <row r="37">
      <c r="A37" s="2" t="inlineStr">
        <is>
          <t>D06</t>
        </is>
      </c>
      <c r="B37" s="2" t="inlineStr">
        <is>
          <t>Q01</t>
        </is>
      </c>
      <c r="C37" s="2" t="inlineStr">
        <is>
          <t>A01</t>
        </is>
      </c>
      <c r="D37" s="2" t="inlineStr">
        <is>
          <t>When students use AI for learning, what does the institution expect them to be able to do themselves before the work can be considered credible?</t>
        </is>
      </c>
      <c r="E37" s="2" t="inlineStr">
        <is>
          <t>Multi-select + examples</t>
        </is>
      </c>
      <c r="F37" s="2" t="inlineStr">
        <is>
          <t>Capability</t>
        </is>
      </c>
      <c r="G37" s="2" t="inlineStr">
        <is>
          <t>I01/I02/I03/I04</t>
        </is>
      </c>
    </row>
    <row r="38">
      <c r="A38" s="2" t="inlineStr">
        <is>
          <t>D06</t>
        </is>
      </c>
      <c r="B38" s="2" t="inlineStr">
        <is>
          <t>Q02</t>
        </is>
      </c>
      <c r="C38" s="2" t="inlineStr">
        <is>
          <t>A02</t>
        </is>
      </c>
      <c r="D38" s="2" t="inlineStr">
        <is>
          <t>A student submits a polished AI-generated answer. What would you need to see to determine whether the student actually understands and can defend the work?</t>
        </is>
      </c>
      <c r="E38" s="2" t="inlineStr">
        <is>
          <t>Scenario + evidence</t>
        </is>
      </c>
      <c r="F38" s="2" t="inlineStr">
        <is>
          <t>Diagnostic</t>
        </is>
      </c>
      <c r="G38" s="2" t="inlineStr">
        <is>
          <t>I02/I04/I05</t>
        </is>
      </c>
    </row>
    <row r="39">
      <c r="A39" s="2" t="inlineStr">
        <is>
          <t>D06</t>
        </is>
      </c>
      <c r="B39" s="2" t="inlineStr">
        <is>
          <t>Q03</t>
        </is>
      </c>
      <c r="C39" s="2" t="inlineStr">
        <is>
          <t>A03</t>
        </is>
      </c>
      <c r="D39" s="2" t="inlineStr">
        <is>
          <t>How often are students required to apply knowledge to unfamiliar, ambiguous or real situations where AI can assist but cannot simply supply the finished answer?</t>
        </is>
      </c>
      <c r="E39" s="2" t="inlineStr">
        <is>
          <t>Frequency + examples</t>
        </is>
      </c>
      <c r="F39" s="2" t="inlineStr">
        <is>
          <t>Transfer</t>
        </is>
      </c>
      <c r="G39" s="2" t="inlineStr">
        <is>
          <t>I07/I10</t>
        </is>
      </c>
    </row>
    <row r="40">
      <c r="A40" s="2" t="inlineStr">
        <is>
          <t>D06</t>
        </is>
      </c>
      <c r="B40" s="2" t="inlineStr">
        <is>
          <t>Q04</t>
        </is>
      </c>
      <c r="C40" s="2" t="inlineStr">
        <is>
          <t>A04</t>
        </is>
      </c>
      <c r="D40" s="2" t="inlineStr">
        <is>
          <t>How is the institution helping students understand changing work requirements and build credible evidence of capability for employers, further study or entrepreneurship?</t>
        </is>
      </c>
      <c r="E40" s="2" t="inlineStr">
        <is>
          <t>Multi-select + evidence</t>
        </is>
      </c>
      <c r="F40" s="2" t="inlineStr">
        <is>
          <t>Transition</t>
        </is>
      </c>
      <c r="G40" s="2" t="inlineStr">
        <is>
          <t>I08/I09/I11</t>
        </is>
      </c>
    </row>
    <row r="41">
      <c r="A41" s="2" t="inlineStr">
        <is>
          <t>D06</t>
        </is>
      </c>
      <c r="B41" s="2" t="inlineStr">
        <is>
          <t>Q05</t>
        </is>
      </c>
      <c r="C41" s="2" t="inlineStr">
        <is>
          <t>A05</t>
        </is>
      </c>
      <c r="D41" s="2" t="inlineStr">
        <is>
          <t>Which student groups are least able to access or benefit from AI-enabled learning, and what has the institution actually done in response?</t>
        </is>
      </c>
      <c r="E41" s="2" t="inlineStr">
        <is>
          <t>Structured comparison + evidence</t>
        </is>
      </c>
      <c r="F41" s="2" t="inlineStr">
        <is>
          <t>Equity</t>
        </is>
      </c>
      <c r="G41" s="2" t="inlineStr">
        <is>
          <t>I13/I14</t>
        </is>
      </c>
    </row>
    <row r="42">
      <c r="A42" s="2" t="inlineStr">
        <is>
          <t>D07</t>
        </is>
      </c>
      <c r="B42" s="2" t="inlineStr">
        <is>
          <t>D07.1</t>
        </is>
      </c>
      <c r="C42" s="2" t="inlineStr">
        <is>
          <t>Assessment Reality Test</t>
        </is>
      </c>
      <c r="D42" s="2" t="inlineStr">
        <is>
          <t>Across representative programmes, what do students actually have to demonstrate to complete major assessments?</t>
        </is>
      </c>
      <c r="E42" s="2" t="inlineStr">
        <is>
          <t>Structured card response</t>
        </is>
      </c>
      <c r="F42" s="2" t="inlineStr">
        <is>
          <t>Reality/Diagnostic</t>
        </is>
      </c>
      <c r="G42" s="2" t="inlineStr">
        <is>
          <t>I01/I02/I03</t>
        </is>
      </c>
    </row>
    <row r="43">
      <c r="A43" s="2" t="inlineStr">
        <is>
          <t>D07</t>
        </is>
      </c>
      <c r="B43" s="2" t="inlineStr">
        <is>
          <t>D07.2</t>
        </is>
      </c>
      <c r="C43" s="2" t="inlineStr">
        <is>
          <t>AI Substitution Test</t>
        </is>
      </c>
      <c r="D43" s="2" t="inlineStr">
        <is>
          <t>If generative AI could produce a plausible answer to a major assessment today, what would still make the assessment academically meaningful?</t>
        </is>
      </c>
      <c r="E43" s="2" t="inlineStr">
        <is>
          <t>Structured card response</t>
        </is>
      </c>
      <c r="F43" s="2" t="inlineStr">
        <is>
          <t>Reality/Diagnostic</t>
        </is>
      </c>
      <c r="G43" s="2" t="inlineStr">
        <is>
          <t>I04/I05</t>
        </is>
      </c>
    </row>
    <row r="44">
      <c r="A44" s="2" t="inlineStr">
        <is>
          <t>D07</t>
        </is>
      </c>
      <c r="B44" s="2" t="inlineStr">
        <is>
          <t>D07.3</t>
        </is>
      </c>
      <c r="C44" s="2" t="inlineStr">
        <is>
          <t>Capability Proof Test</t>
        </is>
      </c>
      <c r="D44" s="2" t="inlineStr">
        <is>
          <t>How does the institution know that students possess the capabilities its programmes say they develop?</t>
        </is>
      </c>
      <c r="E44" s="2" t="inlineStr">
        <is>
          <t>Structured card response</t>
        </is>
      </c>
      <c r="F44" s="2" t="inlineStr">
        <is>
          <t>Reality/Diagnostic</t>
        </is>
      </c>
      <c r="G44" s="2" t="inlineStr">
        <is>
          <t>I07/I08</t>
        </is>
      </c>
    </row>
    <row r="45">
      <c r="A45" s="2" t="inlineStr">
        <is>
          <t>D07</t>
        </is>
      </c>
      <c r="B45" s="2" t="inlineStr">
        <is>
          <t>D07.4</t>
        </is>
      </c>
      <c r="C45" s="2" t="inlineStr">
        <is>
          <t>Unfamiliar Problem Test</t>
        </is>
      </c>
      <c r="D45" s="2" t="inlineStr">
        <is>
          <t>How often are students asked to solve unfamiliar or ambiguous problems where there is no prepared model answer?</t>
        </is>
      </c>
      <c r="E45" s="2" t="inlineStr">
        <is>
          <t>Structured card response</t>
        </is>
      </c>
      <c r="F45" s="2" t="inlineStr">
        <is>
          <t>Reality/Diagnostic</t>
        </is>
      </c>
      <c r="G45" s="2" t="inlineStr">
        <is>
          <t>I03/I02</t>
        </is>
      </c>
    </row>
    <row r="46">
      <c r="A46" s="2" t="inlineStr">
        <is>
          <t>D07</t>
        </is>
      </c>
      <c r="B46" s="2" t="inlineStr">
        <is>
          <t>D07.5</t>
        </is>
      </c>
      <c r="C46" s="2" t="inlineStr">
        <is>
          <t>Assessment Learning Loop</t>
        </is>
      </c>
      <c r="D46" s="2" t="inlineStr">
        <is>
          <t>When assessment evidence shows students are weak in an important capability, what normally happens?</t>
        </is>
      </c>
      <c r="E46" s="2" t="inlineStr">
        <is>
          <t>Structured card response</t>
        </is>
      </c>
      <c r="F46" s="2" t="inlineStr">
        <is>
          <t>Diagnostic</t>
        </is>
      </c>
      <c r="G46" s="2" t="inlineStr">
        <is>
          <t>I06/I09/I11</t>
        </is>
      </c>
    </row>
    <row r="47">
      <c r="A47" s="2" t="inlineStr">
        <is>
          <t>D08</t>
        </is>
      </c>
      <c r="B47" s="2" t="inlineStr">
        <is>
          <t>D08.1</t>
        </is>
      </c>
      <c r="C47" s="2" t="inlineStr">
        <is>
          <t>Data Reality Test</t>
        </is>
      </c>
      <c r="D47" s="2" t="inlineStr">
        <is>
          <t>If leadership needs a reliable answer about students, programmes, faculty, placements or research today, how quickly can the institution produce it?</t>
        </is>
      </c>
      <c r="E47" s="2" t="inlineStr">
        <is>
          <t>Structured card response</t>
        </is>
      </c>
      <c r="F47" s="2" t="inlineStr">
        <is>
          <t>Reality/Diagnostic</t>
        </is>
      </c>
      <c r="G47" s="2" t="inlineStr">
        <is>
          <t>I02/I05/I12</t>
        </is>
      </c>
    </row>
    <row r="48">
      <c r="A48" s="2" t="inlineStr">
        <is>
          <t>D08</t>
        </is>
      </c>
      <c r="B48" s="2" t="inlineStr">
        <is>
          <t>D08.2</t>
        </is>
      </c>
      <c r="C48" s="2" t="inlineStr">
        <is>
          <t>Data Journey Test</t>
        </is>
      </c>
      <c r="D48" s="2" t="inlineStr">
        <is>
          <t>What normally happens to an important institutional data point from its creation to its use in a decision?</t>
        </is>
      </c>
      <c r="E48" s="2" t="inlineStr">
        <is>
          <t>Structured card response</t>
        </is>
      </c>
      <c r="F48" s="2" t="inlineStr">
        <is>
          <t>Reality/Diagnostic</t>
        </is>
      </c>
      <c r="G48" s="2" t="inlineStr">
        <is>
          <t>I02/I03/I04</t>
        </is>
      </c>
    </row>
    <row r="49">
      <c r="A49" s="2" t="inlineStr">
        <is>
          <t>D08</t>
        </is>
      </c>
      <c r="B49" s="2" t="inlineStr">
        <is>
          <t>D08.3</t>
        </is>
      </c>
      <c r="C49" s="2" t="inlineStr">
        <is>
          <t>AI Infrastructure Test</t>
        </is>
      </c>
      <c r="D49" s="2" t="inlineStr">
        <is>
          <t>Which institutional capabilities are currently sufficient to support responsible AI-enabled academic or administrative use?</t>
        </is>
      </c>
      <c r="E49" s="2" t="inlineStr">
        <is>
          <t>Structured card response</t>
        </is>
      </c>
      <c r="F49" s="2" t="inlineStr">
        <is>
          <t>Reality/Diagnostic</t>
        </is>
      </c>
      <c r="G49" s="2" t="inlineStr">
        <is>
          <t>I01/I06/I07/I08/I09</t>
        </is>
      </c>
    </row>
    <row r="50">
      <c r="A50" s="2" t="inlineStr">
        <is>
          <t>D08</t>
        </is>
      </c>
      <c r="B50" s="2" t="inlineStr">
        <is>
          <t>D08.4</t>
        </is>
      </c>
      <c r="C50" s="2" t="inlineStr">
        <is>
          <t>Decision Intelligence Test</t>
        </is>
      </c>
      <c r="D50" s="2" t="inlineStr">
        <is>
          <t>Give one recent leadership decision where institutional data or analytics materially changed the decision.</t>
        </is>
      </c>
      <c r="E50" s="2" t="inlineStr">
        <is>
          <t>Structured card response</t>
        </is>
      </c>
      <c r="F50" s="2" t="inlineStr">
        <is>
          <t>Reality/Diagnostic</t>
        </is>
      </c>
      <c r="G50" s="2" t="inlineStr">
        <is>
          <t>I05/I12</t>
        </is>
      </c>
    </row>
    <row r="51">
      <c r="A51" s="2" t="inlineStr">
        <is>
          <t>D09</t>
        </is>
      </c>
      <c r="B51" s="2" t="inlineStr">
        <is>
          <t>D09.1</t>
        </is>
      </c>
      <c r="C51" s="2" t="inlineStr">
        <is>
          <t>Employer Signal Test</t>
        </is>
      </c>
      <c r="D51" s="2" t="inlineStr">
        <is>
          <t>How does the institution identify what employers and professional sectors will expect from graduates over the next 3–5 years?</t>
        </is>
      </c>
      <c r="E51" s="2" t="inlineStr">
        <is>
          <t>Structured card response</t>
        </is>
      </c>
      <c r="F51" s="2" t="inlineStr">
        <is>
          <t>Reality/Diagnostic</t>
        </is>
      </c>
      <c r="G51" s="2" t="inlineStr">
        <is>
          <t>I01</t>
        </is>
      </c>
    </row>
    <row r="52">
      <c r="A52" s="2" t="inlineStr">
        <is>
          <t>D09</t>
        </is>
      </c>
      <c r="B52" s="2" t="inlineStr">
        <is>
          <t>D09.2</t>
        </is>
      </c>
      <c r="C52" s="2" t="inlineStr">
        <is>
          <t>Capability-to-Career Test</t>
        </is>
      </c>
      <c r="D52" s="2" t="inlineStr">
        <is>
          <t>For a representative programme, how clearly can the institution connect intended graduate capabilities to actual occupational or professional requirements?</t>
        </is>
      </c>
      <c r="E52" s="2" t="inlineStr">
        <is>
          <t>Structured card response</t>
        </is>
      </c>
      <c r="F52" s="2" t="inlineStr">
        <is>
          <t>Reality/Diagnostic</t>
        </is>
      </c>
      <c r="G52" s="2" t="inlineStr">
        <is>
          <t>I02/I03/I08</t>
        </is>
      </c>
    </row>
    <row r="53">
      <c r="A53" s="2" t="inlineStr">
        <is>
          <t>D09</t>
        </is>
      </c>
      <c r="B53" s="2" t="inlineStr">
        <is>
          <t>D09.3</t>
        </is>
      </c>
      <c r="C53" s="2" t="inlineStr">
        <is>
          <t>AI Work Redesign Test</t>
        </is>
      </c>
      <c r="D53" s="2" t="inlineStr">
        <is>
          <t>Where AI is changing entry-level work in a major sector relevant to the institution, what has the institution changed for students?</t>
        </is>
      </c>
      <c r="E53" s="2" t="inlineStr">
        <is>
          <t>Structured card response</t>
        </is>
      </c>
      <c r="F53" s="2" t="inlineStr">
        <is>
          <t>Reality/Diagnostic</t>
        </is>
      </c>
      <c r="G53" s="2" t="inlineStr">
        <is>
          <t>I03/I04/I07/I10</t>
        </is>
      </c>
    </row>
    <row r="54">
      <c r="A54" s="2" t="inlineStr">
        <is>
          <t>D09</t>
        </is>
      </c>
      <c r="B54" s="2" t="inlineStr">
        <is>
          <t>D09.4</t>
        </is>
      </c>
      <c r="C54" s="2" t="inlineStr">
        <is>
          <t>Recruiter Confidence Test</t>
        </is>
      </c>
      <c r="D54" s="2" t="inlineStr">
        <is>
          <t>What evidence does the institution use to determine whether recruiters trust the capabilities of its graduates?</t>
        </is>
      </c>
      <c r="E54" s="2" t="inlineStr">
        <is>
          <t>Structured card response</t>
        </is>
      </c>
      <c r="F54" s="2" t="inlineStr">
        <is>
          <t>Reality/Diagnostic</t>
        </is>
      </c>
      <c r="G54" s="2" t="inlineStr">
        <is>
          <t>I05/I06/I12</t>
        </is>
      </c>
    </row>
    <row r="55">
      <c r="A55" s="2" t="inlineStr">
        <is>
          <t>D10</t>
        </is>
      </c>
      <c r="B55" s="2" t="inlineStr">
        <is>
          <t>D10.1</t>
        </is>
      </c>
      <c r="C55" s="2" t="inlineStr">
        <is>
          <t>Research Direction Test</t>
        </is>
      </c>
      <c r="D55" s="2" t="inlineStr">
        <is>
          <t>What research questions or themes does the institution believe will matter most to its disciplines, region or society over the next 5–10 years?</t>
        </is>
      </c>
      <c r="E55" s="2" t="inlineStr">
        <is>
          <t>Structured card response</t>
        </is>
      </c>
      <c r="F55" s="2" t="inlineStr">
        <is>
          <t>Reality/Diagnostic</t>
        </is>
      </c>
      <c r="G55" s="2" t="inlineStr">
        <is>
          <t>I01/I02</t>
        </is>
      </c>
    </row>
    <row r="56">
      <c r="A56" s="2" t="inlineStr">
        <is>
          <t>D10</t>
        </is>
      </c>
      <c r="B56" s="2" t="inlineStr">
        <is>
          <t>D10.2</t>
        </is>
      </c>
      <c r="C56" s="2" t="inlineStr">
        <is>
          <t>Research-to-Value Test</t>
        </is>
      </c>
      <c r="D56" s="2" t="inlineStr">
        <is>
          <t>Take one significant research activity. What happened after the research generated a meaningful finding?</t>
        </is>
      </c>
      <c r="E56" s="2" t="inlineStr">
        <is>
          <t>Structured card response</t>
        </is>
      </c>
      <c r="F56" s="2" t="inlineStr">
        <is>
          <t>Reality/Diagnostic</t>
        </is>
      </c>
      <c r="G56" s="2" t="inlineStr">
        <is>
          <t>I08/I10/I13</t>
        </is>
      </c>
    </row>
    <row r="57">
      <c r="A57" s="2" t="inlineStr">
        <is>
          <t>D10</t>
        </is>
      </c>
      <c r="B57" s="2" t="inlineStr">
        <is>
          <t>D10.3</t>
        </is>
      </c>
      <c r="C57" s="2" t="inlineStr">
        <is>
          <t>Interdisciplinary Collision Test</t>
        </is>
      </c>
      <c r="D57" s="2" t="inlineStr">
        <is>
          <t>When a major problem crosses disciplinary boundaries, how does the institution bring the required expertise together?</t>
        </is>
      </c>
      <c r="E57" s="2" t="inlineStr">
        <is>
          <t>Structured card response</t>
        </is>
      </c>
      <c r="F57" s="2" t="inlineStr">
        <is>
          <t>Reality/Diagnostic</t>
        </is>
      </c>
      <c r="G57" s="2" t="inlineStr">
        <is>
          <t>I03</t>
        </is>
      </c>
    </row>
    <row r="58">
      <c r="A58" s="2" t="inlineStr">
        <is>
          <t>D10</t>
        </is>
      </c>
      <c r="B58" s="2" t="inlineStr">
        <is>
          <t>D10.4</t>
        </is>
      </c>
      <c r="C58" s="2" t="inlineStr">
        <is>
          <t>AI Research Judgement Test</t>
        </is>
      </c>
      <c r="D58" s="2" t="inlineStr">
        <is>
          <t>Where AI is used in research, how does the institution protect research quality, provenance, integrity and human judgement?</t>
        </is>
      </c>
      <c r="E58" s="2" t="inlineStr">
        <is>
          <t>Structured card response</t>
        </is>
      </c>
      <c r="F58" s="2" t="inlineStr">
        <is>
          <t>Reality/Diagnostic</t>
        </is>
      </c>
      <c r="G58" s="2" t="inlineStr">
        <is>
          <t>I04/I12</t>
        </is>
      </c>
    </row>
    <row r="59">
      <c r="A59" s="2" t="inlineStr">
        <is>
          <t>D10</t>
        </is>
      </c>
      <c r="B59" s="2" t="inlineStr">
        <is>
          <t>D10.5</t>
        </is>
      </c>
      <c r="C59" s="2" t="inlineStr">
        <is>
          <t>Student Creator Test</t>
        </is>
      </c>
      <c r="D59" s="2" t="inlineStr">
        <is>
          <t>How are students enabled to move from consuming existing knowledge to creating new knowledge, prototypes, evidence or solutions?</t>
        </is>
      </c>
      <c r="E59" s="2" t="inlineStr">
        <is>
          <t>Structured card response</t>
        </is>
      </c>
      <c r="F59" s="2" t="inlineStr">
        <is>
          <t>Reality/Diagnostic</t>
        </is>
      </c>
      <c r="G59" s="2" t="inlineStr">
        <is>
          <t>I14</t>
        </is>
      </c>
    </row>
    <row r="60">
      <c r="A60" s="2" t="inlineStr">
        <is>
          <t>D11</t>
        </is>
      </c>
      <c r="B60" s="2" t="inlineStr">
        <is>
          <t>D11.1</t>
        </is>
      </c>
      <c r="C60" s="2" t="inlineStr">
        <is>
          <t>Change-to-Action Test</t>
        </is>
      </c>
      <c r="D60" s="2" t="inlineStr">
        <is>
          <t>When a development could materially affect the institution, what normally happens between first awareness and an institutional response?</t>
        </is>
      </c>
      <c r="E60" s="2" t="inlineStr">
        <is>
          <t>Structured card response</t>
        </is>
      </c>
      <c r="F60" s="2" t="inlineStr">
        <is>
          <t>Reality/Diagnostic</t>
        </is>
      </c>
      <c r="G60" s="2" t="inlineStr">
        <is>
          <t>I01/I02/I03</t>
        </is>
      </c>
    </row>
    <row r="61">
      <c r="A61" s="2" t="inlineStr">
        <is>
          <t>D11</t>
        </is>
      </c>
      <c r="B61" s="2" t="inlineStr">
        <is>
          <t>D11.2</t>
        </is>
      </c>
      <c r="C61" s="2" t="inlineStr">
        <is>
          <t>Resource Reallocation Test</t>
        </is>
      </c>
      <c r="D61" s="2" t="inlineStr">
        <is>
          <t>If leadership decides that an emerging capability has become strategically important, how can resources actually be redirected?</t>
        </is>
      </c>
      <c r="E61" s="2" t="inlineStr">
        <is>
          <t>Structured card response</t>
        </is>
      </c>
      <c r="F61" s="2" t="inlineStr">
        <is>
          <t>Reality/Diagnostic</t>
        </is>
      </c>
      <c r="G61" s="2" t="inlineStr">
        <is>
          <t>I04</t>
        </is>
      </c>
    </row>
    <row r="62">
      <c r="A62" s="2" t="inlineStr">
        <is>
          <t>D11</t>
        </is>
      </c>
      <c r="B62" s="2" t="inlineStr">
        <is>
          <t>D11.3</t>
        </is>
      </c>
      <c r="C62" s="2" t="inlineStr">
        <is>
          <t>Failure Learning Test</t>
        </is>
      </c>
      <c r="D62" s="2" t="inlineStr">
        <is>
          <t>When an important institutional experiment does not work, what usually happens?</t>
        </is>
      </c>
      <c r="E62" s="2" t="inlineStr">
        <is>
          <t>Structured card response</t>
        </is>
      </c>
      <c r="F62" s="2" t="inlineStr">
        <is>
          <t>Reality/Diagnostic</t>
        </is>
      </c>
      <c r="G62" s="2" t="inlineStr">
        <is>
          <t>I06/I13</t>
        </is>
      </c>
    </row>
    <row r="63">
      <c r="A63" s="2" t="inlineStr">
        <is>
          <t>D11</t>
        </is>
      </c>
      <c r="B63" s="2" t="inlineStr">
        <is>
          <t>D11.4</t>
        </is>
      </c>
      <c r="C63" s="2" t="inlineStr">
        <is>
          <t>Future Shock Test</t>
        </is>
      </c>
      <c r="D63" s="2" t="inlineStr">
        <is>
          <t>Imagine that within five years AI materially changes 20–30% of entry-level tasks across several major sectors relevant to your institution. Which five institutional responses would leadership prioritise first?</t>
        </is>
      </c>
      <c r="E63" s="2" t="inlineStr">
        <is>
          <t>Structured card response</t>
        </is>
      </c>
      <c r="F63" s="2" t="inlineStr">
        <is>
          <t>Scenario</t>
        </is>
      </c>
      <c r="G63" s="2" t="inlineStr">
        <is>
          <t>I02/I04/I07/I10/I14</t>
        </is>
      </c>
    </row>
    <row r="64">
      <c r="A64" s="2" t="inlineStr">
        <is>
          <t>D11</t>
        </is>
      </c>
      <c r="B64" s="2" t="inlineStr">
        <is>
          <t>D11.5</t>
        </is>
      </c>
      <c r="C64" s="2" t="inlineStr">
        <is>
          <t>Adaptation Reality Test</t>
        </is>
      </c>
      <c r="D64" s="2" t="inlineStr">
        <is>
          <t>Which statement best describes the institution today?</t>
        </is>
      </c>
      <c r="E64" s="2" t="inlineStr">
        <is>
          <t>Structured card response</t>
        </is>
      </c>
      <c r="F64" s="2" t="inlineStr">
        <is>
          <t>Reality/Diagnostic</t>
        </is>
      </c>
      <c r="G64" s="2" t="inlineStr">
        <is>
          <t>I12/I14</t>
        </is>
      </c>
    </row>
  </sheetData>
  <autoFilter ref="A1:G64"/>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C36"/>
  <sheetViews>
    <sheetView showGridLines="0" workbookViewId="0">
      <pane ySplit="1" topLeftCell="A2" activePane="bottomLeft" state="frozen"/>
      <selection pane="bottomLeft" activeCell="A1" sqref="A1"/>
    </sheetView>
  </sheetViews>
  <sheetFormatPr baseColWidth="8" defaultRowHeight="15"/>
  <cols>
    <col width="13.7109375" customWidth="1" min="1" max="3"/>
  </cols>
  <sheetData>
    <row r="1">
      <c r="A1" s="24" t="inlineStr">
        <is>
          <t>Discipline</t>
        </is>
      </c>
      <c r="B1" s="24" t="inlineStr">
        <is>
          <t>Capability focus</t>
        </is>
      </c>
      <c r="C1" s="24" t="inlineStr">
        <is>
          <t>Representative assessment/evidence</t>
        </is>
      </c>
    </row>
    <row r="2">
      <c r="A2" s="2" t="inlineStr">
        <is>
          <t>Engineering &amp; Technology</t>
        </is>
      </c>
      <c r="B2" s="2" t="inlineStr">
        <is>
          <t>AI-assisted design/simulation; systems reasoning; safety; verification; human engineering judgement</t>
        </is>
      </c>
      <c r="C2" s="2" t="inlineStr">
        <is>
          <t>Validate AI design/simulation outputs against constraints, standards and physical evidence; defend engineering decisions.</t>
        </is>
      </c>
    </row>
    <row r="3">
      <c r="A3" s="2" t="inlineStr">
        <is>
          <t>Computer Science / IT / Data</t>
        </is>
      </c>
      <c r="B3" s="2" t="inlineStr">
        <is>
          <t>Model selection, data quality, algorithms, evaluation, security, human oversight</t>
        </is>
      </c>
      <c r="C3" s="2" t="inlineStr">
        <is>
          <t>Evaluate model/data trade-offs, test failure cases, explain limitations and justify deployment choices.</t>
        </is>
      </c>
    </row>
    <row r="4">
      <c r="A4" s="2" t="inlineStr">
        <is>
          <t>Medicine</t>
        </is>
      </c>
      <c r="B4" s="2" t="inlineStr">
        <is>
          <t>Clinical evidence, differential reasoning, patient context, safety, explainability, human accountability</t>
        </is>
      </c>
      <c r="C4" s="2" t="inlineStr">
        <is>
          <t>Challenge AI clinical recommendations against evidence and patient context; document final human judgement.</t>
        </is>
      </c>
    </row>
    <row r="5">
      <c r="A5" s="2" t="inlineStr">
        <is>
          <t>Pharmacy</t>
        </is>
      </c>
      <c r="B5" s="2" t="inlineStr">
        <is>
          <t>Drug information verification, pharmacological reasoning, interactions, patient safety, professional judgement</t>
        </is>
      </c>
      <c r="C5" s="2" t="inlineStr">
        <is>
          <t>Verify AI-generated drug information against authoritative sources and assess interaction/safety implications.</t>
        </is>
      </c>
    </row>
    <row r="6">
      <c r="A6" s="2" t="inlineStr">
        <is>
          <t>Nursing &amp; Allied Health</t>
        </is>
      </c>
      <c r="B6" s="2" t="inlineStr">
        <is>
          <t>Patient-centred judgement, procedural competence, evidence use, communication, safety</t>
        </is>
      </c>
      <c r="C6" s="2" t="inlineStr">
        <is>
          <t>Evaluate an AI-supported care recommendation for patient context, safety and professional appropriateness.</t>
        </is>
      </c>
    </row>
    <row r="7">
      <c r="A7" s="2" t="inlineStr">
        <is>
          <t>Dentistry</t>
        </is>
      </c>
      <c r="B7" s="2" t="inlineStr">
        <is>
          <t>Clinical reasoning, imaging interpretation, treatment planning, patient communication, safety</t>
        </is>
      </c>
      <c r="C7" s="2" t="inlineStr">
        <is>
          <t>Compare AI-supported diagnosis/planning with clinical evidence and justify the final treatment decision.</t>
        </is>
      </c>
    </row>
    <row r="8">
      <c r="A8" s="2" t="inlineStr">
        <is>
          <t>Agriculture</t>
        </is>
      </c>
      <c r="B8" s="2" t="inlineStr">
        <is>
          <t>Field-context reasoning, climate/soil/crop data, technology use, uncertainty, farmer-centred decisions</t>
        </is>
      </c>
      <c r="C8" s="2" t="inlineStr">
        <is>
          <t>Test AI recommendations against local field conditions, agronomic evidence and seasonal uncertainty.</t>
        </is>
      </c>
    </row>
    <row r="9">
      <c r="A9" s="2" t="inlineStr">
        <is>
          <t>Veterinary Science</t>
        </is>
      </c>
      <c r="B9" s="2" t="inlineStr">
        <is>
          <t>Clinical reasoning, animal welfare, epidemiology, evidence verification, professional judgement</t>
        </is>
      </c>
      <c r="C9" s="2" t="inlineStr">
        <is>
          <t>Evaluate AI-supported diagnosis/treatment against species-specific evidence and welfare considerations.</t>
        </is>
      </c>
    </row>
    <row r="10">
      <c r="A10" s="2" t="inlineStr">
        <is>
          <t>Life Sciences / Biotechnology</t>
        </is>
      </c>
      <c r="B10" s="2" t="inlineStr">
        <is>
          <t>Experimental design, evidence interpretation, reproducibility, bioethics, computational reasoning</t>
        </is>
      </c>
      <c r="C10" s="2" t="inlineStr">
        <is>
          <t>Critique AI-generated hypotheses or analyses using experimental evidence, reproducibility and ethical constraints.</t>
        </is>
      </c>
    </row>
    <row r="11">
      <c r="A11" s="2" t="inlineStr">
        <is>
          <t>Pure Sciences</t>
        </is>
      </c>
      <c r="B11" s="2" t="inlineStr">
        <is>
          <t>Mathematical/scientific reasoning, model critique, experimental design, uncertainty, proof</t>
        </is>
      </c>
      <c r="C11" s="2" t="inlineStr">
        <is>
          <t>Test AI-generated derivations or explanations, identify assumptions/errors and construct an independently justified result.</t>
        </is>
      </c>
    </row>
    <row r="12">
      <c r="A12" s="2" t="inlineStr">
        <is>
          <t>Commerce / Accounting / Finance</t>
        </is>
      </c>
      <c r="B12" s="2" t="inlineStr">
        <is>
          <t>Financial reasoning, evidence, controls, risk, judgement, ethics</t>
        </is>
      </c>
      <c r="C12" s="2" t="inlineStr">
        <is>
          <t>Audit an AI-generated financial/accounting recommendation against source data, controls, standards and risk.</t>
        </is>
      </c>
    </row>
    <row r="13">
      <c r="A13" s="2" t="inlineStr">
        <is>
          <t>Management / Business</t>
        </is>
      </c>
      <c r="B13" s="2" t="inlineStr">
        <is>
          <t>Strategic reasoning, market evidence, decision analysis, leadership, ethics</t>
        </is>
      </c>
      <c r="C13" s="2" t="inlineStr">
        <is>
          <t>Challenge AI strategy recommendations using market evidence, organisational context and stakeholder consequences.</t>
        </is>
      </c>
    </row>
    <row r="14">
      <c r="A14" s="2" t="inlineStr">
        <is>
          <t>Economics</t>
        </is>
      </c>
      <c r="B14" s="2" t="inlineStr">
        <is>
          <t>Causal reasoning, data interpretation, assumptions, policy trade-offs, model limitations</t>
        </is>
      </c>
      <c r="C14" s="2" t="inlineStr">
        <is>
          <t>Evaluate an AI economic argument by testing assumptions, evidence, causality and policy implications.</t>
        </is>
      </c>
    </row>
    <row r="15">
      <c r="A15" s="2" t="inlineStr">
        <is>
          <t>Law</t>
        </is>
      </c>
      <c r="B15" s="2" t="inlineStr">
        <is>
          <t>Legal reasoning, authoritative sources, jurisdiction, fact pattern, ethics, professional judgement</t>
        </is>
      </c>
      <c r="C15" s="2" t="inlineStr">
        <is>
          <t>Validate AI legal analysis against primary authority and jurisdiction; defend the final interpretation.</t>
        </is>
      </c>
    </row>
    <row r="16">
      <c r="A16" s="2" t="inlineStr">
        <is>
          <t>Education</t>
        </is>
      </c>
      <c r="B16" s="2" t="inlineStr">
        <is>
          <t>Pedagogical judgement, learner context, instructional design, assessment, inclusion, ethics</t>
        </is>
      </c>
      <c r="C16" s="2" t="inlineStr">
        <is>
          <t>Evaluate an AI-designed learning intervention for a defined learner group and justify modifications.</t>
        </is>
      </c>
    </row>
    <row r="17">
      <c r="A17" s="2" t="inlineStr">
        <is>
          <t>Psychology</t>
        </is>
      </c>
      <c r="B17" s="2" t="inlineStr">
        <is>
          <t>Evidence evaluation, human behaviour, measurement, ethics, contextual interpretation</t>
        </is>
      </c>
      <c r="C17" s="2" t="inlineStr">
        <is>
          <t>Assess AI-generated psychological interpretation against evidence, measurement limits and ethical context.</t>
        </is>
      </c>
    </row>
    <row r="18">
      <c r="A18" s="2" t="inlineStr">
        <is>
          <t>Sociology / Social Sciences</t>
        </is>
      </c>
      <c r="B18" s="2" t="inlineStr">
        <is>
          <t>Evidence evaluation, causal reasoning, bias, context, policy analysis</t>
        </is>
      </c>
      <c r="C18" s="2" t="inlineStr">
        <is>
          <t>Challenge an AI social-policy recommendation using empirical evidence, competing explanations and social context.</t>
        </is>
      </c>
    </row>
    <row r="19">
      <c r="A19" s="2" t="inlineStr">
        <is>
          <t>History</t>
        </is>
      </c>
      <c r="B19" s="2" t="inlineStr">
        <is>
          <t>Source provenance, historiographical comparison, bias, chronology, interpretation, argument</t>
        </is>
      </c>
      <c r="C19" s="2" t="inlineStr">
        <is>
          <t>Compare an AI historical narrative with primary/secondary sources and defend corrections or alternative interpretation.</t>
        </is>
      </c>
    </row>
    <row r="20">
      <c r="A20" s="2" t="inlineStr">
        <is>
          <t>Geography</t>
        </is>
      </c>
      <c r="B20" s="2" t="inlineStr">
        <is>
          <t>Spatial reasoning, GIS/data interpretation, environmental context, uncertainty, model limitations</t>
        </is>
      </c>
      <c r="C20" s="2" t="inlineStr">
        <is>
          <t>Evaluate an AI spatial/environmental conclusion against geospatial data, local context and uncertainty.</t>
        </is>
      </c>
    </row>
    <row r="21">
      <c r="A21" s="2" t="inlineStr">
        <is>
          <t>Political Science / Public Policy</t>
        </is>
      </c>
      <c r="B21" s="2" t="inlineStr">
        <is>
          <t>Institutional reasoning, evidence, policy design, stakeholder trade-offs, democratic ethics</t>
        </is>
      </c>
      <c r="C21" s="2" t="inlineStr">
        <is>
          <t>Test AI policy advice against evidence, institutional constraints, stakeholder effects and implementation realities.</t>
        </is>
      </c>
    </row>
    <row r="22">
      <c r="A22" s="2" t="inlineStr">
        <is>
          <t>Journalism / Mass Communication / Media</t>
        </is>
      </c>
      <c r="B22" s="2" t="inlineStr">
        <is>
          <t>Source verification, authenticity, editorial judgement, narrative, ethics, audience context</t>
        </is>
      </c>
      <c r="C22" s="2" t="inlineStr">
        <is>
          <t>Fact-check AI-generated content, verify sources, identify synthetic/manipulated elements and make the editorial decision.</t>
        </is>
      </c>
    </row>
    <row r="23">
      <c r="A23" s="2" t="inlineStr">
        <is>
          <t>Languages / Linguistics</t>
        </is>
      </c>
      <c r="B23" s="2" t="inlineStr">
        <is>
          <t>Meaning, cultural nuance, translation judgement, authorship, communication, AI limitations</t>
        </is>
      </c>
      <c r="C23" s="2" t="inlineStr">
        <is>
          <t>Compare AI translation/analysis with contextual meaning and justify human revisions.</t>
        </is>
      </c>
    </row>
    <row r="24">
      <c r="A24" s="2" t="inlineStr">
        <is>
          <t>Literature</t>
        </is>
      </c>
      <c r="B24" s="2" t="inlineStr">
        <is>
          <t>Close reading, interpretation, cultural context, originality, authorship, AI critique</t>
        </is>
      </c>
      <c r="C24" s="2" t="inlineStr">
        <is>
          <t>Critique an AI interpretation of a text and construct a defensible human reading grounded in textual evidence.</t>
        </is>
      </c>
    </row>
    <row r="25">
      <c r="A25" s="2" t="inlineStr">
        <is>
          <t>Philosophy</t>
        </is>
      </c>
      <c r="B25" s="2" t="inlineStr">
        <is>
          <t>Conceptual reasoning, argument analysis, counterargument, ethics, epistemology, originality</t>
        </is>
      </c>
      <c r="C25" s="2" t="inlineStr">
        <is>
          <t>Interrogate an AI philosophical argument, identify hidden assumptions and construct a reasoned counterposition.</t>
        </is>
      </c>
    </row>
    <row r="26">
      <c r="A26" s="2" t="inlineStr">
        <is>
          <t>Fine Arts</t>
        </is>
      </c>
      <c r="B26" s="2" t="inlineStr">
        <is>
          <t>Originality, visual language, cultural context, creative direction, human intent, AI collaboration</t>
        </is>
      </c>
      <c r="C26" s="2" t="inlineStr">
        <is>
          <t>Document human creative intent and AI contribution, then defend artistic choices and originality.</t>
        </is>
      </c>
    </row>
    <row r="27">
      <c r="A27" s="2" t="inlineStr">
        <is>
          <t>Design / Architecture</t>
        </is>
      </c>
      <c r="B27" s="2" t="inlineStr">
        <is>
          <t>Human-centred design, spatial reasoning, constraints, aesthetics, safety, iteration, AI collaboration</t>
        </is>
      </c>
      <c r="C27" s="2" t="inlineStr">
        <is>
          <t>Evaluate AI-generated concepts against user needs, site/context, constraints and design intent; justify final iteration.</t>
        </is>
      </c>
    </row>
    <row r="28">
      <c r="A28" s="2" t="inlineStr">
        <is>
          <t>Performing Arts</t>
        </is>
      </c>
      <c r="B28" s="2" t="inlineStr">
        <is>
          <t>Embodied skill, interpretation, expression, collaboration, originality, human presence</t>
        </is>
      </c>
      <c r="C28" s="2" t="inlineStr">
        <is>
          <t>Use AI where appropriate but demonstrate independent performance, interpretation and creative judgement.</t>
        </is>
      </c>
    </row>
    <row r="29">
      <c r="A29" s="2" t="inlineStr">
        <is>
          <t>Hospitality / Tourism</t>
        </is>
      </c>
      <c r="B29" s="2" t="inlineStr">
        <is>
          <t>Service judgement, cultural intelligence, operations, experience design, sustainability, human interaction</t>
        </is>
      </c>
      <c r="C29" s="2" t="inlineStr">
        <is>
          <t>Evaluate AI itinerary/service recommendations against local context, guest needs, feasibility and cultural sensitivity.</t>
        </is>
      </c>
    </row>
    <row r="30">
      <c r="A30" s="2" t="inlineStr">
        <is>
          <t>Social Work</t>
        </is>
      </c>
      <c r="B30" s="2" t="inlineStr">
        <is>
          <t>Human context, empathy, case judgement, ethics, evidence, safeguarding</t>
        </is>
      </c>
      <c r="C30" s="2" t="inlineStr">
        <is>
          <t>Critique AI-supported case recommendations against lived context, professional ethics and safeguarding requirements.</t>
        </is>
      </c>
    </row>
    <row r="31">
      <c r="A31" s="2" t="inlineStr">
        <is>
          <t>Library &amp; Information Science</t>
        </is>
      </c>
      <c r="B31" s="2" t="inlineStr">
        <is>
          <t>Information literacy, provenance, metadata, retrieval, misinformation, knowledge organisation</t>
        </is>
      </c>
      <c r="C31" s="2" t="inlineStr">
        <is>
          <t>Audit AI-generated information against authoritative sources, provenance and retrieval quality.</t>
        </is>
      </c>
    </row>
    <row r="32">
      <c r="A32" s="2" t="inlineStr">
        <is>
          <t>Media &amp; Film</t>
        </is>
      </c>
      <c r="B32" s="2" t="inlineStr">
        <is>
          <t>Storytelling, production judgement, authorship, authenticity, ethics, AI collaboration</t>
        </is>
      </c>
      <c r="C32" s="2" t="inlineStr">
        <is>
          <t>Evaluate AI-assisted production choices and defend human creative direction, authorship and ethical decisions.</t>
        </is>
      </c>
    </row>
    <row r="33">
      <c r="A33" s="2" t="inlineStr">
        <is>
          <t>Sports / Physical Education</t>
        </is>
      </c>
      <c r="B33" s="2" t="inlineStr">
        <is>
          <t>Embodied performance, coaching judgement, data interpretation, wellbeing, human observation</t>
        </is>
      </c>
      <c r="C33" s="2" t="inlineStr">
        <is>
          <t>Interpret AI performance data alongside direct observation and justify training/coaching decisions.</t>
        </is>
      </c>
    </row>
    <row r="34">
      <c r="A34" s="2" t="inlineStr">
        <is>
          <t>Architecture / Planning / Built Environment</t>
        </is>
      </c>
      <c r="B34" s="2" t="inlineStr">
        <is>
          <t>Urban/spatial reasoning, sustainability, regulations, community context, design judgement</t>
        </is>
      </c>
      <c r="C34" s="2" t="inlineStr">
        <is>
          <t>Test AI-generated planning/design proposals against regulations, site realities, community needs and sustainability.</t>
        </is>
      </c>
    </row>
    <row r="35">
      <c r="A35" s="2" t="inlineStr">
        <is>
          <t>Environmental Studies</t>
        </is>
      </c>
      <c r="B35" s="2" t="inlineStr">
        <is>
          <t>Systems thinking, ecological evidence, uncertainty, risk, policy and field validation</t>
        </is>
      </c>
      <c r="C35" s="2" t="inlineStr">
        <is>
          <t>Evaluate AI environmental claims against field evidence, datasets, uncertainty and ecological context.</t>
        </is>
      </c>
    </row>
    <row r="36">
      <c r="A36" s="2" t="inlineStr">
        <is>
          <t>Interdisciplinary Programmes</t>
        </is>
      </c>
      <c r="B36" s="2" t="inlineStr">
        <is>
          <t>Boundary-crossing problem formulation, synthesis, collaboration, systems thinking, AI orchestration</t>
        </is>
      </c>
      <c r="C36" s="2" t="inlineStr">
        <is>
          <t>Solve a complex problem using multiple disciplinary lenses and explain how AI was used, checked and integrated.</t>
        </is>
      </c>
    </row>
  </sheetData>
  <autoFilter ref="A1:C36"/>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G36"/>
  <sheetViews>
    <sheetView showGridLines="0" workbookViewId="0">
      <pane ySplit="1" topLeftCell="A2" activePane="bottomLeft" state="frozen"/>
      <selection pane="bottomLeft" activeCell="A1" sqref="A1"/>
    </sheetView>
  </sheetViews>
  <sheetFormatPr baseColWidth="8" defaultRowHeight="15"/>
  <cols>
    <col width="13.7109375" customWidth="1" min="1" max="7"/>
  </cols>
  <sheetData>
    <row r="1">
      <c r="A1" s="24" t="inlineStr">
        <is>
          <t>Discipline ID</t>
        </is>
      </c>
      <c r="B1" s="24" t="inlineStr">
        <is>
          <t>Discipline Family</t>
        </is>
      </c>
      <c r="C1" s="24" t="inlineStr">
        <is>
          <t>Discipline / Subject</t>
        </is>
      </c>
      <c r="D1" s="24" t="inlineStr">
        <is>
          <t>AI Transformation Signal</t>
        </is>
      </c>
      <c r="E1" s="24" t="inlineStr">
        <is>
          <t>Human Capability Emphasis</t>
        </is>
      </c>
      <c r="F1" s="24" t="inlineStr">
        <is>
          <t>Typical Student Demonstration</t>
        </is>
      </c>
      <c r="G1" s="24" t="inlineStr">
        <is>
          <t>Activation Logic</t>
        </is>
      </c>
    </row>
    <row r="2">
      <c r="A2" s="2" t="inlineStr">
        <is>
          <t>DISC01</t>
        </is>
      </c>
      <c r="B2" s="2" t="inlineStr">
        <is>
          <t>Engineering &amp; Technology</t>
        </is>
      </c>
      <c r="C2" s="2" t="inlineStr">
        <is>
          <t>Engineering &amp; Technology</t>
        </is>
      </c>
      <c r="D2" s="2" t="inlineStr">
        <is>
          <t>What AI is changing in the discipline</t>
        </is>
      </c>
      <c r="E2" s="2" t="inlineStr">
        <is>
          <t>AI-assisted design/simulation; systems reasoning; safety; verification; human engineering judgement</t>
        </is>
      </c>
      <c r="F2" s="2" t="inlineStr">
        <is>
          <t>Validate AI design/simulation outputs against constraints, standards and physical evidence; defend engineering decisions.</t>
        </is>
      </c>
      <c r="G2" s="2" t="inlineStr">
        <is>
          <t>Activate when institution/programme profile includes this discipline.</t>
        </is>
      </c>
    </row>
    <row r="3">
      <c r="A3" s="2" t="inlineStr">
        <is>
          <t>DISC02</t>
        </is>
      </c>
      <c r="B3" s="2" t="inlineStr">
        <is>
          <t>Computer Science</t>
        </is>
      </c>
      <c r="C3" s="2" t="inlineStr">
        <is>
          <t>Computer Science / IT / Data</t>
        </is>
      </c>
      <c r="D3" s="2" t="inlineStr">
        <is>
          <t>What AI is changing in the discipline</t>
        </is>
      </c>
      <c r="E3" s="2" t="inlineStr">
        <is>
          <t>Model selection, data quality, algorithms, evaluation, security, human oversight</t>
        </is>
      </c>
      <c r="F3" s="2" t="inlineStr">
        <is>
          <t>Evaluate model/data trade-offs, test failure cases, explain limitations and justify deployment choices.</t>
        </is>
      </c>
      <c r="G3" s="2" t="inlineStr">
        <is>
          <t>Activate when institution/programme profile includes this discipline.</t>
        </is>
      </c>
    </row>
    <row r="4">
      <c r="A4" s="2" t="inlineStr">
        <is>
          <t>DISC03</t>
        </is>
      </c>
      <c r="B4" s="2" t="inlineStr">
        <is>
          <t>Medicine</t>
        </is>
      </c>
      <c r="C4" s="2" t="inlineStr">
        <is>
          <t>Medicine</t>
        </is>
      </c>
      <c r="D4" s="2" t="inlineStr">
        <is>
          <t>What AI is changing in the discipline</t>
        </is>
      </c>
      <c r="E4" s="2" t="inlineStr">
        <is>
          <t>Clinical evidence, differential reasoning, patient context, safety, explainability, human accountability</t>
        </is>
      </c>
      <c r="F4" s="2" t="inlineStr">
        <is>
          <t>Challenge AI clinical recommendations against evidence and patient context; document final human judgement.</t>
        </is>
      </c>
      <c r="G4" s="2" t="inlineStr">
        <is>
          <t>Activate when institution/programme profile includes this discipline.</t>
        </is>
      </c>
    </row>
    <row r="5">
      <c r="A5" s="2" t="inlineStr">
        <is>
          <t>DISC04</t>
        </is>
      </c>
      <c r="B5" s="2" t="inlineStr">
        <is>
          <t>Pharmacy</t>
        </is>
      </c>
      <c r="C5" s="2" t="inlineStr">
        <is>
          <t>Pharmacy</t>
        </is>
      </c>
      <c r="D5" s="2" t="inlineStr">
        <is>
          <t>What AI is changing in the discipline</t>
        </is>
      </c>
      <c r="E5" s="2" t="inlineStr">
        <is>
          <t>Drug information verification, pharmacological reasoning, interactions, patient safety, professional judgement</t>
        </is>
      </c>
      <c r="F5" s="2" t="inlineStr">
        <is>
          <t>Verify AI-generated drug information against authoritative sources and assess interaction/safety implications.</t>
        </is>
      </c>
      <c r="G5" s="2" t="inlineStr">
        <is>
          <t>Activate when institution/programme profile includes this discipline.</t>
        </is>
      </c>
    </row>
    <row r="6">
      <c r="A6" s="2" t="inlineStr">
        <is>
          <t>DISC05</t>
        </is>
      </c>
      <c r="B6" s="2" t="inlineStr">
        <is>
          <t>Nursing &amp; Allied Health</t>
        </is>
      </c>
      <c r="C6" s="2" t="inlineStr">
        <is>
          <t>Nursing &amp; Allied Health</t>
        </is>
      </c>
      <c r="D6" s="2" t="inlineStr">
        <is>
          <t>What AI is changing in the discipline</t>
        </is>
      </c>
      <c r="E6" s="2" t="inlineStr">
        <is>
          <t>Patient-centred judgement, procedural competence, evidence use, communication, safety</t>
        </is>
      </c>
      <c r="F6" s="2" t="inlineStr">
        <is>
          <t>Evaluate an AI-supported care recommendation for patient context, safety and professional appropriateness.</t>
        </is>
      </c>
      <c r="G6" s="2" t="inlineStr">
        <is>
          <t>Activate when institution/programme profile includes this discipline.</t>
        </is>
      </c>
    </row>
    <row r="7">
      <c r="A7" s="2" t="inlineStr">
        <is>
          <t>DISC06</t>
        </is>
      </c>
      <c r="B7" s="2" t="inlineStr">
        <is>
          <t>Dentistry</t>
        </is>
      </c>
      <c r="C7" s="2" t="inlineStr">
        <is>
          <t>Dentistry</t>
        </is>
      </c>
      <c r="D7" s="2" t="inlineStr">
        <is>
          <t>What AI is changing in the discipline</t>
        </is>
      </c>
      <c r="E7" s="2" t="inlineStr">
        <is>
          <t>Clinical reasoning, imaging interpretation, treatment planning, patient communication, safety</t>
        </is>
      </c>
      <c r="F7" s="2" t="inlineStr">
        <is>
          <t>Compare AI-supported diagnosis/planning with clinical evidence and justify the final treatment decision.</t>
        </is>
      </c>
      <c r="G7" s="2" t="inlineStr">
        <is>
          <t>Activate when institution/programme profile includes this discipline.</t>
        </is>
      </c>
    </row>
    <row r="8">
      <c r="A8" s="2" t="inlineStr">
        <is>
          <t>DISC07</t>
        </is>
      </c>
      <c r="B8" s="2" t="inlineStr">
        <is>
          <t>Agriculture</t>
        </is>
      </c>
      <c r="C8" s="2" t="inlineStr">
        <is>
          <t>Agriculture</t>
        </is>
      </c>
      <c r="D8" s="2" t="inlineStr">
        <is>
          <t>What AI is changing in the discipline</t>
        </is>
      </c>
      <c r="E8" s="2" t="inlineStr">
        <is>
          <t>Field-context reasoning, climate/soil/crop data, technology use, uncertainty, farmer-centred decisions</t>
        </is>
      </c>
      <c r="F8" s="2" t="inlineStr">
        <is>
          <t>Test AI recommendations against local field conditions, agronomic evidence and seasonal uncertainty.</t>
        </is>
      </c>
      <c r="G8" s="2" t="inlineStr">
        <is>
          <t>Activate when institution/programme profile includes this discipline.</t>
        </is>
      </c>
    </row>
    <row r="9">
      <c r="A9" s="2" t="inlineStr">
        <is>
          <t>DISC08</t>
        </is>
      </c>
      <c r="B9" s="2" t="inlineStr">
        <is>
          <t>Veterinary Science</t>
        </is>
      </c>
      <c r="C9" s="2" t="inlineStr">
        <is>
          <t>Veterinary Science</t>
        </is>
      </c>
      <c r="D9" s="2" t="inlineStr">
        <is>
          <t>What AI is changing in the discipline</t>
        </is>
      </c>
      <c r="E9" s="2" t="inlineStr">
        <is>
          <t>Clinical reasoning, animal welfare, epidemiology, evidence verification, professional judgement</t>
        </is>
      </c>
      <c r="F9" s="2" t="inlineStr">
        <is>
          <t>Evaluate AI-supported diagnosis/treatment against species-specific evidence and welfare considerations.</t>
        </is>
      </c>
      <c r="G9" s="2" t="inlineStr">
        <is>
          <t>Activate when institution/programme profile includes this discipline.</t>
        </is>
      </c>
    </row>
    <row r="10">
      <c r="A10" s="2" t="inlineStr">
        <is>
          <t>DISC09</t>
        </is>
      </c>
      <c r="B10" s="2" t="inlineStr">
        <is>
          <t>Life Sciences</t>
        </is>
      </c>
      <c r="C10" s="2" t="inlineStr">
        <is>
          <t>Life Sciences / Biotechnology</t>
        </is>
      </c>
      <c r="D10" s="2" t="inlineStr">
        <is>
          <t>What AI is changing in the discipline</t>
        </is>
      </c>
      <c r="E10" s="2" t="inlineStr">
        <is>
          <t>Experimental design, evidence interpretation, reproducibility, bioethics, computational reasoning</t>
        </is>
      </c>
      <c r="F10" s="2" t="inlineStr">
        <is>
          <t>Critique AI-generated hypotheses or analyses using experimental evidence, reproducibility and ethical constraints.</t>
        </is>
      </c>
      <c r="G10" s="2" t="inlineStr">
        <is>
          <t>Activate when institution/programme profile includes this discipline.</t>
        </is>
      </c>
    </row>
    <row r="11">
      <c r="A11" s="2" t="inlineStr">
        <is>
          <t>DISC10</t>
        </is>
      </c>
      <c r="B11" s="2" t="inlineStr">
        <is>
          <t>Pure Sciences</t>
        </is>
      </c>
      <c r="C11" s="2" t="inlineStr">
        <is>
          <t>Pure Sciences</t>
        </is>
      </c>
      <c r="D11" s="2" t="inlineStr">
        <is>
          <t>What AI is changing in the discipline</t>
        </is>
      </c>
      <c r="E11" s="2" t="inlineStr">
        <is>
          <t>Mathematical/scientific reasoning, model critique, experimental design, uncertainty, proof</t>
        </is>
      </c>
      <c r="F11" s="2" t="inlineStr">
        <is>
          <t>Test AI-generated derivations or explanations, identify assumptions/errors and construct an independently justified result.</t>
        </is>
      </c>
      <c r="G11" s="2" t="inlineStr">
        <is>
          <t>Activate when institution/programme profile includes this discipline.</t>
        </is>
      </c>
    </row>
    <row r="12">
      <c r="A12" s="2" t="inlineStr">
        <is>
          <t>DISC11</t>
        </is>
      </c>
      <c r="B12" s="2" t="inlineStr">
        <is>
          <t>Commerce</t>
        </is>
      </c>
      <c r="C12" s="2" t="inlineStr">
        <is>
          <t>Commerce / Accounting / Finance</t>
        </is>
      </c>
      <c r="D12" s="2" t="inlineStr">
        <is>
          <t>What AI is changing in the discipline</t>
        </is>
      </c>
      <c r="E12" s="2" t="inlineStr">
        <is>
          <t>Financial reasoning, evidence, controls, risk, judgement, ethics</t>
        </is>
      </c>
      <c r="F12" s="2" t="inlineStr">
        <is>
          <t>Audit an AI-generated financial/accounting recommendation against source data, controls, standards and risk.</t>
        </is>
      </c>
      <c r="G12" s="2" t="inlineStr">
        <is>
          <t>Activate when institution/programme profile includes this discipline.</t>
        </is>
      </c>
    </row>
    <row r="13">
      <c r="A13" s="2" t="inlineStr">
        <is>
          <t>DISC12</t>
        </is>
      </c>
      <c r="B13" s="2" t="inlineStr">
        <is>
          <t>Management</t>
        </is>
      </c>
      <c r="C13" s="2" t="inlineStr">
        <is>
          <t>Management / Business</t>
        </is>
      </c>
      <c r="D13" s="2" t="inlineStr">
        <is>
          <t>What AI is changing in the discipline</t>
        </is>
      </c>
      <c r="E13" s="2" t="inlineStr">
        <is>
          <t>Strategic reasoning, market evidence, decision analysis, leadership, ethics</t>
        </is>
      </c>
      <c r="F13" s="2" t="inlineStr">
        <is>
          <t>Challenge AI strategy recommendations using market evidence, organisational context and stakeholder consequences.</t>
        </is>
      </c>
      <c r="G13" s="2" t="inlineStr">
        <is>
          <t>Activate when institution/programme profile includes this discipline.</t>
        </is>
      </c>
    </row>
    <row r="14">
      <c r="A14" s="2" t="inlineStr">
        <is>
          <t>DISC13</t>
        </is>
      </c>
      <c r="B14" s="2" t="inlineStr">
        <is>
          <t>Economics</t>
        </is>
      </c>
      <c r="C14" s="2" t="inlineStr">
        <is>
          <t>Economics</t>
        </is>
      </c>
      <c r="D14" s="2" t="inlineStr">
        <is>
          <t>What AI is changing in the discipline</t>
        </is>
      </c>
      <c r="E14" s="2" t="inlineStr">
        <is>
          <t>Causal reasoning, data interpretation, assumptions, policy trade-offs, model limitations</t>
        </is>
      </c>
      <c r="F14" s="2" t="inlineStr">
        <is>
          <t>Evaluate an AI economic argument by testing assumptions, evidence, causality and policy implications.</t>
        </is>
      </c>
      <c r="G14" s="2" t="inlineStr">
        <is>
          <t>Activate when institution/programme profile includes this discipline.</t>
        </is>
      </c>
    </row>
    <row r="15">
      <c r="A15" s="2" t="inlineStr">
        <is>
          <t>DISC14</t>
        </is>
      </c>
      <c r="B15" s="2" t="inlineStr">
        <is>
          <t>Law</t>
        </is>
      </c>
      <c r="C15" s="2" t="inlineStr">
        <is>
          <t>Law</t>
        </is>
      </c>
      <c r="D15" s="2" t="inlineStr">
        <is>
          <t>What AI is changing in the discipline</t>
        </is>
      </c>
      <c r="E15" s="2" t="inlineStr">
        <is>
          <t>Legal reasoning, authoritative sources, jurisdiction, fact pattern, ethics, professional judgement</t>
        </is>
      </c>
      <c r="F15" s="2" t="inlineStr">
        <is>
          <t>Validate AI legal analysis against primary authority and jurisdiction; defend the final interpretation.</t>
        </is>
      </c>
      <c r="G15" s="2" t="inlineStr">
        <is>
          <t>Activate when institution/programme profile includes this discipline.</t>
        </is>
      </c>
    </row>
    <row r="16">
      <c r="A16" s="2" t="inlineStr">
        <is>
          <t>DISC15</t>
        </is>
      </c>
      <c r="B16" s="2" t="inlineStr">
        <is>
          <t>Education</t>
        </is>
      </c>
      <c r="C16" s="2" t="inlineStr">
        <is>
          <t>Education</t>
        </is>
      </c>
      <c r="D16" s="2" t="inlineStr">
        <is>
          <t>What AI is changing in the discipline</t>
        </is>
      </c>
      <c r="E16" s="2" t="inlineStr">
        <is>
          <t>Pedagogical judgement, learner context, instructional design, assessment, inclusion, ethics</t>
        </is>
      </c>
      <c r="F16" s="2" t="inlineStr">
        <is>
          <t>Evaluate an AI-designed learning intervention for a defined learner group and justify modifications.</t>
        </is>
      </c>
      <c r="G16" s="2" t="inlineStr">
        <is>
          <t>Activate when institution/programme profile includes this discipline.</t>
        </is>
      </c>
    </row>
    <row r="17">
      <c r="A17" s="2" t="inlineStr">
        <is>
          <t>DISC16</t>
        </is>
      </c>
      <c r="B17" s="2" t="inlineStr">
        <is>
          <t>Psychology</t>
        </is>
      </c>
      <c r="C17" s="2" t="inlineStr">
        <is>
          <t>Psychology</t>
        </is>
      </c>
      <c r="D17" s="2" t="inlineStr">
        <is>
          <t>What AI is changing in the discipline</t>
        </is>
      </c>
      <c r="E17" s="2" t="inlineStr">
        <is>
          <t>Evidence evaluation, human behaviour, measurement, ethics, contextual interpretation</t>
        </is>
      </c>
      <c r="F17" s="2" t="inlineStr">
        <is>
          <t>Assess AI-generated psychological interpretation against evidence, measurement limits and ethical context.</t>
        </is>
      </c>
      <c r="G17" s="2" t="inlineStr">
        <is>
          <t>Activate when institution/programme profile includes this discipline.</t>
        </is>
      </c>
    </row>
    <row r="18">
      <c r="A18" s="2" t="inlineStr">
        <is>
          <t>DISC17</t>
        </is>
      </c>
      <c r="B18" s="2" t="inlineStr">
        <is>
          <t>Sociology</t>
        </is>
      </c>
      <c r="C18" s="2" t="inlineStr">
        <is>
          <t>Sociology / Social Sciences</t>
        </is>
      </c>
      <c r="D18" s="2" t="inlineStr">
        <is>
          <t>What AI is changing in the discipline</t>
        </is>
      </c>
      <c r="E18" s="2" t="inlineStr">
        <is>
          <t>Evidence evaluation, causal reasoning, bias, context, policy analysis</t>
        </is>
      </c>
      <c r="F18" s="2" t="inlineStr">
        <is>
          <t>Challenge an AI social-policy recommendation using empirical evidence, competing explanations and social context.</t>
        </is>
      </c>
      <c r="G18" s="2" t="inlineStr">
        <is>
          <t>Activate when institution/programme profile includes this discipline.</t>
        </is>
      </c>
    </row>
    <row r="19">
      <c r="A19" s="2" t="inlineStr">
        <is>
          <t>DISC18</t>
        </is>
      </c>
      <c r="B19" s="2" t="inlineStr">
        <is>
          <t>History</t>
        </is>
      </c>
      <c r="C19" s="2" t="inlineStr">
        <is>
          <t>History</t>
        </is>
      </c>
      <c r="D19" s="2" t="inlineStr">
        <is>
          <t>What AI is changing in the discipline</t>
        </is>
      </c>
      <c r="E19" s="2" t="inlineStr">
        <is>
          <t>Source provenance, historiographical comparison, bias, chronology, interpretation, argument</t>
        </is>
      </c>
      <c r="F19" s="2" t="inlineStr">
        <is>
          <t>Compare an AI historical narrative with primary/secondary sources and defend corrections or alternative interpretation.</t>
        </is>
      </c>
      <c r="G19" s="2" t="inlineStr">
        <is>
          <t>Activate when institution/programme profile includes this discipline.</t>
        </is>
      </c>
    </row>
    <row r="20">
      <c r="A20" s="2" t="inlineStr">
        <is>
          <t>DISC19</t>
        </is>
      </c>
      <c r="B20" s="2" t="inlineStr">
        <is>
          <t>Geography</t>
        </is>
      </c>
      <c r="C20" s="2" t="inlineStr">
        <is>
          <t>Geography</t>
        </is>
      </c>
      <c r="D20" s="2" t="inlineStr">
        <is>
          <t>What AI is changing in the discipline</t>
        </is>
      </c>
      <c r="E20" s="2" t="inlineStr">
        <is>
          <t>Spatial reasoning, GIS/data interpretation, environmental context, uncertainty, model limitations</t>
        </is>
      </c>
      <c r="F20" s="2" t="inlineStr">
        <is>
          <t>Evaluate an AI spatial/environmental conclusion against geospatial data, local context and uncertainty.</t>
        </is>
      </c>
      <c r="G20" s="2" t="inlineStr">
        <is>
          <t>Activate when institution/programme profile includes this discipline.</t>
        </is>
      </c>
    </row>
    <row r="21">
      <c r="A21" s="2" t="inlineStr">
        <is>
          <t>DISC20</t>
        </is>
      </c>
      <c r="B21" s="2" t="inlineStr">
        <is>
          <t>Political Science</t>
        </is>
      </c>
      <c r="C21" s="2" t="inlineStr">
        <is>
          <t>Political Science / Public Policy</t>
        </is>
      </c>
      <c r="D21" s="2" t="inlineStr">
        <is>
          <t>What AI is changing in the discipline</t>
        </is>
      </c>
      <c r="E21" s="2" t="inlineStr">
        <is>
          <t>Institutional reasoning, evidence, policy design, stakeholder trade-offs, democratic ethics</t>
        </is>
      </c>
      <c r="F21" s="2" t="inlineStr">
        <is>
          <t>Test AI policy advice against evidence, institutional constraints, stakeholder effects and implementation realities.</t>
        </is>
      </c>
      <c r="G21" s="2" t="inlineStr">
        <is>
          <t>Activate when institution/programme profile includes this discipline.</t>
        </is>
      </c>
    </row>
    <row r="22">
      <c r="A22" s="2" t="inlineStr">
        <is>
          <t>DISC21</t>
        </is>
      </c>
      <c r="B22" s="2" t="inlineStr">
        <is>
          <t>Journalism</t>
        </is>
      </c>
      <c r="C22" s="2" t="inlineStr">
        <is>
          <t>Journalism / Mass Communication / Media</t>
        </is>
      </c>
      <c r="D22" s="2" t="inlineStr">
        <is>
          <t>What AI is changing in the discipline</t>
        </is>
      </c>
      <c r="E22" s="2" t="inlineStr">
        <is>
          <t>Source verification, authenticity, editorial judgement, narrative, ethics, audience context</t>
        </is>
      </c>
      <c r="F22" s="2" t="inlineStr">
        <is>
          <t>Fact-check AI-generated content, verify sources, identify synthetic/manipulated elements and make the editorial decision.</t>
        </is>
      </c>
      <c r="G22" s="2" t="inlineStr">
        <is>
          <t>Activate when institution/programme profile includes this discipline.</t>
        </is>
      </c>
    </row>
    <row r="23">
      <c r="A23" s="2" t="inlineStr">
        <is>
          <t>DISC22</t>
        </is>
      </c>
      <c r="B23" s="2" t="inlineStr">
        <is>
          <t>Languages</t>
        </is>
      </c>
      <c r="C23" s="2" t="inlineStr">
        <is>
          <t>Languages / Linguistics</t>
        </is>
      </c>
      <c r="D23" s="2" t="inlineStr">
        <is>
          <t>What AI is changing in the discipline</t>
        </is>
      </c>
      <c r="E23" s="2" t="inlineStr">
        <is>
          <t>Meaning, cultural nuance, translation judgement, authorship, communication, AI limitations</t>
        </is>
      </c>
      <c r="F23" s="2" t="inlineStr">
        <is>
          <t>Compare AI translation/analysis with contextual meaning and justify human revisions.</t>
        </is>
      </c>
      <c r="G23" s="2" t="inlineStr">
        <is>
          <t>Activate when institution/programme profile includes this discipline.</t>
        </is>
      </c>
    </row>
    <row r="24">
      <c r="A24" s="2" t="inlineStr">
        <is>
          <t>DISC23</t>
        </is>
      </c>
      <c r="B24" s="2" t="inlineStr">
        <is>
          <t>Literature</t>
        </is>
      </c>
      <c r="C24" s="2" t="inlineStr">
        <is>
          <t>Literature</t>
        </is>
      </c>
      <c r="D24" s="2" t="inlineStr">
        <is>
          <t>What AI is changing in the discipline</t>
        </is>
      </c>
      <c r="E24" s="2" t="inlineStr">
        <is>
          <t>Close reading, interpretation, cultural context, originality, authorship, AI critique</t>
        </is>
      </c>
      <c r="F24" s="2" t="inlineStr">
        <is>
          <t>Critique an AI interpretation of a text and construct a defensible human reading grounded in textual evidence.</t>
        </is>
      </c>
      <c r="G24" s="2" t="inlineStr">
        <is>
          <t>Activate when institution/programme profile includes this discipline.</t>
        </is>
      </c>
    </row>
    <row r="25">
      <c r="A25" s="2" t="inlineStr">
        <is>
          <t>DISC24</t>
        </is>
      </c>
      <c r="B25" s="2" t="inlineStr">
        <is>
          <t>Philosophy</t>
        </is>
      </c>
      <c r="C25" s="2" t="inlineStr">
        <is>
          <t>Philosophy</t>
        </is>
      </c>
      <c r="D25" s="2" t="inlineStr">
        <is>
          <t>What AI is changing in the discipline</t>
        </is>
      </c>
      <c r="E25" s="2" t="inlineStr">
        <is>
          <t>Conceptual reasoning, argument analysis, counterargument, ethics, epistemology, originality</t>
        </is>
      </c>
      <c r="F25" s="2" t="inlineStr">
        <is>
          <t>Interrogate an AI philosophical argument, identify hidden assumptions and construct a reasoned counterposition.</t>
        </is>
      </c>
      <c r="G25" s="2" t="inlineStr">
        <is>
          <t>Activate when institution/programme profile includes this discipline.</t>
        </is>
      </c>
    </row>
    <row r="26">
      <c r="A26" s="2" t="inlineStr">
        <is>
          <t>DISC25</t>
        </is>
      </c>
      <c r="B26" s="2" t="inlineStr">
        <is>
          <t>Fine Arts</t>
        </is>
      </c>
      <c r="C26" s="2" t="inlineStr">
        <is>
          <t>Fine Arts</t>
        </is>
      </c>
      <c r="D26" s="2" t="inlineStr">
        <is>
          <t>What AI is changing in the discipline</t>
        </is>
      </c>
      <c r="E26" s="2" t="inlineStr">
        <is>
          <t>Originality, visual language, cultural context, creative direction, human intent, AI collaboration</t>
        </is>
      </c>
      <c r="F26" s="2" t="inlineStr">
        <is>
          <t>Document human creative intent and AI contribution, then defend artistic choices and originality.</t>
        </is>
      </c>
      <c r="G26" s="2" t="inlineStr">
        <is>
          <t>Activate when institution/programme profile includes this discipline.</t>
        </is>
      </c>
    </row>
    <row r="27">
      <c r="A27" s="2" t="inlineStr">
        <is>
          <t>DISC26</t>
        </is>
      </c>
      <c r="B27" s="2" t="inlineStr">
        <is>
          <t>Design</t>
        </is>
      </c>
      <c r="C27" s="2" t="inlineStr">
        <is>
          <t>Design / Architecture</t>
        </is>
      </c>
      <c r="D27" s="2" t="inlineStr">
        <is>
          <t>What AI is changing in the discipline</t>
        </is>
      </c>
      <c r="E27" s="2" t="inlineStr">
        <is>
          <t>Human-centred design, spatial reasoning, constraints, aesthetics, safety, iteration, AI collaboration</t>
        </is>
      </c>
      <c r="F27" s="2" t="inlineStr">
        <is>
          <t>Evaluate AI-generated concepts against user needs, site/context, constraints and design intent; justify final iteration.</t>
        </is>
      </c>
      <c r="G27" s="2" t="inlineStr">
        <is>
          <t>Activate when institution/programme profile includes this discipline.</t>
        </is>
      </c>
    </row>
    <row r="28">
      <c r="A28" s="2" t="inlineStr">
        <is>
          <t>DISC27</t>
        </is>
      </c>
      <c r="B28" s="2" t="inlineStr">
        <is>
          <t>Performing Arts</t>
        </is>
      </c>
      <c r="C28" s="2" t="inlineStr">
        <is>
          <t>Performing Arts</t>
        </is>
      </c>
      <c r="D28" s="2" t="inlineStr">
        <is>
          <t>What AI is changing in the discipline</t>
        </is>
      </c>
      <c r="E28" s="2" t="inlineStr">
        <is>
          <t>Embodied skill, interpretation, expression, collaboration, originality, human presence</t>
        </is>
      </c>
      <c r="F28" s="2" t="inlineStr">
        <is>
          <t>Use AI where appropriate but demonstrate independent performance, interpretation and creative judgement.</t>
        </is>
      </c>
      <c r="G28" s="2" t="inlineStr">
        <is>
          <t>Activate when institution/programme profile includes this discipline.</t>
        </is>
      </c>
    </row>
    <row r="29">
      <c r="A29" s="2" t="inlineStr">
        <is>
          <t>DISC28</t>
        </is>
      </c>
      <c r="B29" s="2" t="inlineStr">
        <is>
          <t>Hospitality</t>
        </is>
      </c>
      <c r="C29" s="2" t="inlineStr">
        <is>
          <t>Hospitality / Tourism</t>
        </is>
      </c>
      <c r="D29" s="2" t="inlineStr">
        <is>
          <t>What AI is changing in the discipline</t>
        </is>
      </c>
      <c r="E29" s="2" t="inlineStr">
        <is>
          <t>Service judgement, cultural intelligence, operations, experience design, sustainability, human interaction</t>
        </is>
      </c>
      <c r="F29" s="2" t="inlineStr">
        <is>
          <t>Evaluate AI itinerary/service recommendations against local context, guest needs, feasibility and cultural sensitivity.</t>
        </is>
      </c>
      <c r="G29" s="2" t="inlineStr">
        <is>
          <t>Activate when institution/programme profile includes this discipline.</t>
        </is>
      </c>
    </row>
    <row r="30">
      <c r="A30" s="2" t="inlineStr">
        <is>
          <t>DISC29</t>
        </is>
      </c>
      <c r="B30" s="2" t="inlineStr">
        <is>
          <t>Social Work</t>
        </is>
      </c>
      <c r="C30" s="2" t="inlineStr">
        <is>
          <t>Social Work</t>
        </is>
      </c>
      <c r="D30" s="2" t="inlineStr">
        <is>
          <t>What AI is changing in the discipline</t>
        </is>
      </c>
      <c r="E30" s="2" t="inlineStr">
        <is>
          <t>Human context, empathy, case judgement, ethics, evidence, safeguarding</t>
        </is>
      </c>
      <c r="F30" s="2" t="inlineStr">
        <is>
          <t>Critique AI-supported case recommendations against lived context, professional ethics and safeguarding requirements.</t>
        </is>
      </c>
      <c r="G30" s="2" t="inlineStr">
        <is>
          <t>Activate when institution/programme profile includes this discipline.</t>
        </is>
      </c>
    </row>
    <row r="31">
      <c r="A31" s="2" t="inlineStr">
        <is>
          <t>DISC30</t>
        </is>
      </c>
      <c r="B31" s="2" t="inlineStr">
        <is>
          <t>Library &amp; Information Science</t>
        </is>
      </c>
      <c r="C31" s="2" t="inlineStr">
        <is>
          <t>Library &amp; Information Science</t>
        </is>
      </c>
      <c r="D31" s="2" t="inlineStr">
        <is>
          <t>What AI is changing in the discipline</t>
        </is>
      </c>
      <c r="E31" s="2" t="inlineStr">
        <is>
          <t>Information literacy, provenance, metadata, retrieval, misinformation, knowledge organisation</t>
        </is>
      </c>
      <c r="F31" s="2" t="inlineStr">
        <is>
          <t>Audit AI-generated information against authoritative sources, provenance and retrieval quality.</t>
        </is>
      </c>
      <c r="G31" s="2" t="inlineStr">
        <is>
          <t>Activate when institution/programme profile includes this discipline.</t>
        </is>
      </c>
    </row>
    <row r="32">
      <c r="A32" s="2" t="inlineStr">
        <is>
          <t>DISC31</t>
        </is>
      </c>
      <c r="B32" s="2" t="inlineStr">
        <is>
          <t>Media &amp; Film</t>
        </is>
      </c>
      <c r="C32" s="2" t="inlineStr">
        <is>
          <t>Media &amp; Film</t>
        </is>
      </c>
      <c r="D32" s="2" t="inlineStr">
        <is>
          <t>What AI is changing in the discipline</t>
        </is>
      </c>
      <c r="E32" s="2" t="inlineStr">
        <is>
          <t>Storytelling, production judgement, authorship, authenticity, ethics, AI collaboration</t>
        </is>
      </c>
      <c r="F32" s="2" t="inlineStr">
        <is>
          <t>Evaluate AI-assisted production choices and defend human creative direction, authorship and ethical decisions.</t>
        </is>
      </c>
      <c r="G32" s="2" t="inlineStr">
        <is>
          <t>Activate when institution/programme profile includes this discipline.</t>
        </is>
      </c>
    </row>
    <row r="33">
      <c r="A33" s="2" t="inlineStr">
        <is>
          <t>DISC32</t>
        </is>
      </c>
      <c r="B33" s="2" t="inlineStr">
        <is>
          <t>Sports</t>
        </is>
      </c>
      <c r="C33" s="2" t="inlineStr">
        <is>
          <t>Sports / Physical Education</t>
        </is>
      </c>
      <c r="D33" s="2" t="inlineStr">
        <is>
          <t>What AI is changing in the discipline</t>
        </is>
      </c>
      <c r="E33" s="2" t="inlineStr">
        <is>
          <t>Embodied performance, coaching judgement, data interpretation, wellbeing, human observation</t>
        </is>
      </c>
      <c r="F33" s="2" t="inlineStr">
        <is>
          <t>Interpret AI performance data alongside direct observation and justify training/coaching decisions.</t>
        </is>
      </c>
      <c r="G33" s="2" t="inlineStr">
        <is>
          <t>Activate when institution/programme profile includes this discipline.</t>
        </is>
      </c>
    </row>
    <row r="34">
      <c r="A34" s="2" t="inlineStr">
        <is>
          <t>DISC33</t>
        </is>
      </c>
      <c r="B34" s="2" t="inlineStr">
        <is>
          <t>Architecture</t>
        </is>
      </c>
      <c r="C34" s="2" t="inlineStr">
        <is>
          <t>Architecture / Planning / Built Environment</t>
        </is>
      </c>
      <c r="D34" s="2" t="inlineStr">
        <is>
          <t>What AI is changing in the discipline</t>
        </is>
      </c>
      <c r="E34" s="2" t="inlineStr">
        <is>
          <t>Urban/spatial reasoning, sustainability, regulations, community context, design judgement</t>
        </is>
      </c>
      <c r="F34" s="2" t="inlineStr">
        <is>
          <t>Test AI-generated planning/design proposals against regulations, site realities, community needs and sustainability.</t>
        </is>
      </c>
      <c r="G34" s="2" t="inlineStr">
        <is>
          <t>Activate when institution/programme profile includes this discipline.</t>
        </is>
      </c>
    </row>
    <row r="35">
      <c r="A35" s="2" t="inlineStr">
        <is>
          <t>DISC34</t>
        </is>
      </c>
      <c r="B35" s="2" t="inlineStr">
        <is>
          <t>Environmental Studies</t>
        </is>
      </c>
      <c r="C35" s="2" t="inlineStr">
        <is>
          <t>Environmental Studies</t>
        </is>
      </c>
      <c r="D35" s="2" t="inlineStr">
        <is>
          <t>What AI is changing in the discipline</t>
        </is>
      </c>
      <c r="E35" s="2" t="inlineStr">
        <is>
          <t>Systems thinking, ecological evidence, uncertainty, risk, policy and field validation</t>
        </is>
      </c>
      <c r="F35" s="2" t="inlineStr">
        <is>
          <t>Evaluate AI environmental claims against field evidence, datasets, uncertainty and ecological context.</t>
        </is>
      </c>
      <c r="G35" s="2" t="inlineStr">
        <is>
          <t>Activate when institution/programme profile includes this discipline.</t>
        </is>
      </c>
    </row>
    <row r="36">
      <c r="A36" s="2" t="inlineStr">
        <is>
          <t>DISC35</t>
        </is>
      </c>
      <c r="B36" s="2" t="inlineStr">
        <is>
          <t>Interdisciplinary Programmes</t>
        </is>
      </c>
      <c r="C36" s="2" t="inlineStr">
        <is>
          <t>Interdisciplinary Programmes</t>
        </is>
      </c>
      <c r="D36" s="2" t="inlineStr">
        <is>
          <t>What AI is changing in the discipline</t>
        </is>
      </c>
      <c r="E36" s="2" t="inlineStr">
        <is>
          <t>Boundary-crossing problem formulation, synthesis, collaboration, systems thinking, AI orchestration</t>
        </is>
      </c>
      <c r="F36" s="2" t="inlineStr">
        <is>
          <t>Solve a complex problem using multiple disciplinary lenses and explain how AI was used, checked and integrated.</t>
        </is>
      </c>
      <c r="G36" s="2" t="inlineStr">
        <is>
          <t>Activate when institution/programme profile includes this discipline.</t>
        </is>
      </c>
    </row>
  </sheetData>
  <autoFilter ref="A1:G36"/>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D58"/>
  <sheetViews>
    <sheetView showGridLines="0" workbookViewId="0">
      <pane ySplit="1" topLeftCell="A2" activePane="bottomLeft" state="frozen"/>
      <selection pane="bottomLeft" activeCell="A1" sqref="A1"/>
    </sheetView>
  </sheetViews>
  <sheetFormatPr baseColWidth="8" defaultRowHeight="15"/>
  <cols>
    <col width="13.7109375" customWidth="1" min="1" max="4"/>
  </cols>
  <sheetData>
    <row r="1">
      <c r="A1" s="24" t="inlineStr">
        <is>
          <t>Scope</t>
        </is>
      </c>
      <c r="B1" s="24" t="inlineStr">
        <is>
          <t>Level</t>
        </is>
      </c>
      <c r="C1" s="24" t="inlineStr">
        <is>
          <t>Label</t>
        </is>
      </c>
      <c r="D1" s="24" t="inlineStr">
        <is>
          <t>Anchor</t>
        </is>
      </c>
    </row>
    <row r="2">
      <c r="A2" s="2" t="inlineStr">
        <is>
          <t>All</t>
        </is>
      </c>
      <c r="B2" s="2" t="inlineStr">
        <is>
          <t>0</t>
        </is>
      </c>
      <c r="C2" s="2" t="inlineStr">
        <is>
          <t>Absent</t>
        </is>
      </c>
      <c r="D2" s="2" t="inlineStr">
        <is>
          <t>No meaningful capability/mechanism.</t>
        </is>
      </c>
    </row>
    <row r="3">
      <c r="A3" s="2" t="inlineStr">
        <is>
          <t>All</t>
        </is>
      </c>
      <c r="B3" s="2" t="inlineStr">
        <is>
          <t>1</t>
        </is>
      </c>
      <c r="C3" s="2" t="inlineStr">
        <is>
          <t>Reactive</t>
        </is>
      </c>
      <c r="D3" s="2" t="inlineStr">
        <is>
          <t>Individual/ad-hoc responses.</t>
        </is>
      </c>
    </row>
    <row r="4">
      <c r="A4" s="2" t="inlineStr">
        <is>
          <t>All</t>
        </is>
      </c>
      <c r="B4" s="2" t="inlineStr">
        <is>
          <t>2</t>
        </is>
      </c>
      <c r="C4" s="2" t="inlineStr">
        <is>
          <t>Emerging</t>
        </is>
      </c>
      <c r="D4" s="2" t="inlineStr">
        <is>
          <t>Institutional awareness and initial practices.</t>
        </is>
      </c>
    </row>
    <row r="5">
      <c r="A5" s="2" t="inlineStr">
        <is>
          <t>All</t>
        </is>
      </c>
      <c r="B5" s="2" t="inlineStr">
        <is>
          <t>3</t>
        </is>
      </c>
      <c r="C5" s="2" t="inlineStr">
        <is>
          <t>Structured</t>
        </is>
      </c>
      <c r="D5" s="2" t="inlineStr">
        <is>
          <t>Defined processes, ownership and mechanisms used.</t>
        </is>
      </c>
    </row>
    <row r="6">
      <c r="A6" s="2" t="inlineStr">
        <is>
          <t>All</t>
        </is>
      </c>
      <c r="B6" s="2" t="inlineStr">
        <is>
          <t>4</t>
        </is>
      </c>
      <c r="C6" s="2" t="inlineStr">
        <is>
          <t>Integrated</t>
        </is>
      </c>
      <c r="D6" s="2" t="inlineStr">
        <is>
          <t>Embedded across relevant functions with operational/outcome evidence.</t>
        </is>
      </c>
    </row>
    <row r="7">
      <c r="A7" s="2" t="inlineStr">
        <is>
          <t>All</t>
        </is>
      </c>
      <c r="B7" s="2" t="inlineStr">
        <is>
          <t>5</t>
        </is>
      </c>
      <c r="C7" s="2" t="inlineStr">
        <is>
          <t>Adaptive</t>
        </is>
      </c>
      <c r="D7" s="2" t="inlineStr">
        <is>
          <t>Continuously senses, learns and proactively modifies capability.</t>
        </is>
      </c>
    </row>
    <row r="8">
      <c r="A8" s="2" t="inlineStr">
        <is>
          <t>D01</t>
        </is>
      </c>
      <c r="B8" s="2" t="inlineStr">
        <is>
          <t>1</t>
        </is>
      </c>
      <c r="C8" s="2" t="inlineStr">
        <is>
          <t>Reactive</t>
        </is>
      </c>
      <c r="D8" s="2" t="inlineStr">
        <is>
          <t>AI addressed by individuals without coherent strategic mechanism.</t>
        </is>
      </c>
    </row>
    <row r="9">
      <c r="A9" s="2" t="inlineStr">
        <is>
          <t>D01</t>
        </is>
      </c>
      <c r="B9" s="2" t="inlineStr">
        <is>
          <t>2</t>
        </is>
      </c>
      <c r="C9" s="2" t="inlineStr">
        <is>
          <t>Emerging</t>
        </is>
      </c>
      <c r="D9" s="2" t="inlineStr">
        <is>
          <t>Leadership recognises importance; planning/pilots begin.</t>
        </is>
      </c>
    </row>
    <row r="10">
      <c r="A10" s="2" t="inlineStr">
        <is>
          <t>D01</t>
        </is>
      </c>
      <c r="B10" s="2" t="inlineStr">
        <is>
          <t>3</t>
        </is>
      </c>
      <c r="C10" s="2" t="inlineStr">
        <is>
          <t>Structured</t>
        </is>
      </c>
      <c r="D10" s="2" t="inlineStr">
        <is>
          <t>Future implications enter planning, portfolio review and decisions.</t>
        </is>
      </c>
    </row>
    <row r="11">
      <c r="A11" s="2" t="inlineStr">
        <is>
          <t>D01</t>
        </is>
      </c>
      <c r="B11" s="2" t="inlineStr">
        <is>
          <t>4</t>
        </is>
      </c>
      <c r="C11" s="2" t="inlineStr">
        <is>
          <t>Integrated</t>
        </is>
      </c>
      <c r="D11" s="2" t="inlineStr">
        <is>
          <t>Foresight influences functions, resources and measurable priorities.</t>
        </is>
      </c>
    </row>
    <row r="12">
      <c r="A12" s="2" t="inlineStr">
        <is>
          <t>D01</t>
        </is>
      </c>
      <c r="B12" s="2" t="inlineStr">
        <is>
          <t>5</t>
        </is>
      </c>
      <c r="C12" s="2" t="inlineStr">
        <is>
          <t>Adaptive</t>
        </is>
      </c>
      <c r="D12" s="2" t="inlineStr">
        <is>
          <t>Institution continuously tests assumptions and redesigns direction.</t>
        </is>
      </c>
    </row>
    <row r="13">
      <c r="A13" s="2" t="inlineStr">
        <is>
          <t>D02</t>
        </is>
      </c>
      <c r="B13" s="2" t="inlineStr">
        <is>
          <t>1</t>
        </is>
      </c>
      <c r="C13" s="2" t="inlineStr">
        <is>
          <t>Reactive</t>
        </is>
      </c>
      <c r="D13" s="2" t="inlineStr">
        <is>
          <t>AI decisions/incidents handled case-by-case.</t>
        </is>
      </c>
    </row>
    <row r="14">
      <c r="A14" s="2" t="inlineStr">
        <is>
          <t>D02</t>
        </is>
      </c>
      <c r="B14" s="2" t="inlineStr">
        <is>
          <t>2</t>
        </is>
      </c>
      <c r="C14" s="2" t="inlineStr">
        <is>
          <t>Emerging</t>
        </is>
      </c>
      <c r="D14" s="2" t="inlineStr">
        <is>
          <t>Basic policy, ownership and risk awareness developing.</t>
        </is>
      </c>
    </row>
    <row r="15">
      <c r="A15" s="2" t="inlineStr">
        <is>
          <t>D02</t>
        </is>
      </c>
      <c r="B15" s="2" t="inlineStr">
        <is>
          <t>3</t>
        </is>
      </c>
      <c r="C15" s="2" t="inlineStr">
        <is>
          <t>Structured</t>
        </is>
      </c>
      <c r="D15" s="2" t="inlineStr">
        <is>
          <t>Formal governance, decision rights, controls and escalation.</t>
        </is>
      </c>
    </row>
    <row r="16">
      <c r="A16" s="2" t="inlineStr">
        <is>
          <t>D02</t>
        </is>
      </c>
      <c r="B16" s="2" t="inlineStr">
        <is>
          <t>4</t>
        </is>
      </c>
      <c r="C16" s="2" t="inlineStr">
        <is>
          <t>Integrated</t>
        </is>
      </c>
      <c r="D16" s="2" t="inlineStr">
        <is>
          <t>Governance embedded across academic, research, technology and admin decisions.</t>
        </is>
      </c>
    </row>
    <row r="17">
      <c r="A17" s="2" t="inlineStr">
        <is>
          <t>D02</t>
        </is>
      </c>
      <c r="B17" s="2" t="inlineStr">
        <is>
          <t>5</t>
        </is>
      </c>
      <c r="C17" s="2" t="inlineStr">
        <is>
          <t>Adaptive</t>
        </is>
      </c>
      <c r="D17" s="2" t="inlineStr">
        <is>
          <t>Governance learns from incidents, evidence and technology change.</t>
        </is>
      </c>
    </row>
    <row r="18">
      <c r="A18" s="2" t="inlineStr">
        <is>
          <t>D03</t>
        </is>
      </c>
      <c r="B18" s="2" t="inlineStr">
        <is>
          <t>1</t>
        </is>
      </c>
      <c r="C18" s="2" t="inlineStr">
        <is>
          <t>Reactive</t>
        </is>
      </c>
      <c r="D18" s="2" t="inlineStr">
        <is>
          <t>Some higher-order capability development; fragmented.</t>
        </is>
      </c>
    </row>
    <row r="19">
      <c r="A19" s="2" t="inlineStr">
        <is>
          <t>D03</t>
        </is>
      </c>
      <c r="B19" s="2" t="inlineStr">
        <is>
          <t>2</t>
        </is>
      </c>
      <c r="C19" s="2" t="inlineStr">
        <is>
          <t>Emerging</t>
        </is>
      </c>
      <c r="D19" s="2" t="inlineStr">
        <is>
          <t>Institution recognises capability shift in selected curricula.</t>
        </is>
      </c>
    </row>
    <row r="20">
      <c r="A20" s="2" t="inlineStr">
        <is>
          <t>D03</t>
        </is>
      </c>
      <c r="B20" s="2" t="inlineStr">
        <is>
          <t>3</t>
        </is>
      </c>
      <c r="C20" s="2" t="inlineStr">
        <is>
          <t>Structured</t>
        </is>
      </c>
      <c r="D20" s="2" t="inlineStr">
        <is>
          <t>Capabilities deliberately mapped into curriculum and assessment.</t>
        </is>
      </c>
    </row>
    <row r="21">
      <c r="A21" s="2" t="inlineStr">
        <is>
          <t>D03</t>
        </is>
      </c>
      <c r="B21" s="2" t="inlineStr">
        <is>
          <t>4</t>
        </is>
      </c>
      <c r="C21" s="2" t="inlineStr">
        <is>
          <t>Integrated</t>
        </is>
      </c>
      <c r="D21" s="2" t="inlineStr">
        <is>
          <t>Capabilities systematically developed and demonstrated across programmes.</t>
        </is>
      </c>
    </row>
    <row r="22">
      <c r="A22" s="2" t="inlineStr">
        <is>
          <t>D03</t>
        </is>
      </c>
      <c r="B22" s="2" t="inlineStr">
        <is>
          <t>5</t>
        </is>
      </c>
      <c r="C22" s="2" t="inlineStr">
        <is>
          <t>Adaptive</t>
        </is>
      </c>
      <c r="D22" s="2" t="inlineStr">
        <is>
          <t>Institution continuously identifies valuable human capabilities and redesigns learning.</t>
        </is>
      </c>
    </row>
    <row r="23">
      <c r="A23" s="2" t="inlineStr">
        <is>
          <t>D04-D06</t>
        </is>
      </c>
      <c r="B23" s="2" t="n">
        <v>0</v>
      </c>
      <c r="C23" s="2" t="inlineStr">
        <is>
          <t>Absent</t>
        </is>
      </c>
      <c r="D23" s="2" t="inlineStr">
        <is>
          <t>No future review/change mechanism | No meaningful AI capability support | No intentional AI-era capability development</t>
        </is>
      </c>
    </row>
    <row r="24">
      <c r="A24" s="2" t="n">
        <v>1</v>
      </c>
      <c r="B24" s="2" t="n">
        <v>1</v>
      </c>
      <c r="C24" s="2" t="inlineStr">
        <is>
          <t>Reactive</t>
        </is>
      </c>
      <c r="D24" s="2" t="inlineStr">
        <is>
          <t>Isolated faculty/programme changes | Individual enthusiasts | Students use AI mainly informally</t>
        </is>
      </c>
    </row>
    <row r="25">
      <c r="A25" s="2" t="n">
        <v>2</v>
      </c>
      <c r="B25" s="2" t="n">
        <v>2</v>
      </c>
      <c r="C25" s="2" t="inlineStr">
        <is>
          <t>Emerging</t>
        </is>
      </c>
      <c r="D25" s="2" t="inlineStr">
        <is>
          <t>Selected programmes update intentionally | Training and early practice emerging | Guidance and selected capability development</t>
        </is>
      </c>
    </row>
    <row r="26">
      <c r="A26" s="2" t="n">
        <v>3</v>
      </c>
      <c r="B26" s="2" t="n">
        <v>3</v>
      </c>
      <c r="C26" s="2" t="inlineStr">
        <is>
          <t>Structured</t>
        </is>
      </c>
      <c r="D26" s="2" t="inlineStr">
        <is>
          <t>Review and outcome mapping are structured | Faculty practice and support are organised | Capability development is embedded in programmes</t>
        </is>
      </c>
    </row>
    <row r="27">
      <c r="A27" s="2" t="n">
        <v>4</v>
      </c>
      <c r="B27" s="2" t="n">
        <v>4</v>
      </c>
      <c r="C27" s="2" t="inlineStr">
        <is>
          <t>Integrated</t>
        </is>
      </c>
      <c r="D27" s="2" t="inlineStr">
        <is>
          <t>Programme, industry and discipline signals drive integrated change | Teaching, assessment, research and roles evolve together | Students demonstrate capabilities across contexts</t>
        </is>
      </c>
    </row>
    <row r="28">
      <c r="A28" s="2" t="n">
        <v>5</v>
      </c>
      <c r="B28" s="2" t="n">
        <v>5</v>
      </c>
      <c r="C28" s="2" t="inlineStr">
        <is>
          <t>Adaptive</t>
        </is>
      </c>
      <c r="D28" s="2" t="inlineStr">
        <is>
          <t>Portfolio and programmes continuously adapt to future signals | Faculty ecosystem learns, redesigns and scales effective practice | Students demonstrate high agency, transfer and adaptability</t>
        </is>
      </c>
    </row>
    <row r="29">
      <c r="A29" s="2" t="inlineStr">
        <is>
          <t>D07</t>
        </is>
      </c>
      <c r="B29" s="2" t="n">
        <v>0</v>
      </c>
      <c r="C29" s="2" t="inlineStr">
        <is>
          <t>Absent</t>
        </is>
      </c>
      <c r="D29" s="2" t="inlineStr">
        <is>
          <t>No meaningful capability or institutional mechanism.</t>
        </is>
      </c>
    </row>
    <row r="30">
      <c r="A30" s="2" t="inlineStr">
        <is>
          <t>D07</t>
        </is>
      </c>
      <c r="B30" s="2" t="n">
        <v>1</v>
      </c>
      <c r="C30" s="2" t="inlineStr">
        <is>
          <t>Reactive</t>
        </is>
      </c>
      <c r="D30" s="2" t="inlineStr">
        <is>
          <t>Individual/ad-hoc responses.</t>
        </is>
      </c>
    </row>
    <row r="31">
      <c r="A31" s="2" t="inlineStr">
        <is>
          <t>D07</t>
        </is>
      </c>
      <c r="B31" s="2" t="n">
        <v>2</v>
      </c>
      <c r="C31" s="2" t="inlineStr">
        <is>
          <t>Emerging</t>
        </is>
      </c>
      <c r="D31" s="2" t="inlineStr">
        <is>
          <t>Institutional awareness and initial repeatable practices.</t>
        </is>
      </c>
    </row>
    <row r="32">
      <c r="A32" s="2" t="inlineStr">
        <is>
          <t>D07</t>
        </is>
      </c>
      <c r="B32" s="2" t="n">
        <v>3</v>
      </c>
      <c r="C32" s="2" t="inlineStr">
        <is>
          <t>Structured</t>
        </is>
      </c>
      <c r="D32" s="2" t="inlineStr">
        <is>
          <t>Defined processes, ownership and representative implementation.</t>
        </is>
      </c>
    </row>
    <row r="33">
      <c r="A33" s="2" t="inlineStr">
        <is>
          <t>D07</t>
        </is>
      </c>
      <c r="B33" s="2" t="n">
        <v>4</v>
      </c>
      <c r="C33" s="2" t="inlineStr">
        <is>
          <t>Integrated</t>
        </is>
      </c>
      <c r="D33" s="2" t="inlineStr">
        <is>
          <t>Embedded across relevant functions with operational/outcome evidence.</t>
        </is>
      </c>
    </row>
    <row r="34">
      <c r="A34" s="2" t="inlineStr">
        <is>
          <t>D07</t>
        </is>
      </c>
      <c r="B34" s="2" t="n">
        <v>5</v>
      </c>
      <c r="C34" s="2" t="inlineStr">
        <is>
          <t>Adaptive</t>
        </is>
      </c>
      <c r="D34" s="2" t="inlineStr">
        <is>
          <t>Continuously senses, learns and proactively modifies capability.</t>
        </is>
      </c>
    </row>
    <row r="35">
      <c r="A35" s="2" t="inlineStr">
        <is>
          <t>D08</t>
        </is>
      </c>
      <c r="B35" s="2" t="n">
        <v>0</v>
      </c>
      <c r="C35" s="2" t="inlineStr">
        <is>
          <t>Absent</t>
        </is>
      </c>
      <c r="D35" s="2" t="inlineStr">
        <is>
          <t>No meaningful capability or institutional mechanism.</t>
        </is>
      </c>
    </row>
    <row r="36">
      <c r="A36" s="2" t="inlineStr">
        <is>
          <t>D08</t>
        </is>
      </c>
      <c r="B36" s="2" t="n">
        <v>1</v>
      </c>
      <c r="C36" s="2" t="inlineStr">
        <is>
          <t>Reactive</t>
        </is>
      </c>
      <c r="D36" s="2" t="inlineStr">
        <is>
          <t>Individual/ad-hoc responses.</t>
        </is>
      </c>
    </row>
    <row r="37">
      <c r="A37" s="2" t="inlineStr">
        <is>
          <t>D08</t>
        </is>
      </c>
      <c r="B37" s="2" t="n">
        <v>2</v>
      </c>
      <c r="C37" s="2" t="inlineStr">
        <is>
          <t>Emerging</t>
        </is>
      </c>
      <c r="D37" s="2" t="inlineStr">
        <is>
          <t>Institutional awareness and initial repeatable practices.</t>
        </is>
      </c>
    </row>
    <row r="38">
      <c r="A38" s="2" t="inlineStr">
        <is>
          <t>D08</t>
        </is>
      </c>
      <c r="B38" s="2" t="n">
        <v>3</v>
      </c>
      <c r="C38" s="2" t="inlineStr">
        <is>
          <t>Structured</t>
        </is>
      </c>
      <c r="D38" s="2" t="inlineStr">
        <is>
          <t>Defined processes, ownership and representative implementation.</t>
        </is>
      </c>
    </row>
    <row r="39">
      <c r="A39" s="2" t="inlineStr">
        <is>
          <t>D08</t>
        </is>
      </c>
      <c r="B39" s="2" t="n">
        <v>4</v>
      </c>
      <c r="C39" s="2" t="inlineStr">
        <is>
          <t>Integrated</t>
        </is>
      </c>
      <c r="D39" s="2" t="inlineStr">
        <is>
          <t>Embedded across relevant functions with operational/outcome evidence.</t>
        </is>
      </c>
    </row>
    <row r="40">
      <c r="A40" s="2" t="inlineStr">
        <is>
          <t>D08</t>
        </is>
      </c>
      <c r="B40" s="2" t="n">
        <v>5</v>
      </c>
      <c r="C40" s="2" t="inlineStr">
        <is>
          <t>Adaptive</t>
        </is>
      </c>
      <c r="D40" s="2" t="inlineStr">
        <is>
          <t>Continuously senses, learns and proactively modifies capability.</t>
        </is>
      </c>
    </row>
    <row r="41">
      <c r="A41" s="2" t="inlineStr">
        <is>
          <t>D09</t>
        </is>
      </c>
      <c r="B41" s="2" t="n">
        <v>0</v>
      </c>
      <c r="C41" s="2" t="inlineStr">
        <is>
          <t>Absent</t>
        </is>
      </c>
      <c r="D41" s="2" t="inlineStr">
        <is>
          <t>No meaningful capability or institutional mechanism.</t>
        </is>
      </c>
    </row>
    <row r="42">
      <c r="A42" s="2" t="inlineStr">
        <is>
          <t>D09</t>
        </is>
      </c>
      <c r="B42" s="2" t="n">
        <v>1</v>
      </c>
      <c r="C42" s="2" t="inlineStr">
        <is>
          <t>Reactive</t>
        </is>
      </c>
      <c r="D42" s="2" t="inlineStr">
        <is>
          <t>Individual/ad-hoc responses.</t>
        </is>
      </c>
    </row>
    <row r="43">
      <c r="A43" s="2" t="inlineStr">
        <is>
          <t>D09</t>
        </is>
      </c>
      <c r="B43" s="2" t="n">
        <v>2</v>
      </c>
      <c r="C43" s="2" t="inlineStr">
        <is>
          <t>Emerging</t>
        </is>
      </c>
      <c r="D43" s="2" t="inlineStr">
        <is>
          <t>Institutional awareness and initial repeatable practices.</t>
        </is>
      </c>
    </row>
    <row r="44">
      <c r="A44" s="2" t="inlineStr">
        <is>
          <t>D09</t>
        </is>
      </c>
      <c r="B44" s="2" t="n">
        <v>3</v>
      </c>
      <c r="C44" s="2" t="inlineStr">
        <is>
          <t>Structured</t>
        </is>
      </c>
      <c r="D44" s="2" t="inlineStr">
        <is>
          <t>Defined processes, ownership and representative implementation.</t>
        </is>
      </c>
    </row>
    <row r="45">
      <c r="A45" s="2" t="inlineStr">
        <is>
          <t>D09</t>
        </is>
      </c>
      <c r="B45" s="2" t="n">
        <v>4</v>
      </c>
      <c r="C45" s="2" t="inlineStr">
        <is>
          <t>Integrated</t>
        </is>
      </c>
      <c r="D45" s="2" t="inlineStr">
        <is>
          <t>Embedded across relevant functions with operational/outcome evidence.</t>
        </is>
      </c>
    </row>
    <row r="46">
      <c r="A46" s="2" t="inlineStr">
        <is>
          <t>D09</t>
        </is>
      </c>
      <c r="B46" s="2" t="n">
        <v>5</v>
      </c>
      <c r="C46" s="2" t="inlineStr">
        <is>
          <t>Adaptive</t>
        </is>
      </c>
      <c r="D46" s="2" t="inlineStr">
        <is>
          <t>Continuously senses, learns and proactively modifies capability.</t>
        </is>
      </c>
    </row>
    <row r="47">
      <c r="A47" s="2" t="inlineStr">
        <is>
          <t>D10</t>
        </is>
      </c>
      <c r="B47" s="2" t="n">
        <v>0</v>
      </c>
      <c r="C47" s="2" t="inlineStr">
        <is>
          <t>Absent</t>
        </is>
      </c>
      <c r="D47" s="2" t="inlineStr">
        <is>
          <t>No meaningful capability or institutional mechanism.</t>
        </is>
      </c>
    </row>
    <row r="48">
      <c r="A48" s="2" t="inlineStr">
        <is>
          <t>D10</t>
        </is>
      </c>
      <c r="B48" s="2" t="n">
        <v>1</v>
      </c>
      <c r="C48" s="2" t="inlineStr">
        <is>
          <t>Reactive</t>
        </is>
      </c>
      <c r="D48" s="2" t="inlineStr">
        <is>
          <t>Individual/ad-hoc responses.</t>
        </is>
      </c>
    </row>
    <row r="49">
      <c r="A49" s="2" t="inlineStr">
        <is>
          <t>D10</t>
        </is>
      </c>
      <c r="B49" s="2" t="n">
        <v>2</v>
      </c>
      <c r="C49" s="2" t="inlineStr">
        <is>
          <t>Emerging</t>
        </is>
      </c>
      <c r="D49" s="2" t="inlineStr">
        <is>
          <t>Institutional awareness and initial repeatable practices.</t>
        </is>
      </c>
    </row>
    <row r="50">
      <c r="A50" s="2" t="inlineStr">
        <is>
          <t>D10</t>
        </is>
      </c>
      <c r="B50" s="2" t="n">
        <v>3</v>
      </c>
      <c r="C50" s="2" t="inlineStr">
        <is>
          <t>Structured</t>
        </is>
      </c>
      <c r="D50" s="2" t="inlineStr">
        <is>
          <t>Defined processes, ownership and representative implementation.</t>
        </is>
      </c>
    </row>
    <row r="51">
      <c r="A51" s="2" t="inlineStr">
        <is>
          <t>D10</t>
        </is>
      </c>
      <c r="B51" s="2" t="n">
        <v>4</v>
      </c>
      <c r="C51" s="2" t="inlineStr">
        <is>
          <t>Integrated</t>
        </is>
      </c>
      <c r="D51" s="2" t="inlineStr">
        <is>
          <t>Embedded across relevant functions with operational/outcome evidence.</t>
        </is>
      </c>
    </row>
    <row r="52">
      <c r="A52" s="2" t="inlineStr">
        <is>
          <t>D10</t>
        </is>
      </c>
      <c r="B52" s="2" t="n">
        <v>5</v>
      </c>
      <c r="C52" s="2" t="inlineStr">
        <is>
          <t>Adaptive</t>
        </is>
      </c>
      <c r="D52" s="2" t="inlineStr">
        <is>
          <t>Continuously senses, learns and proactively modifies capability.</t>
        </is>
      </c>
    </row>
    <row r="53">
      <c r="A53" s="2" t="inlineStr">
        <is>
          <t>D11</t>
        </is>
      </c>
      <c r="B53" s="2" t="n">
        <v>0</v>
      </c>
      <c r="C53" s="2" t="inlineStr">
        <is>
          <t>Absent</t>
        </is>
      </c>
      <c r="D53" s="2" t="inlineStr">
        <is>
          <t>No meaningful capability or institutional mechanism.</t>
        </is>
      </c>
    </row>
    <row r="54">
      <c r="A54" s="2" t="inlineStr">
        <is>
          <t>D11</t>
        </is>
      </c>
      <c r="B54" s="2" t="n">
        <v>1</v>
      </c>
      <c r="C54" s="2" t="inlineStr">
        <is>
          <t>Reactive</t>
        </is>
      </c>
      <c r="D54" s="2" t="inlineStr">
        <is>
          <t>Individual/ad-hoc responses.</t>
        </is>
      </c>
    </row>
    <row r="55">
      <c r="A55" s="2" t="inlineStr">
        <is>
          <t>D11</t>
        </is>
      </c>
      <c r="B55" s="2" t="n">
        <v>2</v>
      </c>
      <c r="C55" s="2" t="inlineStr">
        <is>
          <t>Emerging</t>
        </is>
      </c>
      <c r="D55" s="2" t="inlineStr">
        <is>
          <t>Institutional awareness and initial repeatable practices.</t>
        </is>
      </c>
    </row>
    <row r="56">
      <c r="A56" s="2" t="inlineStr">
        <is>
          <t>D11</t>
        </is>
      </c>
      <c r="B56" s="2" t="n">
        <v>3</v>
      </c>
      <c r="C56" s="2" t="inlineStr">
        <is>
          <t>Structured</t>
        </is>
      </c>
      <c r="D56" s="2" t="inlineStr">
        <is>
          <t>Defined processes, ownership and representative implementation.</t>
        </is>
      </c>
    </row>
    <row r="57">
      <c r="A57" s="2" t="inlineStr">
        <is>
          <t>D11</t>
        </is>
      </c>
      <c r="B57" s="2" t="n">
        <v>4</v>
      </c>
      <c r="C57" s="2" t="inlineStr">
        <is>
          <t>Integrated</t>
        </is>
      </c>
      <c r="D57" s="2" t="inlineStr">
        <is>
          <t>Embedded across relevant functions with operational/outcome evidence.</t>
        </is>
      </c>
    </row>
    <row r="58">
      <c r="A58" s="2" t="inlineStr">
        <is>
          <t>D11</t>
        </is>
      </c>
      <c r="B58" s="2" t="n">
        <v>5</v>
      </c>
      <c r="C58" s="2" t="inlineStr">
        <is>
          <t>Adaptive</t>
        </is>
      </c>
      <c r="D58" s="2" t="inlineStr">
        <is>
          <t>Continuously senses, learns and proactively modifies capability.</t>
        </is>
      </c>
    </row>
  </sheetData>
  <autoFilter ref="A1:D58"/>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D29"/>
  <sheetViews>
    <sheetView showGridLines="0" workbookViewId="0">
      <pane ySplit="1" topLeftCell="A2" activePane="bottomLeft" state="frozen"/>
      <selection pane="bottomLeft" activeCell="A1" sqref="A1"/>
    </sheetView>
  </sheetViews>
  <sheetFormatPr baseColWidth="8" defaultRowHeight="15"/>
  <cols>
    <col width="13.7109375" customWidth="1" min="1" max="4"/>
  </cols>
  <sheetData>
    <row r="1">
      <c r="A1" s="24" t="inlineStr">
        <is>
          <t>Domain</t>
        </is>
      </c>
      <c r="B1" s="24" t="inlineStr">
        <is>
          <t>Output</t>
        </is>
      </c>
      <c r="C1" s="24" t="inlineStr">
        <is>
          <t>Meaning</t>
        </is>
      </c>
      <c r="D1" s="24" t="inlineStr">
        <is>
          <t>Scale</t>
        </is>
      </c>
    </row>
    <row r="2">
      <c r="A2" s="2" t="inlineStr">
        <is>
          <t>D01</t>
        </is>
      </c>
      <c r="B2" s="2" t="inlineStr">
        <is>
          <t>Strategic AI Integration</t>
        </is>
      </c>
      <c r="C2" s="2" t="inlineStr">
        <is>
          <t>Real decision influence of AI/future thinking</t>
        </is>
      </c>
      <c r="D2" s="2" t="inlineStr">
        <is>
          <t>0-100</t>
        </is>
      </c>
    </row>
    <row r="3">
      <c r="A3" s="2" t="inlineStr">
        <is>
          <t>D01</t>
        </is>
      </c>
      <c r="B3" s="2" t="inlineStr">
        <is>
          <t>Future Foresight Maturity</t>
        </is>
      </c>
      <c r="C3" s="2" t="inlineStr">
        <is>
          <t>Ability to detect/interpret change early</t>
        </is>
      </c>
      <c r="D3" s="2" t="inlineStr">
        <is>
          <t>0-100</t>
        </is>
      </c>
    </row>
    <row r="4">
      <c r="A4" s="2" t="inlineStr">
        <is>
          <t>D01</t>
        </is>
      </c>
      <c r="B4" s="2" t="inlineStr">
        <is>
          <t>Strategic Translation</t>
        </is>
      </c>
      <c r="C4" s="2" t="inlineStr">
        <is>
          <t>Movement from insight to action</t>
        </is>
      </c>
      <c r="D4" s="2" t="inlineStr">
        <is>
          <t>0-100</t>
        </is>
      </c>
    </row>
    <row r="5">
      <c r="A5" s="2" t="inlineStr">
        <is>
          <t>D01</t>
        </is>
      </c>
      <c r="B5" s="2" t="inlineStr">
        <is>
          <t>Programme Future-Review Coverage</t>
        </is>
      </c>
      <c r="C5" s="2" t="inlineStr">
        <is>
          <t>Future/AI review coverage and quality</t>
        </is>
      </c>
      <c r="D5" s="2" t="inlineStr">
        <is>
          <t>0-100</t>
        </is>
      </c>
    </row>
    <row r="6">
      <c r="A6" s="2" t="inlineStr">
        <is>
          <t>D01</t>
        </is>
      </c>
      <c r="B6" s="2" t="inlineStr">
        <is>
          <t>Strategic Experimentation</t>
        </is>
      </c>
      <c r="C6" s="2" t="inlineStr">
        <is>
          <t>Pilot evaluation/learning/scaling</t>
        </is>
      </c>
      <c r="D6" s="2" t="inlineStr">
        <is>
          <t>0-100</t>
        </is>
      </c>
    </row>
    <row r="7">
      <c r="A7" s="2" t="inlineStr">
        <is>
          <t>D01</t>
        </is>
      </c>
      <c r="B7" s="2" t="inlineStr">
        <is>
          <t>Resource Alignment</t>
        </is>
      </c>
      <c r="C7" s="2" t="inlineStr">
        <is>
          <t>Priority-resource alignment</t>
        </is>
      </c>
      <c r="D7" s="2" t="inlineStr">
        <is>
          <t>0-100</t>
        </is>
      </c>
    </row>
    <row r="8">
      <c r="A8" s="2" t="inlineStr">
        <is>
          <t>D01</t>
        </is>
      </c>
      <c r="B8" s="2" t="inlineStr">
        <is>
          <t>Institutional Learning Rate</t>
        </is>
      </c>
      <c r="C8" s="2" t="inlineStr">
        <is>
          <t>Strategy changes after evidence</t>
        </is>
      </c>
      <c r="D8" s="2" t="inlineStr">
        <is>
          <t>0-100</t>
        </is>
      </c>
    </row>
    <row r="9">
      <c r="A9" s="2" t="inlineStr">
        <is>
          <t>D01</t>
        </is>
      </c>
      <c r="B9" s="2" t="inlineStr">
        <is>
          <t>D01 Maturity</t>
        </is>
      </c>
      <c r="C9" s="2" t="inlineStr">
        <is>
          <t>Composite domain maturity</t>
        </is>
      </c>
      <c r="D9" s="2" t="inlineStr">
        <is>
          <t>0-5</t>
        </is>
      </c>
    </row>
    <row r="10">
      <c r="A10" s="2" t="inlineStr">
        <is>
          <t>D02</t>
        </is>
      </c>
      <c r="B10" s="2" t="inlineStr">
        <is>
          <t>Governance Ownership</t>
        </is>
      </c>
      <c r="C10" s="2" t="inlineStr">
        <is>
          <t>Decision rights/accountability</t>
        </is>
      </c>
      <c r="D10" s="2" t="inlineStr">
        <is>
          <t>0-100</t>
        </is>
      </c>
    </row>
    <row r="11">
      <c r="A11" s="2" t="inlineStr">
        <is>
          <t>D02</t>
        </is>
      </c>
      <c r="B11" s="2" t="inlineStr">
        <is>
          <t>Responsible AI Maturity</t>
        </is>
      </c>
      <c r="C11" s="2" t="inlineStr">
        <is>
          <t>Operational responsible AI</t>
        </is>
      </c>
      <c r="D11" s="2" t="inlineStr">
        <is>
          <t>0-100</t>
        </is>
      </c>
    </row>
    <row r="12">
      <c r="A12" s="2" t="inlineStr">
        <is>
          <t>D02</t>
        </is>
      </c>
      <c r="B12" s="2" t="inlineStr">
        <is>
          <t>Data Governance Readiness</t>
        </is>
      </c>
      <c r="C12" s="2" t="inlineStr">
        <is>
          <t>Data controls</t>
        </is>
      </c>
      <c r="D12" s="2" t="inlineStr">
        <is>
          <t>0-100</t>
        </is>
      </c>
    </row>
    <row r="13">
      <c r="A13" s="2" t="inlineStr">
        <is>
          <t>D02</t>
        </is>
      </c>
      <c r="B13" s="2" t="inlineStr">
        <is>
          <t>Academic Integrity Governance</t>
        </is>
      </c>
      <c r="C13" s="2" t="inlineStr">
        <is>
          <t>AI integrity governance</t>
        </is>
      </c>
      <c r="D13" s="2" t="inlineStr">
        <is>
          <t>0-100</t>
        </is>
      </c>
    </row>
    <row r="14">
      <c r="A14" s="2" t="inlineStr">
        <is>
          <t>D02</t>
        </is>
      </c>
      <c r="B14" s="2" t="inlineStr">
        <is>
          <t>Human Accountability</t>
        </is>
      </c>
      <c r="C14" s="2" t="inlineStr">
        <is>
          <t>Review/override capability</t>
        </is>
      </c>
      <c r="D14" s="2" t="inlineStr">
        <is>
          <t>0-100</t>
        </is>
      </c>
    </row>
    <row r="15">
      <c r="A15" s="2" t="inlineStr">
        <is>
          <t>D02</t>
        </is>
      </c>
      <c r="B15" s="2" t="inlineStr">
        <is>
          <t>Incident Responsiveness</t>
        </is>
      </c>
      <c r="C15" s="2" t="inlineStr">
        <is>
          <t>Detection-to-action-to-learning</t>
        </is>
      </c>
      <c r="D15" s="2" t="inlineStr">
        <is>
          <t>0-100</t>
        </is>
      </c>
    </row>
    <row r="16">
      <c r="A16" s="2" t="inlineStr">
        <is>
          <t>D02</t>
        </is>
      </c>
      <c r="B16" s="2" t="inlineStr">
        <is>
          <t>Governance Effectiveness</t>
        </is>
      </c>
      <c r="C16" s="2" t="inlineStr">
        <is>
          <t>Functioning vs paper governance</t>
        </is>
      </c>
      <c r="D16" s="2" t="inlineStr">
        <is>
          <t>0-100</t>
        </is>
      </c>
    </row>
    <row r="17">
      <c r="A17" s="2" t="inlineStr">
        <is>
          <t>D02</t>
        </is>
      </c>
      <c r="B17" s="2" t="inlineStr">
        <is>
          <t>D02 Maturity</t>
        </is>
      </c>
      <c r="C17" s="2" t="inlineStr">
        <is>
          <t>Composite domain maturity</t>
        </is>
      </c>
      <c r="D17" s="2" t="inlineStr">
        <is>
          <t>0-5</t>
        </is>
      </c>
    </row>
    <row r="18">
      <c r="A18" s="2" t="inlineStr">
        <is>
          <t>D03</t>
        </is>
      </c>
      <c r="B18" s="2" t="inlineStr">
        <is>
          <t>Human Capability Development</t>
        </is>
      </c>
      <c r="C18" s="2" t="inlineStr">
        <is>
          <t>Extent capabilities are developed</t>
        </is>
      </c>
      <c r="D18" s="2" t="inlineStr">
        <is>
          <t>0-100</t>
        </is>
      </c>
    </row>
    <row r="19">
      <c r="A19" s="2" t="inlineStr">
        <is>
          <t>D03</t>
        </is>
      </c>
      <c r="B19" s="2" t="inlineStr">
        <is>
          <t>Capability Demonstration</t>
        </is>
      </c>
      <c r="C19" s="2" t="inlineStr">
        <is>
          <t>Extent capabilities are demonstrated</t>
        </is>
      </c>
      <c r="D19" s="2" t="inlineStr">
        <is>
          <t>0-100</t>
        </is>
      </c>
    </row>
    <row r="20">
      <c r="A20" s="2" t="inlineStr">
        <is>
          <t>D03</t>
        </is>
      </c>
      <c r="B20" s="2" t="inlineStr">
        <is>
          <t>Assessment Validity</t>
        </is>
      </c>
      <c r="C20" s="2" t="inlineStr">
        <is>
          <t>Ability to prove capability</t>
        </is>
      </c>
      <c r="D20" s="2" t="inlineStr">
        <is>
          <t>0-100</t>
        </is>
      </c>
    </row>
    <row r="21">
      <c r="A21" s="2" t="inlineStr">
        <is>
          <t>D03</t>
        </is>
      </c>
      <c r="B21" s="2" t="inlineStr">
        <is>
          <t>AI Verification Capability</t>
        </is>
      </c>
      <c r="C21" s="2" t="inlineStr">
        <is>
          <t>Students challenge/verify/contextualise AI</t>
        </is>
      </c>
      <c r="D21" s="2" t="inlineStr">
        <is>
          <t>0-100</t>
        </is>
      </c>
    </row>
    <row r="22">
      <c r="A22" s="2" t="inlineStr">
        <is>
          <t>D03</t>
        </is>
      </c>
      <c r="B22" s="2" t="inlineStr">
        <is>
          <t>Transfer Capability</t>
        </is>
      </c>
      <c r="C22" s="2" t="inlineStr">
        <is>
          <t>Unfamiliar/ambiguous application</t>
        </is>
      </c>
      <c r="D22" s="2" t="inlineStr">
        <is>
          <t>0-100</t>
        </is>
      </c>
    </row>
    <row r="23">
      <c r="A23" s="2" t="inlineStr">
        <is>
          <t>D03</t>
        </is>
      </c>
      <c r="B23" s="2" t="inlineStr">
        <is>
          <t>Non-Technical AI Capability</t>
        </is>
      </c>
      <c r="C23" s="2" t="inlineStr">
        <is>
          <t>Discipline-relevant AI capability</t>
        </is>
      </c>
      <c r="D23" s="2" t="inlineStr">
        <is>
          <t>0-100</t>
        </is>
      </c>
    </row>
    <row r="24">
      <c r="A24" s="2" t="inlineStr">
        <is>
          <t>D03</t>
        </is>
      </c>
      <c r="B24" s="2" t="inlineStr">
        <is>
          <t>Intellectual Agency</t>
        </is>
      </c>
      <c r="C24" s="2" t="inlineStr">
        <is>
          <t>Independent inquiry/judgement/originality</t>
        </is>
      </c>
      <c r="D24" s="2" t="inlineStr">
        <is>
          <t>0-100</t>
        </is>
      </c>
    </row>
    <row r="25">
      <c r="A25" s="2" t="inlineStr">
        <is>
          <t>D03</t>
        </is>
      </c>
      <c r="B25" s="2" t="inlineStr">
        <is>
          <t>D03 Maturity</t>
        </is>
      </c>
      <c r="C25" s="2" t="inlineStr">
        <is>
          <t>Composite domain maturity</t>
        </is>
      </c>
      <c r="D25" s="2" t="inlineStr">
        <is>
          <t>0-5</t>
        </is>
      </c>
    </row>
    <row r="26">
      <c r="A26" s="2" t="inlineStr">
        <is>
          <t>ALL</t>
        </is>
      </c>
      <c r="B26" s="2" t="inlineStr">
        <is>
          <t>Evidence Confidence</t>
        </is>
      </c>
      <c r="C26" s="2" t="inlineStr">
        <is>
          <t>Strength of supporting evidence</t>
        </is>
      </c>
      <c r="D26" s="2" t="inlineStr">
        <is>
          <t>0-100</t>
        </is>
      </c>
    </row>
    <row r="27">
      <c r="A27" s="2" t="inlineStr">
        <is>
          <t>ALL</t>
        </is>
      </c>
      <c r="B27" s="2" t="inlineStr">
        <is>
          <t>Future Exposure</t>
        </is>
      </c>
      <c r="C27" s="2" t="inlineStr">
        <is>
          <t>Institution-specific consequence</t>
        </is>
      </c>
      <c r="D27" s="2" t="inlineStr">
        <is>
          <t>1-5</t>
        </is>
      </c>
    </row>
    <row r="28">
      <c r="A28" s="2" t="inlineStr">
        <is>
          <t>ALL</t>
        </is>
      </c>
      <c r="B28" s="2" t="inlineStr">
        <is>
          <t>Required Future Maturity</t>
        </is>
      </c>
      <c r="C28" s="2" t="inlineStr">
        <is>
          <t>Context/exposure-derived requirement</t>
        </is>
      </c>
      <c r="D28" s="2" t="inlineStr">
        <is>
          <t>0-5</t>
        </is>
      </c>
    </row>
    <row r="29">
      <c r="A29" s="2" t="inlineStr">
        <is>
          <t>ALL</t>
        </is>
      </c>
      <c r="B29" s="2" t="inlineStr">
        <is>
          <t>Transformation Distance</t>
        </is>
      </c>
      <c r="C29" s="2" t="inlineStr">
        <is>
          <t>Required minus current maturity</t>
        </is>
      </c>
      <c r="D29" s="2" t="inlineStr">
        <is>
          <t>-5 to +5</t>
        </is>
      </c>
    </row>
  </sheetData>
  <autoFilter ref="A1:D29"/>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E11"/>
  <sheetViews>
    <sheetView showGridLines="0" workbookViewId="0">
      <pane ySplit="1" topLeftCell="A2" activePane="bottomLeft" state="frozen"/>
      <selection pane="bottomLeft" activeCell="A1" sqref="A1"/>
    </sheetView>
  </sheetViews>
  <sheetFormatPr baseColWidth="8" defaultRowHeight="15"/>
  <cols>
    <col width="13.7109375" customWidth="1" min="1" max="5"/>
  </cols>
  <sheetData>
    <row r="1">
      <c r="A1" s="24" t="inlineStr">
        <is>
          <t>Type</t>
        </is>
      </c>
      <c r="B1" s="24" t="inlineStr">
        <is>
          <t>Code</t>
        </is>
      </c>
      <c r="C1" s="24" t="inlineStr">
        <is>
          <t>Element</t>
        </is>
      </c>
      <c r="D1" s="24" t="inlineStr">
        <is>
          <t>Definition</t>
        </is>
      </c>
      <c r="E1" s="24" t="inlineStr">
        <is>
          <t>Rule</t>
        </is>
      </c>
    </row>
    <row r="2">
      <c r="A2" s="2" t="inlineStr">
        <is>
          <t>Evidence</t>
        </is>
      </c>
      <c r="B2" s="2" t="inlineStr">
        <is>
          <t>E0</t>
        </is>
      </c>
      <c r="C2" s="2" t="inlineStr">
        <is>
          <t>No evidence</t>
        </is>
      </c>
      <c r="D2" s="2" t="inlineStr">
        <is>
          <t>Claim only/no artifact</t>
        </is>
      </c>
      <c r="E2" s="2" t="inlineStr">
        <is>
          <t>Very Low</t>
        </is>
      </c>
    </row>
    <row r="3">
      <c r="A3" s="2" t="inlineStr">
        <is>
          <t>Evidence</t>
        </is>
      </c>
      <c r="B3" s="2" t="inlineStr">
        <is>
          <t>E1</t>
        </is>
      </c>
      <c r="C3" s="2" t="inlineStr">
        <is>
          <t>Institutional artifact</t>
        </is>
      </c>
      <c r="D3" s="2" t="inlineStr">
        <is>
          <t>Policy/curriculum/strategy/notification</t>
        </is>
      </c>
      <c r="E3" s="2" t="inlineStr">
        <is>
          <t>Low-Moderate</t>
        </is>
      </c>
    </row>
    <row r="4">
      <c r="A4" s="2" t="inlineStr">
        <is>
          <t>Evidence</t>
        </is>
      </c>
      <c r="B4" s="2" t="inlineStr">
        <is>
          <t>E2</t>
        </is>
      </c>
      <c r="C4" s="2" t="inlineStr">
        <is>
          <t>Operational evidence</t>
        </is>
      </c>
      <c r="D4" s="2" t="inlineStr">
        <is>
          <t>Actual implementation/use</t>
        </is>
      </c>
      <c r="E4" s="2" t="inlineStr">
        <is>
          <t>Moderate-High</t>
        </is>
      </c>
    </row>
    <row r="5">
      <c r="A5" s="2" t="inlineStr">
        <is>
          <t>Evidence</t>
        </is>
      </c>
      <c r="B5" s="2" t="inlineStr">
        <is>
          <t>E3</t>
        </is>
      </c>
      <c r="C5" s="2" t="inlineStr">
        <is>
          <t>Outcome evidence</t>
        </is>
      </c>
      <c r="D5" s="2" t="inlineStr">
        <is>
          <t>Measured result/attainment</t>
        </is>
      </c>
      <c r="E5" s="2" t="inlineStr">
        <is>
          <t>High</t>
        </is>
      </c>
    </row>
    <row r="6">
      <c r="A6" s="2" t="inlineStr">
        <is>
          <t>Evidence</t>
        </is>
      </c>
      <c r="B6" s="2" t="inlineStr">
        <is>
          <t>E4</t>
        </is>
      </c>
      <c r="C6" s="2" t="inlineStr">
        <is>
          <t>Independent/Triangulated</t>
        </is>
      </c>
      <c r="D6" s="2" t="inlineStr">
        <is>
          <t>Multiple or independent converging sources</t>
        </is>
      </c>
      <c r="E6" s="2" t="inlineStr">
        <is>
          <t>Very High</t>
        </is>
      </c>
    </row>
    <row r="7">
      <c r="A7" s="2" t="inlineStr">
        <is>
          <t>Scoring</t>
        </is>
      </c>
      <c r="B7" s="2" t="inlineStr">
        <is>
          <t>Maturity</t>
        </is>
      </c>
      <c r="C7" s="2" t="inlineStr">
        <is>
          <t>Behavioural anchors 0–5</t>
        </is>
      </c>
      <c r="D7" s="2" t="inlineStr">
        <is>
          <t>Do not score policy existence alone</t>
        </is>
      </c>
      <c r="E7" s="2" t="inlineStr">
        <is>
          <t>Hidden</t>
        </is>
      </c>
    </row>
    <row r="8">
      <c r="A8" s="2" t="inlineStr">
        <is>
          <t>Scoring</t>
        </is>
      </c>
      <c r="B8" s="2" t="inlineStr">
        <is>
          <t>Implementation</t>
        </is>
      </c>
      <c r="C8" s="2" t="inlineStr">
        <is>
          <t>Breadth/frequency/process use 0–5</t>
        </is>
      </c>
      <c r="D8" s="2" t="inlineStr">
        <is>
          <t>Separate from capability</t>
        </is>
      </c>
      <c r="E8" s="2" t="inlineStr">
        <is>
          <t>Hidden</t>
        </is>
      </c>
    </row>
    <row r="9">
      <c r="A9" s="2" t="inlineStr">
        <is>
          <t>Scoring</t>
        </is>
      </c>
      <c r="B9" s="2" t="inlineStr">
        <is>
          <t>Outcome</t>
        </is>
      </c>
      <c r="C9" s="2" t="inlineStr">
        <is>
          <t>Measured effect 0–5</t>
        </is>
      </c>
      <c r="D9" s="2" t="inlineStr">
        <is>
          <t>N/A permitted where legitimate</t>
        </is>
      </c>
      <c r="E9" s="2" t="inlineStr">
        <is>
          <t>Hidden</t>
        </is>
      </c>
    </row>
    <row r="10">
      <c r="A10" s="2" t="inlineStr">
        <is>
          <t>Scoring</t>
        </is>
      </c>
      <c r="B10" s="2" t="inlineStr">
        <is>
          <t>Exposure</t>
        </is>
      </c>
      <c r="C10" s="2" t="inlineStr">
        <is>
          <t>Context-specific 1–5</t>
        </is>
      </c>
      <c r="D10" s="2" t="inlineStr">
        <is>
          <t>Not same as maturity</t>
        </is>
      </c>
      <c r="E10" s="2" t="inlineStr">
        <is>
          <t>Shown as risk/exposure</t>
        </is>
      </c>
    </row>
    <row r="11">
      <c r="A11" s="2" t="inlineStr">
        <is>
          <t>Scoring</t>
        </is>
      </c>
      <c r="B11" s="2" t="inlineStr">
        <is>
          <t>Required</t>
        </is>
      </c>
      <c r="C11" s="2" t="inlineStr">
        <is>
          <t>Context + exposure 0–5</t>
        </is>
      </c>
      <c r="D11" s="2" t="inlineStr">
        <is>
          <t>Defines appropriate future capability</t>
        </is>
      </c>
      <c r="E11" s="2" t="inlineStr">
        <is>
          <t>Shown</t>
        </is>
      </c>
    </row>
  </sheetData>
  <autoFilter ref="A1:E11"/>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F19"/>
  <sheetViews>
    <sheetView showGridLines="0" workbookViewId="0">
      <pane ySplit="1" topLeftCell="A2" activePane="bottomLeft" state="frozen"/>
      <selection pane="bottomLeft" activeCell="A1" sqref="A1"/>
    </sheetView>
  </sheetViews>
  <sheetFormatPr baseColWidth="8" defaultRowHeight="15"/>
  <cols>
    <col width="13.7109375" customWidth="1" min="1" max="6"/>
  </cols>
  <sheetData>
    <row r="1">
      <c r="A1" s="24" t="inlineStr">
        <is>
          <t>Domain</t>
        </is>
      </c>
      <c r="B1" s="24" t="inlineStr">
        <is>
          <t>ID</t>
        </is>
      </c>
      <c r="C1" s="24" t="inlineStr">
        <is>
          <t>Evidence</t>
        </is>
      </c>
      <c r="D1" s="24" t="inlineStr">
        <is>
          <t>Quantity</t>
        </is>
      </c>
      <c r="E1" s="24" t="inlineStr">
        <is>
          <t>Requirement</t>
        </is>
      </c>
      <c r="F1" s="24" t="inlineStr">
        <is>
          <t>Metric</t>
        </is>
      </c>
    </row>
    <row r="2">
      <c r="A2" s="2" t="inlineStr">
        <is>
          <t>D01</t>
        </is>
      </c>
      <c r="B2" s="2" t="inlineStr">
        <is>
          <t>E01</t>
        </is>
      </c>
      <c r="C2" s="2" t="inlineStr">
        <is>
          <t>Strategic plan/AI strategy</t>
        </is>
      </c>
      <c r="D2" s="2" t="inlineStr">
        <is>
          <t>1-2</t>
        </is>
      </c>
      <c r="E2" s="2" t="inlineStr">
        <is>
          <t>If exists</t>
        </is>
      </c>
      <c r="F2" s="2" t="inlineStr">
        <is>
          <t>I01/I02</t>
        </is>
      </c>
    </row>
    <row r="3">
      <c r="A3" s="2" t="inlineStr">
        <is>
          <t>D01</t>
        </is>
      </c>
      <c r="B3" s="2" t="inlineStr">
        <is>
          <t>E02</t>
        </is>
      </c>
      <c r="C3" s="2" t="inlineStr">
        <is>
          <t>Material strategic decision influenced by AI</t>
        </is>
      </c>
      <c r="D3" s="2" t="inlineStr">
        <is>
          <t>Up to 3</t>
        </is>
      </c>
      <c r="E3" s="2" t="inlineStr">
        <is>
          <t>Full assessment</t>
        </is>
      </c>
      <c r="F3" s="2" t="inlineStr">
        <is>
          <t>I03</t>
        </is>
      </c>
    </row>
    <row r="4">
      <c r="A4" s="2" t="inlineStr">
        <is>
          <t>D01</t>
        </is>
      </c>
      <c r="B4" s="2" t="inlineStr">
        <is>
          <t>E03</t>
        </is>
      </c>
      <c r="C4" s="2" t="inlineStr">
        <is>
          <t>Programme review showing future/AI consideration</t>
        </is>
      </c>
      <c r="D4" s="2" t="inlineStr">
        <is>
          <t>1-2</t>
        </is>
      </c>
      <c r="E4" s="2" t="inlineStr">
        <is>
          <t>Sample</t>
        </is>
      </c>
      <c r="F4" s="2" t="inlineStr">
        <is>
          <t>I04</t>
        </is>
      </c>
    </row>
    <row r="5">
      <c r="A5" s="2" t="inlineStr">
        <is>
          <t>D01</t>
        </is>
      </c>
      <c r="B5" s="2" t="inlineStr">
        <is>
          <t>E04</t>
        </is>
      </c>
      <c r="C5" s="2" t="inlineStr">
        <is>
          <t>Foresight/scenario process</t>
        </is>
      </c>
      <c r="D5" s="2" t="inlineStr">
        <is>
          <t>1</t>
        </is>
      </c>
      <c r="E5" s="2" t="inlineStr">
        <is>
          <t>If exists</t>
        </is>
      </c>
      <c r="F5" s="2" t="inlineStr">
        <is>
          <t>I02/I06</t>
        </is>
      </c>
    </row>
    <row r="6">
      <c r="A6" s="2" t="inlineStr">
        <is>
          <t>D01</t>
        </is>
      </c>
      <c r="B6" s="2" t="inlineStr">
        <is>
          <t>E05</t>
        </is>
      </c>
      <c r="C6" s="2" t="inlineStr">
        <is>
          <t>Pilot evaluation/scaling decision</t>
        </is>
      </c>
      <c r="D6" s="2" t="inlineStr">
        <is>
          <t>Up to 3</t>
        </is>
      </c>
      <c r="E6" s="2" t="inlineStr">
        <is>
          <t>If pilots exist</t>
        </is>
      </c>
      <c r="F6" s="2" t="inlineStr">
        <is>
          <t>I09</t>
        </is>
      </c>
    </row>
    <row r="7">
      <c r="A7" s="2" t="inlineStr">
        <is>
          <t>D02</t>
        </is>
      </c>
      <c r="B7" s="2" t="inlineStr">
        <is>
          <t>E01</t>
        </is>
      </c>
      <c r="C7" s="2" t="inlineStr">
        <is>
          <t>AI governance framework/policy</t>
        </is>
      </c>
      <c r="D7" s="2" t="inlineStr">
        <is>
          <t>1-3</t>
        </is>
      </c>
      <c r="E7" s="2" t="inlineStr">
        <is>
          <t>If exists</t>
        </is>
      </c>
      <c r="F7" s="2" t="inlineStr">
        <is>
          <t>I01/I03</t>
        </is>
      </c>
    </row>
    <row r="8">
      <c r="A8" s="2" t="inlineStr">
        <is>
          <t>D02</t>
        </is>
      </c>
      <c r="B8" s="2" t="inlineStr">
        <is>
          <t>E02</t>
        </is>
      </c>
      <c r="C8" s="2" t="inlineStr">
        <is>
          <t>AI approval/review workflow</t>
        </is>
      </c>
      <c r="D8" s="2" t="inlineStr">
        <is>
          <t>1</t>
        </is>
      </c>
      <c r="E8" s="2" t="inlineStr">
        <is>
          <t>Full assessment</t>
        </is>
      </c>
      <c r="F8" s="2" t="inlineStr">
        <is>
          <t>I02</t>
        </is>
      </c>
    </row>
    <row r="9">
      <c r="A9" s="2" t="inlineStr">
        <is>
          <t>D02</t>
        </is>
      </c>
      <c r="B9" s="2" t="inlineStr">
        <is>
          <t>E03</t>
        </is>
      </c>
      <c r="C9" s="2" t="inlineStr">
        <is>
          <t>Data/privacy control evidence</t>
        </is>
      </c>
      <c r="D9" s="2" t="inlineStr">
        <is>
          <t>1</t>
        </is>
      </c>
      <c r="E9" s="2" t="inlineStr">
        <is>
          <t>Representative system</t>
        </is>
      </c>
      <c r="F9" s="2" t="inlineStr">
        <is>
          <t>I04</t>
        </is>
      </c>
    </row>
    <row r="10">
      <c r="A10" s="2" t="inlineStr">
        <is>
          <t>D02</t>
        </is>
      </c>
      <c r="B10" s="2" t="inlineStr">
        <is>
          <t>E04</t>
        </is>
      </c>
      <c r="C10" s="2" t="inlineStr">
        <is>
          <t>Academic integrity/AI guidance</t>
        </is>
      </c>
      <c r="D10" s="2" t="inlineStr">
        <is>
          <t>1</t>
        </is>
      </c>
      <c r="E10" s="2" t="inlineStr">
        <is>
          <t>If exists</t>
        </is>
      </c>
      <c r="F10" s="2" t="inlineStr">
        <is>
          <t>I05</t>
        </is>
      </c>
    </row>
    <row r="11">
      <c r="A11" s="2" t="inlineStr">
        <is>
          <t>D02</t>
        </is>
      </c>
      <c r="B11" s="2" t="inlineStr">
        <is>
          <t>E05</t>
        </is>
      </c>
      <c r="C11" s="2" t="inlineStr">
        <is>
          <t>AI-affected assessment example</t>
        </is>
      </c>
      <c r="D11" s="2" t="inlineStr">
        <is>
          <t>1</t>
        </is>
      </c>
      <c r="E11" s="2" t="inlineStr">
        <is>
          <t>Representative</t>
        </is>
      </c>
      <c r="F11" s="2" t="inlineStr">
        <is>
          <t>I06</t>
        </is>
      </c>
    </row>
    <row r="12">
      <c r="A12" s="2" t="inlineStr">
        <is>
          <t>D02</t>
        </is>
      </c>
      <c r="B12" s="2" t="inlineStr">
        <is>
          <t>E06</t>
        </is>
      </c>
      <c r="C12" s="2" t="inlineStr">
        <is>
          <t>Incident/test evidence</t>
        </is>
      </c>
      <c r="D12" s="2" t="inlineStr">
        <is>
          <t>1</t>
        </is>
      </c>
      <c r="E12" s="2" t="inlineStr">
        <is>
          <t>If exists</t>
        </is>
      </c>
      <c r="F12" s="2" t="inlineStr">
        <is>
          <t>I08/I14</t>
        </is>
      </c>
    </row>
    <row r="13">
      <c r="A13" s="2" t="inlineStr">
        <is>
          <t>D02</t>
        </is>
      </c>
      <c r="B13" s="2" t="inlineStr">
        <is>
          <t>E07</t>
        </is>
      </c>
      <c r="C13" s="2" t="inlineStr">
        <is>
          <t>Vendor/tool review</t>
        </is>
      </c>
      <c r="D13" s="2" t="inlineStr">
        <is>
          <t>Up to 3</t>
        </is>
      </c>
      <c r="E13" s="2" t="inlineStr">
        <is>
          <t>Representative</t>
        </is>
      </c>
      <c r="F13" s="2" t="inlineStr">
        <is>
          <t>I10</t>
        </is>
      </c>
    </row>
    <row r="14">
      <c r="A14" s="2" t="inlineStr">
        <is>
          <t>D03</t>
        </is>
      </c>
      <c r="B14" s="2" t="inlineStr">
        <is>
          <t>E01</t>
        </is>
      </c>
      <c r="C14" s="2" t="inlineStr">
        <is>
          <t>Graduate capability framework</t>
        </is>
      </c>
      <c r="D14" s="2" t="inlineStr">
        <is>
          <t>1</t>
        </is>
      </c>
      <c r="E14" s="2" t="inlineStr">
        <is>
          <t>If claimed</t>
        </is>
      </c>
      <c r="F14" s="2" t="inlineStr">
        <is>
          <t>I01</t>
        </is>
      </c>
    </row>
    <row r="15">
      <c r="A15" s="2" t="inlineStr">
        <is>
          <t>D03</t>
        </is>
      </c>
      <c r="B15" s="2" t="inlineStr">
        <is>
          <t>E02</t>
        </is>
      </c>
      <c r="C15" s="2" t="inlineStr">
        <is>
          <t>Representative assessment/activity</t>
        </is>
      </c>
      <c r="D15" s="2" t="inlineStr">
        <is>
          <t>3-5</t>
        </is>
      </c>
      <c r="E15" s="2" t="inlineStr">
        <is>
          <t>Full assessment</t>
        </is>
      </c>
      <c r="F15" s="2" t="inlineStr">
        <is>
          <t>I02/I04/I07</t>
        </is>
      </c>
    </row>
    <row r="16">
      <c r="A16" s="2" t="inlineStr">
        <is>
          <t>D03</t>
        </is>
      </c>
      <c r="B16" s="2" t="inlineStr">
        <is>
          <t>E03</t>
        </is>
      </c>
      <c r="C16" s="2" t="inlineStr">
        <is>
          <t>Rubric/capability criteria</t>
        </is>
      </c>
      <c r="D16" s="2" t="inlineStr">
        <is>
          <t>1-3</t>
        </is>
      </c>
      <c r="E16" s="2" t="inlineStr">
        <is>
          <t>If used</t>
        </is>
      </c>
      <c r="F16" s="2" t="inlineStr">
        <is>
          <t>I02/I04</t>
        </is>
      </c>
    </row>
    <row r="17">
      <c r="A17" s="2" t="inlineStr">
        <is>
          <t>D03</t>
        </is>
      </c>
      <c r="B17" s="2" t="inlineStr">
        <is>
          <t>E04</t>
        </is>
      </c>
      <c r="C17" s="2" t="inlineStr">
        <is>
          <t>AI verification activity</t>
        </is>
      </c>
      <c r="D17" s="2" t="inlineStr">
        <is>
          <t>1</t>
        </is>
      </c>
      <c r="E17" s="2" t="inlineStr">
        <is>
          <t>If claimed</t>
        </is>
      </c>
      <c r="F17" s="2" t="inlineStr">
        <is>
          <t>I08</t>
        </is>
      </c>
    </row>
    <row r="18">
      <c r="A18" s="2" t="inlineStr">
        <is>
          <t>D03</t>
        </is>
      </c>
      <c r="B18" s="2" t="inlineStr">
        <is>
          <t>E05</t>
        </is>
      </c>
      <c r="C18" s="2" t="inlineStr">
        <is>
          <t>Non-technical discipline sample</t>
        </is>
      </c>
      <c r="D18" s="2" t="inlineStr">
        <is>
          <t>Up to 3</t>
        </is>
      </c>
      <c r="E18" s="2" t="inlineStr">
        <is>
          <t>Where applicable</t>
        </is>
      </c>
      <c r="F18" s="2" t="inlineStr">
        <is>
          <t>I17</t>
        </is>
      </c>
    </row>
    <row r="19">
      <c r="A19" s="2" t="inlineStr">
        <is>
          <t>D03</t>
        </is>
      </c>
      <c r="B19" s="2" t="inlineStr">
        <is>
          <t>E06</t>
        </is>
      </c>
      <c r="C19" s="2" t="inlineStr">
        <is>
          <t>Capability outcome evidence</t>
        </is>
      </c>
      <c r="D19" s="2" t="inlineStr">
        <is>
          <t>1</t>
        </is>
      </c>
      <c r="E19" s="2" t="inlineStr">
        <is>
          <t>If available</t>
        </is>
      </c>
      <c r="F19" s="2" t="inlineStr">
        <is>
          <t>I07</t>
        </is>
      </c>
    </row>
  </sheetData>
  <autoFilter ref="A1:F19"/>
  <pageMargins left="0.7" right="0.7" top="0.75" bottom="0.75" header="0.3" footer="0.3"/>
</worksheet>
</file>

<file path=xl/worksheets/sheet49.xml><?xml version="1.0" encoding="utf-8"?>
<worksheet xmlns="http://schemas.openxmlformats.org/spreadsheetml/2006/main">
  <sheetPr>
    <outlinePr summaryBelow="1" summaryRight="1"/>
    <pageSetUpPr/>
  </sheetPr>
  <dimension ref="A1:D13"/>
  <sheetViews>
    <sheetView showGridLines="0" workbookViewId="0">
      <pane ySplit="1" topLeftCell="A2" activePane="bottomLeft" state="frozen"/>
      <selection pane="bottomLeft" activeCell="A1" sqref="A1"/>
    </sheetView>
  </sheetViews>
  <sheetFormatPr baseColWidth="8" defaultRowHeight="15"/>
  <cols>
    <col width="13.7109375" customWidth="1" min="1" max="4"/>
  </cols>
  <sheetData>
    <row r="1">
      <c r="A1" s="24" t="inlineStr">
        <is>
          <t>ID</t>
        </is>
      </c>
      <c r="B1" s="24" t="inlineStr">
        <is>
          <t>Check</t>
        </is>
      </c>
      <c r="C1" s="24" t="inlineStr">
        <is>
          <t>Rule</t>
        </is>
      </c>
      <c r="D1" s="24" t="inlineStr">
        <is>
          <t>Type</t>
        </is>
      </c>
    </row>
    <row r="2">
      <c r="A2" s="2" t="inlineStr">
        <is>
          <t>QA01</t>
        </is>
      </c>
      <c r="B2" s="2" t="inlineStr">
        <is>
          <t>Programme counts</t>
        </is>
      </c>
      <c r="C2" s="2" t="inlineStr">
        <is>
          <t>Modified &lt;= reviewed &lt;= active</t>
        </is>
      </c>
      <c r="D2" s="2" t="inlineStr">
        <is>
          <t>Hard validation</t>
        </is>
      </c>
    </row>
    <row r="3">
      <c r="A3" s="2" t="inlineStr">
        <is>
          <t>QA02</t>
        </is>
      </c>
      <c r="B3" s="2" t="inlineStr">
        <is>
          <t>Pilot counts</t>
        </is>
      </c>
      <c r="C3" s="2" t="inlineStr">
        <is>
          <t>Evaluated &lt;= conducted; scaled/stopped &lt;= evaluated</t>
        </is>
      </c>
      <c r="D3" s="2" t="inlineStr">
        <is>
          <t>Hard validation</t>
        </is>
      </c>
    </row>
    <row r="4">
      <c r="A4" s="2" t="inlineStr">
        <is>
          <t>QA03</t>
        </is>
      </c>
      <c r="B4" s="2" t="inlineStr">
        <is>
          <t>Data counts</t>
        </is>
      </c>
      <c r="C4" s="2" t="inlineStr">
        <is>
          <t>Privacy-reviewed &lt;= data-processing &lt;= approved tools</t>
        </is>
      </c>
      <c r="D4" s="2" t="inlineStr">
        <is>
          <t>Hard validation</t>
        </is>
      </c>
    </row>
    <row r="5">
      <c r="A5" s="2" t="inlineStr">
        <is>
          <t>QA04</t>
        </is>
      </c>
      <c r="B5" s="2" t="inlineStr">
        <is>
          <t>No policy inflation</t>
        </is>
      </c>
      <c r="C5" s="2" t="inlineStr">
        <is>
          <t>Policy existence alone cannot create high maturity</t>
        </is>
      </c>
      <c r="D5" s="2" t="inlineStr">
        <is>
          <t>Scoring rule</t>
        </is>
      </c>
    </row>
    <row r="6">
      <c r="A6" s="2" t="inlineStr">
        <is>
          <t>QA05</t>
        </is>
      </c>
      <c r="B6" s="2" t="inlineStr">
        <is>
          <t>Context fairness</t>
        </is>
      </c>
      <c r="C6" s="2" t="inlineStr">
        <is>
          <t>Required maturity reflects mission, scale, resources, exposure</t>
        </is>
      </c>
      <c r="D6" s="2" t="inlineStr">
        <is>
          <t>Scoring rule</t>
        </is>
      </c>
    </row>
    <row r="7">
      <c r="A7" s="2" t="inlineStr">
        <is>
          <t>QA06</t>
        </is>
      </c>
      <c r="B7" s="2" t="inlineStr">
        <is>
          <t>Non-technical fairness</t>
        </is>
      </c>
      <c r="C7" s="2" t="inlineStr">
        <is>
          <t>Assess discipline relevance, not coding/technical AI</t>
        </is>
      </c>
      <c r="D7" s="2" t="inlineStr">
        <is>
          <t>Scoring rule</t>
        </is>
      </c>
    </row>
    <row r="8">
      <c r="A8" s="2" t="inlineStr">
        <is>
          <t>QA07</t>
        </is>
      </c>
      <c r="B8" s="2" t="inlineStr">
        <is>
          <t>No outcome fabrication</t>
        </is>
      </c>
      <c r="C8" s="2" t="inlineStr">
        <is>
          <t>N/A accepted where outcome measurement legitimately unavailable</t>
        </is>
      </c>
      <c r="D8" s="2" t="inlineStr">
        <is>
          <t>Scoring rule</t>
        </is>
      </c>
    </row>
    <row r="9">
      <c r="A9" s="2" t="inlineStr">
        <is>
          <t>QA08</t>
        </is>
      </c>
      <c r="B9" s="2" t="inlineStr">
        <is>
          <t>Representative sampling</t>
        </is>
      </c>
      <c r="C9" s="2" t="inlineStr">
        <is>
          <t>Evidence requests stay limited to high-value samples</t>
        </is>
      </c>
      <c r="D9" s="2" t="inlineStr">
        <is>
          <t>UX rule</t>
        </is>
      </c>
    </row>
    <row r="10">
      <c r="A10" s="2" t="inlineStr">
        <is>
          <t>D03</t>
        </is>
      </c>
      <c r="B10" s="2" t="inlineStr">
        <is>
          <t>Discipline coverage</t>
        </is>
      </c>
      <c r="C10" s="2" t="inlineStr">
        <is>
          <t>Expanded to health, pharmacy, media, humanities, professional, technical and interdisciplinary pathways.</t>
        </is>
      </c>
      <c r="D10" s="2" t="inlineStr">
        <is>
          <t>Pass</t>
        </is>
      </c>
    </row>
    <row r="11">
      <c r="A11" s="2" t="inlineStr">
        <is>
          <t>D04-D06</t>
        </is>
      </c>
      <c r="B11" s="2" t="inlineStr">
        <is>
          <t>Architecture completeness</t>
        </is>
      </c>
      <c r="C11" s="2" t="inlineStr">
        <is>
          <t>Each domain has capabilities, metrics, assessment cards, 5 core questions and maturity anchors.</t>
        </is>
      </c>
      <c r="D11" s="2" t="inlineStr">
        <is>
          <t>Pass</t>
        </is>
      </c>
    </row>
    <row r="12">
      <c r="A12" s="2" t="inlineStr">
        <is>
          <t>All</t>
        </is>
      </c>
      <c r="B12" s="2" t="inlineStr">
        <is>
          <t>Context calibration</t>
        </is>
      </c>
      <c r="C12" s="2" t="inlineStr">
        <is>
          <t>Institution context changes proportionality and branching, not the integrity standard.</t>
        </is>
      </c>
      <c r="D12" s="2" t="inlineStr">
        <is>
          <t>Pass</t>
        </is>
      </c>
    </row>
    <row r="13">
      <c r="A13" s="2" t="inlineStr">
        <is>
          <t>All</t>
        </is>
      </c>
      <c r="B13" s="2" t="inlineStr">
        <is>
          <t>Reality gradient</t>
        </is>
      </c>
      <c r="C13" s="2" t="inlineStr">
        <is>
          <t>Claim→practice→evidence→outcome→adaptation captured separately from maturity.</t>
        </is>
      </c>
      <c r="D13" s="2" t="inlineStr">
        <is>
          <t>Pass</t>
        </is>
      </c>
    </row>
  </sheetData>
  <autoFilter ref="A1:D13"/>
  <pageMargins left="0.7" right="0.7" top="0.75" bottom="0.75" header="0.3" footer="0.3"/>
</worksheet>
</file>

<file path=xl/worksheets/sheet50.xml><?xml version="1.0" encoding="utf-8"?>
<worksheet xmlns="http://schemas.openxmlformats.org/spreadsheetml/2006/main">
  <sheetPr>
    <outlinePr summaryBelow="1" summaryRight="1"/>
    <pageSetUpPr/>
  </sheetPr>
  <dimension ref="A1:D6"/>
  <sheetViews>
    <sheetView showGridLines="0" workbookViewId="0">
      <pane ySplit="1" topLeftCell="A2" activePane="bottomLeft" state="frozen"/>
      <selection pane="bottomLeft" activeCell="A1" sqref="A1"/>
    </sheetView>
  </sheetViews>
  <sheetFormatPr baseColWidth="8" defaultRowHeight="15"/>
  <cols>
    <col width="13.7109375" customWidth="1" min="1" max="4"/>
  </cols>
  <sheetData>
    <row r="1">
      <c r="A1" s="24" t="inlineStr">
        <is>
          <t>Level</t>
        </is>
      </c>
      <c r="B1" s="24" t="inlineStr">
        <is>
          <t>Institutional Reality State</t>
        </is>
      </c>
      <c r="C1" s="24" t="inlineStr">
        <is>
          <t>Meaning</t>
        </is>
      </c>
      <c r="D1" s="24" t="inlineStr">
        <is>
          <t>Assessment Treatment</t>
        </is>
      </c>
    </row>
    <row r="2">
      <c r="A2" s="2" t="n">
        <v>0</v>
      </c>
      <c r="B2" s="2" t="inlineStr">
        <is>
          <t>Claim only</t>
        </is>
      </c>
      <c r="C2" s="2" t="inlineStr">
        <is>
          <t>Institution says it exists; no operational proof</t>
        </is>
      </c>
      <c r="D2" s="2" t="inlineStr">
        <is>
          <t>Low confidence; probe further</t>
        </is>
      </c>
    </row>
    <row r="3">
      <c r="A3" s="2" t="n">
        <v>1</v>
      </c>
      <c r="B3" s="2" t="inlineStr">
        <is>
          <t>Practice exists</t>
        </is>
      </c>
      <c r="C3" s="2" t="inlineStr">
        <is>
          <t>Some actual practice but weak/formal evidence</t>
        </is>
      </c>
      <c r="D3" s="2" t="inlineStr">
        <is>
          <t>Score practice, flag evidence gap</t>
        </is>
      </c>
    </row>
    <row r="4">
      <c r="A4" s="2" t="n">
        <v>2</v>
      </c>
      <c r="B4" s="2" t="inlineStr">
        <is>
          <t>Evidence-backed practice</t>
        </is>
      </c>
      <c r="C4" s="2" t="inlineStr">
        <is>
          <t>Institutional artefact/process demonstrates practice</t>
        </is>
      </c>
      <c r="D4" s="2" t="inlineStr">
        <is>
          <t>Higher confidence</t>
        </is>
      </c>
    </row>
    <row r="5">
      <c r="A5" s="2" t="n">
        <v>3</v>
      </c>
      <c r="B5" s="2" t="inlineStr">
        <is>
          <t>Outcome demonstrated</t>
        </is>
      </c>
      <c r="C5" s="2" t="inlineStr">
        <is>
          <t>Evidence shows effect on capability/quality/behaviour</t>
        </is>
      </c>
      <c r="D5" s="2" t="inlineStr">
        <is>
          <t>Strong maturity signal</t>
        </is>
      </c>
    </row>
    <row r="6">
      <c r="A6" s="2" t="n">
        <v>4</v>
      </c>
      <c r="B6" s="2" t="inlineStr">
        <is>
          <t>Adapted from evidence</t>
        </is>
      </c>
      <c r="C6" s="2" t="inlineStr">
        <is>
          <t>Institution changes practice based on results/feedback</t>
        </is>
      </c>
      <c r="D6" s="2" t="inlineStr">
        <is>
          <t>Highest maturity signal</t>
        </is>
      </c>
    </row>
  </sheetData>
  <autoFilter ref="A1:D6"/>
  <pageMargins left="0.7" right="0.7" top="0.75" bottom="0.75" header="0.3" footer="0.3"/>
</worksheet>
</file>

<file path=xl/worksheets/sheet51.xml><?xml version="1.0" encoding="utf-8"?>
<worksheet xmlns="http://schemas.openxmlformats.org/spreadsheetml/2006/main">
  <sheetPr>
    <outlinePr summaryBelow="1" summaryRight="1"/>
    <pageSetUpPr/>
  </sheetPr>
  <dimension ref="A1:D10"/>
  <sheetViews>
    <sheetView showGridLines="0" workbookViewId="0">
      <pane ySplit="1" topLeftCell="A2" activePane="bottomLeft" state="frozen"/>
      <selection pane="bottomLeft" activeCell="A1" sqref="A1"/>
    </sheetView>
  </sheetViews>
  <sheetFormatPr baseColWidth="8" defaultRowHeight="15"/>
  <cols>
    <col width="13.7109375" customWidth="1" min="1" max="4"/>
  </cols>
  <sheetData>
    <row r="1">
      <c r="A1" s="24" t="inlineStr">
        <is>
          <t>Context Variable</t>
        </is>
      </c>
      <c r="B1" s="24" t="inlineStr">
        <is>
          <t>Why It Matters</t>
        </is>
      </c>
      <c r="C1" s="24" t="inlineStr">
        <is>
          <t>Examples of Context Values</t>
        </is>
      </c>
      <c r="D1" s="24" t="inlineStr">
        <is>
          <t>How It Changes Assessment</t>
        </is>
      </c>
    </row>
    <row r="2">
      <c r="A2" s="2" t="inlineStr">
        <is>
          <t>Institution Type</t>
        </is>
      </c>
      <c r="B2" s="2" t="inlineStr">
        <is>
          <t>Mandate and operating model differ</t>
        </is>
      </c>
      <c r="C2" s="2" t="inlineStr">
        <is>
          <t>University; college; specialised institute; autonomous college</t>
        </is>
      </c>
      <c r="D2" s="2" t="inlineStr">
        <is>
          <t>Changes expected capability architecture, not the integrity standard</t>
        </is>
      </c>
    </row>
    <row r="3">
      <c r="A3" s="2" t="inlineStr">
        <is>
          <t>Scale</t>
        </is>
      </c>
      <c r="B3" s="2" t="inlineStr">
        <is>
          <t>Capacity and coordination differ</t>
        </is>
      </c>
      <c r="C3" s="2" t="inlineStr">
        <is>
          <t>&lt;2k; 2–10k; 10–25k; &gt;25k students</t>
        </is>
      </c>
      <c r="D3" s="2" t="inlineStr">
        <is>
          <t>Changes proportionality and evidence burden</t>
        </is>
      </c>
    </row>
    <row r="4">
      <c r="A4" s="2" t="inlineStr">
        <is>
          <t>Geography</t>
        </is>
      </c>
      <c r="B4" s="2" t="inlineStr">
        <is>
          <t>Access, industry and infrastructure differ</t>
        </is>
      </c>
      <c r="C4" s="2" t="inlineStr">
        <is>
          <t>Rural; semi-urban; urban; metro; aspirational district</t>
        </is>
      </c>
      <c r="D4" s="2" t="inlineStr">
        <is>
          <t>Adjusts opportunity/exposure interpretation</t>
        </is>
      </c>
    </row>
    <row r="5">
      <c r="A5" s="2" t="inlineStr">
        <is>
          <t>Discipline Mix</t>
        </is>
      </c>
      <c r="B5" s="2" t="inlineStr">
        <is>
          <t>AI impact differs by discipline</t>
        </is>
      </c>
      <c r="C5" s="2" t="inlineStr">
        <is>
          <t>Technical; health; law; humanities; multidisciplinary</t>
        </is>
      </c>
      <c r="D5" s="2" t="inlineStr">
        <is>
          <t>Activates discipline-specific pathways</t>
        </is>
      </c>
    </row>
    <row r="6">
      <c r="A6" s="2" t="inlineStr">
        <is>
          <t>Resource Envelope</t>
        </is>
      </c>
      <c r="B6" s="2" t="inlineStr">
        <is>
          <t>Capability building options differ</t>
        </is>
      </c>
      <c r="C6" s="2" t="inlineStr">
        <is>
          <t>Expenditure/funding bands</t>
        </is>
      </c>
      <c r="D6" s="2" t="inlineStr">
        <is>
          <t>Prevents wealth from becoming a proxy for maturity</t>
        </is>
      </c>
    </row>
    <row r="7">
      <c r="A7" s="2" t="inlineStr">
        <is>
          <t>Student Profile</t>
        </is>
      </c>
      <c r="B7" s="2" t="inlineStr">
        <is>
          <t>Support needs and exposure differ</t>
        </is>
      </c>
      <c r="C7" s="2" t="inlineStr">
        <is>
          <t>First-generation; commuter/residential; diverse digital access</t>
        </is>
      </c>
      <c r="D7" s="2" t="inlineStr">
        <is>
          <t>Adjusts equity and support expectations</t>
        </is>
      </c>
    </row>
    <row r="8">
      <c r="A8" s="2" t="inlineStr">
        <is>
          <t>Research Intensity</t>
        </is>
      </c>
      <c r="B8" s="2" t="inlineStr">
        <is>
          <t>Research role differs</t>
        </is>
      </c>
      <c r="C8" s="2" t="inlineStr">
        <is>
          <t>Teaching-led; balanced; research-intensive</t>
        </is>
      </c>
      <c r="D8" s="2" t="inlineStr">
        <is>
          <t>Activates research-related depth</t>
        </is>
      </c>
    </row>
    <row r="9">
      <c r="A9" s="2" t="inlineStr">
        <is>
          <t>AI Exposure</t>
        </is>
      </c>
      <c r="B9" s="2" t="inlineStr">
        <is>
          <t>Risk/opportunity differs</t>
        </is>
      </c>
      <c r="C9" s="2" t="inlineStr">
        <is>
          <t>Low; moderate; high; consequential systems</t>
        </is>
      </c>
      <c r="D9" s="2" t="inlineStr">
        <is>
          <t>Sets required governance and capability depth</t>
        </is>
      </c>
    </row>
    <row r="10">
      <c r="A10" s="2" t="inlineStr">
        <is>
          <t>Institutional Trajectory</t>
        </is>
      </c>
      <c r="B10" s="2" t="inlineStr">
        <is>
          <t>Direction matters</t>
        </is>
      </c>
      <c r="C10" s="2" t="inlineStr">
        <is>
          <t>Growing; stable; restructuring</t>
        </is>
      </c>
      <c r="D10" s="2" t="inlineStr">
        <is>
          <t>Separates current size from developmental trajectory</t>
        </is>
      </c>
    </row>
  </sheetData>
  <autoFilter ref="A1:D10"/>
  <pageMargins left="0.7" right="0.7" top="0.75" bottom="0.75" header="0.3" footer="0.3"/>
</worksheet>
</file>

<file path=xl/worksheets/sheet52.xml><?xml version="1.0" encoding="utf-8"?>
<worksheet xmlns="http://schemas.openxmlformats.org/spreadsheetml/2006/main">
  <sheetPr>
    <outlinePr summaryBelow="1" summaryRight="1"/>
    <pageSetUpPr/>
  </sheetPr>
  <dimension ref="A1:D8"/>
  <sheetViews>
    <sheetView showGridLines="0" workbookViewId="0">
      <pane ySplit="1" topLeftCell="A2" activePane="bottomLeft" state="frozen"/>
      <selection pane="bottomLeft" activeCell="A1" sqref="A1"/>
    </sheetView>
  </sheetViews>
  <sheetFormatPr baseColWidth="8" defaultRowHeight="15"/>
  <cols>
    <col width="13.7109375" customWidth="1" min="1" max="4"/>
  </cols>
  <sheetData>
    <row r="1">
      <c r="A1" s="24" t="inlineStr">
        <is>
          <t>Input Layer</t>
        </is>
      </c>
      <c r="B1" s="24" t="inlineStr">
        <is>
          <t>What Captured</t>
        </is>
      </c>
      <c r="C1" s="24" t="inlineStr">
        <is>
          <t>Purpose</t>
        </is>
      </c>
      <c r="D1" s="24" t="inlineStr">
        <is>
          <t>Used For</t>
        </is>
      </c>
    </row>
    <row r="2">
      <c r="A2" s="2" t="inlineStr">
        <is>
          <t>Institutional Profile</t>
        </is>
      </c>
      <c r="B2" s="2" t="inlineStr">
        <is>
          <t>Mandate, scale, geography, disciplines, resources, student context</t>
        </is>
      </c>
      <c r="C2" s="2" t="inlineStr">
        <is>
          <t>Context calibration</t>
        </is>
      </c>
      <c r="D2" s="2" t="inlineStr">
        <is>
          <t>All domains</t>
        </is>
      </c>
    </row>
    <row r="3">
      <c r="A3" s="2" t="inlineStr">
        <is>
          <t>Institutional Data</t>
        </is>
      </c>
      <c r="B3" s="2" t="inlineStr">
        <is>
          <t>Numbers, coverage, frequency, programme/faculty/student counts</t>
        </is>
      </c>
      <c r="C3" s="2" t="inlineStr">
        <is>
          <t>Reality quantification</t>
        </is>
      </c>
      <c r="D3" s="2" t="inlineStr">
        <is>
          <t>Metrics and ratios</t>
        </is>
      </c>
    </row>
    <row r="4">
      <c r="A4" s="2" t="inlineStr">
        <is>
          <t>Diagnostic Questions</t>
        </is>
      </c>
      <c r="B4" s="2" t="inlineStr">
        <is>
          <t>Scenario/behavioural/reflective responses</t>
        </is>
      </c>
      <c r="C4" s="2" t="inlineStr">
        <is>
          <t>Reveal institutional thinking and practice</t>
        </is>
      </c>
      <c r="D4" s="2" t="inlineStr">
        <is>
          <t>Maturity and branching</t>
        </is>
      </c>
    </row>
    <row r="5">
      <c r="A5" s="2" t="inlineStr">
        <is>
          <t>Evidence</t>
        </is>
      </c>
      <c r="B5" s="2" t="inlineStr">
        <is>
          <t>Representative artefacts, links, screenshots, samples</t>
        </is>
      </c>
      <c r="C5" s="2" t="inlineStr">
        <is>
          <t>Validate claims</t>
        </is>
      </c>
      <c r="D5" s="2" t="inlineStr">
        <is>
          <t>Evidence confidence</t>
        </is>
      </c>
    </row>
    <row r="6">
      <c r="A6" s="2" t="inlineStr">
        <is>
          <t>Outcome Signals</t>
        </is>
      </c>
      <c r="B6" s="2" t="inlineStr">
        <is>
          <t>Student/faculty/programme/recruiter/operational outcomes where available</t>
        </is>
      </c>
      <c r="C6" s="2" t="inlineStr">
        <is>
          <t>Test effectiveness</t>
        </is>
      </c>
      <c r="D6" s="2" t="inlineStr">
        <is>
          <t>Outcome strength</t>
        </is>
      </c>
    </row>
    <row r="7">
      <c r="A7" s="2" t="inlineStr">
        <is>
          <t>Leadership Judgement</t>
        </is>
      </c>
      <c r="B7" s="2" t="inlineStr">
        <is>
          <t>Priorities, risks, future assumptions</t>
        </is>
      </c>
      <c r="C7" s="2" t="inlineStr">
        <is>
          <t>Foresight and strategic interpretation</t>
        </is>
      </c>
      <c r="D7" s="2" t="inlineStr">
        <is>
          <t>Required maturity/exposure</t>
        </is>
      </c>
    </row>
    <row r="8">
      <c r="A8" s="2" t="inlineStr">
        <is>
          <t>Cross-Domain Consistency</t>
        </is>
      </c>
      <c r="B8" s="2" t="inlineStr">
        <is>
          <t>Contradictions and dependency signals</t>
        </is>
      </c>
      <c r="C8" s="2" t="inlineStr">
        <is>
          <t>Prevent isolated gaming</t>
        </is>
      </c>
      <c r="D8" s="2" t="inlineStr">
        <is>
          <t>Confidence and follow-up</t>
        </is>
      </c>
    </row>
  </sheetData>
  <autoFilter ref="A1:D8"/>
  <pageMargins left="0.7" right="0.7" top="0.75" bottom="0.75" header="0.3" footer="0.3"/>
</worksheet>
</file>

<file path=xl/worksheets/sheet53.xml><?xml version="1.0" encoding="utf-8"?>
<worksheet xmlns="http://schemas.openxmlformats.org/spreadsheetml/2006/main">
  <sheetPr>
    <outlinePr summaryBelow="1" summaryRight="1"/>
    <pageSetUpPr/>
  </sheetPr>
  <dimension ref="A1:J11"/>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24" t="inlineStr">
        <is>
          <t>Domain</t>
        </is>
      </c>
      <c r="B1" s="24" t="inlineStr">
        <is>
          <t>Domain Name</t>
        </is>
      </c>
      <c r="C1" s="24" t="inlineStr">
        <is>
          <t>Capability ID</t>
        </is>
      </c>
      <c r="D1" s="24" t="inlineStr">
        <is>
          <t>Capability Area</t>
        </is>
      </c>
      <c r="E1" s="24" t="inlineStr">
        <is>
          <t>Metric ID</t>
        </is>
      </c>
      <c r="F1" s="24" t="inlineStr">
        <is>
          <t>Metric</t>
        </is>
      </c>
      <c r="G1" s="24" t="inlineStr">
        <is>
          <t>What It Measures</t>
        </is>
      </c>
      <c r="H1" s="24" t="inlineStr">
        <is>
          <t>Measurement Method</t>
        </is>
      </c>
      <c r="I1" s="24" t="inlineStr">
        <is>
          <t>Exposure</t>
        </is>
      </c>
      <c r="J1" s="24" t="inlineStr">
        <is>
          <t>Source / Basis</t>
        </is>
      </c>
    </row>
    <row r="2">
      <c r="A2" s="2" t="inlineStr">
        <is>
          <t>D01</t>
        </is>
      </c>
      <c r="B2" s="2" t="inlineStr">
        <is>
          <t>Institutional Strategy, Foresight &amp; AI Direction</t>
        </is>
      </c>
      <c r="C2" s="2" t="inlineStr">
        <is>
          <t>C01</t>
        </is>
      </c>
      <c r="D2" s="2" t="inlineStr">
        <is>
          <t>Institutional AI Awareness</t>
        </is>
      </c>
      <c r="E2" s="2" t="inlineStr">
        <is>
          <t>I01</t>
        </is>
      </c>
      <c r="F2" s="2" t="inlineStr">
        <is>
          <t>Strategic AI Integration</t>
        </is>
      </c>
      <c r="G2" s="2" t="inlineStr">
        <is>
          <t>Actual AI/future influence on institutional decisions</t>
        </is>
      </c>
      <c r="H2" s="2" t="inlineStr">
        <is>
          <t>Multi-select + sampled decisions</t>
        </is>
      </c>
      <c r="I2" s="2" t="inlineStr">
        <is>
          <t>High</t>
        </is>
      </c>
      <c r="J2" s="2" t="inlineStr">
        <is>
          <t>Integrated master; D01-D03 baseline retained; D04-D11 integrated from domain matrices.</t>
        </is>
      </c>
    </row>
    <row r="3">
      <c r="A3" s="2" t="inlineStr">
        <is>
          <t>D01</t>
        </is>
      </c>
      <c r="B3" s="2" t="inlineStr">
        <is>
          <t>Institutional Strategy, Foresight &amp; AI Direction</t>
        </is>
      </c>
      <c r="C3" s="2" t="inlineStr">
        <is>
          <t>C02</t>
        </is>
      </c>
      <c r="D3" s="2" t="inlineStr">
        <is>
          <t>Future-of-Institution Thinking</t>
        </is>
      </c>
      <c r="E3" s="2" t="inlineStr">
        <is>
          <t>I02</t>
        </is>
      </c>
      <c r="F3" s="2" t="inlineStr">
        <is>
          <t>Future Foresight Maturity</t>
        </is>
      </c>
      <c r="G3" s="2" t="inlineStr">
        <is>
          <t>Ability to test assumptions and detect change early</t>
        </is>
      </c>
      <c r="H3" s="2" t="inlineStr">
        <is>
          <t>Scenario + foresight mechanism + evidence</t>
        </is>
      </c>
      <c r="I3" s="2" t="inlineStr">
        <is>
          <t>Very High</t>
        </is>
      </c>
      <c r="J3" s="2" t="inlineStr">
        <is>
          <t>Integrated master; D01-D03 baseline retained; D04-D11 integrated from domain matrices.</t>
        </is>
      </c>
    </row>
    <row r="4">
      <c r="A4" s="2" t="inlineStr">
        <is>
          <t>D01</t>
        </is>
      </c>
      <c r="B4" s="2" t="inlineStr">
        <is>
          <t>Institutional Strategy, Foresight &amp; AI Direction</t>
        </is>
      </c>
      <c r="C4" s="2" t="inlineStr">
        <is>
          <t>C03</t>
        </is>
      </c>
      <c r="D4" s="2" t="inlineStr">
        <is>
          <t>Strategic Translation</t>
        </is>
      </c>
      <c r="E4" s="2" t="inlineStr">
        <is>
          <t>I03</t>
        </is>
      </c>
      <c r="F4" s="2" t="inlineStr">
        <is>
          <t>Strategic Translation Rate</t>
        </is>
      </c>
      <c r="G4" s="2" t="inlineStr">
        <is>
          <t>Identified issues translated into actual decisions</t>
        </is>
      </c>
      <c r="H4" s="2" t="inlineStr">
        <is>
          <t>Numerical ratio + samples</t>
        </is>
      </c>
      <c r="I4" s="2" t="inlineStr">
        <is>
          <t>Very High</t>
        </is>
      </c>
      <c r="J4" s="2" t="inlineStr">
        <is>
          <t>Integrated master; D01-D03 baseline retained; D04-D11 integrated from domain matrices.</t>
        </is>
      </c>
    </row>
    <row r="5">
      <c r="A5" s="2" t="inlineStr">
        <is>
          <t>D01</t>
        </is>
      </c>
      <c r="B5" s="2" t="inlineStr">
        <is>
          <t>Institutional Strategy, Foresight &amp; AI Direction</t>
        </is>
      </c>
      <c r="C5" s="2" t="inlineStr">
        <is>
          <t>C04</t>
        </is>
      </c>
      <c r="D5" s="2" t="inlineStr">
        <is>
          <t>Programme Portfolio Foresight</t>
        </is>
      </c>
      <c r="E5" s="2" t="inlineStr">
        <is>
          <t>I04</t>
        </is>
      </c>
      <c r="F5" s="2" t="inlineStr">
        <is>
          <t>Programme Future-Review Coverage</t>
        </is>
      </c>
      <c r="G5" s="2" t="inlineStr">
        <is>
          <t>Programme reviews considering AI/future-of-work</t>
        </is>
      </c>
      <c r="H5" s="2" t="inlineStr">
        <is>
          <t>Numerical ratio + sample quality</t>
        </is>
      </c>
      <c r="I5" s="2" t="inlineStr">
        <is>
          <t>Very High</t>
        </is>
      </c>
      <c r="J5" s="2" t="inlineStr">
        <is>
          <t>Integrated master; D01-D03 baseline retained; D04-D11 integrated from domain matrices.</t>
        </is>
      </c>
    </row>
    <row r="6">
      <c r="A6" s="2" t="inlineStr">
        <is>
          <t>D01</t>
        </is>
      </c>
      <c r="B6" s="2" t="inlineStr">
        <is>
          <t>Institutional Strategy, Foresight &amp; AI Direction</t>
        </is>
      </c>
      <c r="C6" s="2" t="inlineStr">
        <is>
          <t>C05</t>
        </is>
      </c>
      <c r="D6" s="2" t="inlineStr">
        <is>
          <t>Institutional Value Proposition</t>
        </is>
      </c>
      <c r="E6" s="2" t="inlineStr">
        <is>
          <t>I05</t>
        </is>
      </c>
      <c r="F6" s="2" t="inlineStr">
        <is>
          <t>Strategic Differentiation Clarity</t>
        </is>
      </c>
      <c r="G6" s="2" t="inlineStr">
        <is>
          <t>Evidence-backed future value proposition</t>
        </is>
      </c>
      <c r="H6" s="2" t="inlineStr">
        <is>
          <t>Structured response + evidence</t>
        </is>
      </c>
      <c r="I6" s="2" t="inlineStr">
        <is>
          <t>High</t>
        </is>
      </c>
      <c r="J6" s="2" t="inlineStr">
        <is>
          <t>Integrated master; D01-D03 baseline retained; D04-D11 integrated from domain matrices.</t>
        </is>
      </c>
    </row>
    <row r="7">
      <c r="A7" s="2" t="inlineStr">
        <is>
          <t>D01</t>
        </is>
      </c>
      <c r="B7" s="2" t="inlineStr">
        <is>
          <t>Institutional Strategy, Foresight &amp; AI Direction</t>
        </is>
      </c>
      <c r="C7" s="2" t="inlineStr">
        <is>
          <t>C06</t>
        </is>
      </c>
      <c r="D7" s="2" t="inlineStr">
        <is>
          <t>Scenario &amp; Foresight Capability</t>
        </is>
      </c>
      <c r="E7" s="2" t="inlineStr">
        <is>
          <t>I06</t>
        </is>
      </c>
      <c r="F7" s="2" t="inlineStr">
        <is>
          <t>Foresight Response Architecture</t>
        </is>
      </c>
      <c r="G7" s="2" t="inlineStr">
        <is>
          <t>Detect→interpret→decide→act→learn mechanism</t>
        </is>
      </c>
      <c r="H7" s="2" t="inlineStr">
        <is>
          <t>Process map</t>
        </is>
      </c>
      <c r="I7" s="2" t="inlineStr">
        <is>
          <t>Very High</t>
        </is>
      </c>
      <c r="J7" s="2" t="inlineStr">
        <is>
          <t>Integrated master; D01-D03 baseline retained; D04-D11 integrated from domain matrices.</t>
        </is>
      </c>
    </row>
    <row r="8">
      <c r="A8" s="2" t="inlineStr">
        <is>
          <t>D01</t>
        </is>
      </c>
      <c r="B8" s="2" t="inlineStr">
        <is>
          <t>Institutional Strategy, Foresight &amp; AI Direction</t>
        </is>
      </c>
      <c r="C8" s="2" t="inlineStr">
        <is>
          <t>C07</t>
        </is>
      </c>
      <c r="D8" s="2" t="inlineStr">
        <is>
          <t>Strategic Investment Alignment</t>
        </is>
      </c>
      <c r="E8" s="2" t="inlineStr">
        <is>
          <t>I07</t>
        </is>
      </c>
      <c r="F8" s="2" t="inlineStr">
        <is>
          <t>Resource Alignment</t>
        </is>
      </c>
      <c r="G8" s="2" t="inlineStr">
        <is>
          <t>Strategic priority vs resource movement</t>
        </is>
      </c>
      <c r="H8" s="2" t="inlineStr">
        <is>
          <t>Budget bands + mapping</t>
        </is>
      </c>
      <c r="I8" s="2" t="inlineStr">
        <is>
          <t>High</t>
        </is>
      </c>
      <c r="J8" s="2" t="inlineStr">
        <is>
          <t>Integrated master; D01-D03 baseline retained; D04-D11 integrated from domain matrices.</t>
        </is>
      </c>
    </row>
    <row r="9">
      <c r="A9" s="2" t="inlineStr">
        <is>
          <t>D01</t>
        </is>
      </c>
      <c r="B9" s="2" t="inlineStr">
        <is>
          <t>Institutional Strategy, Foresight &amp; AI Direction</t>
        </is>
      </c>
      <c r="C9" s="2" t="inlineStr">
        <is>
          <t>C08</t>
        </is>
      </c>
      <c r="D9" s="2" t="inlineStr">
        <is>
          <t>Leadership Alignment</t>
        </is>
      </c>
      <c r="E9" s="2" t="inlineStr">
        <is>
          <t>I08</t>
        </is>
      </c>
      <c r="F9" s="2" t="inlineStr">
        <is>
          <t>Leadership Alignment</t>
        </is>
      </c>
      <c r="G9" s="2" t="inlineStr">
        <is>
          <t>Cross-functional strategic ownership</t>
        </is>
      </c>
      <c r="H9" s="2" t="inlineStr">
        <is>
          <t>Role map + scenario</t>
        </is>
      </c>
      <c r="I9" s="2" t="inlineStr">
        <is>
          <t>High</t>
        </is>
      </c>
      <c r="J9" s="2" t="inlineStr">
        <is>
          <t>Integrated master; D01-D03 baseline retained; D04-D11 integrated from domain matrices.</t>
        </is>
      </c>
    </row>
    <row r="10">
      <c r="A10" s="2" t="inlineStr">
        <is>
          <t>D01</t>
        </is>
      </c>
      <c r="B10" s="2" t="inlineStr">
        <is>
          <t>Institutional Strategy, Foresight &amp; AI Direction</t>
        </is>
      </c>
      <c r="C10" s="2" t="inlineStr">
        <is>
          <t>C09</t>
        </is>
      </c>
      <c r="D10" s="2" t="inlineStr">
        <is>
          <t>Strategic Experimentation</t>
        </is>
      </c>
      <c r="E10" s="2" t="inlineStr">
        <is>
          <t>I09</t>
        </is>
      </c>
      <c r="F10" s="2" t="inlineStr">
        <is>
          <t>Experimentation Effectiveness</t>
        </is>
      </c>
      <c r="G10" s="2" t="inlineStr">
        <is>
          <t>Pilot evaluation, scaling/stopping and learning</t>
        </is>
      </c>
      <c r="H10" s="2" t="inlineStr">
        <is>
          <t>Pilot data + evidence</t>
        </is>
      </c>
      <c r="I10" s="2" t="inlineStr">
        <is>
          <t>High</t>
        </is>
      </c>
      <c r="J10" s="2" t="inlineStr">
        <is>
          <t>Integrated master; D01-D03 baseline retained; D04-D11 integrated from domain matrices.</t>
        </is>
      </c>
    </row>
    <row r="11">
      <c r="A11" s="2" t="inlineStr">
        <is>
          <t>D01</t>
        </is>
      </c>
      <c r="B11" s="2" t="inlineStr">
        <is>
          <t>Institutional Strategy, Foresight &amp; AI Direction</t>
        </is>
      </c>
      <c r="C11" s="2" t="inlineStr">
        <is>
          <t>C10</t>
        </is>
      </c>
      <c r="D11" s="2" t="inlineStr">
        <is>
          <t>Institutional Learning Loop</t>
        </is>
      </c>
      <c r="E11" s="2" t="inlineStr">
        <is>
          <t>I10</t>
        </is>
      </c>
      <c r="F11" s="2" t="inlineStr">
        <is>
          <t>Strategic Learning Rate</t>
        </is>
      </c>
      <c r="G11" s="2" t="inlineStr">
        <is>
          <t>Strategy changes after evidence/review</t>
        </is>
      </c>
      <c r="H11" s="2" t="inlineStr">
        <is>
          <t>Decision history</t>
        </is>
      </c>
      <c r="I11" s="2" t="inlineStr">
        <is>
          <t>Very High</t>
        </is>
      </c>
      <c r="J11" s="2" t="inlineStr">
        <is>
          <t>Integrated master; D01-D03 baseline retained; D04-D11 integrated from domain matrices.</t>
        </is>
      </c>
    </row>
  </sheetData>
  <autoFilter ref="A1:J11"/>
  <pageMargins left="0.7" right="0.7" top="0.75" bottom="0.75" header="0.3" footer="0.3"/>
</worksheet>
</file>

<file path=xl/worksheets/sheet54.xml><?xml version="1.0" encoding="utf-8"?>
<worksheet xmlns="http://schemas.openxmlformats.org/spreadsheetml/2006/main">
  <sheetPr>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24" t="inlineStr">
        <is>
          <t>Domain</t>
        </is>
      </c>
      <c r="B1" s="24" t="inlineStr">
        <is>
          <t>Card ID</t>
        </is>
      </c>
      <c r="C1" s="24" t="inlineStr">
        <is>
          <t>Assessment Card</t>
        </is>
      </c>
      <c r="D1" s="24" t="inlineStr">
        <is>
          <t>Input / Response Format</t>
        </is>
      </c>
      <c r="E1" s="24" t="inlineStr">
        <is>
          <t>Purpose / Respondent Action</t>
        </is>
      </c>
      <c r="F1" s="24" t="inlineStr">
        <is>
          <t>Metric Link</t>
        </is>
      </c>
    </row>
    <row r="2">
      <c r="A2" s="2" t="inlineStr">
        <is>
          <t>D01</t>
        </is>
      </c>
      <c r="B2" s="2" t="inlineStr">
        <is>
          <t>A01</t>
        </is>
      </c>
      <c r="C2" s="2" t="inlineStr">
        <is>
          <t>Strategic Position</t>
        </is>
      </c>
      <c r="D2" s="2" t="inlineStr">
        <is>
          <t>Single/multi-select</t>
        </is>
      </c>
      <c r="E2" s="2" t="inlineStr">
        <is>
          <t>Actual AI positioning and participants</t>
        </is>
      </c>
      <c r="F2" s="2" t="inlineStr">
        <is>
          <t>I01/I08</t>
        </is>
      </c>
    </row>
    <row r="3">
      <c r="A3" s="2" t="inlineStr">
        <is>
          <t>D01</t>
        </is>
      </c>
      <c r="B3" s="2" t="inlineStr">
        <is>
          <t>A02</t>
        </is>
      </c>
      <c r="C3" s="2" t="inlineStr">
        <is>
          <t>Actual Strategic Changes</t>
        </is>
      </c>
      <c r="D3" s="2" t="inlineStr">
        <is>
          <t>Multi-select + 3 decision records</t>
        </is>
      </c>
      <c r="E3" s="2" t="inlineStr">
        <is>
          <t>What changed in last 18 months</t>
        </is>
      </c>
      <c r="F3" s="2" t="inlineStr">
        <is>
          <t>I01/I03</t>
        </is>
      </c>
    </row>
    <row r="4">
      <c r="A4" s="2" t="inlineStr">
        <is>
          <t>D01</t>
        </is>
      </c>
      <c r="B4" s="2" t="inlineStr">
        <is>
          <t>A03</t>
        </is>
      </c>
      <c r="C4" s="2" t="inlineStr">
        <is>
          <t>Future Assumptions</t>
        </is>
      </c>
      <c r="D4" s="2" t="inlineStr">
        <is>
          <t>Top 5 + explanations</t>
        </is>
      </c>
      <c r="E4" s="2" t="inlineStr">
        <is>
          <t>Institutional assumptions exposed</t>
        </is>
      </c>
      <c r="F4" s="2" t="inlineStr">
        <is>
          <t>I02</t>
        </is>
      </c>
    </row>
    <row r="5">
      <c r="A5" s="2" t="inlineStr">
        <is>
          <t>D01</t>
        </is>
      </c>
      <c r="B5" s="2" t="inlineStr">
        <is>
          <t>A04</t>
        </is>
      </c>
      <c r="C5" s="2" t="inlineStr">
        <is>
          <t>Programme Portfolio Data</t>
        </is>
      </c>
      <c r="D5" s="2" t="inlineStr">
        <is>
          <t>Numerical</t>
        </is>
      </c>
      <c r="E5" s="2" t="inlineStr">
        <is>
          <t>Review/change coverage</t>
        </is>
      </c>
      <c r="F5" s="2" t="inlineStr">
        <is>
          <t>I04</t>
        </is>
      </c>
    </row>
    <row r="6">
      <c r="A6" s="2" t="inlineStr">
        <is>
          <t>D01</t>
        </is>
      </c>
      <c r="B6" s="2" t="inlineStr">
        <is>
          <t>A05</t>
        </is>
      </c>
      <c r="C6" s="2" t="inlineStr">
        <is>
          <t>Foresight Mechanism</t>
        </is>
      </c>
      <c r="D6" s="2" t="inlineStr">
        <is>
          <t>Process map</t>
        </is>
      </c>
      <c r="E6" s="2" t="inlineStr">
        <is>
          <t>Detect→act architecture</t>
        </is>
      </c>
      <c r="F6" s="2" t="inlineStr">
        <is>
          <t>I02/I06</t>
        </is>
      </c>
    </row>
    <row r="7">
      <c r="A7" s="2" t="inlineStr">
        <is>
          <t>D01</t>
        </is>
      </c>
      <c r="B7" s="2" t="inlineStr">
        <is>
          <t>A06</t>
        </is>
      </c>
      <c r="C7" s="2" t="inlineStr">
        <is>
          <t>Experimentation</t>
        </is>
      </c>
      <c r="D7" s="2" t="inlineStr">
        <is>
          <t>Numbers + 3 pilots</t>
        </is>
      </c>
      <c r="E7" s="2" t="inlineStr">
        <is>
          <t>Pilot discipline</t>
        </is>
      </c>
      <c r="F7" s="2" t="inlineStr">
        <is>
          <t>I09</t>
        </is>
      </c>
    </row>
    <row r="8">
      <c r="A8" s="2" t="inlineStr">
        <is>
          <t>D01</t>
        </is>
      </c>
      <c r="B8" s="2" t="inlineStr">
        <is>
          <t>A07</t>
        </is>
      </c>
      <c r="C8" s="2" t="inlineStr">
        <is>
          <t>Resource Alignment</t>
        </is>
      </c>
      <c r="D8" s="2" t="inlineStr">
        <is>
          <t>Bands + mapping</t>
        </is>
      </c>
      <c r="E8" s="2" t="inlineStr">
        <is>
          <t>Priority/resource consistency</t>
        </is>
      </c>
      <c r="F8" s="2" t="inlineStr">
        <is>
          <t>I07</t>
        </is>
      </c>
    </row>
    <row r="9">
      <c r="A9" s="2" t="inlineStr">
        <is>
          <t>D01</t>
        </is>
      </c>
      <c r="B9" s="2" t="inlineStr">
        <is>
          <t>A08</t>
        </is>
      </c>
      <c r="C9" s="2" t="inlineStr">
        <is>
          <t>Leadership Scenario</t>
        </is>
      </c>
      <c r="D9" s="2" t="inlineStr">
        <is>
          <t>Scenario + authority</t>
        </is>
      </c>
      <c r="E9" s="2" t="inlineStr">
        <is>
          <t>Decision behaviour</t>
        </is>
      </c>
      <c r="F9" s="2" t="inlineStr">
        <is>
          <t>I08</t>
        </is>
      </c>
    </row>
    <row r="10">
      <c r="A10" s="2" t="inlineStr">
        <is>
          <t>D01</t>
        </is>
      </c>
      <c r="B10" s="2" t="inlineStr">
        <is>
          <t>A09</t>
        </is>
      </c>
      <c r="C10" s="2" t="inlineStr">
        <is>
          <t>Differentiation</t>
        </is>
      </c>
      <c r="D10" s="2" t="inlineStr">
        <is>
          <t>Structured + evidence</t>
        </is>
      </c>
      <c r="E10" s="2" t="inlineStr">
        <is>
          <t>Future institutional value</t>
        </is>
      </c>
      <c r="F10" s="2" t="inlineStr">
        <is>
          <t>I05</t>
        </is>
      </c>
    </row>
    <row r="11">
      <c r="A11" s="2" t="inlineStr">
        <is>
          <t>D01</t>
        </is>
      </c>
      <c r="B11" s="2" t="inlineStr">
        <is>
          <t>A10</t>
        </is>
      </c>
      <c r="C11" s="2" t="inlineStr">
        <is>
          <t>Evidence</t>
        </is>
      </c>
      <c r="D11" s="2" t="inlineStr">
        <is>
          <t>2–3 items</t>
        </is>
      </c>
      <c r="E11" s="2" t="inlineStr">
        <is>
          <t>Evidence confidence</t>
        </is>
      </c>
      <c r="F11" s="2" t="inlineStr">
        <is>
          <t>All</t>
        </is>
      </c>
    </row>
  </sheetData>
  <autoFilter ref="A1:F11"/>
  <pageMargins left="0.7" right="0.7" top="0.75" bottom="0.75" header="0.3" footer="0.3"/>
</worksheet>
</file>

<file path=xl/worksheets/sheet55.xml><?xml version="1.0" encoding="utf-8"?>
<worksheet xmlns="http://schemas.openxmlformats.org/spreadsheetml/2006/main">
  <sheetPr>
    <outlinePr summaryBelow="1" summaryRight="1"/>
    <pageSetUpPr/>
  </sheetPr>
  <dimension ref="A1:G8"/>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24" t="inlineStr">
        <is>
          <t>Domain</t>
        </is>
      </c>
      <c r="B1" s="24" t="inlineStr">
        <is>
          <t>Question ID</t>
        </is>
      </c>
      <c r="C1" s="24" t="inlineStr">
        <is>
          <t>Card</t>
        </is>
      </c>
      <c r="D1" s="24" t="inlineStr">
        <is>
          <t>Prompt</t>
        </is>
      </c>
      <c r="E1" s="24" t="inlineStr">
        <is>
          <t>Input Type</t>
        </is>
      </c>
      <c r="F1" s="24" t="inlineStr">
        <is>
          <t>Role</t>
        </is>
      </c>
      <c r="G1" s="24" t="inlineStr">
        <is>
          <t>Metric Link</t>
        </is>
      </c>
    </row>
    <row r="2">
      <c r="A2" s="2" t="inlineStr">
        <is>
          <t>D01</t>
        </is>
      </c>
      <c r="B2" s="2" t="inlineStr">
        <is>
          <t>Q01</t>
        </is>
      </c>
      <c r="C2" s="2" t="inlineStr">
        <is>
          <t>A01</t>
        </is>
      </c>
      <c r="D2" s="2" t="inlineStr">
        <is>
          <t>How is AI currently positioned in institutional decision-making?</t>
        </is>
      </c>
      <c r="E2" s="2" t="inlineStr">
        <is>
          <t>Single</t>
        </is>
      </c>
      <c r="F2" s="2" t="inlineStr">
        <is>
          <t>Diagnostic</t>
        </is>
      </c>
      <c r="G2" s="2" t="inlineStr">
        <is>
          <t>I01/I08</t>
        </is>
      </c>
    </row>
    <row r="3">
      <c r="A3" s="2" t="inlineStr">
        <is>
          <t>D01</t>
        </is>
      </c>
      <c r="B3" s="2" t="inlineStr">
        <is>
          <t>Q02</t>
        </is>
      </c>
      <c r="C3" s="2" t="inlineStr">
        <is>
          <t>A02</t>
        </is>
      </c>
      <c r="D3" s="2" t="inlineStr">
        <is>
          <t>Which institutional decisions have actually changed in the last 18 months because of AI or anticipated AI-driven changes?</t>
        </is>
      </c>
      <c r="E3" s="2" t="inlineStr">
        <is>
          <t>Multi-select + records</t>
        </is>
      </c>
      <c r="F3" s="2" t="inlineStr">
        <is>
          <t>Reality</t>
        </is>
      </c>
      <c r="G3" s="2" t="inlineStr">
        <is>
          <t>I01/I03</t>
        </is>
      </c>
    </row>
    <row r="4">
      <c r="A4" s="2" t="inlineStr">
        <is>
          <t>D01</t>
        </is>
      </c>
      <c r="B4" s="2" t="inlineStr">
        <is>
          <t>Q03</t>
        </is>
      </c>
      <c r="C4" s="2" t="inlineStr">
        <is>
          <t>A03</t>
        </is>
      </c>
      <c r="D4" s="2" t="inlineStr">
        <is>
          <t>Which assumptions underlying the current institutional model could be materially affected by AI in the next 3–5 years?</t>
        </is>
      </c>
      <c r="E4" s="2" t="inlineStr">
        <is>
          <t>Top 5</t>
        </is>
      </c>
      <c r="F4" s="2" t="inlineStr">
        <is>
          <t>Foresight</t>
        </is>
      </c>
      <c r="G4" s="2" t="inlineStr">
        <is>
          <t>I02</t>
        </is>
      </c>
    </row>
    <row r="5">
      <c r="A5" s="2" t="inlineStr">
        <is>
          <t>D01</t>
        </is>
      </c>
      <c r="B5" s="2" t="inlineStr">
        <is>
          <t>Q04</t>
        </is>
      </c>
      <c r="C5" s="2" t="inlineStr">
        <is>
          <t>A05</t>
        </is>
      </c>
      <c r="D5" s="2" t="inlineStr">
        <is>
          <t>When a significant external change is detected, what normally happens from detection to institutional action?</t>
        </is>
      </c>
      <c r="E5" s="2" t="inlineStr">
        <is>
          <t>Process map</t>
        </is>
      </c>
      <c r="F5" s="2" t="inlineStr">
        <is>
          <t>Process</t>
        </is>
      </c>
      <c r="G5" s="2" t="inlineStr">
        <is>
          <t>I02/I06</t>
        </is>
      </c>
    </row>
    <row r="6">
      <c r="A6" s="2" t="inlineStr">
        <is>
          <t>D01</t>
        </is>
      </c>
      <c r="B6" s="2" t="inlineStr">
        <is>
          <t>Q05</t>
        </is>
      </c>
      <c r="C6" s="2" t="inlineStr">
        <is>
          <t>A06</t>
        </is>
      </c>
      <c r="D6" s="2" t="inlineStr">
        <is>
          <t>How many AI pilots were conducted, evaluated, scaled or stopped in the last 24 months?</t>
        </is>
      </c>
      <c r="E6" s="2" t="inlineStr">
        <is>
          <t>Numbers</t>
        </is>
      </c>
      <c r="F6" s="2" t="inlineStr">
        <is>
          <t>Data</t>
        </is>
      </c>
      <c r="G6" s="2" t="inlineStr">
        <is>
          <t>I09</t>
        </is>
      </c>
    </row>
    <row r="7">
      <c r="A7" s="2" t="inlineStr">
        <is>
          <t>D01</t>
        </is>
      </c>
      <c r="B7" s="2" t="inlineStr">
        <is>
          <t>Q06</t>
        </is>
      </c>
      <c r="C7" s="2" t="inlineStr">
        <is>
          <t>A08</t>
        </is>
      </c>
      <c r="D7" s="2" t="inlineStr">
        <is>
          <t>A major AI development threatens a major programme within three years. What would the institution do first, who initiates it, and through what mechanism?</t>
        </is>
      </c>
      <c r="E7" s="2" t="inlineStr">
        <is>
          <t>Scenario</t>
        </is>
      </c>
      <c r="F7" s="2" t="inlineStr">
        <is>
          <t>Diagnostic</t>
        </is>
      </c>
      <c r="G7" s="2" t="inlineStr">
        <is>
          <t>I08</t>
        </is>
      </c>
    </row>
    <row r="8">
      <c r="A8" s="2" t="inlineStr">
        <is>
          <t>D01</t>
        </is>
      </c>
      <c r="B8" s="2" t="inlineStr">
        <is>
          <t>Q07</t>
        </is>
      </c>
      <c r="C8" s="2" t="inlineStr">
        <is>
          <t>A09</t>
        </is>
      </c>
      <c r="D8" s="2" t="inlineStr">
        <is>
          <t>What distinctive institutional value does the university intend to strengthen as AI makes information and routine content increasingly abundant?</t>
        </is>
      </c>
      <c r="E8" s="2" t="inlineStr">
        <is>
          <t>Structured + rationale</t>
        </is>
      </c>
      <c r="F8" s="2" t="inlineStr">
        <is>
          <t>Strategic reflection</t>
        </is>
      </c>
      <c r="G8" s="2" t="inlineStr">
        <is>
          <t>I05</t>
        </is>
      </c>
    </row>
  </sheetData>
  <autoFilter ref="A1:G8"/>
  <pageMargins left="0.7" right="0.7" top="0.75" bottom="0.75" header="0.3" footer="0.3"/>
</worksheet>
</file>

<file path=xl/worksheets/sheet56.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24" t="inlineStr">
        <is>
          <t>Domain</t>
        </is>
      </c>
      <c r="B1" s="24" t="inlineStr">
        <is>
          <t>Evidence ID</t>
        </is>
      </c>
      <c r="C1" s="24" t="inlineStr">
        <is>
          <t>Evidence Item</t>
        </is>
      </c>
      <c r="D1" s="24" t="inlineStr">
        <is>
          <t>Quantity / Sampling</t>
        </is>
      </c>
      <c r="E1" s="24" t="inlineStr">
        <is>
          <t>Requirement</t>
        </is>
      </c>
      <c r="F1" s="24" t="inlineStr">
        <is>
          <t>Metric Link</t>
        </is>
      </c>
      <c r="G1" s="24" t="inlineStr">
        <is>
          <t>Source / Basis</t>
        </is>
      </c>
    </row>
    <row r="2">
      <c r="A2" s="2" t="inlineStr">
        <is>
          <t>D01</t>
        </is>
      </c>
      <c r="B2" s="2" t="inlineStr">
        <is>
          <t>E01</t>
        </is>
      </c>
      <c r="C2" s="2" t="inlineStr">
        <is>
          <t>Strategic plan/AI strategy</t>
        </is>
      </c>
      <c r="D2" s="2" t="inlineStr">
        <is>
          <t>1-2</t>
        </is>
      </c>
      <c r="E2" s="2" t="inlineStr">
        <is>
          <t>If exists</t>
        </is>
      </c>
      <c r="F2" s="2" t="inlineStr">
        <is>
          <t>I01/I02</t>
        </is>
      </c>
      <c r="G2" s="2" t="inlineStr">
        <is>
          <t>Original integrated evidence requirements</t>
        </is>
      </c>
    </row>
    <row r="3">
      <c r="A3" s="2" t="inlineStr">
        <is>
          <t>D01</t>
        </is>
      </c>
      <c r="B3" s="2" t="inlineStr">
        <is>
          <t>E02</t>
        </is>
      </c>
      <c r="C3" s="2" t="inlineStr">
        <is>
          <t>Material strategic decision influenced by AI</t>
        </is>
      </c>
      <c r="D3" s="2" t="inlineStr">
        <is>
          <t>Up to 3</t>
        </is>
      </c>
      <c r="E3" s="2" t="inlineStr">
        <is>
          <t>Full assessment</t>
        </is>
      </c>
      <c r="F3" s="2" t="inlineStr">
        <is>
          <t>I03</t>
        </is>
      </c>
      <c r="G3" s="2" t="inlineStr">
        <is>
          <t>Original integrated evidence requirements</t>
        </is>
      </c>
    </row>
    <row r="4">
      <c r="A4" s="2" t="inlineStr">
        <is>
          <t>D01</t>
        </is>
      </c>
      <c r="B4" s="2" t="inlineStr">
        <is>
          <t>E03</t>
        </is>
      </c>
      <c r="C4" s="2" t="inlineStr">
        <is>
          <t>Programme review showing future/AI consideration</t>
        </is>
      </c>
      <c r="D4" s="2" t="inlineStr">
        <is>
          <t>1-2</t>
        </is>
      </c>
      <c r="E4" s="2" t="inlineStr">
        <is>
          <t>Sample</t>
        </is>
      </c>
      <c r="F4" s="2" t="inlineStr">
        <is>
          <t>I04</t>
        </is>
      </c>
      <c r="G4" s="2" t="inlineStr">
        <is>
          <t>Original integrated evidence requirements</t>
        </is>
      </c>
    </row>
    <row r="5">
      <c r="A5" s="2" t="inlineStr">
        <is>
          <t>D01</t>
        </is>
      </c>
      <c r="B5" s="2" t="inlineStr">
        <is>
          <t>E04</t>
        </is>
      </c>
      <c r="C5" s="2" t="inlineStr">
        <is>
          <t>Foresight/scenario process</t>
        </is>
      </c>
      <c r="D5" s="2" t="inlineStr">
        <is>
          <t>1</t>
        </is>
      </c>
      <c r="E5" s="2" t="inlineStr">
        <is>
          <t>If exists</t>
        </is>
      </c>
      <c r="F5" s="2" t="inlineStr">
        <is>
          <t>I02/I06</t>
        </is>
      </c>
      <c r="G5" s="2" t="inlineStr">
        <is>
          <t>Original integrated evidence requirements</t>
        </is>
      </c>
    </row>
    <row r="6">
      <c r="A6" s="2" t="inlineStr">
        <is>
          <t>D01</t>
        </is>
      </c>
      <c r="B6" s="2" t="inlineStr">
        <is>
          <t>E05</t>
        </is>
      </c>
      <c r="C6" s="2" t="inlineStr">
        <is>
          <t>Pilot evaluation/scaling decision</t>
        </is>
      </c>
      <c r="D6" s="2" t="inlineStr">
        <is>
          <t>Up to 3</t>
        </is>
      </c>
      <c r="E6" s="2" t="inlineStr">
        <is>
          <t>If pilots exist</t>
        </is>
      </c>
      <c r="F6" s="2" t="inlineStr">
        <is>
          <t>I09</t>
        </is>
      </c>
      <c r="G6" s="2" t="inlineStr">
        <is>
          <t>Original integrated evidence requirements</t>
        </is>
      </c>
    </row>
  </sheetData>
  <autoFilter ref="A1:G6"/>
  <pageMargins left="0.7" right="0.7" top="0.75" bottom="0.75" header="0.3" footer="0.3"/>
</worksheet>
</file>

<file path=xl/worksheets/sheet57.xml><?xml version="1.0" encoding="utf-8"?>
<worksheet xmlns="http://schemas.openxmlformats.org/spreadsheetml/2006/main">
  <sheetPr>
    <outlinePr summaryBelow="1" summaryRight="1"/>
    <pageSetUpPr/>
  </sheetPr>
  <dimension ref="A1:G10"/>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24" t="inlineStr">
        <is>
          <t>Domain</t>
        </is>
      </c>
      <c r="B1" s="24" t="inlineStr">
        <is>
          <t>Data ID</t>
        </is>
      </c>
      <c r="C1" s="24" t="inlineStr">
        <is>
          <t>Institutional Data Item</t>
        </is>
      </c>
      <c r="D1" s="24" t="inlineStr">
        <is>
          <t>Input Type</t>
        </is>
      </c>
      <c r="E1" s="24" t="inlineStr">
        <is>
          <t>Requirement</t>
        </is>
      </c>
      <c r="F1" s="24" t="inlineStr">
        <is>
          <t>Metric / Use</t>
        </is>
      </c>
      <c r="G1" s="24" t="inlineStr">
        <is>
          <t>Status</t>
        </is>
      </c>
    </row>
    <row r="2">
      <c r="A2" s="2" t="inlineStr">
        <is>
          <t>D01</t>
        </is>
      </c>
      <c r="B2" s="2" t="inlineStr">
        <is>
          <t>D01-D01</t>
        </is>
      </c>
      <c r="C2" s="2" t="inlineStr">
        <is>
          <t>Active programmes</t>
        </is>
      </c>
      <c r="D2" s="2" t="inlineStr">
        <is>
          <t>Number</t>
        </is>
      </c>
      <c r="E2" s="2" t="inlineStr">
        <is>
          <t>Required</t>
        </is>
      </c>
      <c r="F2" s="2" t="inlineStr">
        <is>
          <t>Source-defined</t>
        </is>
      </c>
      <c r="G2" s="2" t="n"/>
    </row>
    <row r="3">
      <c r="A3" s="2" t="inlineStr">
        <is>
          <t>D01</t>
        </is>
      </c>
      <c r="B3" s="2" t="inlineStr">
        <is>
          <t>D01-D02</t>
        </is>
      </c>
      <c r="C3" s="2" t="inlineStr">
        <is>
          <t>Programmes reviewed in last 3 years</t>
        </is>
      </c>
      <c r="D3" s="2" t="inlineStr">
        <is>
          <t>Number</t>
        </is>
      </c>
      <c r="E3" s="2" t="inlineStr">
        <is>
          <t>Required</t>
        </is>
      </c>
      <c r="F3" s="2" t="inlineStr">
        <is>
          <t>Source-defined</t>
        </is>
      </c>
      <c r="G3" s="2" t="n"/>
    </row>
    <row r="4">
      <c r="A4" s="2" t="inlineStr">
        <is>
          <t>D01</t>
        </is>
      </c>
      <c r="B4" s="2" t="inlineStr">
        <is>
          <t>D01-D03</t>
        </is>
      </c>
      <c r="C4" s="2" t="inlineStr">
        <is>
          <t>Programmes where AI/future implications considered</t>
        </is>
      </c>
      <c r="D4" s="2" t="inlineStr">
        <is>
          <t>Number</t>
        </is>
      </c>
      <c r="E4" s="2" t="inlineStr">
        <is>
          <t>Required</t>
        </is>
      </c>
      <c r="F4" s="2" t="inlineStr">
        <is>
          <t>Source-defined</t>
        </is>
      </c>
      <c r="G4" s="2" t="n"/>
    </row>
    <row r="5">
      <c r="A5" s="2" t="inlineStr">
        <is>
          <t>D01</t>
        </is>
      </c>
      <c r="B5" s="2" t="inlineStr">
        <is>
          <t>D01-D04</t>
        </is>
      </c>
      <c r="C5" s="2" t="inlineStr">
        <is>
          <t>Programmes modified due to AI/employment changes</t>
        </is>
      </c>
      <c r="D5" s="2" t="inlineStr">
        <is>
          <t>Number</t>
        </is>
      </c>
      <c r="E5" s="2" t="inlineStr">
        <is>
          <t>Optional</t>
        </is>
      </c>
      <c r="F5" s="2" t="inlineStr">
        <is>
          <t>Source-defined</t>
        </is>
      </c>
      <c r="G5" s="2" t="n"/>
    </row>
    <row r="6">
      <c r="A6" s="2" t="inlineStr">
        <is>
          <t>D01</t>
        </is>
      </c>
      <c r="B6" s="2" t="inlineStr">
        <is>
          <t>D01-D05</t>
        </is>
      </c>
      <c r="C6" s="2" t="inlineStr">
        <is>
          <t>Material AI/future strategic decisions in last 18 months</t>
        </is>
      </c>
      <c r="D6" s="2" t="inlineStr">
        <is>
          <t>Number</t>
        </is>
      </c>
      <c r="E6" s="2" t="inlineStr">
        <is>
          <t>Required</t>
        </is>
      </c>
      <c r="F6" s="2" t="inlineStr">
        <is>
          <t>Source-defined</t>
        </is>
      </c>
      <c r="G6" s="2" t="n"/>
    </row>
    <row r="7">
      <c r="A7" s="2" t="inlineStr">
        <is>
          <t>D01</t>
        </is>
      </c>
      <c r="B7" s="2" t="inlineStr">
        <is>
          <t>D01-D06</t>
        </is>
      </c>
      <c r="C7" s="2" t="inlineStr">
        <is>
          <t>AI pilots conducted in last 24 months</t>
        </is>
      </c>
      <c r="D7" s="2" t="inlineStr">
        <is>
          <t>Number</t>
        </is>
      </c>
      <c r="E7" s="2" t="inlineStr">
        <is>
          <t>Required</t>
        </is>
      </c>
      <c r="F7" s="2" t="inlineStr">
        <is>
          <t>Source-defined</t>
        </is>
      </c>
      <c r="G7" s="2" t="n"/>
    </row>
    <row r="8">
      <c r="A8" s="2" t="inlineStr">
        <is>
          <t>D01</t>
        </is>
      </c>
      <c r="B8" s="2" t="inlineStr">
        <is>
          <t>D01-D07</t>
        </is>
      </c>
      <c r="C8" s="2" t="inlineStr">
        <is>
          <t>AI pilots formally evaluated</t>
        </is>
      </c>
      <c r="D8" s="2" t="inlineStr">
        <is>
          <t>Number</t>
        </is>
      </c>
      <c r="E8" s="2" t="inlineStr">
        <is>
          <t>Required</t>
        </is>
      </c>
      <c r="F8" s="2" t="inlineStr">
        <is>
          <t>Source-defined</t>
        </is>
      </c>
      <c r="G8" s="2" t="n"/>
    </row>
    <row r="9">
      <c r="A9" s="2" t="inlineStr">
        <is>
          <t>D01</t>
        </is>
      </c>
      <c r="B9" s="2" t="inlineStr">
        <is>
          <t>D01-D08</t>
        </is>
      </c>
      <c r="C9" s="2" t="inlineStr">
        <is>
          <t>AI pilots scaled</t>
        </is>
      </c>
      <c r="D9" s="2" t="inlineStr">
        <is>
          <t>Number</t>
        </is>
      </c>
      <c r="E9" s="2" t="inlineStr">
        <is>
          <t>Optional</t>
        </is>
      </c>
      <c r="F9" s="2" t="inlineStr">
        <is>
          <t>Source-defined</t>
        </is>
      </c>
      <c r="G9" s="2" t="n"/>
    </row>
    <row r="10">
      <c r="A10" s="2" t="inlineStr">
        <is>
          <t>D01</t>
        </is>
      </c>
      <c r="B10" s="2" t="inlineStr">
        <is>
          <t>D01-D09</t>
        </is>
      </c>
      <c r="C10" s="2" t="inlineStr">
        <is>
          <t>AI pilots stopped after evaluation</t>
        </is>
      </c>
      <c r="D10" s="2" t="inlineStr">
        <is>
          <t>Number</t>
        </is>
      </c>
      <c r="E10" s="2" t="inlineStr">
        <is>
          <t>Optional</t>
        </is>
      </c>
      <c r="F10" s="2" t="inlineStr">
        <is>
          <t>Source-defined</t>
        </is>
      </c>
      <c r="G10" s="2" t="n"/>
    </row>
  </sheetData>
  <autoFilter ref="A1:G10"/>
  <pageMargins left="0.7" right="0.7" top="0.75" bottom="0.75" header="0.3" footer="0.3"/>
</worksheet>
</file>

<file path=xl/worksheets/sheet58.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24" t="inlineStr">
        <is>
          <t>Check ID</t>
        </is>
      </c>
      <c r="B1" s="24" t="inlineStr">
        <is>
          <t>Check</t>
        </is>
      </c>
      <c r="C1" s="24" t="inlineStr">
        <is>
          <t>Rule</t>
        </is>
      </c>
      <c r="D1" s="24" t="inlineStr">
        <is>
          <t>Type</t>
        </is>
      </c>
    </row>
    <row r="2">
      <c r="A2" s="2" t="inlineStr">
        <is>
          <t>D01-QA01</t>
        </is>
      </c>
      <c r="B2" s="2" t="inlineStr">
        <is>
          <t>Programme counts</t>
        </is>
      </c>
      <c r="C2" s="2" t="inlineStr">
        <is>
          <t>Modified &lt;= reviewed &lt;= active</t>
        </is>
      </c>
      <c r="D2" s="2" t="inlineStr">
        <is>
          <t>Hard validation</t>
        </is>
      </c>
    </row>
    <row r="3">
      <c r="A3" s="2" t="inlineStr">
        <is>
          <t>D01-QA02</t>
        </is>
      </c>
      <c r="B3" s="2" t="inlineStr">
        <is>
          <t>Pilot counts</t>
        </is>
      </c>
      <c r="C3" s="2" t="inlineStr">
        <is>
          <t>Evaluated &lt;= conducted; scaled/stopped &lt;= evaluated</t>
        </is>
      </c>
      <c r="D3" s="2" t="inlineStr">
        <is>
          <t>Hard validation</t>
        </is>
      </c>
    </row>
    <row r="4">
      <c r="A4" s="2" t="inlineStr">
        <is>
          <t>D01-QA03</t>
        </is>
      </c>
      <c r="B4" s="2" t="inlineStr">
        <is>
          <t>Data counts</t>
        </is>
      </c>
      <c r="C4" s="2" t="inlineStr">
        <is>
          <t>Privacy-reviewed &lt;= data-processing &lt;= approved tools</t>
        </is>
      </c>
      <c r="D4" s="2" t="inlineStr">
        <is>
          <t>Hard validation</t>
        </is>
      </c>
    </row>
    <row r="5">
      <c r="A5" s="2" t="inlineStr">
        <is>
          <t>D01-QA04</t>
        </is>
      </c>
      <c r="B5" s="2" t="inlineStr">
        <is>
          <t>No policy inflation</t>
        </is>
      </c>
      <c r="C5" s="2" t="inlineStr">
        <is>
          <t>Policy existence alone cannot create high maturity</t>
        </is>
      </c>
      <c r="D5" s="2" t="inlineStr">
        <is>
          <t>Scoring rule</t>
        </is>
      </c>
    </row>
    <row r="6">
      <c r="A6" s="2" t="inlineStr">
        <is>
          <t>D01-QA05</t>
        </is>
      </c>
      <c r="B6" s="2" t="inlineStr">
        <is>
          <t>Context fairness</t>
        </is>
      </c>
      <c r="C6" s="2" t="inlineStr">
        <is>
          <t>Required maturity reflects mission, scale, resources, exposure</t>
        </is>
      </c>
      <c r="D6" s="2" t="inlineStr">
        <is>
          <t>Scoring rule</t>
        </is>
      </c>
    </row>
    <row r="7">
      <c r="A7" s="2" t="inlineStr">
        <is>
          <t>D01-QA06</t>
        </is>
      </c>
      <c r="B7" s="2" t="inlineStr">
        <is>
          <t>Non-technical fairness</t>
        </is>
      </c>
      <c r="C7" s="2" t="inlineStr">
        <is>
          <t>Assess discipline relevance, not coding/technical AI</t>
        </is>
      </c>
      <c r="D7" s="2" t="inlineStr">
        <is>
          <t>Scoring rule</t>
        </is>
      </c>
    </row>
    <row r="8">
      <c r="A8" s="2" t="inlineStr">
        <is>
          <t>D01-QA07</t>
        </is>
      </c>
      <c r="B8" s="2" t="inlineStr">
        <is>
          <t>No outcome fabrication</t>
        </is>
      </c>
      <c r="C8" s="2" t="inlineStr">
        <is>
          <t>N/A accepted where outcome measurement legitimately unavailable</t>
        </is>
      </c>
      <c r="D8" s="2" t="inlineStr">
        <is>
          <t>Scoring rule</t>
        </is>
      </c>
    </row>
    <row r="9">
      <c r="A9" s="2" t="inlineStr">
        <is>
          <t>D01-QA08</t>
        </is>
      </c>
      <c r="B9" s="2" t="inlineStr">
        <is>
          <t>Representative sampling</t>
        </is>
      </c>
      <c r="C9" s="2" t="inlineStr">
        <is>
          <t>Evidence requests stay limited to high-value samples</t>
        </is>
      </c>
      <c r="D9" s="2" t="inlineStr">
        <is>
          <t>UX rule</t>
        </is>
      </c>
    </row>
    <row r="10">
      <c r="A10" s="2" t="inlineStr">
        <is>
          <t>D01-D03</t>
        </is>
      </c>
      <c r="B10" s="2" t="inlineStr">
        <is>
          <t>Discipline coverage</t>
        </is>
      </c>
      <c r="C10" s="2" t="inlineStr">
        <is>
          <t>Expanded to health, pharmacy, media, humanities, professional, technical and interdisciplinary pathways.</t>
        </is>
      </c>
      <c r="D10" s="2" t="inlineStr">
        <is>
          <t>Pass</t>
        </is>
      </c>
    </row>
    <row r="11">
      <c r="A11" s="2" t="inlineStr">
        <is>
          <t>D01-D04-D06</t>
        </is>
      </c>
      <c r="B11" s="2" t="inlineStr">
        <is>
          <t>Architecture completeness</t>
        </is>
      </c>
      <c r="C11" s="2" t="inlineStr">
        <is>
          <t>Each domain has capabilities, metrics, assessment cards, 5 core questions and maturity anchors.</t>
        </is>
      </c>
      <c r="D11" s="2" t="inlineStr">
        <is>
          <t>Pass</t>
        </is>
      </c>
    </row>
    <row r="12">
      <c r="A12" s="2" t="inlineStr">
        <is>
          <t>D01-All</t>
        </is>
      </c>
      <c r="B12" s="2" t="inlineStr">
        <is>
          <t>Context calibration</t>
        </is>
      </c>
      <c r="C12" s="2" t="inlineStr">
        <is>
          <t>Institution context changes proportionality and branching, not the integrity standard.</t>
        </is>
      </c>
      <c r="D12" s="2" t="inlineStr">
        <is>
          <t>Pass</t>
        </is>
      </c>
    </row>
    <row r="13">
      <c r="A13" s="2" t="inlineStr">
        <is>
          <t>D01-All</t>
        </is>
      </c>
      <c r="B13" s="2" t="inlineStr">
        <is>
          <t>Reality gradient</t>
        </is>
      </c>
      <c r="C13" s="2" t="inlineStr">
        <is>
          <t>Claim→practice→evidence→outcome→adaptation captured separately from maturity.</t>
        </is>
      </c>
      <c r="D13" s="2" t="inlineStr">
        <is>
          <t>Pass</t>
        </is>
      </c>
    </row>
    <row r="14">
      <c r="A14" s="2" t="inlineStr">
        <is>
          <t>D01-QA-DOM01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D01-QA-DOM02</t>
        </is>
      </c>
      <c r="B15" s="2" t="inlineStr">
        <is>
          <t>Question/card coverage</t>
        </is>
      </c>
      <c r="C15" s="2" t="inlineStr">
        <is>
          <t>Every assessment card and question must map to at least one metric.</t>
        </is>
      </c>
      <c r="D15" s="2" t="inlineStr">
        <is>
          <t>Structural</t>
        </is>
      </c>
    </row>
    <row r="16">
      <c r="A16" s="2" t="inlineStr">
        <is>
          <t>D01-QA-DOM03</t>
        </is>
      </c>
      <c r="B16" s="2" t="inlineStr">
        <is>
          <t>Evidence traceability</t>
        </is>
      </c>
      <c r="C16" s="2" t="inlineStr">
        <is>
          <t>High-maturity claims must have an evidence path or an explicit evidence-gap flag.</t>
        </is>
      </c>
      <c r="D16" s="2" t="inlineStr">
        <is>
          <t>Scoring</t>
        </is>
      </c>
    </row>
    <row r="17">
      <c r="A17" s="2" t="inlineStr">
        <is>
          <t>D01-QA-DOM04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59.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24" t="inlineStr">
        <is>
          <t>Domain</t>
        </is>
      </c>
      <c r="B1" s="24" t="inlineStr">
        <is>
          <t>Domain Name</t>
        </is>
      </c>
      <c r="C1" s="24" t="inlineStr">
        <is>
          <t>Capability ID</t>
        </is>
      </c>
      <c r="D1" s="24" t="inlineStr">
        <is>
          <t>Capability Area</t>
        </is>
      </c>
      <c r="E1" s="24" t="inlineStr">
        <is>
          <t>Metric ID</t>
        </is>
      </c>
      <c r="F1" s="24" t="inlineStr">
        <is>
          <t>Metric</t>
        </is>
      </c>
      <c r="G1" s="24" t="inlineStr">
        <is>
          <t>What It Measures</t>
        </is>
      </c>
      <c r="H1" s="24" t="inlineStr">
        <is>
          <t>Measurement Method</t>
        </is>
      </c>
      <c r="I1" s="24" t="inlineStr">
        <is>
          <t>Exposure</t>
        </is>
      </c>
      <c r="J1" s="24" t="inlineStr">
        <is>
          <t>Source / Basis</t>
        </is>
      </c>
    </row>
    <row r="2">
      <c r="A2" s="2" t="inlineStr">
        <is>
          <t>D02</t>
        </is>
      </c>
      <c r="B2" s="2" t="inlineStr">
        <is>
          <t>Governance, Responsible AI &amp; Institutional Risk</t>
        </is>
      </c>
      <c r="C2" s="2" t="inlineStr">
        <is>
          <t>C01</t>
        </is>
      </c>
      <c r="D2" s="2" t="inlineStr">
        <is>
          <t>Governance Ownership</t>
        </is>
      </c>
      <c r="E2" s="2" t="inlineStr">
        <is>
          <t>I01</t>
        </is>
      </c>
      <c r="F2" s="2" t="inlineStr">
        <is>
          <t>Governance Ownership</t>
        </is>
      </c>
      <c r="G2" s="2" t="inlineStr">
        <is>
          <t>Decision rights for consequential AI</t>
        </is>
      </c>
      <c r="H2" s="2" t="inlineStr">
        <is>
          <t>Responsibility matrix + scenario</t>
        </is>
      </c>
      <c r="I2" s="2" t="inlineStr">
        <is>
          <t>Very High</t>
        </is>
      </c>
      <c r="J2" s="2" t="inlineStr">
        <is>
          <t>Integrated master; D01-D03 baseline retained; D04-D11 integrated from domain matrices.</t>
        </is>
      </c>
    </row>
    <row r="3">
      <c r="A3" s="2" t="inlineStr">
        <is>
          <t>D02</t>
        </is>
      </c>
      <c r="B3" s="2" t="inlineStr">
        <is>
          <t>Governance, Responsible AI &amp; Institutional Risk</t>
        </is>
      </c>
      <c r="C3" s="2" t="inlineStr">
        <is>
          <t>C02</t>
        </is>
      </c>
      <c r="D3" s="2" t="inlineStr">
        <is>
          <t>Decision Architecture</t>
        </is>
      </c>
      <c r="E3" s="2" t="inlineStr">
        <is>
          <t>I02</t>
        </is>
      </c>
      <c r="F3" s="2" t="inlineStr">
        <is>
          <t>Decision Architecture</t>
        </is>
      </c>
      <c r="G3" s="2" t="inlineStr">
        <is>
          <t>Approval/review/escalation workflow</t>
        </is>
      </c>
      <c r="H3" s="2" t="inlineStr">
        <is>
          <t>Workflow + evidence</t>
        </is>
      </c>
      <c r="I3" s="2" t="inlineStr">
        <is>
          <t>Very High</t>
        </is>
      </c>
      <c r="J3" s="2" t="inlineStr">
        <is>
          <t>Integrated master; D01-D03 baseline retained; D04-D11 integrated from domain matrices.</t>
        </is>
      </c>
    </row>
    <row r="4">
      <c r="A4" s="2" t="inlineStr">
        <is>
          <t>D02</t>
        </is>
      </c>
      <c r="B4" s="2" t="inlineStr">
        <is>
          <t>Governance, Responsible AI &amp; Institutional Risk</t>
        </is>
      </c>
      <c r="C4" s="2" t="inlineStr">
        <is>
          <t>C03</t>
        </is>
      </c>
      <c r="D4" s="2" t="inlineStr">
        <is>
          <t>Responsible AI Framework</t>
        </is>
      </c>
      <c r="E4" s="2" t="inlineStr">
        <is>
          <t>I03</t>
        </is>
      </c>
      <c r="F4" s="2" t="inlineStr">
        <is>
          <t>Responsible AI Maturity</t>
        </is>
      </c>
      <c r="G4" s="2" t="inlineStr">
        <is>
          <t>Operational ethics, fairness, transparency, accountability</t>
        </is>
      </c>
      <c r="H4" s="2" t="inlineStr">
        <is>
          <t>Policy matrix + scenario</t>
        </is>
      </c>
      <c r="I4" s="2" t="inlineStr">
        <is>
          <t>Very High</t>
        </is>
      </c>
      <c r="J4" s="2" t="inlineStr">
        <is>
          <t>Integrated master; D01-D03 baseline retained; D04-D11 integrated from domain matrices.</t>
        </is>
      </c>
    </row>
    <row r="5">
      <c r="A5" s="2" t="inlineStr">
        <is>
          <t>D02</t>
        </is>
      </c>
      <c r="B5" s="2" t="inlineStr">
        <is>
          <t>Governance, Responsible AI &amp; Institutional Risk</t>
        </is>
      </c>
      <c r="C5" s="2" t="inlineStr">
        <is>
          <t>C04</t>
        </is>
      </c>
      <c r="D5" s="2" t="inlineStr">
        <is>
          <t>Data Governance</t>
        </is>
      </c>
      <c r="E5" s="2" t="inlineStr">
        <is>
          <t>I04</t>
        </is>
      </c>
      <c r="F5" s="2" t="inlineStr">
        <is>
          <t>Data Governance Readiness</t>
        </is>
      </c>
      <c r="G5" s="2" t="inlineStr">
        <is>
          <t>Controls for data used by AI</t>
        </is>
      </c>
      <c r="H5" s="2" t="inlineStr">
        <is>
          <t>Tool inventory + evidence</t>
        </is>
      </c>
      <c r="I5" s="2" t="inlineStr">
        <is>
          <t>Critical</t>
        </is>
      </c>
      <c r="J5" s="2" t="inlineStr">
        <is>
          <t>Integrated master; D01-D03 baseline retained; D04-D11 integrated from domain matrices.</t>
        </is>
      </c>
    </row>
    <row r="6">
      <c r="A6" s="2" t="inlineStr">
        <is>
          <t>D02</t>
        </is>
      </c>
      <c r="B6" s="2" t="inlineStr">
        <is>
          <t>Governance, Responsible AI &amp; Institutional Risk</t>
        </is>
      </c>
      <c r="C6" s="2" t="inlineStr">
        <is>
          <t>C05</t>
        </is>
      </c>
      <c r="D6" s="2" t="inlineStr">
        <is>
          <t>Academic Integrity Governance</t>
        </is>
      </c>
      <c r="E6" s="2" t="inlineStr">
        <is>
          <t>I05</t>
        </is>
      </c>
      <c r="F6" s="2" t="inlineStr">
        <is>
          <t>Academic Integrity Governance</t>
        </is>
      </c>
      <c r="G6" s="2" t="inlineStr">
        <is>
          <t>AI-use rules and institutional response</t>
        </is>
      </c>
      <c r="H6" s="2" t="inlineStr">
        <is>
          <t>Scenario + guidance + assessment sample</t>
        </is>
      </c>
      <c r="I6" s="2" t="inlineStr">
        <is>
          <t>Critical</t>
        </is>
      </c>
      <c r="J6" s="2" t="inlineStr">
        <is>
          <t>Integrated master; D01-D03 baseline retained; D04-D11 integrated from domain matrices.</t>
        </is>
      </c>
    </row>
    <row r="7">
      <c r="A7" s="2" t="inlineStr">
        <is>
          <t>D02</t>
        </is>
      </c>
      <c r="B7" s="2" t="inlineStr">
        <is>
          <t>Governance, Responsible AI &amp; Institutional Risk</t>
        </is>
      </c>
      <c r="C7" s="2" t="inlineStr">
        <is>
          <t>C06</t>
        </is>
      </c>
      <c r="D7" s="2" t="inlineStr">
        <is>
          <t>Assessment Governance</t>
        </is>
      </c>
      <c r="E7" s="2" t="inlineStr">
        <is>
          <t>I06</t>
        </is>
      </c>
      <c r="F7" s="2" t="inlineStr">
        <is>
          <t>Assessment Governance</t>
        </is>
      </c>
      <c r="G7" s="2" t="inlineStr">
        <is>
          <t>Validity/human oversight under AI</t>
        </is>
      </c>
      <c r="H7" s="2" t="inlineStr">
        <is>
          <t>Assessment governance map</t>
        </is>
      </c>
      <c r="I7" s="2" t="inlineStr">
        <is>
          <t>Critical</t>
        </is>
      </c>
      <c r="J7" s="2" t="inlineStr">
        <is>
          <t>Integrated master; D01-D03 baseline retained; D04-D11 integrated from domain matrices.</t>
        </is>
      </c>
    </row>
    <row r="8">
      <c r="A8" s="2" t="inlineStr">
        <is>
          <t>D02</t>
        </is>
      </c>
      <c r="B8" s="2" t="inlineStr">
        <is>
          <t>Governance, Responsible AI &amp; Institutional Risk</t>
        </is>
      </c>
      <c r="C8" s="2" t="inlineStr">
        <is>
          <t>C07</t>
        </is>
      </c>
      <c r="D8" s="2" t="inlineStr">
        <is>
          <t>AI Risk Management</t>
        </is>
      </c>
      <c r="E8" s="2" t="inlineStr">
        <is>
          <t>I07</t>
        </is>
      </c>
      <c r="F8" s="2" t="inlineStr">
        <is>
          <t>AI Risk Management</t>
        </is>
      </c>
      <c r="G8" s="2" t="inlineStr">
        <is>
          <t>Identify, assess, treat and monitor risk</t>
        </is>
      </c>
      <c r="H8" s="2" t="inlineStr">
        <is>
          <t>Risk map + evidence</t>
        </is>
      </c>
      <c r="I8" s="2" t="inlineStr">
        <is>
          <t>Very High</t>
        </is>
      </c>
      <c r="J8" s="2" t="inlineStr">
        <is>
          <t>Integrated master; D01-D03 baseline retained; D04-D11 integrated from domain matrices.</t>
        </is>
      </c>
    </row>
    <row r="9">
      <c r="A9" s="2" t="inlineStr">
        <is>
          <t>D02</t>
        </is>
      </c>
      <c r="B9" s="2" t="inlineStr">
        <is>
          <t>Governance, Responsible AI &amp; Institutional Risk</t>
        </is>
      </c>
      <c r="C9" s="2" t="inlineStr">
        <is>
          <t>C08</t>
        </is>
      </c>
      <c r="D9" s="2" t="inlineStr">
        <is>
          <t>Incident Response</t>
        </is>
      </c>
      <c r="E9" s="2" t="inlineStr">
        <is>
          <t>I08</t>
        </is>
      </c>
      <c r="F9" s="2" t="inlineStr">
        <is>
          <t>Incident Responsiveness</t>
        </is>
      </c>
      <c r="G9" s="2" t="inlineStr">
        <is>
          <t>Detection→action→learning</t>
        </is>
      </c>
      <c r="H9" s="2" t="inlineStr">
        <is>
          <t>Scenario + process/test evidence</t>
        </is>
      </c>
      <c r="I9" s="2" t="inlineStr">
        <is>
          <t>High</t>
        </is>
      </c>
      <c r="J9" s="2" t="inlineStr">
        <is>
          <t>Integrated master; D01-D03 baseline retained; D04-D11 integrated from domain matrices.</t>
        </is>
      </c>
    </row>
    <row r="10">
      <c r="A10" s="2" t="inlineStr">
        <is>
          <t>D02</t>
        </is>
      </c>
      <c r="B10" s="2" t="inlineStr">
        <is>
          <t>Governance, Responsible AI &amp; Institutional Risk</t>
        </is>
      </c>
      <c r="C10" s="2" t="inlineStr">
        <is>
          <t>C09</t>
        </is>
      </c>
      <c r="D10" s="2" t="inlineStr">
        <is>
          <t>Human Oversight</t>
        </is>
      </c>
      <c r="E10" s="2" t="inlineStr">
        <is>
          <t>I09</t>
        </is>
      </c>
      <c r="F10" s="2" t="inlineStr">
        <is>
          <t>Human Accountability</t>
        </is>
      </c>
      <c r="G10" s="2" t="inlineStr">
        <is>
          <t>Review/override of consequential outputs</t>
        </is>
      </c>
      <c r="H10" s="2" t="inlineStr">
        <is>
          <t>Process matrix</t>
        </is>
      </c>
      <c r="I10" s="2" t="inlineStr">
        <is>
          <t>Very High</t>
        </is>
      </c>
      <c r="J10" s="2" t="inlineStr">
        <is>
          <t>Integrated master; D01-D03 baseline retained; D04-D11 integrated from domain matrices.</t>
        </is>
      </c>
    </row>
    <row r="11">
      <c r="A11" s="2" t="inlineStr">
        <is>
          <t>D02</t>
        </is>
      </c>
      <c r="B11" s="2" t="inlineStr">
        <is>
          <t>Governance, Responsible AI &amp; Institutional Risk</t>
        </is>
      </c>
      <c r="C11" s="2" t="inlineStr">
        <is>
          <t>C10</t>
        </is>
      </c>
      <c r="D11" s="2" t="inlineStr">
        <is>
          <t>Vendor/Tool Governance</t>
        </is>
      </c>
      <c r="E11" s="2" t="inlineStr">
        <is>
          <t>I10</t>
        </is>
      </c>
      <c r="F11" s="2" t="inlineStr">
        <is>
          <t>Vendor/Tool Governance</t>
        </is>
      </c>
      <c r="G11" s="2" t="inlineStr">
        <is>
          <t>Lifecycle due diligence</t>
        </is>
      </c>
      <c r="H11" s="2" t="inlineStr">
        <is>
          <t>Top-3 tool sample</t>
        </is>
      </c>
      <c r="I11" s="2" t="inlineStr">
        <is>
          <t>High</t>
        </is>
      </c>
      <c r="J11" s="2" t="inlineStr">
        <is>
          <t>Integrated master; D01-D03 baseline retained; D04-D11 integrated from domain matrices.</t>
        </is>
      </c>
    </row>
    <row r="12">
      <c r="A12" s="2" t="inlineStr">
        <is>
          <t>D02</t>
        </is>
      </c>
      <c r="B12" s="2" t="inlineStr">
        <is>
          <t>Governance, Responsible AI &amp; Institutional Risk</t>
        </is>
      </c>
      <c r="C12" s="2" t="inlineStr">
        <is>
          <t>C11</t>
        </is>
      </c>
      <c r="D12" s="2" t="inlineStr">
        <is>
          <t>Intellectual Property</t>
        </is>
      </c>
      <c r="E12" s="2" t="inlineStr">
        <is>
          <t>I11</t>
        </is>
      </c>
      <c r="F12" s="2" t="inlineStr">
        <is>
          <t>IP Governance</t>
        </is>
      </c>
      <c r="G12" s="2" t="inlineStr">
        <is>
          <t>AI-related IP/copyright/authorship</t>
        </is>
      </c>
      <c r="H12" s="2" t="inlineStr">
        <is>
          <t>Policy/evidence</t>
        </is>
      </c>
      <c r="I12" s="2" t="inlineStr">
        <is>
          <t>High</t>
        </is>
      </c>
      <c r="J12" s="2" t="inlineStr">
        <is>
          <t>Integrated master; D01-D03 baseline retained; D04-D11 integrated from domain matrices.</t>
        </is>
      </c>
    </row>
    <row r="13">
      <c r="A13" s="2" t="inlineStr">
        <is>
          <t>D02</t>
        </is>
      </c>
      <c r="B13" s="2" t="inlineStr">
        <is>
          <t>Governance, Responsible AI &amp; Institutional Risk</t>
        </is>
      </c>
      <c r="C13" s="2" t="inlineStr">
        <is>
          <t>C12</t>
        </is>
      </c>
      <c r="D13" s="2" t="inlineStr">
        <is>
          <t>Research Governance</t>
        </is>
      </c>
      <c r="E13" s="2" t="inlineStr">
        <is>
          <t>I12</t>
        </is>
      </c>
      <c r="F13" s="2" t="inlineStr">
        <is>
          <t>Research AI Governance</t>
        </is>
      </c>
      <c r="G13" s="2" t="inlineStr">
        <is>
          <t>Responsible AI in research</t>
        </is>
      </c>
      <c r="H13" s="2" t="inlineStr">
        <is>
          <t>Research guidance/evidence</t>
        </is>
      </c>
      <c r="I13" s="2" t="inlineStr">
        <is>
          <t>High</t>
        </is>
      </c>
      <c r="J13" s="2" t="inlineStr">
        <is>
          <t>Integrated master; D01-D03 baseline retained; D04-D11 integrated from domain matrices.</t>
        </is>
      </c>
    </row>
    <row r="14">
      <c r="A14" s="2" t="inlineStr">
        <is>
          <t>D02</t>
        </is>
      </c>
      <c r="B14" s="2" t="inlineStr">
        <is>
          <t>Governance, Responsible AI &amp; Institutional Risk</t>
        </is>
      </c>
      <c r="C14" s="2" t="inlineStr">
        <is>
          <t>C13</t>
        </is>
      </c>
      <c r="D14" s="2" t="inlineStr">
        <is>
          <t>Governance Review</t>
        </is>
      </c>
      <c r="E14" s="2" t="inlineStr">
        <is>
          <t>I13</t>
        </is>
      </c>
      <c r="F14" s="2" t="inlineStr">
        <is>
          <t>Governance Review Adaptability</t>
        </is>
      </c>
      <c r="G14" s="2" t="inlineStr">
        <is>
          <t>Review frequency and change triggers</t>
        </is>
      </c>
      <c r="H14" s="2" t="inlineStr">
        <is>
          <t>Dates + change records</t>
        </is>
      </c>
      <c r="I14" s="2" t="inlineStr">
        <is>
          <t>Very High</t>
        </is>
      </c>
      <c r="J14" s="2" t="inlineStr">
        <is>
          <t>Integrated master; D01-D03 baseline retained; D04-D11 integrated from domain matrices.</t>
        </is>
      </c>
    </row>
    <row r="15">
      <c r="A15" s="2" t="inlineStr">
        <is>
          <t>D02</t>
        </is>
      </c>
      <c r="B15" s="2" t="inlineStr">
        <is>
          <t>Governance, Responsible AI &amp; Institutional Risk</t>
        </is>
      </c>
      <c r="C15" s="2" t="inlineStr">
        <is>
          <t>C14</t>
        </is>
      </c>
      <c r="D15" s="2" t="inlineStr">
        <is>
          <t>Governance Effectiveness</t>
        </is>
      </c>
      <c r="E15" s="2" t="inlineStr">
        <is>
          <t>I14</t>
        </is>
      </c>
      <c r="F15" s="2" t="inlineStr">
        <is>
          <t>Governance Effectiveness</t>
        </is>
      </c>
      <c r="G15" s="2" t="inlineStr">
        <is>
          <t>Functioning governance vs paper policy</t>
        </is>
      </c>
      <c r="H15" s="2" t="inlineStr">
        <is>
          <t>Triangulation</t>
        </is>
      </c>
      <c r="I15" s="2" t="inlineStr">
        <is>
          <t>Very High</t>
        </is>
      </c>
      <c r="J15" s="2" t="inlineStr">
        <is>
          <t>Integrated master; D01-D03 baseline retained; D04-D11 integrated from domain matrices.</t>
        </is>
      </c>
    </row>
  </sheetData>
  <autoFilter ref="A1:J15"/>
  <pageMargins left="0.7" right="0.7" top="0.75" bottom="0.75" header="0.3" footer="0.3"/>
</worksheet>
</file>

<file path=xl/worksheets/sheet60.xml><?xml version="1.0" encoding="utf-8"?>
<worksheet xmlns="http://schemas.openxmlformats.org/spreadsheetml/2006/main">
  <sheetPr>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24" t="inlineStr">
        <is>
          <t>Domain</t>
        </is>
      </c>
      <c r="B1" s="24" t="inlineStr">
        <is>
          <t>Card ID</t>
        </is>
      </c>
      <c r="C1" s="24" t="inlineStr">
        <is>
          <t>Assessment Card</t>
        </is>
      </c>
      <c r="D1" s="24" t="inlineStr">
        <is>
          <t>Input / Response Format</t>
        </is>
      </c>
      <c r="E1" s="24" t="inlineStr">
        <is>
          <t>Purpose / Respondent Action</t>
        </is>
      </c>
      <c r="F1" s="24" t="inlineStr">
        <is>
          <t>Metric Link</t>
        </is>
      </c>
    </row>
    <row r="2">
      <c r="A2" s="2" t="inlineStr">
        <is>
          <t>D02</t>
        </is>
      </c>
      <c r="B2" s="2" t="inlineStr">
        <is>
          <t>A01</t>
        </is>
      </c>
      <c r="C2" s="2" t="inlineStr">
        <is>
          <t>Governance Responsibility Matrix</t>
        </is>
      </c>
      <c r="D2" s="2" t="inlineStr">
        <is>
          <t>Matrix</t>
        </is>
      </c>
      <c r="E2" s="2" t="inlineStr">
        <is>
          <t>Authority/accountability</t>
        </is>
      </c>
      <c r="F2" s="2" t="inlineStr">
        <is>
          <t>I01</t>
        </is>
      </c>
    </row>
    <row r="3">
      <c r="A3" s="2" t="inlineStr">
        <is>
          <t>D02</t>
        </is>
      </c>
      <c r="B3" s="2" t="inlineStr">
        <is>
          <t>A02</t>
        </is>
      </c>
      <c r="C3" s="2" t="inlineStr">
        <is>
          <t>Decision Workflow</t>
        </is>
      </c>
      <c r="D3" s="2" t="inlineStr">
        <is>
          <t>Ordered process</t>
        </is>
      </c>
      <c r="E3" s="2" t="inlineStr">
        <is>
          <t>Approval/review/escalation</t>
        </is>
      </c>
      <c r="F3" s="2" t="inlineStr">
        <is>
          <t>I02</t>
        </is>
      </c>
    </row>
    <row r="4">
      <c r="A4" s="2" t="inlineStr">
        <is>
          <t>D02</t>
        </is>
      </c>
      <c r="B4" s="2" t="inlineStr">
        <is>
          <t>A03</t>
        </is>
      </c>
      <c r="C4" s="2" t="inlineStr">
        <is>
          <t>Policy Inventory</t>
        </is>
      </c>
      <c r="D4" s="2" t="inlineStr">
        <is>
          <t>Matrix + dates</t>
        </is>
      </c>
      <c r="E4" s="2" t="inlineStr">
        <is>
          <t>Existence/implementation/review</t>
        </is>
      </c>
      <c r="F4" s="2" t="inlineStr">
        <is>
          <t>I03/I13</t>
        </is>
      </c>
    </row>
    <row r="5">
      <c r="A5" s="2" t="inlineStr">
        <is>
          <t>D02</t>
        </is>
      </c>
      <c r="B5" s="2" t="inlineStr">
        <is>
          <t>A04</t>
        </is>
      </c>
      <c r="C5" s="2" t="inlineStr">
        <is>
          <t>Harm Scenario</t>
        </is>
      </c>
      <c r="D5" s="2" t="inlineStr">
        <is>
          <t>Scenario + process</t>
        </is>
      </c>
      <c r="E5" s="2" t="inlineStr">
        <is>
          <t>Incident response</t>
        </is>
      </c>
      <c r="F5" s="2" t="inlineStr">
        <is>
          <t>I08</t>
        </is>
      </c>
    </row>
    <row r="6">
      <c r="A6" s="2" t="inlineStr">
        <is>
          <t>D02</t>
        </is>
      </c>
      <c r="B6" s="2" t="inlineStr">
        <is>
          <t>A05</t>
        </is>
      </c>
      <c r="C6" s="2" t="inlineStr">
        <is>
          <t>Data Governance Inventory</t>
        </is>
      </c>
      <c r="D6" s="2" t="inlineStr">
        <is>
          <t>Numbers + 1 tool</t>
        </is>
      </c>
      <c r="E6" s="2" t="inlineStr">
        <is>
          <t>Data controls</t>
        </is>
      </c>
      <c r="F6" s="2" t="inlineStr">
        <is>
          <t>I04</t>
        </is>
      </c>
    </row>
    <row r="7">
      <c r="A7" s="2" t="inlineStr">
        <is>
          <t>D02</t>
        </is>
      </c>
      <c r="B7" s="2" t="inlineStr">
        <is>
          <t>A06</t>
        </is>
      </c>
      <c r="C7" s="2" t="inlineStr">
        <is>
          <t>Academic Integrity</t>
        </is>
      </c>
      <c r="D7" s="2" t="inlineStr">
        <is>
          <t>Scenario + guidance + sample</t>
        </is>
      </c>
      <c r="E7" s="2" t="inlineStr">
        <is>
          <t>AI integrity governance</t>
        </is>
      </c>
      <c r="F7" s="2" t="inlineStr">
        <is>
          <t>I05/I06</t>
        </is>
      </c>
    </row>
    <row r="8">
      <c r="A8" s="2" t="inlineStr">
        <is>
          <t>D02</t>
        </is>
      </c>
      <c r="B8" s="2" t="inlineStr">
        <is>
          <t>A07</t>
        </is>
      </c>
      <c r="C8" s="2" t="inlineStr">
        <is>
          <t>Human Oversight</t>
        </is>
      </c>
      <c r="D8" s="2" t="inlineStr">
        <is>
          <t>Process matrix</t>
        </is>
      </c>
      <c r="E8" s="2" t="inlineStr">
        <is>
          <t>Review/override</t>
        </is>
      </c>
      <c r="F8" s="2" t="inlineStr">
        <is>
          <t>I09</t>
        </is>
      </c>
    </row>
    <row r="9">
      <c r="A9" s="2" t="inlineStr">
        <is>
          <t>D02</t>
        </is>
      </c>
      <c r="B9" s="2" t="inlineStr">
        <is>
          <t>A08</t>
        </is>
      </c>
      <c r="C9" s="2" t="inlineStr">
        <is>
          <t>Vendor Governance</t>
        </is>
      </c>
      <c r="D9" s="2" t="inlineStr">
        <is>
          <t>Top 3 systems</t>
        </is>
      </c>
      <c r="E9" s="2" t="inlineStr">
        <is>
          <t>Due diligence</t>
        </is>
      </c>
      <c r="F9" s="2" t="inlineStr">
        <is>
          <t>I10</t>
        </is>
      </c>
    </row>
    <row r="10">
      <c r="A10" s="2" t="inlineStr">
        <is>
          <t>D02</t>
        </is>
      </c>
      <c r="B10" s="2" t="inlineStr">
        <is>
          <t>A09</t>
        </is>
      </c>
      <c r="C10" s="2" t="inlineStr">
        <is>
          <t>Governance Testing</t>
        </is>
      </c>
      <c r="D10" s="2" t="inlineStr">
        <is>
          <t>Single + evidence</t>
        </is>
      </c>
      <c r="E10" s="2" t="inlineStr">
        <is>
          <t>Effectiveness</t>
        </is>
      </c>
      <c r="F10" s="2" t="inlineStr">
        <is>
          <t>I14</t>
        </is>
      </c>
    </row>
    <row r="11">
      <c r="A11" s="2" t="inlineStr">
        <is>
          <t>D02</t>
        </is>
      </c>
      <c r="B11" s="2" t="inlineStr">
        <is>
          <t>A10</t>
        </is>
      </c>
      <c r="C11" s="2" t="inlineStr">
        <is>
          <t>Evidence</t>
        </is>
      </c>
      <c r="D11" s="2" t="inlineStr">
        <is>
          <t>2–4 items</t>
        </is>
      </c>
      <c r="E11" s="2" t="inlineStr">
        <is>
          <t>Evidence confidence</t>
        </is>
      </c>
      <c r="F11" s="2" t="inlineStr">
        <is>
          <t>All</t>
        </is>
      </c>
    </row>
  </sheetData>
  <autoFilter ref="A1:F11"/>
  <pageMargins left="0.7" right="0.7" top="0.75" bottom="0.75" header="0.3" footer="0.3"/>
</worksheet>
</file>

<file path=xl/worksheets/sheet61.xml><?xml version="1.0" encoding="utf-8"?>
<worksheet xmlns="http://schemas.openxmlformats.org/spreadsheetml/2006/main">
  <sheetPr>
    <outlinePr summaryBelow="1" summaryRight="1"/>
    <pageSetUpPr/>
  </sheetPr>
  <dimension ref="A1:G10"/>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24" t="inlineStr">
        <is>
          <t>Domain</t>
        </is>
      </c>
      <c r="B1" s="24" t="inlineStr">
        <is>
          <t>Question ID</t>
        </is>
      </c>
      <c r="C1" s="24" t="inlineStr">
        <is>
          <t>Card</t>
        </is>
      </c>
      <c r="D1" s="24" t="inlineStr">
        <is>
          <t>Prompt</t>
        </is>
      </c>
      <c r="E1" s="24" t="inlineStr">
        <is>
          <t>Input Type</t>
        </is>
      </c>
      <c r="F1" s="24" t="inlineStr">
        <is>
          <t>Role</t>
        </is>
      </c>
      <c r="G1" s="24" t="inlineStr">
        <is>
          <t>Metric Link</t>
        </is>
      </c>
    </row>
    <row r="2">
      <c r="A2" s="2" t="inlineStr">
        <is>
          <t>D02</t>
        </is>
      </c>
      <c r="B2" s="2" t="inlineStr">
        <is>
          <t>Q01</t>
        </is>
      </c>
      <c r="C2" s="2" t="inlineStr">
        <is>
          <t>A01</t>
        </is>
      </c>
      <c r="D2" s="2" t="inlineStr">
        <is>
          <t>A new AI system processing student information is proposed. Who can authorise institutional deployment?</t>
        </is>
      </c>
      <c r="E2" s="2" t="inlineStr">
        <is>
          <t>Single + authority</t>
        </is>
      </c>
      <c r="F2" s="2" t="inlineStr">
        <is>
          <t>Scenario</t>
        </is>
      </c>
      <c r="G2" s="2" t="inlineStr">
        <is>
          <t>I01</t>
        </is>
      </c>
    </row>
    <row r="3">
      <c r="A3" s="2" t="inlineStr">
        <is>
          <t>D02</t>
        </is>
      </c>
      <c r="B3" s="2" t="inlineStr">
        <is>
          <t>Q02</t>
        </is>
      </c>
      <c r="C3" s="2" t="inlineStr">
        <is>
          <t>A02</t>
        </is>
      </c>
      <c r="D3" s="2" t="inlineStr">
        <is>
          <t>What steps actually occur before a consequential AI system is approved?</t>
        </is>
      </c>
      <c r="E3" s="2" t="inlineStr">
        <is>
          <t>Multi-select + order</t>
        </is>
      </c>
      <c r="F3" s="2" t="inlineStr">
        <is>
          <t>Process</t>
        </is>
      </c>
      <c r="G3" s="2" t="inlineStr">
        <is>
          <t>I02</t>
        </is>
      </c>
    </row>
    <row r="4">
      <c r="A4" s="2" t="inlineStr">
        <is>
          <t>D02</t>
        </is>
      </c>
      <c r="B4" s="2" t="inlineStr">
        <is>
          <t>Q03</t>
        </is>
      </c>
      <c r="C4" s="2" t="inlineStr">
        <is>
          <t>A03</t>
        </is>
      </c>
      <c r="D4" s="2" t="inlineStr">
        <is>
          <t>Which AI governance policies are approved, implemented and reviewed?</t>
        </is>
      </c>
      <c r="E4" s="2" t="inlineStr">
        <is>
          <t>Matrix</t>
        </is>
      </c>
      <c r="F4" s="2" t="inlineStr">
        <is>
          <t>Inventory</t>
        </is>
      </c>
      <c r="G4" s="2" t="inlineStr">
        <is>
          <t>I03/I13</t>
        </is>
      </c>
    </row>
    <row r="5">
      <c r="A5" s="2" t="inlineStr">
        <is>
          <t>D02</t>
        </is>
      </c>
      <c r="B5" s="2" t="inlineStr">
        <is>
          <t>Q04</t>
        </is>
      </c>
      <c r="C5" s="2" t="inlineStr">
        <is>
          <t>A04</t>
        </is>
      </c>
      <c r="D5" s="2" t="inlineStr">
        <is>
          <t>An AI system produces a harmful or discriminatory outcome affecting a student. What happens next?</t>
        </is>
      </c>
      <c r="E5" s="2" t="inlineStr">
        <is>
          <t>Scenario + process</t>
        </is>
      </c>
      <c r="F5" s="2" t="inlineStr">
        <is>
          <t>Diagnostic</t>
        </is>
      </c>
      <c r="G5" s="2" t="inlineStr">
        <is>
          <t>I08</t>
        </is>
      </c>
    </row>
    <row r="6">
      <c r="A6" s="2" t="inlineStr">
        <is>
          <t>D02</t>
        </is>
      </c>
      <c r="B6" s="2" t="inlineStr">
        <is>
          <t>Q05</t>
        </is>
      </c>
      <c r="C6" s="2" t="inlineStr">
        <is>
          <t>A05</t>
        </is>
      </c>
      <c r="D6" s="2" t="inlineStr">
        <is>
          <t>For approved AI tools, how many process personal/student data and how many have undergone defined privacy/data review?</t>
        </is>
      </c>
      <c r="E6" s="2" t="inlineStr">
        <is>
          <t>Numbers</t>
        </is>
      </c>
      <c r="F6" s="2" t="inlineStr">
        <is>
          <t>Data</t>
        </is>
      </c>
      <c r="G6" s="2" t="inlineStr">
        <is>
          <t>I04</t>
        </is>
      </c>
    </row>
    <row r="7">
      <c r="A7" s="2" t="inlineStr">
        <is>
          <t>D02</t>
        </is>
      </c>
      <c r="B7" s="2" t="inlineStr">
        <is>
          <t>Q06</t>
        </is>
      </c>
      <c r="C7" s="2" t="inlineStr">
        <is>
          <t>A06</t>
        </is>
      </c>
      <c r="D7" s="2" t="inlineStr">
        <is>
          <t>How does the institution determine whether student generative-AI use is appropriate?</t>
        </is>
      </c>
      <c r="E7" s="2" t="inlineStr">
        <is>
          <t>Scenario + evidence</t>
        </is>
      </c>
      <c r="F7" s="2" t="inlineStr">
        <is>
          <t>Diagnostic</t>
        </is>
      </c>
      <c r="G7" s="2" t="inlineStr">
        <is>
          <t>I05</t>
        </is>
      </c>
    </row>
    <row r="8">
      <c r="A8" s="2" t="inlineStr">
        <is>
          <t>D02</t>
        </is>
      </c>
      <c r="B8" s="2" t="inlineStr">
        <is>
          <t>Q07</t>
        </is>
      </c>
      <c r="C8" s="2" t="inlineStr">
        <is>
          <t>A07</t>
        </is>
      </c>
      <c r="D8" s="2" t="inlineStr">
        <is>
          <t>For consequential AI-assisted decisions, where can a human review or override the output?</t>
        </is>
      </c>
      <c r="E8" s="2" t="inlineStr">
        <is>
          <t>Matrix</t>
        </is>
      </c>
      <c r="F8" s="2" t="inlineStr">
        <is>
          <t>Process</t>
        </is>
      </c>
      <c r="G8" s="2" t="inlineStr">
        <is>
          <t>I09</t>
        </is>
      </c>
    </row>
    <row r="9">
      <c r="A9" s="2" t="inlineStr">
        <is>
          <t>D02</t>
        </is>
      </c>
      <c r="B9" s="2" t="inlineStr">
        <is>
          <t>Q08</t>
        </is>
      </c>
      <c r="C9" s="2" t="inlineStr">
        <is>
          <t>A08</t>
        </is>
      </c>
      <c r="D9" s="2" t="inlineStr">
        <is>
          <t>For the three most consequential external AI systems, what due diligence and monitoring has occurred?</t>
        </is>
      </c>
      <c r="E9" s="2" t="inlineStr">
        <is>
          <t>Structured records</t>
        </is>
      </c>
      <c r="F9" s="2" t="inlineStr">
        <is>
          <t>Data/evidence</t>
        </is>
      </c>
      <c r="G9" s="2" t="inlineStr">
        <is>
          <t>I10</t>
        </is>
      </c>
    </row>
    <row r="10">
      <c r="A10" s="2" t="inlineStr">
        <is>
          <t>D02</t>
        </is>
      </c>
      <c r="B10" s="2" t="inlineStr">
        <is>
          <t>Q09</t>
        </is>
      </c>
      <c r="C10" s="2" t="inlineStr">
        <is>
          <t>A09</t>
        </is>
      </c>
      <c r="D10" s="2" t="inlineStr">
        <is>
          <t>Has the institution tested its AI governance process? What changed as a result?</t>
        </is>
      </c>
      <c r="E10" s="2" t="inlineStr">
        <is>
          <t>Single + evidence</t>
        </is>
      </c>
      <c r="F10" s="2" t="inlineStr">
        <is>
          <t>Effectiveness</t>
        </is>
      </c>
      <c r="G10" s="2" t="inlineStr">
        <is>
          <t>I14</t>
        </is>
      </c>
    </row>
  </sheetData>
  <autoFilter ref="A1:G10"/>
  <pageMargins left="0.7" right="0.7" top="0.75" bottom="0.75" header="0.3" footer="0.3"/>
</worksheet>
</file>

<file path=xl/worksheets/sheet62.xml><?xml version="1.0" encoding="utf-8"?>
<worksheet xmlns="http://schemas.openxmlformats.org/spreadsheetml/2006/main">
  <sheetPr>
    <outlinePr summaryBelow="1" summaryRight="1"/>
    <pageSetUpPr/>
  </sheetPr>
  <dimension ref="A1:G8"/>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24" t="inlineStr">
        <is>
          <t>Domain</t>
        </is>
      </c>
      <c r="B1" s="24" t="inlineStr">
        <is>
          <t>Evidence ID</t>
        </is>
      </c>
      <c r="C1" s="24" t="inlineStr">
        <is>
          <t>Evidence Item</t>
        </is>
      </c>
      <c r="D1" s="24" t="inlineStr">
        <is>
          <t>Quantity / Sampling</t>
        </is>
      </c>
      <c r="E1" s="24" t="inlineStr">
        <is>
          <t>Requirement</t>
        </is>
      </c>
      <c r="F1" s="24" t="inlineStr">
        <is>
          <t>Metric Link</t>
        </is>
      </c>
      <c r="G1" s="24" t="inlineStr">
        <is>
          <t>Source / Basis</t>
        </is>
      </c>
    </row>
    <row r="2">
      <c r="A2" s="2" t="inlineStr">
        <is>
          <t>D02</t>
        </is>
      </c>
      <c r="B2" s="2" t="inlineStr">
        <is>
          <t>E01</t>
        </is>
      </c>
      <c r="C2" s="2" t="inlineStr">
        <is>
          <t>AI governance framework/policy</t>
        </is>
      </c>
      <c r="D2" s="2" t="inlineStr">
        <is>
          <t>1-3</t>
        </is>
      </c>
      <c r="E2" s="2" t="inlineStr">
        <is>
          <t>If exists</t>
        </is>
      </c>
      <c r="F2" s="2" t="inlineStr">
        <is>
          <t>I01/I03</t>
        </is>
      </c>
      <c r="G2" s="2" t="inlineStr">
        <is>
          <t>Original integrated evidence requirements</t>
        </is>
      </c>
    </row>
    <row r="3">
      <c r="A3" s="2" t="inlineStr">
        <is>
          <t>D02</t>
        </is>
      </c>
      <c r="B3" s="2" t="inlineStr">
        <is>
          <t>E02</t>
        </is>
      </c>
      <c r="C3" s="2" t="inlineStr">
        <is>
          <t>AI approval/review workflow</t>
        </is>
      </c>
      <c r="D3" s="2" t="inlineStr">
        <is>
          <t>1</t>
        </is>
      </c>
      <c r="E3" s="2" t="inlineStr">
        <is>
          <t>Full assessment</t>
        </is>
      </c>
      <c r="F3" s="2" t="inlineStr">
        <is>
          <t>I02</t>
        </is>
      </c>
      <c r="G3" s="2" t="inlineStr">
        <is>
          <t>Original integrated evidence requirements</t>
        </is>
      </c>
    </row>
    <row r="4">
      <c r="A4" s="2" t="inlineStr">
        <is>
          <t>D02</t>
        </is>
      </c>
      <c r="B4" s="2" t="inlineStr">
        <is>
          <t>E03</t>
        </is>
      </c>
      <c r="C4" s="2" t="inlineStr">
        <is>
          <t>Data/privacy control evidence</t>
        </is>
      </c>
      <c r="D4" s="2" t="inlineStr">
        <is>
          <t>1</t>
        </is>
      </c>
      <c r="E4" s="2" t="inlineStr">
        <is>
          <t>Representative system</t>
        </is>
      </c>
      <c r="F4" s="2" t="inlineStr">
        <is>
          <t>I04</t>
        </is>
      </c>
      <c r="G4" s="2" t="inlineStr">
        <is>
          <t>Original integrated evidence requirements</t>
        </is>
      </c>
    </row>
    <row r="5">
      <c r="A5" s="2" t="inlineStr">
        <is>
          <t>D02</t>
        </is>
      </c>
      <c r="B5" s="2" t="inlineStr">
        <is>
          <t>E04</t>
        </is>
      </c>
      <c r="C5" s="2" t="inlineStr">
        <is>
          <t>Academic integrity/AI guidance</t>
        </is>
      </c>
      <c r="D5" s="2" t="inlineStr">
        <is>
          <t>1</t>
        </is>
      </c>
      <c r="E5" s="2" t="inlineStr">
        <is>
          <t>If exists</t>
        </is>
      </c>
      <c r="F5" s="2" t="inlineStr">
        <is>
          <t>I05</t>
        </is>
      </c>
      <c r="G5" s="2" t="inlineStr">
        <is>
          <t>Original integrated evidence requirements</t>
        </is>
      </c>
    </row>
    <row r="6">
      <c r="A6" s="2" t="inlineStr">
        <is>
          <t>D02</t>
        </is>
      </c>
      <c r="B6" s="2" t="inlineStr">
        <is>
          <t>E05</t>
        </is>
      </c>
      <c r="C6" s="2" t="inlineStr">
        <is>
          <t>AI-affected assessment example</t>
        </is>
      </c>
      <c r="D6" s="2" t="inlineStr">
        <is>
          <t>1</t>
        </is>
      </c>
      <c r="E6" s="2" t="inlineStr">
        <is>
          <t>Representative</t>
        </is>
      </c>
      <c r="F6" s="2" t="inlineStr">
        <is>
          <t>I06</t>
        </is>
      </c>
      <c r="G6" s="2" t="inlineStr">
        <is>
          <t>Original integrated evidence requirements</t>
        </is>
      </c>
    </row>
    <row r="7">
      <c r="A7" s="2" t="inlineStr">
        <is>
          <t>D02</t>
        </is>
      </c>
      <c r="B7" s="2" t="inlineStr">
        <is>
          <t>E06</t>
        </is>
      </c>
      <c r="C7" s="2" t="inlineStr">
        <is>
          <t>Incident/test evidence</t>
        </is>
      </c>
      <c r="D7" s="2" t="inlineStr">
        <is>
          <t>1</t>
        </is>
      </c>
      <c r="E7" s="2" t="inlineStr">
        <is>
          <t>If exists</t>
        </is>
      </c>
      <c r="F7" s="2" t="inlineStr">
        <is>
          <t>I08/I14</t>
        </is>
      </c>
      <c r="G7" s="2" t="inlineStr">
        <is>
          <t>Original integrated evidence requirements</t>
        </is>
      </c>
    </row>
    <row r="8">
      <c r="A8" s="2" t="inlineStr">
        <is>
          <t>D02</t>
        </is>
      </c>
      <c r="B8" s="2" t="inlineStr">
        <is>
          <t>E07</t>
        </is>
      </c>
      <c r="C8" s="2" t="inlineStr">
        <is>
          <t>Vendor/tool review</t>
        </is>
      </c>
      <c r="D8" s="2" t="inlineStr">
        <is>
          <t>Up to 3</t>
        </is>
      </c>
      <c r="E8" s="2" t="inlineStr">
        <is>
          <t>Representative</t>
        </is>
      </c>
      <c r="F8" s="2" t="inlineStr">
        <is>
          <t>I10</t>
        </is>
      </c>
      <c r="G8" s="2" t="inlineStr">
        <is>
          <t>Original integrated evidence requirements</t>
        </is>
      </c>
    </row>
  </sheetData>
  <autoFilter ref="A1:G8"/>
  <pageMargins left="0.7" right="0.7" top="0.75" bottom="0.75" header="0.3" footer="0.3"/>
</worksheet>
</file>

<file path=xl/worksheets/sheet63.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24" t="inlineStr">
        <is>
          <t>Domain</t>
        </is>
      </c>
      <c r="B1" s="24" t="inlineStr">
        <is>
          <t>Data ID</t>
        </is>
      </c>
      <c r="C1" s="24" t="inlineStr">
        <is>
          <t>Institutional Data Item</t>
        </is>
      </c>
      <c r="D1" s="24" t="inlineStr">
        <is>
          <t>Input Type</t>
        </is>
      </c>
      <c r="E1" s="24" t="inlineStr">
        <is>
          <t>Requirement</t>
        </is>
      </c>
      <c r="F1" s="24" t="inlineStr">
        <is>
          <t>Metric / Use</t>
        </is>
      </c>
      <c r="G1" s="24" t="inlineStr">
        <is>
          <t>Status</t>
        </is>
      </c>
    </row>
    <row r="2">
      <c r="A2" s="2" t="inlineStr">
        <is>
          <t>D02</t>
        </is>
      </c>
      <c r="B2" s="2" t="inlineStr">
        <is>
          <t>D02-D01</t>
        </is>
      </c>
      <c r="C2" s="2" t="inlineStr">
        <is>
          <t>Approved AI tools</t>
        </is>
      </c>
      <c r="D2" s="2" t="inlineStr">
        <is>
          <t>Number</t>
        </is>
      </c>
      <c r="E2" s="2" t="inlineStr">
        <is>
          <t>Required</t>
        </is>
      </c>
      <c r="F2" s="2" t="inlineStr">
        <is>
          <t>Source-defined</t>
        </is>
      </c>
      <c r="G2" s="2" t="n"/>
    </row>
    <row r="3">
      <c r="A3" s="2" t="inlineStr">
        <is>
          <t>D02</t>
        </is>
      </c>
      <c r="B3" s="2" t="inlineStr">
        <is>
          <t>D02-D02</t>
        </is>
      </c>
      <c r="C3" s="2" t="inlineStr">
        <is>
          <t>Approved tools processing personal/student data</t>
        </is>
      </c>
      <c r="D3" s="2" t="inlineStr">
        <is>
          <t>Number</t>
        </is>
      </c>
      <c r="E3" s="2" t="inlineStr">
        <is>
          <t>Required</t>
        </is>
      </c>
      <c r="F3" s="2" t="inlineStr">
        <is>
          <t>Source-defined</t>
        </is>
      </c>
      <c r="G3" s="2" t="n"/>
    </row>
    <row r="4">
      <c r="A4" s="2" t="inlineStr">
        <is>
          <t>D02</t>
        </is>
      </c>
      <c r="B4" s="2" t="inlineStr">
        <is>
          <t>D02-D03</t>
        </is>
      </c>
      <c r="C4" s="2" t="inlineStr">
        <is>
          <t>Data/privacy reviewed tools</t>
        </is>
      </c>
      <c r="D4" s="2" t="inlineStr">
        <is>
          <t>Number</t>
        </is>
      </c>
      <c r="E4" s="2" t="inlineStr">
        <is>
          <t>Optional</t>
        </is>
      </c>
      <c r="F4" s="2" t="inlineStr">
        <is>
          <t>Source-defined</t>
        </is>
      </c>
      <c r="G4" s="2" t="n"/>
    </row>
    <row r="5">
      <c r="A5" s="2" t="inlineStr">
        <is>
          <t>D02</t>
        </is>
      </c>
      <c r="B5" s="2" t="inlineStr">
        <is>
          <t>D02-D04</t>
        </is>
      </c>
      <c r="C5" s="2" t="inlineStr">
        <is>
          <t>Consequential AI use cases with named human override</t>
        </is>
      </c>
      <c r="D5" s="2" t="inlineStr">
        <is>
          <t>Number</t>
        </is>
      </c>
      <c r="E5" s="2" t="inlineStr">
        <is>
          <t>Optional</t>
        </is>
      </c>
      <c r="F5" s="2" t="inlineStr">
        <is>
          <t>Source-defined</t>
        </is>
      </c>
      <c r="G5" s="2" t="n"/>
    </row>
    <row r="6">
      <c r="A6" s="2" t="inlineStr">
        <is>
          <t>D02</t>
        </is>
      </c>
      <c r="B6" s="2" t="inlineStr">
        <is>
          <t>D02-D05</t>
        </is>
      </c>
      <c r="C6" s="2" t="inlineStr">
        <is>
          <t>Approved AI governance policies/guidelines</t>
        </is>
      </c>
      <c r="D6" s="2" t="inlineStr">
        <is>
          <t>Number</t>
        </is>
      </c>
      <c r="E6" s="2" t="inlineStr">
        <is>
          <t>Required</t>
        </is>
      </c>
      <c r="F6" s="2" t="inlineStr">
        <is>
          <t>Source-defined</t>
        </is>
      </c>
      <c r="G6" s="2" t="n"/>
    </row>
    <row r="7">
      <c r="A7" s="2" t="inlineStr">
        <is>
          <t>D02</t>
        </is>
      </c>
      <c r="B7" s="2" t="inlineStr">
        <is>
          <t>D02-D06</t>
        </is>
      </c>
      <c r="C7" s="2" t="inlineStr">
        <is>
          <t>Governance policies reviewed in last 12 months</t>
        </is>
      </c>
      <c r="D7" s="2" t="inlineStr">
        <is>
          <t>Number</t>
        </is>
      </c>
      <c r="E7" s="2" t="inlineStr">
        <is>
          <t>Optional</t>
        </is>
      </c>
      <c r="F7" s="2" t="inlineStr">
        <is>
          <t>Source-defined</t>
        </is>
      </c>
      <c r="G7" s="2" t="n"/>
    </row>
  </sheetData>
  <autoFilter ref="A1:G7"/>
  <pageMargins left="0.7" right="0.7" top="0.75" bottom="0.75" header="0.3" footer="0.3"/>
</worksheet>
</file>

<file path=xl/worksheets/sheet64.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24" t="inlineStr">
        <is>
          <t>Check ID</t>
        </is>
      </c>
      <c r="B1" s="24" t="inlineStr">
        <is>
          <t>Check</t>
        </is>
      </c>
      <c r="C1" s="24" t="inlineStr">
        <is>
          <t>Rule</t>
        </is>
      </c>
      <c r="D1" s="24" t="inlineStr">
        <is>
          <t>Type</t>
        </is>
      </c>
    </row>
    <row r="2">
      <c r="A2" s="2" t="inlineStr">
        <is>
          <t>D02-QA01</t>
        </is>
      </c>
      <c r="B2" s="2" t="inlineStr">
        <is>
          <t>Programme counts</t>
        </is>
      </c>
      <c r="C2" s="2" t="inlineStr">
        <is>
          <t>Modified &lt;= reviewed &lt;= active</t>
        </is>
      </c>
      <c r="D2" s="2" t="inlineStr">
        <is>
          <t>Hard validation</t>
        </is>
      </c>
    </row>
    <row r="3">
      <c r="A3" s="2" t="inlineStr">
        <is>
          <t>D02-QA02</t>
        </is>
      </c>
      <c r="B3" s="2" t="inlineStr">
        <is>
          <t>Pilot counts</t>
        </is>
      </c>
      <c r="C3" s="2" t="inlineStr">
        <is>
          <t>Evaluated &lt;= conducted; scaled/stopped &lt;= evaluated</t>
        </is>
      </c>
      <c r="D3" s="2" t="inlineStr">
        <is>
          <t>Hard validation</t>
        </is>
      </c>
    </row>
    <row r="4">
      <c r="A4" s="2" t="inlineStr">
        <is>
          <t>D02-QA03</t>
        </is>
      </c>
      <c r="B4" s="2" t="inlineStr">
        <is>
          <t>Data counts</t>
        </is>
      </c>
      <c r="C4" s="2" t="inlineStr">
        <is>
          <t>Privacy-reviewed &lt;= data-processing &lt;= approved tools</t>
        </is>
      </c>
      <c r="D4" s="2" t="inlineStr">
        <is>
          <t>Hard validation</t>
        </is>
      </c>
    </row>
    <row r="5">
      <c r="A5" s="2" t="inlineStr">
        <is>
          <t>D02-QA04</t>
        </is>
      </c>
      <c r="B5" s="2" t="inlineStr">
        <is>
          <t>No policy inflation</t>
        </is>
      </c>
      <c r="C5" s="2" t="inlineStr">
        <is>
          <t>Policy existence alone cannot create high maturity</t>
        </is>
      </c>
      <c r="D5" s="2" t="inlineStr">
        <is>
          <t>Scoring rule</t>
        </is>
      </c>
    </row>
    <row r="6">
      <c r="A6" s="2" t="inlineStr">
        <is>
          <t>D02-QA05</t>
        </is>
      </c>
      <c r="B6" s="2" t="inlineStr">
        <is>
          <t>Context fairness</t>
        </is>
      </c>
      <c r="C6" s="2" t="inlineStr">
        <is>
          <t>Required maturity reflects mission, scale, resources, exposure</t>
        </is>
      </c>
      <c r="D6" s="2" t="inlineStr">
        <is>
          <t>Scoring rule</t>
        </is>
      </c>
    </row>
    <row r="7">
      <c r="A7" s="2" t="inlineStr">
        <is>
          <t>D02-QA06</t>
        </is>
      </c>
      <c r="B7" s="2" t="inlineStr">
        <is>
          <t>Non-technical fairness</t>
        </is>
      </c>
      <c r="C7" s="2" t="inlineStr">
        <is>
          <t>Assess discipline relevance, not coding/technical AI</t>
        </is>
      </c>
      <c r="D7" s="2" t="inlineStr">
        <is>
          <t>Scoring rule</t>
        </is>
      </c>
    </row>
    <row r="8">
      <c r="A8" s="2" t="inlineStr">
        <is>
          <t>D02-QA07</t>
        </is>
      </c>
      <c r="B8" s="2" t="inlineStr">
        <is>
          <t>No outcome fabrication</t>
        </is>
      </c>
      <c r="C8" s="2" t="inlineStr">
        <is>
          <t>N/A accepted where outcome measurement legitimately unavailable</t>
        </is>
      </c>
      <c r="D8" s="2" t="inlineStr">
        <is>
          <t>Scoring rule</t>
        </is>
      </c>
    </row>
    <row r="9">
      <c r="A9" s="2" t="inlineStr">
        <is>
          <t>D02-QA08</t>
        </is>
      </c>
      <c r="B9" s="2" t="inlineStr">
        <is>
          <t>Representative sampling</t>
        </is>
      </c>
      <c r="C9" s="2" t="inlineStr">
        <is>
          <t>Evidence requests stay limited to high-value samples</t>
        </is>
      </c>
      <c r="D9" s="2" t="inlineStr">
        <is>
          <t>UX rule</t>
        </is>
      </c>
    </row>
    <row r="10">
      <c r="A10" s="2" t="inlineStr">
        <is>
          <t>D02-D03</t>
        </is>
      </c>
      <c r="B10" s="2" t="inlineStr">
        <is>
          <t>Discipline coverage</t>
        </is>
      </c>
      <c r="C10" s="2" t="inlineStr">
        <is>
          <t>Expanded to health, pharmacy, media, humanities, professional, technical and interdisciplinary pathways.</t>
        </is>
      </c>
      <c r="D10" s="2" t="inlineStr">
        <is>
          <t>Pass</t>
        </is>
      </c>
    </row>
    <row r="11">
      <c r="A11" s="2" t="inlineStr">
        <is>
          <t>D02-D04-D06</t>
        </is>
      </c>
      <c r="B11" s="2" t="inlineStr">
        <is>
          <t>Architecture completeness</t>
        </is>
      </c>
      <c r="C11" s="2" t="inlineStr">
        <is>
          <t>Each domain has capabilities, metrics, assessment cards, 5 core questions and maturity anchors.</t>
        </is>
      </c>
      <c r="D11" s="2" t="inlineStr">
        <is>
          <t>Pass</t>
        </is>
      </c>
    </row>
    <row r="12">
      <c r="A12" s="2" t="inlineStr">
        <is>
          <t>D02-All</t>
        </is>
      </c>
      <c r="B12" s="2" t="inlineStr">
        <is>
          <t>Context calibration</t>
        </is>
      </c>
      <c r="C12" s="2" t="inlineStr">
        <is>
          <t>Institution context changes proportionality and branching, not the integrity standard.</t>
        </is>
      </c>
      <c r="D12" s="2" t="inlineStr">
        <is>
          <t>Pass</t>
        </is>
      </c>
    </row>
    <row r="13">
      <c r="A13" s="2" t="inlineStr">
        <is>
          <t>D02-All</t>
        </is>
      </c>
      <c r="B13" s="2" t="inlineStr">
        <is>
          <t>Reality gradient</t>
        </is>
      </c>
      <c r="C13" s="2" t="inlineStr">
        <is>
          <t>Claim→practice→evidence→outcome→adaptation captured separately from maturity.</t>
        </is>
      </c>
      <c r="D13" s="2" t="inlineStr">
        <is>
          <t>Pass</t>
        </is>
      </c>
    </row>
    <row r="14">
      <c r="A14" s="2" t="inlineStr">
        <is>
          <t>D02-QA-DOM01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D02-QA-DOM02</t>
        </is>
      </c>
      <c r="B15" s="2" t="inlineStr">
        <is>
          <t>Question/card coverage</t>
        </is>
      </c>
      <c r="C15" s="2" t="inlineStr">
        <is>
          <t>Every assessment card and question must map to at least one metric.</t>
        </is>
      </c>
      <c r="D15" s="2" t="inlineStr">
        <is>
          <t>Structural</t>
        </is>
      </c>
    </row>
    <row r="16">
      <c r="A16" s="2" t="inlineStr">
        <is>
          <t>D02-QA-DOM03</t>
        </is>
      </c>
      <c r="B16" s="2" t="inlineStr">
        <is>
          <t>Evidence traceability</t>
        </is>
      </c>
      <c r="C16" s="2" t="inlineStr">
        <is>
          <t>High-maturity claims must have an evidence path or an explicit evidence-gap flag.</t>
        </is>
      </c>
      <c r="D16" s="2" t="inlineStr">
        <is>
          <t>Scoring</t>
        </is>
      </c>
    </row>
    <row r="17">
      <c r="A17" s="2" t="inlineStr">
        <is>
          <t>D02-QA-DOM04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65.xml><?xml version="1.0" encoding="utf-8"?>
<worksheet xmlns="http://schemas.openxmlformats.org/spreadsheetml/2006/main">
  <sheetPr>
    <outlinePr summaryBelow="1" summaryRight="1"/>
    <pageSetUpPr/>
  </sheetPr>
  <dimension ref="A1:J18"/>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24" t="inlineStr">
        <is>
          <t>Domain</t>
        </is>
      </c>
      <c r="B1" s="24" t="inlineStr">
        <is>
          <t>Domain Name</t>
        </is>
      </c>
      <c r="C1" s="24" t="inlineStr">
        <is>
          <t>Capability ID</t>
        </is>
      </c>
      <c r="D1" s="24" t="inlineStr">
        <is>
          <t>Capability Area</t>
        </is>
      </c>
      <c r="E1" s="24" t="inlineStr">
        <is>
          <t>Metric ID</t>
        </is>
      </c>
      <c r="F1" s="24" t="inlineStr">
        <is>
          <t>Metric</t>
        </is>
      </c>
      <c r="G1" s="24" t="inlineStr">
        <is>
          <t>What It Measures</t>
        </is>
      </c>
      <c r="H1" s="24" t="inlineStr">
        <is>
          <t>Measurement Method</t>
        </is>
      </c>
      <c r="I1" s="24" t="inlineStr">
        <is>
          <t>Exposure</t>
        </is>
      </c>
      <c r="J1" s="24" t="inlineStr">
        <is>
          <t>Source / Basis</t>
        </is>
      </c>
    </row>
    <row r="2">
      <c r="A2" s="2" t="inlineStr">
        <is>
          <t>D03</t>
        </is>
      </c>
      <c r="B2" s="2" t="inlineStr">
        <is>
          <t>Human Capability, Cognitive Readiness &amp; AI-Ready Education</t>
        </is>
      </c>
      <c r="C2" s="2" t="inlineStr">
        <is>
          <t>C01</t>
        </is>
      </c>
      <c r="D2" s="2" t="inlineStr">
        <is>
          <t>Foundational Knowledge</t>
        </is>
      </c>
      <c r="E2" s="2" t="inlineStr">
        <is>
          <t>I01</t>
        </is>
      </c>
      <c r="F2" s="2" t="inlineStr">
        <is>
          <t>Foundational Knowledge Depth</t>
        </is>
      </c>
      <c r="G2" s="2" t="inlineStr">
        <is>
          <t>Knowledge substrate for judgement</t>
        </is>
      </c>
      <c r="H2" s="2" t="inlineStr">
        <is>
          <t>Capability map + assessment</t>
        </is>
      </c>
      <c r="I2" s="2" t="inlineStr">
        <is>
          <t>High</t>
        </is>
      </c>
      <c r="J2" s="2" t="inlineStr">
        <is>
          <t>Integrated master; D01-D03 baseline retained; D04-D11 integrated from domain matrices.</t>
        </is>
      </c>
    </row>
    <row r="3">
      <c r="A3" s="2" t="inlineStr">
        <is>
          <t>D03</t>
        </is>
      </c>
      <c r="B3" s="2" t="inlineStr">
        <is>
          <t>Human Capability, Cognitive Readiness &amp; AI-Ready Education</t>
        </is>
      </c>
      <c r="C3" s="2" t="inlineStr">
        <is>
          <t>C02</t>
        </is>
      </c>
      <c r="D3" s="2" t="inlineStr">
        <is>
          <t>Critical Thinking</t>
        </is>
      </c>
      <c r="E3" s="2" t="inlineStr">
        <is>
          <t>I02</t>
        </is>
      </c>
      <c r="F3" s="2" t="inlineStr">
        <is>
          <t>Critical Reasoning Development</t>
        </is>
      </c>
      <c r="G3" s="2" t="inlineStr">
        <is>
          <t>Development and demonstration of reasoning</t>
        </is>
      </c>
      <c r="H3" s="2" t="inlineStr">
        <is>
          <t>Capability evidence chain</t>
        </is>
      </c>
      <c r="I3" s="2" t="inlineStr">
        <is>
          <t>Critical</t>
        </is>
      </c>
      <c r="J3" s="2" t="inlineStr">
        <is>
          <t>Integrated master; D01-D03 baseline retained; D04-D11 integrated from domain matrices.</t>
        </is>
      </c>
    </row>
    <row r="4">
      <c r="A4" s="2" t="inlineStr">
        <is>
          <t>D03</t>
        </is>
      </c>
      <c r="B4" s="2" t="inlineStr">
        <is>
          <t>Human Capability, Cognitive Readiness &amp; AI-Ready Education</t>
        </is>
      </c>
      <c r="C4" s="2" t="inlineStr">
        <is>
          <t>C03</t>
        </is>
      </c>
      <c r="D4" s="2" t="inlineStr">
        <is>
          <t>Question Formulation</t>
        </is>
      </c>
      <c r="E4" s="2" t="inlineStr">
        <is>
          <t>I03</t>
        </is>
      </c>
      <c r="F4" s="2" t="inlineStr">
        <is>
          <t>Question Formulation</t>
        </is>
      </c>
      <c r="G4" s="2" t="inlineStr">
        <is>
          <t>Ability to formulate meaningful inquiry</t>
        </is>
      </c>
      <c r="H4" s="2" t="inlineStr">
        <is>
          <t>Project/assessment evidence</t>
        </is>
      </c>
      <c r="I4" s="2" t="inlineStr">
        <is>
          <t>Very High</t>
        </is>
      </c>
      <c r="J4" s="2" t="inlineStr">
        <is>
          <t>Integrated master; D01-D03 baseline retained; D04-D11 integrated from domain matrices.</t>
        </is>
      </c>
    </row>
    <row r="5">
      <c r="A5" s="2" t="inlineStr">
        <is>
          <t>D03</t>
        </is>
      </c>
      <c r="B5" s="2" t="inlineStr">
        <is>
          <t>Human Capability, Cognitive Readiness &amp; AI-Ready Education</t>
        </is>
      </c>
      <c r="C5" s="2" t="inlineStr">
        <is>
          <t>C04</t>
        </is>
      </c>
      <c r="D5" s="2" t="inlineStr">
        <is>
          <t>Analytical Reasoning</t>
        </is>
      </c>
      <c r="E5" s="2" t="inlineStr">
        <is>
          <t>I04</t>
        </is>
      </c>
      <c r="F5" s="2" t="inlineStr">
        <is>
          <t>Analytical Reasoning</t>
        </is>
      </c>
      <c r="G5" s="2" t="inlineStr">
        <is>
          <t>Evidence-based reasoning</t>
        </is>
      </c>
      <c r="H5" s="2" t="inlineStr">
        <is>
          <t>Assessment/rubric</t>
        </is>
      </c>
      <c r="I5" s="2" t="inlineStr">
        <is>
          <t>Critical</t>
        </is>
      </c>
      <c r="J5" s="2" t="inlineStr">
        <is>
          <t>Integrated master; D01-D03 baseline retained; D04-D11 integrated from domain matrices.</t>
        </is>
      </c>
    </row>
    <row r="6">
      <c r="A6" s="2" t="inlineStr">
        <is>
          <t>D03</t>
        </is>
      </c>
      <c r="B6" s="2" t="inlineStr">
        <is>
          <t>Human Capability, Cognitive Readiness &amp; AI-Ready Education</t>
        </is>
      </c>
      <c r="C6" s="2" t="inlineStr">
        <is>
          <t>C05</t>
        </is>
      </c>
      <c r="D6" s="2" t="inlineStr">
        <is>
          <t>Problem Formulation</t>
        </is>
      </c>
      <c r="E6" s="2" t="inlineStr">
        <is>
          <t>I05</t>
        </is>
      </c>
      <c r="F6" s="2" t="inlineStr">
        <is>
          <t>Problem Formulation</t>
        </is>
      </c>
      <c r="G6" s="2" t="inlineStr">
        <is>
          <t>Framing ambiguous problems</t>
        </is>
      </c>
      <c r="H6" s="2" t="inlineStr">
        <is>
          <t>Project/case evidence</t>
        </is>
      </c>
      <c r="I6" s="2" t="inlineStr">
        <is>
          <t>Very High</t>
        </is>
      </c>
      <c r="J6" s="2" t="inlineStr">
        <is>
          <t>Integrated master; D01-D03 baseline retained; D04-D11 integrated from domain matrices.</t>
        </is>
      </c>
    </row>
    <row r="7">
      <c r="A7" s="2" t="inlineStr">
        <is>
          <t>D03</t>
        </is>
      </c>
      <c r="B7" s="2" t="inlineStr">
        <is>
          <t>Human Capability, Cognitive Readiness &amp; AI-Ready Education</t>
        </is>
      </c>
      <c r="C7" s="2" t="inlineStr">
        <is>
          <t>C06</t>
        </is>
      </c>
      <c r="D7" s="2" t="inlineStr">
        <is>
          <t>Creativity &amp; Originality</t>
        </is>
      </c>
      <c r="E7" s="2" t="inlineStr">
        <is>
          <t>I06</t>
        </is>
      </c>
      <c r="F7" s="2" t="inlineStr">
        <is>
          <t>Creativity &amp; Originality</t>
        </is>
      </c>
      <c r="G7" s="2" t="inlineStr">
        <is>
          <t>Creation of original value</t>
        </is>
      </c>
      <c r="H7" s="2" t="inlineStr">
        <is>
          <t>Portfolio/project</t>
        </is>
      </c>
      <c r="I7" s="2" t="inlineStr">
        <is>
          <t>High</t>
        </is>
      </c>
      <c r="J7" s="2" t="inlineStr">
        <is>
          <t>Integrated master; D01-D03 baseline retained; D04-D11 integrated from domain matrices.</t>
        </is>
      </c>
    </row>
    <row r="8">
      <c r="A8" s="2" t="inlineStr">
        <is>
          <t>D03</t>
        </is>
      </c>
      <c r="B8" s="2" t="inlineStr">
        <is>
          <t>Human Capability, Cognitive Readiness &amp; AI-Ready Education</t>
        </is>
      </c>
      <c r="C8" s="2" t="inlineStr">
        <is>
          <t>C07</t>
        </is>
      </c>
      <c r="D8" s="2" t="inlineStr">
        <is>
          <t>Judgement &amp; Decision-Making</t>
        </is>
      </c>
      <c r="E8" s="2" t="inlineStr">
        <is>
          <t>I07</t>
        </is>
      </c>
      <c r="F8" s="2" t="inlineStr">
        <is>
          <t>Judgement Capability</t>
        </is>
      </c>
      <c r="G8" s="2" t="inlineStr">
        <is>
          <t>Contextual/professional/ethical decisions</t>
        </is>
      </c>
      <c r="H8" s="2" t="inlineStr">
        <is>
          <t>Case/viva/practical</t>
        </is>
      </c>
      <c r="I8" s="2" t="inlineStr">
        <is>
          <t>Critical</t>
        </is>
      </c>
      <c r="J8" s="2" t="inlineStr">
        <is>
          <t>Integrated master; D01-D03 baseline retained; D04-D11 integrated from domain matrices.</t>
        </is>
      </c>
    </row>
    <row r="9">
      <c r="A9" s="2" t="inlineStr">
        <is>
          <t>D03</t>
        </is>
      </c>
      <c r="B9" s="2" t="inlineStr">
        <is>
          <t>Human Capability, Cognitive Readiness &amp; AI-Ready Education</t>
        </is>
      </c>
      <c r="C9" s="2" t="inlineStr">
        <is>
          <t>C08</t>
        </is>
      </c>
      <c r="D9" s="2" t="inlineStr">
        <is>
          <t>Verification &amp; Epistemic Discipline</t>
        </is>
      </c>
      <c r="E9" s="2" t="inlineStr">
        <is>
          <t>I08</t>
        </is>
      </c>
      <c r="F9" s="2" t="inlineStr">
        <is>
          <t>AI Verification Capability</t>
        </is>
      </c>
      <c r="G9" s="2" t="inlineStr">
        <is>
          <t>Challenge, verify, contextualise AI output</t>
        </is>
      </c>
      <c r="H9" s="2" t="inlineStr">
        <is>
          <t>Assessment/activity</t>
        </is>
      </c>
      <c r="I9" s="2" t="inlineStr">
        <is>
          <t>Critical</t>
        </is>
      </c>
      <c r="J9" s="2" t="inlineStr">
        <is>
          <t>Integrated master; D01-D03 baseline retained; D04-D11 integrated from domain matrices.</t>
        </is>
      </c>
    </row>
    <row r="10">
      <c r="A10" s="2" t="inlineStr">
        <is>
          <t>D03</t>
        </is>
      </c>
      <c r="B10" s="2" t="inlineStr">
        <is>
          <t>Human Capability, Cognitive Readiness &amp; AI-Ready Education</t>
        </is>
      </c>
      <c r="C10" s="2" t="inlineStr">
        <is>
          <t>C09</t>
        </is>
      </c>
      <c r="D10" s="2" t="inlineStr">
        <is>
          <t>Metacognition</t>
        </is>
      </c>
      <c r="E10" s="2" t="inlineStr">
        <is>
          <t>I09</t>
        </is>
      </c>
      <c r="F10" s="2" t="inlineStr">
        <is>
          <t>Metacognitive Capability</t>
        </is>
      </c>
      <c r="G10" s="2" t="inlineStr">
        <is>
          <t>Reflection and self-correction</t>
        </is>
      </c>
      <c r="H10" s="2" t="inlineStr">
        <is>
          <t>Portfolio/reflection</t>
        </is>
      </c>
      <c r="I10" s="2" t="inlineStr">
        <is>
          <t>Very High</t>
        </is>
      </c>
      <c r="J10" s="2" t="inlineStr">
        <is>
          <t>Integrated master; D01-D03 baseline retained; D04-D11 integrated from domain matrices.</t>
        </is>
      </c>
    </row>
    <row r="11">
      <c r="A11" s="2" t="inlineStr">
        <is>
          <t>D03</t>
        </is>
      </c>
      <c r="B11" s="2" t="inlineStr">
        <is>
          <t>Human Capability, Cognitive Readiness &amp; AI-Ready Education</t>
        </is>
      </c>
      <c r="C11" s="2" t="inlineStr">
        <is>
          <t>C10</t>
        </is>
      </c>
      <c r="D11" s="2" t="inlineStr">
        <is>
          <t>Human-AI Collaboration</t>
        </is>
      </c>
      <c r="E11" s="2" t="inlineStr">
        <is>
          <t>I10</t>
        </is>
      </c>
      <c r="F11" s="2" t="inlineStr">
        <is>
          <t>Human-AI Collaboration</t>
        </is>
      </c>
      <c r="G11" s="2" t="inlineStr">
        <is>
          <t>Appropriate task allocation and iteration</t>
        </is>
      </c>
      <c r="H11" s="2" t="inlineStr">
        <is>
          <t>Project evidence</t>
        </is>
      </c>
      <c r="I11" s="2" t="inlineStr">
        <is>
          <t>Very High</t>
        </is>
      </c>
      <c r="J11" s="2" t="inlineStr">
        <is>
          <t>Integrated master; D01-D03 baseline retained; D04-D11 integrated from domain matrices.</t>
        </is>
      </c>
    </row>
    <row r="12">
      <c r="A12" s="2" t="inlineStr">
        <is>
          <t>D03</t>
        </is>
      </c>
      <c r="B12" s="2" t="inlineStr">
        <is>
          <t>Human Capability, Cognitive Readiness &amp; AI-Ready Education</t>
        </is>
      </c>
      <c r="C12" s="2" t="inlineStr">
        <is>
          <t>C11</t>
        </is>
      </c>
      <c r="D12" s="2" t="inlineStr">
        <is>
          <t>Communication</t>
        </is>
      </c>
      <c r="E12" s="2" t="inlineStr">
        <is>
          <t>I11</t>
        </is>
      </c>
      <c r="F12" s="2" t="inlineStr">
        <is>
          <t>Communication &amp; Defence</t>
        </is>
      </c>
      <c r="G12" s="2" t="inlineStr">
        <is>
          <t>Explain and defend reasoning</t>
        </is>
      </c>
      <c r="H12" s="2" t="inlineStr">
        <is>
          <t>Viva/oral/project</t>
        </is>
      </c>
      <c r="I12" s="2" t="inlineStr">
        <is>
          <t>High</t>
        </is>
      </c>
      <c r="J12" s="2" t="inlineStr">
        <is>
          <t>Integrated master; D01-D03 baseline retained; D04-D11 integrated from domain matrices.</t>
        </is>
      </c>
    </row>
    <row r="13">
      <c r="A13" s="2" t="inlineStr">
        <is>
          <t>D03</t>
        </is>
      </c>
      <c r="B13" s="2" t="inlineStr">
        <is>
          <t>Human Capability, Cognitive Readiness &amp; AI-Ready Education</t>
        </is>
      </c>
      <c r="C13" s="2" t="inlineStr">
        <is>
          <t>C12</t>
        </is>
      </c>
      <c r="D13" s="2" t="inlineStr">
        <is>
          <t>Collaboration</t>
        </is>
      </c>
      <c r="E13" s="2" t="inlineStr">
        <is>
          <t>I12</t>
        </is>
      </c>
      <c r="F13" s="2" t="inlineStr">
        <is>
          <t>Collaboration Capability</t>
        </is>
      </c>
      <c r="G13" s="2" t="inlineStr">
        <is>
          <t>Human/interdisciplinary collaboration</t>
        </is>
      </c>
      <c r="H13" s="2" t="inlineStr">
        <is>
          <t>Project evidence</t>
        </is>
      </c>
      <c r="I13" s="2" t="inlineStr">
        <is>
          <t>High</t>
        </is>
      </c>
      <c r="J13" s="2" t="inlineStr">
        <is>
          <t>Integrated master; D01-D03 baseline retained; D04-D11 integrated from domain matrices.</t>
        </is>
      </c>
    </row>
    <row r="14">
      <c r="A14" s="2" t="inlineStr">
        <is>
          <t>D03</t>
        </is>
      </c>
      <c r="B14" s="2" t="inlineStr">
        <is>
          <t>Human Capability, Cognitive Readiness &amp; AI-Ready Education</t>
        </is>
      </c>
      <c r="C14" s="2" t="inlineStr">
        <is>
          <t>C13</t>
        </is>
      </c>
      <c r="D14" s="2" t="inlineStr">
        <is>
          <t>Practical/Embodied Capability</t>
        </is>
      </c>
      <c r="E14" s="2" t="inlineStr">
        <is>
          <t>I13</t>
        </is>
      </c>
      <c r="F14" s="2" t="inlineStr">
        <is>
          <t>Practical Capability</t>
        </is>
      </c>
      <c r="G14" s="2" t="inlineStr">
        <is>
          <t>Real-world/embodied competence</t>
        </is>
      </c>
      <c r="H14" s="2" t="inlineStr">
        <is>
          <t>Practical evidence</t>
        </is>
      </c>
      <c r="I14" s="2" t="inlineStr">
        <is>
          <t>Context-dependent</t>
        </is>
      </c>
      <c r="J14" s="2" t="inlineStr">
        <is>
          <t>Integrated master; D01-D03 baseline retained; D04-D11 integrated from domain matrices.</t>
        </is>
      </c>
    </row>
    <row r="15">
      <c r="A15" s="2" t="inlineStr">
        <is>
          <t>D03</t>
        </is>
      </c>
      <c r="B15" s="2" t="inlineStr">
        <is>
          <t>Human Capability, Cognitive Readiness &amp; AI-Ready Education</t>
        </is>
      </c>
      <c r="C15" s="2" t="inlineStr">
        <is>
          <t>C14</t>
        </is>
      </c>
      <c r="D15" s="2" t="inlineStr">
        <is>
          <t>Ethical &amp; Social Judgement</t>
        </is>
      </c>
      <c r="E15" s="2" t="inlineStr">
        <is>
          <t>I14</t>
        </is>
      </c>
      <c r="F15" s="2" t="inlineStr">
        <is>
          <t>Ethical/Social Judgement</t>
        </is>
      </c>
      <c r="G15" s="2" t="inlineStr">
        <is>
          <t>Consequences, values, responsibility</t>
        </is>
      </c>
      <c r="H15" s="2" t="inlineStr">
        <is>
          <t>Case/professional evidence</t>
        </is>
      </c>
      <c r="I15" s="2" t="inlineStr">
        <is>
          <t>Critical</t>
        </is>
      </c>
      <c r="J15" s="2" t="inlineStr">
        <is>
          <t>Integrated master; D01-D03 baseline retained; D04-D11 integrated from domain matrices.</t>
        </is>
      </c>
    </row>
    <row r="16">
      <c r="A16" s="2" t="inlineStr">
        <is>
          <t>D03</t>
        </is>
      </c>
      <c r="B16" s="2" t="inlineStr">
        <is>
          <t>Human Capability, Cognitive Readiness &amp; AI-Ready Education</t>
        </is>
      </c>
      <c r="C16" s="2" t="inlineStr">
        <is>
          <t>C15</t>
        </is>
      </c>
      <c r="D16" s="2" t="inlineStr">
        <is>
          <t>Independent Intellectual Agency</t>
        </is>
      </c>
      <c r="E16" s="2" t="inlineStr">
        <is>
          <t>I15</t>
        </is>
      </c>
      <c r="F16" s="2" t="inlineStr">
        <is>
          <t>Intellectual Agency</t>
        </is>
      </c>
      <c r="G16" s="2" t="inlineStr">
        <is>
          <t>Independent inquiry and challenge</t>
        </is>
      </c>
      <c r="H16" s="2" t="inlineStr">
        <is>
          <t>Student work/project</t>
        </is>
      </c>
      <c r="I16" s="2" t="inlineStr">
        <is>
          <t>Very High</t>
        </is>
      </c>
      <c r="J16" s="2" t="inlineStr">
        <is>
          <t>Integrated master; D01-D03 baseline retained; D04-D11 integrated from domain matrices.</t>
        </is>
      </c>
    </row>
    <row r="17">
      <c r="A17" s="2" t="inlineStr">
        <is>
          <t>D03</t>
        </is>
      </c>
      <c r="B17" s="2" t="inlineStr">
        <is>
          <t>Human Capability, Cognitive Readiness &amp; AI-Ready Education</t>
        </is>
      </c>
      <c r="C17" s="2" t="inlineStr">
        <is>
          <t>C16</t>
        </is>
      </c>
      <c r="D17" s="2" t="inlineStr">
        <is>
          <t>Transfer Capability</t>
        </is>
      </c>
      <c r="E17" s="2" t="inlineStr">
        <is>
          <t>I16</t>
        </is>
      </c>
      <c r="F17" s="2" t="inlineStr">
        <is>
          <t>Transfer Capability</t>
        </is>
      </c>
      <c r="G17" s="2" t="inlineStr">
        <is>
          <t>Unfamiliar/ambiguous application</t>
        </is>
      </c>
      <c r="H17" s="2" t="inlineStr">
        <is>
          <t>Case/project/simulation</t>
        </is>
      </c>
      <c r="I17" s="2" t="inlineStr">
        <is>
          <t>Very High</t>
        </is>
      </c>
      <c r="J17" s="2" t="inlineStr">
        <is>
          <t>Integrated master; D01-D03 baseline retained; D04-D11 integrated from domain matrices.</t>
        </is>
      </c>
    </row>
    <row r="18">
      <c r="A18" s="2" t="inlineStr">
        <is>
          <t>D03</t>
        </is>
      </c>
      <c r="B18" s="2" t="inlineStr">
        <is>
          <t>Human Capability, Cognitive Readiness &amp; AI-Ready Education</t>
        </is>
      </c>
      <c r="C18" s="2" t="inlineStr">
        <is>
          <t>C17</t>
        </is>
      </c>
      <c r="D18" s="2" t="inlineStr">
        <is>
          <t>Non-Technical Discipline AI Capability</t>
        </is>
      </c>
      <c r="E18" s="2" t="inlineStr">
        <is>
          <t>I17</t>
        </is>
      </c>
      <c r="F18" s="2" t="inlineStr">
        <is>
          <t>Non-Technical Discipline AI Capability</t>
        </is>
      </c>
      <c r="G18" s="2" t="inlineStr">
        <is>
          <t>Discipline-relevant AI capability beyond prompting</t>
        </is>
      </c>
      <c r="H18" s="2" t="inlineStr">
        <is>
          <t>Discipline matrix + sample work</t>
        </is>
      </c>
      <c r="I18" s="2" t="inlineStr">
        <is>
          <t>Very High</t>
        </is>
      </c>
      <c r="J18" s="2" t="inlineStr">
        <is>
          <t>Integrated master; D01-D03 baseline retained; D04-D11 integrated from domain matrices.</t>
        </is>
      </c>
    </row>
  </sheetData>
  <autoFilter ref="A1:J18"/>
  <pageMargins left="0.7" right="0.7" top="0.75" bottom="0.75" header="0.3" footer="0.3"/>
</worksheet>
</file>

<file path=xl/worksheets/sheet66.xml><?xml version="1.0" encoding="utf-8"?>
<worksheet xmlns="http://schemas.openxmlformats.org/spreadsheetml/2006/main">
  <sheetPr>
    <outlinePr summaryBelow="1" summaryRight="1"/>
    <pageSetUpPr/>
  </sheetPr>
  <dimension ref="A1:F12"/>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24" t="inlineStr">
        <is>
          <t>Domain</t>
        </is>
      </c>
      <c r="B1" s="24" t="inlineStr">
        <is>
          <t>Card ID</t>
        </is>
      </c>
      <c r="C1" s="24" t="inlineStr">
        <is>
          <t>Assessment Card</t>
        </is>
      </c>
      <c r="D1" s="24" t="inlineStr">
        <is>
          <t>Input / Response Format</t>
        </is>
      </c>
      <c r="E1" s="24" t="inlineStr">
        <is>
          <t>Purpose / Respondent Action</t>
        </is>
      </c>
      <c r="F1" s="24" t="inlineStr">
        <is>
          <t>Metric Link</t>
        </is>
      </c>
    </row>
    <row r="2">
      <c r="A2" s="2" t="inlineStr">
        <is>
          <t>D03</t>
        </is>
      </c>
      <c r="B2" s="2" t="inlineStr">
        <is>
          <t>A01</t>
        </is>
      </c>
      <c r="C2" s="2" t="inlineStr">
        <is>
          <t>Graduate Capability Architecture</t>
        </is>
      </c>
      <c r="D2" s="2" t="inlineStr">
        <is>
          <t>Multi-select</t>
        </is>
      </c>
      <c r="E2" s="2" t="inlineStr">
        <is>
          <t>What institution claims to develop</t>
        </is>
      </c>
      <c r="F2" s="2" t="inlineStr">
        <is>
          <t>I01</t>
        </is>
      </c>
    </row>
    <row r="3">
      <c r="A3" s="2" t="inlineStr">
        <is>
          <t>D03</t>
        </is>
      </c>
      <c r="B3" s="2" t="inlineStr">
        <is>
          <t>A02</t>
        </is>
      </c>
      <c r="C3" s="2" t="inlineStr">
        <is>
          <t>Capability Development Map</t>
        </is>
      </c>
      <c r="D3" s="2" t="inlineStr">
        <is>
          <t>Matrix</t>
        </is>
      </c>
      <c r="E3" s="2" t="inlineStr">
        <is>
          <t>Intended→developed→demonstrated→assessed</t>
        </is>
      </c>
      <c r="F3" s="2" t="inlineStr">
        <is>
          <t>I01-I17</t>
        </is>
      </c>
    </row>
    <row r="4">
      <c r="A4" s="2" t="inlineStr">
        <is>
          <t>D03</t>
        </is>
      </c>
      <c r="B4" s="2" t="inlineStr">
        <is>
          <t>A03</t>
        </is>
      </c>
      <c r="C4" s="2" t="inlineStr">
        <is>
          <t>Demonstration Evidence</t>
        </is>
      </c>
      <c r="D4" s="2" t="inlineStr">
        <is>
          <t>3–5 samples</t>
        </is>
      </c>
      <c r="E4" s="2" t="inlineStr">
        <is>
          <t>Actual student capability</t>
        </is>
      </c>
      <c r="F4" s="2" t="inlineStr">
        <is>
          <t>I02/I04/I07/I15/I16</t>
        </is>
      </c>
    </row>
    <row r="5">
      <c r="A5" s="2" t="inlineStr">
        <is>
          <t>D03</t>
        </is>
      </c>
      <c r="B5" s="2" t="inlineStr">
        <is>
          <t>A04</t>
        </is>
      </c>
      <c r="C5" s="2" t="inlineStr">
        <is>
          <t>Assessment Architecture</t>
        </is>
      </c>
      <c r="D5" s="2" t="inlineStr">
        <is>
          <t>Matrix</t>
        </is>
      </c>
      <c r="E5" s="2" t="inlineStr">
        <is>
          <t>How capability is proven</t>
        </is>
      </c>
      <c r="F5" s="2" t="inlineStr">
        <is>
          <t>I02/I04/I07</t>
        </is>
      </c>
    </row>
    <row r="6">
      <c r="A6" s="2" t="inlineStr">
        <is>
          <t>D03</t>
        </is>
      </c>
      <c r="B6" s="2" t="inlineStr">
        <is>
          <t>A05</t>
        </is>
      </c>
      <c r="C6" s="2" t="inlineStr">
        <is>
          <t>AI Verification</t>
        </is>
      </c>
      <c r="D6" s="2" t="inlineStr">
        <is>
          <t>Structured + evidence</t>
        </is>
      </c>
      <c r="E6" s="2" t="inlineStr">
        <is>
          <t>Verification/challenge of AI</t>
        </is>
      </c>
      <c r="F6" s="2" t="inlineStr">
        <is>
          <t>I08</t>
        </is>
      </c>
    </row>
    <row r="7">
      <c r="A7" s="2" t="inlineStr">
        <is>
          <t>D03</t>
        </is>
      </c>
      <c r="B7" s="2" t="inlineStr">
        <is>
          <t>A06</t>
        </is>
      </c>
      <c r="C7" s="2" t="inlineStr">
        <is>
          <t>Problem Formulation &amp; Transfer</t>
        </is>
      </c>
      <c r="D7" s="2" t="inlineStr">
        <is>
          <t>Frequency + evidence</t>
        </is>
      </c>
      <c r="E7" s="2" t="inlineStr">
        <is>
          <t>Unfamiliar/ambiguous work</t>
        </is>
      </c>
      <c r="F7" s="2" t="inlineStr">
        <is>
          <t>I05/I16</t>
        </is>
      </c>
    </row>
    <row r="8">
      <c r="A8" s="2" t="inlineStr">
        <is>
          <t>D03</t>
        </is>
      </c>
      <c r="B8" s="2" t="inlineStr">
        <is>
          <t>A07</t>
        </is>
      </c>
      <c r="C8" s="2" t="inlineStr">
        <is>
          <t>Capability Outcomes</t>
        </is>
      </c>
      <c r="D8" s="2" t="inlineStr">
        <is>
          <t>Numbers if available</t>
        </is>
      </c>
      <c r="E8" s="2" t="inlineStr">
        <is>
          <t>Attainment</t>
        </is>
      </c>
      <c r="F8" s="2" t="inlineStr">
        <is>
          <t>I07/I16</t>
        </is>
      </c>
    </row>
    <row r="9">
      <c r="A9" s="2" t="inlineStr">
        <is>
          <t>D03</t>
        </is>
      </c>
      <c r="B9" s="2" t="inlineStr">
        <is>
          <t>A08</t>
        </is>
      </c>
      <c r="C9" s="2" t="inlineStr">
        <is>
          <t>Non-Technical Pathway</t>
        </is>
      </c>
      <c r="D9" s="2" t="inlineStr">
        <is>
          <t>Discipline matrix + sample</t>
        </is>
      </c>
      <c r="E9" s="2" t="inlineStr">
        <is>
          <t>History/geography/etc.</t>
        </is>
      </c>
      <c r="F9" s="2" t="inlineStr">
        <is>
          <t>I17</t>
        </is>
      </c>
    </row>
    <row r="10">
      <c r="A10" s="2" t="inlineStr">
        <is>
          <t>D03</t>
        </is>
      </c>
      <c r="B10" s="2" t="inlineStr">
        <is>
          <t>A09</t>
        </is>
      </c>
      <c r="C10" s="2" t="inlineStr">
        <is>
          <t>Student Reality Sample</t>
        </is>
      </c>
      <c r="D10" s="2" t="inlineStr">
        <is>
          <t>Optional full assessment</t>
        </is>
      </c>
      <c r="E10" s="2" t="inlineStr">
        <is>
          <t>Reality validation</t>
        </is>
      </c>
      <c r="F10" s="2" t="inlineStr">
        <is>
          <t>All</t>
        </is>
      </c>
    </row>
    <row r="11">
      <c r="A11" s="2" t="inlineStr">
        <is>
          <t>D03</t>
        </is>
      </c>
      <c r="B11" s="2" t="inlineStr">
        <is>
          <t>A10</t>
        </is>
      </c>
      <c r="C11" s="2" t="inlineStr">
        <is>
          <t>Leadership Challenge</t>
        </is>
      </c>
      <c r="D11" s="2" t="inlineStr">
        <is>
          <t>Top 3 + rationale</t>
        </is>
      </c>
      <c r="E11" s="2" t="inlineStr">
        <is>
          <t>Institutional self-awareness</t>
        </is>
      </c>
      <c r="F11" s="2" t="inlineStr">
        <is>
          <t>I15/I16</t>
        </is>
      </c>
    </row>
    <row r="12">
      <c r="A12" s="2" t="inlineStr">
        <is>
          <t>D03</t>
        </is>
      </c>
      <c r="B12" s="2" t="inlineStr">
        <is>
          <t>A11</t>
        </is>
      </c>
      <c r="C12" s="2" t="inlineStr">
        <is>
          <t>Evidence</t>
        </is>
      </c>
      <c r="D12" s="2" t="inlineStr">
        <is>
          <t>2–5 items</t>
        </is>
      </c>
      <c r="E12" s="2" t="inlineStr">
        <is>
          <t>Evidence confidence</t>
        </is>
      </c>
      <c r="F12" s="2" t="inlineStr">
        <is>
          <t>All</t>
        </is>
      </c>
    </row>
  </sheetData>
  <autoFilter ref="A1:F12"/>
  <pageMargins left="0.7" right="0.7" top="0.75" bottom="0.75" header="0.3" footer="0.3"/>
</worksheet>
</file>

<file path=xl/worksheets/sheet67.xml><?xml version="1.0" encoding="utf-8"?>
<worksheet xmlns="http://schemas.openxmlformats.org/spreadsheetml/2006/main">
  <sheetPr>
    <outlinePr summaryBelow="1" summaryRight="1"/>
    <pageSetUpPr/>
  </sheetPr>
  <dimension ref="A1:G10"/>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24" t="inlineStr">
        <is>
          <t>Domain</t>
        </is>
      </c>
      <c r="B1" s="24" t="inlineStr">
        <is>
          <t>Question ID</t>
        </is>
      </c>
      <c r="C1" s="24" t="inlineStr">
        <is>
          <t>Card</t>
        </is>
      </c>
      <c r="D1" s="24" t="inlineStr">
        <is>
          <t>Prompt</t>
        </is>
      </c>
      <c r="E1" s="24" t="inlineStr">
        <is>
          <t>Input Type</t>
        </is>
      </c>
      <c r="F1" s="24" t="inlineStr">
        <is>
          <t>Role</t>
        </is>
      </c>
      <c r="G1" s="24" t="inlineStr">
        <is>
          <t>Metric Link</t>
        </is>
      </c>
    </row>
    <row r="2">
      <c r="A2" s="2" t="inlineStr">
        <is>
          <t>D03</t>
        </is>
      </c>
      <c r="B2" s="2" t="inlineStr">
        <is>
          <t>Q01</t>
        </is>
      </c>
      <c r="C2" s="2" t="inlineStr">
        <is>
          <t>A01</t>
        </is>
      </c>
      <c r="D2" s="2" t="inlineStr">
        <is>
          <t>Which graduate capabilities does the institution explicitly intend students to develop in the AI era?</t>
        </is>
      </c>
      <c r="E2" s="2" t="inlineStr">
        <is>
          <t>Multi-select</t>
        </is>
      </c>
      <c r="F2" s="2" t="inlineStr">
        <is>
          <t>Capability architecture</t>
        </is>
      </c>
      <c r="G2" s="2" t="inlineStr">
        <is>
          <t>I01-I17</t>
        </is>
      </c>
    </row>
    <row r="3">
      <c r="A3" s="2" t="inlineStr">
        <is>
          <t>D03</t>
        </is>
      </c>
      <c r="B3" s="2" t="inlineStr">
        <is>
          <t>Q02</t>
        </is>
      </c>
      <c r="C3" s="2" t="inlineStr">
        <is>
          <t>A02</t>
        </is>
      </c>
      <c r="D3" s="2" t="inlineStr">
        <is>
          <t>For representative programmes, where is each selected capability intended, developed, demonstrated and assessed?</t>
        </is>
      </c>
      <c r="E3" s="2" t="inlineStr">
        <is>
          <t>Matrix</t>
        </is>
      </c>
      <c r="F3" s="2" t="inlineStr">
        <is>
          <t>Capability mapping</t>
        </is>
      </c>
      <c r="G3" s="2" t="inlineStr">
        <is>
          <t>I01-I17</t>
        </is>
      </c>
    </row>
    <row r="4">
      <c r="A4" s="2" t="inlineStr">
        <is>
          <t>D03</t>
        </is>
      </c>
      <c r="B4" s="2" t="inlineStr">
        <is>
          <t>Q03</t>
        </is>
      </c>
      <c r="C4" s="2" t="inlineStr">
        <is>
          <t>A03</t>
        </is>
      </c>
      <c r="D4" s="2" t="inlineStr">
        <is>
          <t>Provide one representative student activity/work sample demonstrating each of 3–5 selected capabilities.</t>
        </is>
      </c>
      <c r="E4" s="2" t="inlineStr">
        <is>
          <t>Evidence</t>
        </is>
      </c>
      <c r="F4" s="2" t="inlineStr">
        <is>
          <t>Validation</t>
        </is>
      </c>
      <c r="G4" s="2" t="inlineStr">
        <is>
          <t>I02/I04/I07/I15/I16</t>
        </is>
      </c>
    </row>
    <row r="5">
      <c r="A5" s="2" t="inlineStr">
        <is>
          <t>D03</t>
        </is>
      </c>
      <c r="B5" s="2" t="inlineStr">
        <is>
          <t>Q04</t>
        </is>
      </c>
      <c r="C5" s="2" t="inlineStr">
        <is>
          <t>A04</t>
        </is>
      </c>
      <c r="D5" s="2" t="inlineStr">
        <is>
          <t>How are students required to demonstrate capability rather than simply produce an answer?</t>
        </is>
      </c>
      <c r="E5" s="2" t="inlineStr">
        <is>
          <t>Matrix</t>
        </is>
      </c>
      <c r="F5" s="2" t="inlineStr">
        <is>
          <t>Assessment</t>
        </is>
      </c>
      <c r="G5" s="2" t="inlineStr">
        <is>
          <t>I02/I04/I07</t>
        </is>
      </c>
    </row>
    <row r="6">
      <c r="A6" s="2" t="inlineStr">
        <is>
          <t>D03</t>
        </is>
      </c>
      <c r="B6" s="2" t="inlineStr">
        <is>
          <t>Q05</t>
        </is>
      </c>
      <c r="C6" s="2" t="inlineStr">
        <is>
          <t>A05</t>
        </is>
      </c>
      <c r="D6" s="2" t="inlineStr">
        <is>
          <t>Where are students expected to verify, challenge or contextualise AI-generated output?</t>
        </is>
      </c>
      <c r="E6" s="2" t="inlineStr">
        <is>
          <t>Multi-select + evidence</t>
        </is>
      </c>
      <c r="F6" s="2" t="inlineStr">
        <is>
          <t>Diagnostic</t>
        </is>
      </c>
      <c r="G6" s="2" t="inlineStr">
        <is>
          <t>I08</t>
        </is>
      </c>
    </row>
    <row r="7">
      <c r="A7" s="2" t="inlineStr">
        <is>
          <t>D03</t>
        </is>
      </c>
      <c r="B7" s="2" t="inlineStr">
        <is>
          <t>Q06</t>
        </is>
      </c>
      <c r="C7" s="2" t="inlineStr">
        <is>
          <t>A06</t>
        </is>
      </c>
      <c r="D7" s="2" t="inlineStr">
        <is>
          <t>How often do students work on unfamiliar or ambiguous problems with no single prepared answer?</t>
        </is>
      </c>
      <c r="E7" s="2" t="inlineStr">
        <is>
          <t>Single + evidence</t>
        </is>
      </c>
      <c r="F7" s="2" t="inlineStr">
        <is>
          <t>Frequency</t>
        </is>
      </c>
      <c r="G7" s="2" t="inlineStr">
        <is>
          <t>I05/I16</t>
        </is>
      </c>
    </row>
    <row r="8">
      <c r="A8" s="2" t="inlineStr">
        <is>
          <t>D03</t>
        </is>
      </c>
      <c r="B8" s="2" t="inlineStr">
        <is>
          <t>Q07</t>
        </is>
      </c>
      <c r="C8" s="2" t="inlineStr">
        <is>
          <t>A07</t>
        </is>
      </c>
      <c r="D8" s="2" t="inlineStr">
        <is>
          <t>Where available, what proportion of students meet defined competency thresholds for selected capabilities?</t>
        </is>
      </c>
      <c r="E8" s="2" t="inlineStr">
        <is>
          <t>Number/NA</t>
        </is>
      </c>
      <c r="F8" s="2" t="inlineStr">
        <is>
          <t>Outcome</t>
        </is>
      </c>
      <c r="G8" s="2" t="inlineStr">
        <is>
          <t>I07</t>
        </is>
      </c>
    </row>
    <row r="9">
      <c r="A9" s="2" t="inlineStr">
        <is>
          <t>D03</t>
        </is>
      </c>
      <c r="B9" s="2" t="inlineStr">
        <is>
          <t>Q08</t>
        </is>
      </c>
      <c r="C9" s="2" t="inlineStr">
        <is>
          <t>A08</t>
        </is>
      </c>
      <c r="D9" s="2" t="inlineStr">
        <is>
          <t>For non-technical disciplines, how are students developing AI capability relevant to their discipline?</t>
        </is>
      </c>
      <c r="E9" s="2" t="inlineStr">
        <is>
          <t>Discipline matrix + sample</t>
        </is>
      </c>
      <c r="F9" s="2" t="inlineStr">
        <is>
          <t>Diagnostic</t>
        </is>
      </c>
      <c r="G9" s="2" t="inlineStr">
        <is>
          <t>I17</t>
        </is>
      </c>
    </row>
    <row r="10">
      <c r="A10" s="2" t="inlineStr">
        <is>
          <t>D03</t>
        </is>
      </c>
      <c r="B10" s="2" t="inlineStr">
        <is>
          <t>Q09</t>
        </is>
      </c>
      <c r="C10" s="2" t="inlineStr">
        <is>
          <t>A10</t>
        </is>
      </c>
      <c r="D10" s="2" t="inlineStr">
        <is>
          <t>Which three graduate capabilities are least convincingly demonstrated today, and what evidence led to that conclusion?</t>
        </is>
      </c>
      <c r="E10" s="2" t="inlineStr">
        <is>
          <t>Top 3 + rationale</t>
        </is>
      </c>
      <c r="F10" s="2" t="inlineStr">
        <is>
          <t>Leadership diagnostic</t>
        </is>
      </c>
      <c r="G10" s="2" t="inlineStr">
        <is>
          <t>I15/I16</t>
        </is>
      </c>
    </row>
  </sheetData>
  <autoFilter ref="A1:G10"/>
  <pageMargins left="0.7" right="0.7" top="0.75" bottom="0.75" header="0.3" footer="0.3"/>
</worksheet>
</file>

<file path=xl/worksheets/sheet68.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24" t="inlineStr">
        <is>
          <t>Domain</t>
        </is>
      </c>
      <c r="B1" s="24" t="inlineStr">
        <is>
          <t>Evidence ID</t>
        </is>
      </c>
      <c r="C1" s="24" t="inlineStr">
        <is>
          <t>Evidence Item</t>
        </is>
      </c>
      <c r="D1" s="24" t="inlineStr">
        <is>
          <t>Quantity / Sampling</t>
        </is>
      </c>
      <c r="E1" s="24" t="inlineStr">
        <is>
          <t>Requirement</t>
        </is>
      </c>
      <c r="F1" s="24" t="inlineStr">
        <is>
          <t>Metric Link</t>
        </is>
      </c>
      <c r="G1" s="24" t="inlineStr">
        <is>
          <t>Source / Basis</t>
        </is>
      </c>
    </row>
    <row r="2">
      <c r="A2" s="2" t="inlineStr">
        <is>
          <t>D03</t>
        </is>
      </c>
      <c r="B2" s="2" t="inlineStr">
        <is>
          <t>E01</t>
        </is>
      </c>
      <c r="C2" s="2" t="inlineStr">
        <is>
          <t>Graduate capability framework</t>
        </is>
      </c>
      <c r="D2" s="2" t="inlineStr">
        <is>
          <t>1</t>
        </is>
      </c>
      <c r="E2" s="2" t="inlineStr">
        <is>
          <t>If claimed</t>
        </is>
      </c>
      <c r="F2" s="2" t="inlineStr">
        <is>
          <t>I01</t>
        </is>
      </c>
      <c r="G2" s="2" t="inlineStr">
        <is>
          <t>Original integrated evidence requirements</t>
        </is>
      </c>
    </row>
    <row r="3">
      <c r="A3" s="2" t="inlineStr">
        <is>
          <t>D03</t>
        </is>
      </c>
      <c r="B3" s="2" t="inlineStr">
        <is>
          <t>E02</t>
        </is>
      </c>
      <c r="C3" s="2" t="inlineStr">
        <is>
          <t>Representative assessment/activity</t>
        </is>
      </c>
      <c r="D3" s="2" t="inlineStr">
        <is>
          <t>3-5</t>
        </is>
      </c>
      <c r="E3" s="2" t="inlineStr">
        <is>
          <t>Full assessment</t>
        </is>
      </c>
      <c r="F3" s="2" t="inlineStr">
        <is>
          <t>I02/I04/I07</t>
        </is>
      </c>
      <c r="G3" s="2" t="inlineStr">
        <is>
          <t>Original integrated evidence requirements</t>
        </is>
      </c>
    </row>
    <row r="4">
      <c r="A4" s="2" t="inlineStr">
        <is>
          <t>D03</t>
        </is>
      </c>
      <c r="B4" s="2" t="inlineStr">
        <is>
          <t>E03</t>
        </is>
      </c>
      <c r="C4" s="2" t="inlineStr">
        <is>
          <t>Rubric/capability criteria</t>
        </is>
      </c>
      <c r="D4" s="2" t="inlineStr">
        <is>
          <t>1-3</t>
        </is>
      </c>
      <c r="E4" s="2" t="inlineStr">
        <is>
          <t>If used</t>
        </is>
      </c>
      <c r="F4" s="2" t="inlineStr">
        <is>
          <t>I02/I04</t>
        </is>
      </c>
      <c r="G4" s="2" t="inlineStr">
        <is>
          <t>Original integrated evidence requirements</t>
        </is>
      </c>
    </row>
    <row r="5">
      <c r="A5" s="2" t="inlineStr">
        <is>
          <t>D03</t>
        </is>
      </c>
      <c r="B5" s="2" t="inlineStr">
        <is>
          <t>E04</t>
        </is>
      </c>
      <c r="C5" s="2" t="inlineStr">
        <is>
          <t>AI verification activity</t>
        </is>
      </c>
      <c r="D5" s="2" t="inlineStr">
        <is>
          <t>1</t>
        </is>
      </c>
      <c r="E5" s="2" t="inlineStr">
        <is>
          <t>If claimed</t>
        </is>
      </c>
      <c r="F5" s="2" t="inlineStr">
        <is>
          <t>I08</t>
        </is>
      </c>
      <c r="G5" s="2" t="inlineStr">
        <is>
          <t>Original integrated evidence requirements</t>
        </is>
      </c>
    </row>
    <row r="6">
      <c r="A6" s="2" t="inlineStr">
        <is>
          <t>D03</t>
        </is>
      </c>
      <c r="B6" s="2" t="inlineStr">
        <is>
          <t>E05</t>
        </is>
      </c>
      <c r="C6" s="2" t="inlineStr">
        <is>
          <t>Non-technical discipline sample</t>
        </is>
      </c>
      <c r="D6" s="2" t="inlineStr">
        <is>
          <t>Up to 3</t>
        </is>
      </c>
      <c r="E6" s="2" t="inlineStr">
        <is>
          <t>Where applicable</t>
        </is>
      </c>
      <c r="F6" s="2" t="inlineStr">
        <is>
          <t>I17</t>
        </is>
      </c>
      <c r="G6" s="2" t="inlineStr">
        <is>
          <t>Original integrated evidence requirements</t>
        </is>
      </c>
    </row>
    <row r="7">
      <c r="A7" s="2" t="inlineStr">
        <is>
          <t>D03</t>
        </is>
      </c>
      <c r="B7" s="2" t="inlineStr">
        <is>
          <t>E06</t>
        </is>
      </c>
      <c r="C7" s="2" t="inlineStr">
        <is>
          <t>Capability outcome evidence</t>
        </is>
      </c>
      <c r="D7" s="2" t="inlineStr">
        <is>
          <t>1</t>
        </is>
      </c>
      <c r="E7" s="2" t="inlineStr">
        <is>
          <t>If available</t>
        </is>
      </c>
      <c r="F7" s="2" t="inlineStr">
        <is>
          <t>I07</t>
        </is>
      </c>
      <c r="G7" s="2" t="inlineStr">
        <is>
          <t>Original integrated evidence requirements</t>
        </is>
      </c>
    </row>
  </sheetData>
  <autoFilter ref="A1:G7"/>
  <pageMargins left="0.7" right="0.7" top="0.75" bottom="0.75" header="0.3" footer="0.3"/>
</worksheet>
</file>

<file path=xl/worksheets/sheet69.xml><?xml version="1.0" encoding="utf-8"?>
<worksheet xmlns="http://schemas.openxmlformats.org/spreadsheetml/2006/main">
  <sheetPr>
    <outlinePr summaryBelow="1" summaryRight="1"/>
    <pageSetUpPr/>
  </sheetPr>
  <dimension ref="A1:G9"/>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24" t="inlineStr">
        <is>
          <t>Domain</t>
        </is>
      </c>
      <c r="B1" s="24" t="inlineStr">
        <is>
          <t>Data ID</t>
        </is>
      </c>
      <c r="C1" s="24" t="inlineStr">
        <is>
          <t>Institutional Data Item</t>
        </is>
      </c>
      <c r="D1" s="24" t="inlineStr">
        <is>
          <t>Input Type</t>
        </is>
      </c>
      <c r="E1" s="24" t="inlineStr">
        <is>
          <t>Requirement</t>
        </is>
      </c>
      <c r="F1" s="24" t="inlineStr">
        <is>
          <t>Metric / Use</t>
        </is>
      </c>
      <c r="G1" s="24" t="inlineStr">
        <is>
          <t>Status</t>
        </is>
      </c>
    </row>
    <row r="2">
      <c r="A2" s="2" t="inlineStr">
        <is>
          <t>D03</t>
        </is>
      </c>
      <c r="B2" s="2" t="inlineStr">
        <is>
          <t>D03-D01</t>
        </is>
      </c>
      <c r="C2" s="2" t="inlineStr">
        <is>
          <t>Programmes with explicit graduate capability framework</t>
        </is>
      </c>
      <c r="D2" s="2" t="inlineStr">
        <is>
          <t>Number</t>
        </is>
      </c>
      <c r="E2" s="2" t="inlineStr">
        <is>
          <t>Required</t>
        </is>
      </c>
      <c r="F2" s="2" t="inlineStr">
        <is>
          <t>Source-defined</t>
        </is>
      </c>
      <c r="G2" s="2" t="n"/>
    </row>
    <row r="3">
      <c r="A3" s="2" t="inlineStr">
        <is>
          <t>D03</t>
        </is>
      </c>
      <c r="B3" s="2" t="inlineStr">
        <is>
          <t>D03-D02</t>
        </is>
      </c>
      <c r="C3" s="2" t="inlineStr">
        <is>
          <t>Programmes using project/case/practical learning</t>
        </is>
      </c>
      <c r="D3" s="2" t="inlineStr">
        <is>
          <t>Number</t>
        </is>
      </c>
      <c r="E3" s="2" t="inlineStr">
        <is>
          <t>Optional</t>
        </is>
      </c>
      <c r="F3" s="2" t="inlineStr">
        <is>
          <t>Source-defined</t>
        </is>
      </c>
      <c r="G3" s="2" t="n"/>
    </row>
    <row r="4">
      <c r="A4" s="2" t="inlineStr">
        <is>
          <t>D03</t>
        </is>
      </c>
      <c r="B4" s="2" t="inlineStr">
        <is>
          <t>D03-D03</t>
        </is>
      </c>
      <c r="C4" s="2" t="inlineStr">
        <is>
          <t>Programmes requiring unfamiliar/ambiguous problem solving</t>
        </is>
      </c>
      <c r="D4" s="2" t="inlineStr">
        <is>
          <t>Number</t>
        </is>
      </c>
      <c r="E4" s="2" t="inlineStr">
        <is>
          <t>Optional</t>
        </is>
      </c>
      <c r="F4" s="2" t="inlineStr">
        <is>
          <t>Source-defined</t>
        </is>
      </c>
      <c r="G4" s="2" t="n"/>
    </row>
    <row r="5">
      <c r="A5" s="2" t="inlineStr">
        <is>
          <t>D03</t>
        </is>
      </c>
      <c r="B5" s="2" t="inlineStr">
        <is>
          <t>D03-D04</t>
        </is>
      </c>
      <c r="C5" s="2" t="inlineStr">
        <is>
          <t>Programmes with explicit AI verification activity</t>
        </is>
      </c>
      <c r="D5" s="2" t="inlineStr">
        <is>
          <t>Number</t>
        </is>
      </c>
      <c r="E5" s="2" t="inlineStr">
        <is>
          <t>Optional</t>
        </is>
      </c>
      <c r="F5" s="2" t="inlineStr">
        <is>
          <t>Source-defined</t>
        </is>
      </c>
      <c r="G5" s="2" t="n"/>
    </row>
    <row r="6">
      <c r="A6" s="2" t="inlineStr">
        <is>
          <t>D03</t>
        </is>
      </c>
      <c r="B6" s="2" t="inlineStr">
        <is>
          <t>D03-D05</t>
        </is>
      </c>
      <c r="C6" s="2" t="inlineStr">
        <is>
          <t>Programmes with interdisciplinary AI learning</t>
        </is>
      </c>
      <c r="D6" s="2" t="inlineStr">
        <is>
          <t>Number</t>
        </is>
      </c>
      <c r="E6" s="2" t="inlineStr">
        <is>
          <t>Optional</t>
        </is>
      </c>
      <c r="F6" s="2" t="inlineStr">
        <is>
          <t>Source-defined</t>
        </is>
      </c>
      <c r="G6" s="2" t="n"/>
    </row>
    <row r="7">
      <c r="A7" s="2" t="inlineStr">
        <is>
          <t>D03</t>
        </is>
      </c>
      <c r="B7" s="2" t="inlineStr">
        <is>
          <t>D03-D06</t>
        </is>
      </c>
      <c r="C7" s="2" t="inlineStr">
        <is>
          <t>Non-technical programmes with explicit AI capability outcomes</t>
        </is>
      </c>
      <c r="D7" s="2" t="inlineStr">
        <is>
          <t>Number</t>
        </is>
      </c>
      <c r="E7" s="2" t="inlineStr">
        <is>
          <t>Required where applicable</t>
        </is>
      </c>
      <c r="F7" s="2" t="inlineStr">
        <is>
          <t>Source-defined</t>
        </is>
      </c>
      <c r="G7" s="2" t="n"/>
    </row>
    <row r="8">
      <c r="A8" s="2" t="inlineStr">
        <is>
          <t>D03</t>
        </is>
      </c>
      <c r="B8" s="2" t="inlineStr">
        <is>
          <t>D03-D07</t>
        </is>
      </c>
      <c r="C8" s="2" t="inlineStr">
        <is>
          <t>Students with competency outcome data</t>
        </is>
      </c>
      <c r="D8" s="2" t="inlineStr">
        <is>
          <t>Number</t>
        </is>
      </c>
      <c r="E8" s="2" t="inlineStr">
        <is>
          <t>Optional</t>
        </is>
      </c>
      <c r="F8" s="2" t="inlineStr">
        <is>
          <t>Source-defined</t>
        </is>
      </c>
      <c r="G8" s="2" t="n"/>
    </row>
    <row r="9">
      <c r="A9" s="2" t="inlineStr">
        <is>
          <t>D03</t>
        </is>
      </c>
      <c r="B9" s="2" t="inlineStr">
        <is>
          <t>D03-D08</t>
        </is>
      </c>
      <c r="C9" s="2" t="inlineStr">
        <is>
          <t>Students meeting defined competency threshold</t>
        </is>
      </c>
      <c r="D9" s="2" t="inlineStr">
        <is>
          <t>Number</t>
        </is>
      </c>
      <c r="E9" s="2" t="inlineStr">
        <is>
          <t>Optional</t>
        </is>
      </c>
      <c r="F9" s="2" t="inlineStr">
        <is>
          <t>Source-defined</t>
        </is>
      </c>
      <c r="G9" s="2" t="n"/>
    </row>
  </sheetData>
  <autoFilter ref="A1:G9"/>
  <pageMargins left="0.7" right="0.7" top="0.75" bottom="0.75" header="0.3" footer="0.3"/>
</worksheet>
</file>

<file path=xl/worksheets/sheet70.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24" t="inlineStr">
        <is>
          <t>Check ID</t>
        </is>
      </c>
      <c r="B1" s="24" t="inlineStr">
        <is>
          <t>Check</t>
        </is>
      </c>
      <c r="C1" s="24" t="inlineStr">
        <is>
          <t>Rule</t>
        </is>
      </c>
      <c r="D1" s="24" t="inlineStr">
        <is>
          <t>Type</t>
        </is>
      </c>
    </row>
    <row r="2">
      <c r="A2" s="2" t="inlineStr">
        <is>
          <t>D03-QA01</t>
        </is>
      </c>
      <c r="B2" s="2" t="inlineStr">
        <is>
          <t>Programme counts</t>
        </is>
      </c>
      <c r="C2" s="2" t="inlineStr">
        <is>
          <t>Modified &lt;= reviewed &lt;= active</t>
        </is>
      </c>
      <c r="D2" s="2" t="inlineStr">
        <is>
          <t>Hard validation</t>
        </is>
      </c>
    </row>
    <row r="3">
      <c r="A3" s="2" t="inlineStr">
        <is>
          <t>D03-QA02</t>
        </is>
      </c>
      <c r="B3" s="2" t="inlineStr">
        <is>
          <t>Pilot counts</t>
        </is>
      </c>
      <c r="C3" s="2" t="inlineStr">
        <is>
          <t>Evaluated &lt;= conducted; scaled/stopped &lt;= evaluated</t>
        </is>
      </c>
      <c r="D3" s="2" t="inlineStr">
        <is>
          <t>Hard validation</t>
        </is>
      </c>
    </row>
    <row r="4">
      <c r="A4" s="2" t="inlineStr">
        <is>
          <t>D03-QA03</t>
        </is>
      </c>
      <c r="B4" s="2" t="inlineStr">
        <is>
          <t>Data counts</t>
        </is>
      </c>
      <c r="C4" s="2" t="inlineStr">
        <is>
          <t>Privacy-reviewed &lt;= data-processing &lt;= approved tools</t>
        </is>
      </c>
      <c r="D4" s="2" t="inlineStr">
        <is>
          <t>Hard validation</t>
        </is>
      </c>
    </row>
    <row r="5">
      <c r="A5" s="2" t="inlineStr">
        <is>
          <t>D03-QA04</t>
        </is>
      </c>
      <c r="B5" s="2" t="inlineStr">
        <is>
          <t>No policy inflation</t>
        </is>
      </c>
      <c r="C5" s="2" t="inlineStr">
        <is>
          <t>Policy existence alone cannot create high maturity</t>
        </is>
      </c>
      <c r="D5" s="2" t="inlineStr">
        <is>
          <t>Scoring rule</t>
        </is>
      </c>
    </row>
    <row r="6">
      <c r="A6" s="2" t="inlineStr">
        <is>
          <t>D03-QA05</t>
        </is>
      </c>
      <c r="B6" s="2" t="inlineStr">
        <is>
          <t>Context fairness</t>
        </is>
      </c>
      <c r="C6" s="2" t="inlineStr">
        <is>
          <t>Required maturity reflects mission, scale, resources, exposure</t>
        </is>
      </c>
      <c r="D6" s="2" t="inlineStr">
        <is>
          <t>Scoring rule</t>
        </is>
      </c>
    </row>
    <row r="7">
      <c r="A7" s="2" t="inlineStr">
        <is>
          <t>D03-QA06</t>
        </is>
      </c>
      <c r="B7" s="2" t="inlineStr">
        <is>
          <t>Non-technical fairness</t>
        </is>
      </c>
      <c r="C7" s="2" t="inlineStr">
        <is>
          <t>Assess discipline relevance, not coding/technical AI</t>
        </is>
      </c>
      <c r="D7" s="2" t="inlineStr">
        <is>
          <t>Scoring rule</t>
        </is>
      </c>
    </row>
    <row r="8">
      <c r="A8" s="2" t="inlineStr">
        <is>
          <t>D03-QA07</t>
        </is>
      </c>
      <c r="B8" s="2" t="inlineStr">
        <is>
          <t>No outcome fabrication</t>
        </is>
      </c>
      <c r="C8" s="2" t="inlineStr">
        <is>
          <t>N/A accepted where outcome measurement legitimately unavailable</t>
        </is>
      </c>
      <c r="D8" s="2" t="inlineStr">
        <is>
          <t>Scoring rule</t>
        </is>
      </c>
    </row>
    <row r="9">
      <c r="A9" s="2" t="inlineStr">
        <is>
          <t>D03-QA08</t>
        </is>
      </c>
      <c r="B9" s="2" t="inlineStr">
        <is>
          <t>Representative sampling</t>
        </is>
      </c>
      <c r="C9" s="2" t="inlineStr">
        <is>
          <t>Evidence requests stay limited to high-value samples</t>
        </is>
      </c>
      <c r="D9" s="2" t="inlineStr">
        <is>
          <t>UX rule</t>
        </is>
      </c>
    </row>
    <row r="10">
      <c r="A10" s="2" t="inlineStr">
        <is>
          <t>D03-D03</t>
        </is>
      </c>
      <c r="B10" s="2" t="inlineStr">
        <is>
          <t>Discipline coverage</t>
        </is>
      </c>
      <c r="C10" s="2" t="inlineStr">
        <is>
          <t>Expanded to health, pharmacy, media, humanities, professional, technical and interdisciplinary pathways.</t>
        </is>
      </c>
      <c r="D10" s="2" t="inlineStr">
        <is>
          <t>Pass</t>
        </is>
      </c>
    </row>
    <row r="11">
      <c r="A11" s="2" t="inlineStr">
        <is>
          <t>D03-D04-D06</t>
        </is>
      </c>
      <c r="B11" s="2" t="inlineStr">
        <is>
          <t>Architecture completeness</t>
        </is>
      </c>
      <c r="C11" s="2" t="inlineStr">
        <is>
          <t>Each domain has capabilities, metrics, assessment cards, 5 core questions and maturity anchors.</t>
        </is>
      </c>
      <c r="D11" s="2" t="inlineStr">
        <is>
          <t>Pass</t>
        </is>
      </c>
    </row>
    <row r="12">
      <c r="A12" s="2" t="inlineStr">
        <is>
          <t>D03-All</t>
        </is>
      </c>
      <c r="B12" s="2" t="inlineStr">
        <is>
          <t>Context calibration</t>
        </is>
      </c>
      <c r="C12" s="2" t="inlineStr">
        <is>
          <t>Institution context changes proportionality and branching, not the integrity standard.</t>
        </is>
      </c>
      <c r="D12" s="2" t="inlineStr">
        <is>
          <t>Pass</t>
        </is>
      </c>
    </row>
    <row r="13">
      <c r="A13" s="2" t="inlineStr">
        <is>
          <t>D03-All</t>
        </is>
      </c>
      <c r="B13" s="2" t="inlineStr">
        <is>
          <t>Reality gradient</t>
        </is>
      </c>
      <c r="C13" s="2" t="inlineStr">
        <is>
          <t>Claim→practice→evidence→outcome→adaptation captured separately from maturity.</t>
        </is>
      </c>
      <c r="D13" s="2" t="inlineStr">
        <is>
          <t>Pass</t>
        </is>
      </c>
    </row>
    <row r="14">
      <c r="A14" s="2" t="inlineStr">
        <is>
          <t>D03-QA-DOM01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D03-QA-DOM02</t>
        </is>
      </c>
      <c r="B15" s="2" t="inlineStr">
        <is>
          <t>Question/card coverage</t>
        </is>
      </c>
      <c r="C15" s="2" t="inlineStr">
        <is>
          <t>Every assessment card and question must map to at least one metric.</t>
        </is>
      </c>
      <c r="D15" s="2" t="inlineStr">
        <is>
          <t>Structural</t>
        </is>
      </c>
    </row>
    <row r="16">
      <c r="A16" s="2" t="inlineStr">
        <is>
          <t>D03-QA-DOM03</t>
        </is>
      </c>
      <c r="B16" s="2" t="inlineStr">
        <is>
          <t>Evidence traceability</t>
        </is>
      </c>
      <c r="C16" s="2" t="inlineStr">
        <is>
          <t>High-maturity claims must have an evidence path or an explicit evidence-gap flag.</t>
        </is>
      </c>
      <c r="D16" s="2" t="inlineStr">
        <is>
          <t>Scoring</t>
        </is>
      </c>
    </row>
    <row r="17">
      <c r="A17" s="2" t="inlineStr">
        <is>
          <t>D03-QA-DOM04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71.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24" t="inlineStr">
        <is>
          <t>Domain</t>
        </is>
      </c>
      <c r="B1" s="24" t="inlineStr">
        <is>
          <t>Domain Name</t>
        </is>
      </c>
      <c r="C1" s="24" t="inlineStr">
        <is>
          <t>Capability ID</t>
        </is>
      </c>
      <c r="D1" s="24" t="inlineStr">
        <is>
          <t>Capability Area</t>
        </is>
      </c>
      <c r="E1" s="24" t="inlineStr">
        <is>
          <t>Metric ID</t>
        </is>
      </c>
      <c r="F1" s="24" t="inlineStr">
        <is>
          <t>Metric</t>
        </is>
      </c>
      <c r="G1" s="24" t="inlineStr">
        <is>
          <t>What It Measures</t>
        </is>
      </c>
      <c r="H1" s="24" t="inlineStr">
        <is>
          <t>Measurement Method</t>
        </is>
      </c>
      <c r="I1" s="24" t="inlineStr">
        <is>
          <t>Exposure</t>
        </is>
      </c>
      <c r="J1" s="24" t="inlineStr">
        <is>
          <t>Source / Basis</t>
        </is>
      </c>
    </row>
    <row r="2">
      <c r="A2" s="2" t="inlineStr">
        <is>
          <t>D04</t>
        </is>
      </c>
      <c r="B2" s="2" t="inlineStr">
        <is>
          <t>Curriculum &amp; Programme Future Resilience</t>
        </is>
      </c>
      <c r="C2" s="2" t="inlineStr">
        <is>
          <t>C01</t>
        </is>
      </c>
      <c r="D2" s="2" t="inlineStr">
        <is>
          <t>Curriculum Environmental Scanning</t>
        </is>
      </c>
      <c r="E2" s="2" t="inlineStr">
        <is>
          <t>I01</t>
        </is>
      </c>
      <c r="F2" s="2" t="inlineStr">
        <is>
          <t>Curriculum Sensing Maturity</t>
        </is>
      </c>
      <c r="G2" s="2" t="inlineStr">
        <is>
          <t>How systematically programme teams detect disciplinary, technological and labour-market change</t>
        </is>
      </c>
      <c r="H2" s="2" t="inlineStr">
        <is>
          <t>Evidence + process review</t>
        </is>
      </c>
      <c r="I2" s="2" t="inlineStr">
        <is>
          <t>Very High</t>
        </is>
      </c>
      <c r="J2" s="2" t="inlineStr">
        <is>
          <t>Integrated master; D01-D03 baseline retained; D04-D11 integrated from domain matrices.</t>
        </is>
      </c>
    </row>
    <row r="3">
      <c r="A3" s="2" t="inlineStr">
        <is>
          <t>D04</t>
        </is>
      </c>
      <c r="B3" s="2" t="inlineStr">
        <is>
          <t>Curriculum &amp; Programme Future Resilience</t>
        </is>
      </c>
      <c r="C3" s="2" t="inlineStr">
        <is>
          <t>C02</t>
        </is>
      </c>
      <c r="D3" s="2" t="inlineStr">
        <is>
          <t>Future Learning Outcome Design</t>
        </is>
      </c>
      <c r="E3" s="2" t="inlineStr">
        <is>
          <t>I02</t>
        </is>
      </c>
      <c r="F3" s="2" t="inlineStr">
        <is>
          <t>Future Learning Outcome Alignment</t>
        </is>
      </c>
      <c r="G3" s="2" t="inlineStr">
        <is>
          <t>Extent to which outcomes reflect future professional/human capabilities</t>
        </is>
      </c>
      <c r="H3" s="2" t="inlineStr">
        <is>
          <t>Outcome mapping + sample review</t>
        </is>
      </c>
      <c r="I3" s="2" t="inlineStr">
        <is>
          <t>Very High</t>
        </is>
      </c>
      <c r="J3" s="2" t="inlineStr">
        <is>
          <t>Integrated master; D01-D03 baseline retained; D04-D11 integrated from domain matrices.</t>
        </is>
      </c>
    </row>
    <row r="4">
      <c r="A4" s="2" t="inlineStr">
        <is>
          <t>D04</t>
        </is>
      </c>
      <c r="B4" s="2" t="inlineStr">
        <is>
          <t>Curriculum &amp; Programme Future Resilience</t>
        </is>
      </c>
      <c r="C4" s="2" t="inlineStr">
        <is>
          <t>C03</t>
        </is>
      </c>
      <c r="D4" s="2" t="inlineStr">
        <is>
          <t>Programme Review Discipline</t>
        </is>
      </c>
      <c r="E4" s="2" t="inlineStr">
        <is>
          <t>I03</t>
        </is>
      </c>
      <c r="F4" s="2" t="inlineStr">
        <is>
          <t>Programme Review Effectiveness</t>
        </is>
      </c>
      <c r="G4" s="2" t="inlineStr">
        <is>
          <t>Whether review produces substantive AI/future-related changes</t>
        </is>
      </c>
      <c r="H4" s="2" t="inlineStr">
        <is>
          <t>Review records + before/after sample</t>
        </is>
      </c>
      <c r="I4" s="2" t="inlineStr">
        <is>
          <t>Very High</t>
        </is>
      </c>
      <c r="J4" s="2" t="inlineStr">
        <is>
          <t>Integrated master; D01-D03 baseline retained; D04-D11 integrated from domain matrices.</t>
        </is>
      </c>
    </row>
    <row r="5">
      <c r="A5" s="2" t="inlineStr">
        <is>
          <t>D04</t>
        </is>
      </c>
      <c r="B5" s="2" t="inlineStr">
        <is>
          <t>Curriculum &amp; Programme Future Resilience</t>
        </is>
      </c>
      <c r="C5" s="2" t="inlineStr">
        <is>
          <t>C04</t>
        </is>
      </c>
      <c r="D5" s="2" t="inlineStr">
        <is>
          <t>Disciplinary AI Integration</t>
        </is>
      </c>
      <c r="E5" s="2" t="inlineStr">
        <is>
          <t>I04</t>
        </is>
      </c>
      <c r="F5" s="2" t="inlineStr">
        <is>
          <t>Disciplinary AI Integration Depth</t>
        </is>
      </c>
      <c r="G5" s="2" t="inlineStr">
        <is>
          <t>AI integration appropriate to discipline rather than generic AI exposure</t>
        </is>
      </c>
      <c r="H5" s="2" t="inlineStr">
        <is>
          <t>Programme sample + discipline pathway</t>
        </is>
      </c>
      <c r="I5" s="2" t="inlineStr">
        <is>
          <t>High</t>
        </is>
      </c>
      <c r="J5" s="2" t="inlineStr">
        <is>
          <t>Integrated master; D01-D03 baseline retained; D04-D11 integrated from domain matrices.</t>
        </is>
      </c>
    </row>
    <row r="6">
      <c r="A6" s="2" t="inlineStr">
        <is>
          <t>D04</t>
        </is>
      </c>
      <c r="B6" s="2" t="inlineStr">
        <is>
          <t>Curriculum &amp; Programme Future Resilience</t>
        </is>
      </c>
      <c r="C6" s="2" t="inlineStr">
        <is>
          <t>C05</t>
        </is>
      </c>
      <c r="D6" s="2" t="inlineStr">
        <is>
          <t>Content Obsolescence Management</t>
        </is>
      </c>
      <c r="E6" s="2" t="inlineStr">
        <is>
          <t>I05</t>
        </is>
      </c>
      <c r="F6" s="2" t="inlineStr">
        <is>
          <t>Content Obsolescence Response</t>
        </is>
      </c>
      <c r="G6" s="2" t="inlineStr">
        <is>
          <t>Speed and quality of response when content/tasks become less valuable</t>
        </is>
      </c>
      <c r="H6" s="2" t="inlineStr">
        <is>
          <t>Change records + scenario</t>
        </is>
      </c>
      <c r="I6" s="2" t="inlineStr">
        <is>
          <t>High</t>
        </is>
      </c>
      <c r="J6" s="2" t="inlineStr">
        <is>
          <t>Integrated master; D01-D03 baseline retained; D04-D11 integrated from domain matrices.</t>
        </is>
      </c>
    </row>
    <row r="7">
      <c r="A7" s="2" t="inlineStr">
        <is>
          <t>D04</t>
        </is>
      </c>
      <c r="B7" s="2" t="inlineStr">
        <is>
          <t>Curriculum &amp; Programme Future Resilience</t>
        </is>
      </c>
      <c r="C7" s="2" t="inlineStr">
        <is>
          <t>C06</t>
        </is>
      </c>
      <c r="D7" s="2" t="inlineStr">
        <is>
          <t>Experiential Learning Architecture</t>
        </is>
      </c>
      <c r="E7" s="2" t="inlineStr">
        <is>
          <t>I06</t>
        </is>
      </c>
      <c r="F7" s="2" t="inlineStr">
        <is>
          <t>Experiential Learning Strength</t>
        </is>
      </c>
      <c r="G7" s="2" t="inlineStr">
        <is>
          <t>Extent of projects, labs, fieldwork, practice and authentic tasks</t>
        </is>
      </c>
      <c r="H7" s="2" t="inlineStr">
        <is>
          <t>Programme evidence + activity sample</t>
        </is>
      </c>
      <c r="I7" s="2" t="inlineStr">
        <is>
          <t>High</t>
        </is>
      </c>
      <c r="J7" s="2" t="inlineStr">
        <is>
          <t>Integrated master; D01-D03 baseline retained; D04-D11 integrated from domain matrices.</t>
        </is>
      </c>
    </row>
    <row r="8">
      <c r="A8" s="2" t="inlineStr">
        <is>
          <t>D04</t>
        </is>
      </c>
      <c r="B8" s="2" t="inlineStr">
        <is>
          <t>Curriculum &amp; Programme Future Resilience</t>
        </is>
      </c>
      <c r="C8" s="2" t="inlineStr">
        <is>
          <t>C07</t>
        </is>
      </c>
      <c r="D8" s="2" t="inlineStr">
        <is>
          <t>Interdisciplinary Flexibility</t>
        </is>
      </c>
      <c r="E8" s="2" t="inlineStr">
        <is>
          <t>I07</t>
        </is>
      </c>
      <c r="F8" s="2" t="inlineStr">
        <is>
          <t>Interdisciplinary Flexibility</t>
        </is>
      </c>
      <c r="G8" s="2" t="inlineStr">
        <is>
          <t>Ability for students to learn/work across boundaries</t>
        </is>
      </c>
      <c r="H8" s="2" t="inlineStr">
        <is>
          <t>Curriculum structure + participation data</t>
        </is>
      </c>
      <c r="I8" s="2" t="inlineStr">
        <is>
          <t>High</t>
        </is>
      </c>
      <c r="J8" s="2" t="inlineStr">
        <is>
          <t>Integrated master; D01-D03 baseline retained; D04-D11 integrated from domain matrices.</t>
        </is>
      </c>
    </row>
    <row r="9">
      <c r="A9" s="2" t="inlineStr">
        <is>
          <t>D04</t>
        </is>
      </c>
      <c r="B9" s="2" t="inlineStr">
        <is>
          <t>Curriculum &amp; Programme Future Resilience</t>
        </is>
      </c>
      <c r="C9" s="2" t="inlineStr">
        <is>
          <t>C08</t>
        </is>
      </c>
      <c r="D9" s="2" t="inlineStr">
        <is>
          <t>Programme Agility &amp; Modularity</t>
        </is>
      </c>
      <c r="E9" s="2" t="inlineStr">
        <is>
          <t>I08</t>
        </is>
      </c>
      <c r="F9" s="2" t="inlineStr">
        <is>
          <t>Programme Agility</t>
        </is>
      </c>
      <c r="G9" s="2" t="inlineStr">
        <is>
          <t>Ability to modify modules, electives, pathways and learning experiences</t>
        </is>
      </c>
      <c r="H9" s="2" t="inlineStr">
        <is>
          <t>Change cycle + approval process</t>
        </is>
      </c>
      <c r="I9" s="2" t="inlineStr">
        <is>
          <t>Very High</t>
        </is>
      </c>
      <c r="J9" s="2" t="inlineStr">
        <is>
          <t>Integrated master; D01-D03 baseline retained; D04-D11 integrated from domain matrices.</t>
        </is>
      </c>
    </row>
    <row r="10">
      <c r="A10" s="2" t="inlineStr">
        <is>
          <t>D04</t>
        </is>
      </c>
      <c r="B10" s="2" t="inlineStr">
        <is>
          <t>Curriculum &amp; Programme Future Resilience</t>
        </is>
      </c>
      <c r="C10" s="2" t="inlineStr">
        <is>
          <t>C09</t>
        </is>
      </c>
      <c r="D10" s="2" t="inlineStr">
        <is>
          <t>Industry/Professional Validation</t>
        </is>
      </c>
      <c r="E10" s="2" t="inlineStr">
        <is>
          <t>I09</t>
        </is>
      </c>
      <c r="F10" s="2" t="inlineStr">
        <is>
          <t>External Validation Strength</t>
        </is>
      </c>
      <c r="G10" s="2" t="inlineStr">
        <is>
          <t>Use of employers/professionals/alumni/disciplinary experts in programme evolution</t>
        </is>
      </c>
      <c r="H10" s="2" t="inlineStr">
        <is>
          <t>Validation records + sample</t>
        </is>
      </c>
      <c r="I10" s="2" t="inlineStr">
        <is>
          <t>High</t>
        </is>
      </c>
      <c r="J10" s="2" t="inlineStr">
        <is>
          <t>Integrated master; D01-D03 baseline retained; D04-D11 integrated from domain matrices.</t>
        </is>
      </c>
    </row>
    <row r="11">
      <c r="A11" s="2" t="inlineStr">
        <is>
          <t>D04</t>
        </is>
      </c>
      <c r="B11" s="2" t="inlineStr">
        <is>
          <t>Curriculum &amp; Programme Future Resilience</t>
        </is>
      </c>
      <c r="C11" s="2" t="inlineStr">
        <is>
          <t>C10</t>
        </is>
      </c>
      <c r="D11" s="2" t="inlineStr">
        <is>
          <t>External Learning Ecosystem</t>
        </is>
      </c>
      <c r="E11" s="2" t="inlineStr">
        <is>
          <t>I10</t>
        </is>
      </c>
      <c r="F11" s="2" t="inlineStr">
        <is>
          <t>External Learning Ecosystem</t>
        </is>
      </c>
      <c r="G11" s="2" t="inlineStr">
        <is>
          <t>Use of industry, research, community and external platforms as learning environments</t>
        </is>
      </c>
      <c r="H11" s="2" t="inlineStr">
        <is>
          <t>Partnership/activity evidence</t>
        </is>
      </c>
      <c r="I11" s="2" t="inlineStr">
        <is>
          <t>Medium</t>
        </is>
      </c>
      <c r="J11" s="2" t="inlineStr">
        <is>
          <t>Integrated master; D01-D03 baseline retained; D04-D11 integrated from domain matrices.</t>
        </is>
      </c>
    </row>
    <row r="12">
      <c r="A12" s="2" t="inlineStr">
        <is>
          <t>D04</t>
        </is>
      </c>
      <c r="B12" s="2" t="inlineStr">
        <is>
          <t>Curriculum &amp; Programme Future Resilience</t>
        </is>
      </c>
      <c r="C12" s="2" t="inlineStr">
        <is>
          <t>C11</t>
        </is>
      </c>
      <c r="D12" s="2" t="inlineStr">
        <is>
          <t>Student Transfer &amp; Application</t>
        </is>
      </c>
      <c r="E12" s="2" t="inlineStr">
        <is>
          <t>I11</t>
        </is>
      </c>
      <c r="F12" s="2" t="inlineStr">
        <is>
          <t>Transfer Capability</t>
        </is>
      </c>
      <c r="G12" s="2" t="inlineStr">
        <is>
          <t>Extent students apply learning to unfamiliar/real situations</t>
        </is>
      </c>
      <c r="H12" s="2" t="inlineStr">
        <is>
          <t>Assessment/project evidence</t>
        </is>
      </c>
      <c r="I12" s="2" t="inlineStr">
        <is>
          <t>Very High</t>
        </is>
      </c>
      <c r="J12" s="2" t="inlineStr">
        <is>
          <t>Integrated master; D01-D03 baseline retained; D04-D11 integrated from domain matrices.</t>
        </is>
      </c>
    </row>
    <row r="13">
      <c r="A13" s="2" t="inlineStr">
        <is>
          <t>D04</t>
        </is>
      </c>
      <c r="B13" s="2" t="inlineStr">
        <is>
          <t>Curriculum &amp; Programme Future Resilience</t>
        </is>
      </c>
      <c r="C13" s="2" t="inlineStr">
        <is>
          <t>C12</t>
        </is>
      </c>
      <c r="D13" s="2" t="inlineStr">
        <is>
          <t>Programme Portfolio Foresight</t>
        </is>
      </c>
      <c r="E13" s="2" t="inlineStr">
        <is>
          <t>I12</t>
        </is>
      </c>
      <c r="F13" s="2" t="inlineStr">
        <is>
          <t>Portfolio Foresight</t>
        </is>
      </c>
      <c r="G13" s="2" t="inlineStr">
        <is>
          <t>Whether programme portfolio remains aligned with institutional future direction</t>
        </is>
      </c>
      <c r="H13" s="2" t="inlineStr">
        <is>
          <t>Portfolio analysis + scenario</t>
        </is>
      </c>
      <c r="I13" s="2" t="inlineStr">
        <is>
          <t>High</t>
        </is>
      </c>
      <c r="J13" s="2" t="inlineStr">
        <is>
          <t>Integrated master; D01-D03 baseline retained; D04-D11 integrated from domain matrices.</t>
        </is>
      </c>
    </row>
  </sheetData>
  <autoFilter ref="A1:J13"/>
  <pageMargins left="0.7" right="0.7" top="0.75" bottom="0.75" header="0.3" footer="0.3"/>
</worksheet>
</file>

<file path=xl/worksheets/sheet72.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24" t="inlineStr">
        <is>
          <t>Domain</t>
        </is>
      </c>
      <c r="B1" s="24" t="inlineStr">
        <is>
          <t>Card ID</t>
        </is>
      </c>
      <c r="C1" s="24" t="inlineStr">
        <is>
          <t>Assessment Card</t>
        </is>
      </c>
      <c r="D1" s="24" t="inlineStr">
        <is>
          <t>Input / Response Format</t>
        </is>
      </c>
      <c r="E1" s="24" t="inlineStr">
        <is>
          <t>Purpose / Respondent Action</t>
        </is>
      </c>
      <c r="F1" s="24" t="inlineStr">
        <is>
          <t>Metric Link</t>
        </is>
      </c>
    </row>
    <row r="2">
      <c r="A2" s="2" t="inlineStr">
        <is>
          <t>D04</t>
        </is>
      </c>
      <c r="B2" s="2" t="inlineStr">
        <is>
          <t>A01</t>
        </is>
      </c>
      <c r="C2" s="2" t="inlineStr">
        <is>
          <t>Programme Change Trigger</t>
        </is>
      </c>
      <c r="D2" s="2" t="inlineStr">
        <is>
          <t>Multi-select + 2 programme examples</t>
        </is>
      </c>
      <c r="E2" s="2" t="inlineStr">
        <is>
          <t>Show what actually triggers curriculum/programme change.</t>
        </is>
      </c>
      <c r="F2" s="2" t="inlineStr">
        <is>
          <t>I01/I03/I05</t>
        </is>
      </c>
    </row>
    <row r="3">
      <c r="A3" s="2" t="inlineStr">
        <is>
          <t>D04</t>
        </is>
      </c>
      <c r="B3" s="2" t="inlineStr">
        <is>
          <t>A02</t>
        </is>
      </c>
      <c r="C3" s="2" t="inlineStr">
        <is>
          <t>Future Graduate Outcome Map</t>
        </is>
      </c>
      <c r="D3" s="2" t="inlineStr">
        <is>
          <t>Matrix</t>
        </is>
      </c>
      <c r="E3" s="2" t="inlineStr">
        <is>
          <t>Map selected future capabilities to intended/developed/demonstrated/assessed locations.</t>
        </is>
      </c>
      <c r="F3" s="2" t="inlineStr">
        <is>
          <t>I02/I04/I11</t>
        </is>
      </c>
    </row>
    <row r="4">
      <c r="A4" s="2" t="inlineStr">
        <is>
          <t>D04</t>
        </is>
      </c>
      <c r="B4" s="2" t="inlineStr">
        <is>
          <t>A03</t>
        </is>
      </c>
      <c r="C4" s="2" t="inlineStr">
        <is>
          <t>Programme Obsolescence Scenario</t>
        </is>
      </c>
      <c r="D4" s="2" t="inlineStr">
        <is>
          <t>Scenario + decision path</t>
        </is>
      </c>
      <c r="E4" s="2" t="inlineStr">
        <is>
          <t>Test what happens when a core task/content area becomes less valuable due to AI.</t>
        </is>
      </c>
      <c r="F4" s="2" t="inlineStr">
        <is>
          <t>I05/I08/I12</t>
        </is>
      </c>
    </row>
    <row r="5">
      <c r="A5" s="2" t="inlineStr">
        <is>
          <t>D04</t>
        </is>
      </c>
      <c r="B5" s="2" t="inlineStr">
        <is>
          <t>A04</t>
        </is>
      </c>
      <c r="C5" s="2" t="inlineStr">
        <is>
          <t>Agility &amp; External Validation</t>
        </is>
      </c>
      <c r="D5" s="2" t="inlineStr">
        <is>
          <t>Process + evidence</t>
        </is>
      </c>
      <c r="E5" s="2" t="inlineStr">
        <is>
          <t>Assess review cycle, approval speed and external input.</t>
        </is>
      </c>
      <c r="F5" s="2" t="inlineStr">
        <is>
          <t>I07/I08/I09</t>
        </is>
      </c>
    </row>
    <row r="6">
      <c r="A6" s="2" t="inlineStr">
        <is>
          <t>D04</t>
        </is>
      </c>
      <c r="B6" s="2" t="inlineStr">
        <is>
          <t>A05</t>
        </is>
      </c>
      <c r="C6" s="2" t="inlineStr">
        <is>
          <t>Programme Reality Sample</t>
        </is>
      </c>
      <c r="D6" s="2" t="inlineStr">
        <is>
          <t>3–5 programme records</t>
        </is>
      </c>
      <c r="E6" s="2" t="inlineStr">
        <is>
          <t>Inspect representative programmes for actual implementation and transfer.</t>
        </is>
      </c>
      <c r="F6" s="2" t="inlineStr">
        <is>
          <t>I03/I04/I06/I10/I11</t>
        </is>
      </c>
    </row>
  </sheetData>
  <autoFilter ref="A1:F6"/>
  <pageMargins left="0.7" right="0.7" top="0.75" bottom="0.75" header="0.3" footer="0.3"/>
</worksheet>
</file>

<file path=xl/worksheets/sheet73.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24" t="inlineStr">
        <is>
          <t>Domain</t>
        </is>
      </c>
      <c r="B1" s="24" t="inlineStr">
        <is>
          <t>Question ID</t>
        </is>
      </c>
      <c r="C1" s="24" t="inlineStr">
        <is>
          <t>Card</t>
        </is>
      </c>
      <c r="D1" s="24" t="inlineStr">
        <is>
          <t>Prompt</t>
        </is>
      </c>
      <c r="E1" s="24" t="inlineStr">
        <is>
          <t>Input Type</t>
        </is>
      </c>
      <c r="F1" s="24" t="inlineStr">
        <is>
          <t>Role</t>
        </is>
      </c>
      <c r="G1" s="24" t="inlineStr">
        <is>
          <t>Metric Link</t>
        </is>
      </c>
    </row>
    <row r="2">
      <c r="A2" s="2" t="inlineStr">
        <is>
          <t>D04</t>
        </is>
      </c>
      <c r="B2" s="2" t="inlineStr">
        <is>
          <t>Q01</t>
        </is>
      </c>
      <c r="C2" s="2" t="inlineStr">
        <is>
          <t>A01</t>
        </is>
      </c>
      <c r="D2" s="2" t="inlineStr">
        <is>
          <t>When a programme changes because the discipline or work environment is changing, what most often triggers the change?</t>
        </is>
      </c>
      <c r="E2" s="2" t="inlineStr">
        <is>
          <t>Single + examples</t>
        </is>
      </c>
      <c r="F2" s="2" t="inlineStr">
        <is>
          <t>Reality</t>
        </is>
      </c>
      <c r="G2" s="2" t="inlineStr">
        <is>
          <t>I01/I03/I05</t>
        </is>
      </c>
    </row>
    <row r="3">
      <c r="A3" s="2" t="inlineStr">
        <is>
          <t>D04</t>
        </is>
      </c>
      <c r="B3" s="2" t="inlineStr">
        <is>
          <t>Q02</t>
        </is>
      </c>
      <c r="C3" s="2" t="inlineStr">
        <is>
          <t>A02</t>
        </is>
      </c>
      <c r="D3" s="2" t="inlineStr">
        <is>
          <t>For a representative programme, where are the capabilities students will need in five years deliberately developed and where are they actually demonstrated?</t>
        </is>
      </c>
      <c r="E3" s="2" t="inlineStr">
        <is>
          <t>Matrix</t>
        </is>
      </c>
      <c r="F3" s="2" t="inlineStr">
        <is>
          <t>Diagnostic</t>
        </is>
      </c>
      <c r="G3" s="2" t="inlineStr">
        <is>
          <t>I02/I11</t>
        </is>
      </c>
    </row>
    <row r="4">
      <c r="A4" s="2" t="inlineStr">
        <is>
          <t>D04</t>
        </is>
      </c>
      <c r="B4" s="2" t="inlineStr">
        <is>
          <t>Q03</t>
        </is>
      </c>
      <c r="C4" s="2" t="inlineStr">
        <is>
          <t>A03</t>
        </is>
      </c>
      <c r="D4" s="2" t="inlineStr">
        <is>
          <t>A core task taught in a programme can now be performed reliably by AI. How would the institution decide whether to retain it, redesign it, or remove it from the learning experience?</t>
        </is>
      </c>
      <c r="E4" s="2" t="inlineStr">
        <is>
          <t>Scenario + decision path</t>
        </is>
      </c>
      <c r="F4" s="2" t="inlineStr">
        <is>
          <t>Foresight</t>
        </is>
      </c>
      <c r="G4" s="2" t="inlineStr">
        <is>
          <t>I05/I08/I12</t>
        </is>
      </c>
    </row>
    <row r="5">
      <c r="A5" s="2" t="inlineStr">
        <is>
          <t>D04</t>
        </is>
      </c>
      <c r="B5" s="2" t="inlineStr">
        <is>
          <t>Q04</t>
        </is>
      </c>
      <c r="C5" s="2" t="inlineStr">
        <is>
          <t>A04</t>
        </is>
      </c>
      <c r="D5" s="2" t="inlineStr">
        <is>
          <t>How quickly can a programme respond when external evidence shows that a major graduate capability or learning component needs to change?</t>
        </is>
      </c>
      <c r="E5" s="2" t="inlineStr">
        <is>
          <t>Single + process</t>
        </is>
      </c>
      <c r="F5" s="2" t="inlineStr">
        <is>
          <t>Process</t>
        </is>
      </c>
      <c r="G5" s="2" t="inlineStr">
        <is>
          <t>I07/I08/I09</t>
        </is>
      </c>
    </row>
    <row r="6">
      <c r="A6" s="2" t="inlineStr">
        <is>
          <t>D04</t>
        </is>
      </c>
      <c r="B6" s="2" t="inlineStr">
        <is>
          <t>Q05</t>
        </is>
      </c>
      <c r="C6" s="2" t="inlineStr">
        <is>
          <t>A05</t>
        </is>
      </c>
      <c r="D6" s="2" t="inlineStr">
        <is>
          <t>Select 3–5 programmes and identify one meaningful change made because of AI, changing professional practice, or changing learner/work requirements. What evidence shows the change is real?</t>
        </is>
      </c>
      <c r="E6" s="2" t="inlineStr">
        <is>
          <t>Structured records + evidence</t>
        </is>
      </c>
      <c r="F6" s="2" t="inlineStr">
        <is>
          <t>Reality</t>
        </is>
      </c>
      <c r="G6" s="2" t="inlineStr">
        <is>
          <t>I03/I04/I06/I11</t>
        </is>
      </c>
    </row>
  </sheetData>
  <autoFilter ref="A1:G6"/>
  <pageMargins left="0.7" right="0.7" top="0.75" bottom="0.75" header="0.3" footer="0.3"/>
</worksheet>
</file>

<file path=xl/worksheets/sheet74.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24" t="inlineStr">
        <is>
          <t>Domain</t>
        </is>
      </c>
      <c r="B1" s="24" t="inlineStr">
        <is>
          <t>Evidence ID</t>
        </is>
      </c>
      <c r="C1" s="24" t="inlineStr">
        <is>
          <t>Evidence Item</t>
        </is>
      </c>
      <c r="D1" s="24" t="inlineStr">
        <is>
          <t>Quantity / Sampling</t>
        </is>
      </c>
      <c r="E1" s="24" t="inlineStr">
        <is>
          <t>Requirement</t>
        </is>
      </c>
      <c r="F1" s="24" t="inlineStr">
        <is>
          <t>Metric Link</t>
        </is>
      </c>
      <c r="G1" s="24" t="inlineStr">
        <is>
          <t>Source / Basis</t>
        </is>
      </c>
    </row>
    <row r="2">
      <c r="A2" s="2" t="inlineStr">
        <is>
          <t>D04</t>
        </is>
      </c>
      <c r="B2" s="2" t="inlineStr">
        <is>
          <t>E01</t>
        </is>
      </c>
      <c r="C2" s="2" t="inlineStr">
        <is>
          <t>Representative evidence supporting Programme Change Trigger</t>
        </is>
      </c>
      <c r="D2" s="2" t="inlineStr">
        <is>
          <t>As triggered by assessment branch</t>
        </is>
      </c>
      <c r="E2" s="2" t="inlineStr">
        <is>
          <t>Higher maturity / verification claims require supporting evidence; exact quantity determined adaptively</t>
        </is>
      </c>
      <c r="F2" s="2" t="inlineStr">
        <is>
          <t>I01/I03/I05</t>
        </is>
      </c>
      <c r="G2" s="2" t="inlineStr">
        <is>
          <t>Engine-design evidence rule derived from assessment card</t>
        </is>
      </c>
    </row>
    <row r="3">
      <c r="A3" s="2" t="inlineStr">
        <is>
          <t>D04</t>
        </is>
      </c>
      <c r="B3" s="2" t="inlineStr">
        <is>
          <t>E02</t>
        </is>
      </c>
      <c r="C3" s="2" t="inlineStr">
        <is>
          <t>Representative evidence supporting Future Graduate Outcome Map</t>
        </is>
      </c>
      <c r="D3" s="2" t="inlineStr">
        <is>
          <t>As triggered by assessment branch</t>
        </is>
      </c>
      <c r="E3" s="2" t="inlineStr">
        <is>
          <t>Higher maturity / verification claims require supporting evidence; exact quantity determined adaptively</t>
        </is>
      </c>
      <c r="F3" s="2" t="inlineStr">
        <is>
          <t>I02/I04/I11</t>
        </is>
      </c>
      <c r="G3" s="2" t="inlineStr">
        <is>
          <t>Engine-design evidence rule derived from assessment card</t>
        </is>
      </c>
    </row>
    <row r="4">
      <c r="A4" s="2" t="inlineStr">
        <is>
          <t>D04</t>
        </is>
      </c>
      <c r="B4" s="2" t="inlineStr">
        <is>
          <t>E03</t>
        </is>
      </c>
      <c r="C4" s="2" t="inlineStr">
        <is>
          <t>Representative evidence supporting Programme Obsolescence Scenario</t>
        </is>
      </c>
      <c r="D4" s="2" t="inlineStr">
        <is>
          <t>As triggered by assessment branch</t>
        </is>
      </c>
      <c r="E4" s="2" t="inlineStr">
        <is>
          <t>Higher maturity / verification claims require supporting evidence; exact quantity determined adaptively</t>
        </is>
      </c>
      <c r="F4" s="2" t="inlineStr">
        <is>
          <t>I05/I08/I12</t>
        </is>
      </c>
      <c r="G4" s="2" t="inlineStr">
        <is>
          <t>Engine-design evidence rule derived from assessment card</t>
        </is>
      </c>
    </row>
    <row r="5">
      <c r="A5" s="2" t="inlineStr">
        <is>
          <t>D04</t>
        </is>
      </c>
      <c r="B5" s="2" t="inlineStr">
        <is>
          <t>E04</t>
        </is>
      </c>
      <c r="C5" s="2" t="inlineStr">
        <is>
          <t>Representative evidence supporting Agility &amp; External Validation</t>
        </is>
      </c>
      <c r="D5" s="2" t="inlineStr">
        <is>
          <t>As triggered by assessment branch</t>
        </is>
      </c>
      <c r="E5" s="2" t="inlineStr">
        <is>
          <t>Higher maturity / verification claims require supporting evidence; exact quantity determined adaptively</t>
        </is>
      </c>
      <c r="F5" s="2" t="inlineStr">
        <is>
          <t>I07/I08/I09</t>
        </is>
      </c>
      <c r="G5" s="2" t="inlineStr">
        <is>
          <t>Engine-design evidence rule derived from assessment card</t>
        </is>
      </c>
    </row>
    <row r="6">
      <c r="A6" s="2" t="inlineStr">
        <is>
          <t>D04</t>
        </is>
      </c>
      <c r="B6" s="2" t="inlineStr">
        <is>
          <t>E05</t>
        </is>
      </c>
      <c r="C6" s="2" t="inlineStr">
        <is>
          <t>Representative evidence supporting Programme Reality Sample</t>
        </is>
      </c>
      <c r="D6" s="2" t="inlineStr">
        <is>
          <t>As triggered by assessment branch</t>
        </is>
      </c>
      <c r="E6" s="2" t="inlineStr">
        <is>
          <t>Higher maturity / verification claims require supporting evidence; exact quantity determined adaptively</t>
        </is>
      </c>
      <c r="F6" s="2" t="inlineStr">
        <is>
          <t>I03/I04/I06/I10/I11</t>
        </is>
      </c>
      <c r="G6" s="2" t="inlineStr">
        <is>
          <t>Engine-design evidence rule derived from assessment card</t>
        </is>
      </c>
    </row>
  </sheetData>
  <autoFilter ref="A1:G6"/>
  <pageMargins left="0.7" right="0.7" top="0.75" bottom="0.75" header="0.3" footer="0.3"/>
</worksheet>
</file>

<file path=xl/worksheets/sheet75.xml><?xml version="1.0" encoding="utf-8"?>
<worksheet xmlns="http://schemas.openxmlformats.org/spreadsheetml/2006/main">
  <sheetPr>
    <outlinePr summaryBelow="1" summaryRight="1"/>
    <pageSetUpPr/>
  </sheetPr>
  <dimension ref="A1:G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24" t="inlineStr">
        <is>
          <t>Domain</t>
        </is>
      </c>
      <c r="B1" s="24" t="inlineStr">
        <is>
          <t>Data ID</t>
        </is>
      </c>
      <c r="C1" s="24" t="inlineStr">
        <is>
          <t>Institutional Data Item</t>
        </is>
      </c>
      <c r="D1" s="24" t="inlineStr">
        <is>
          <t>Input Type</t>
        </is>
      </c>
      <c r="E1" s="24" t="inlineStr">
        <is>
          <t>Requirement</t>
        </is>
      </c>
      <c r="F1" s="24" t="inlineStr">
        <is>
          <t>Metric / Use</t>
        </is>
      </c>
      <c r="G1" s="24" t="inlineStr">
        <is>
          <t>Status</t>
        </is>
      </c>
    </row>
    <row r="2">
      <c r="A2" s="2" t="inlineStr">
        <is>
          <t>D04</t>
        </is>
      </c>
      <c r="B2" s="2" t="inlineStr">
        <is>
          <t>D04-D01</t>
        </is>
      </c>
      <c r="C2" s="2" t="inlineStr">
        <is>
          <t>Representative institutional data supporting Curriculum Sensing Maturity</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D04</t>
        </is>
      </c>
      <c r="B3" s="2" t="inlineStr">
        <is>
          <t>D04-D02</t>
        </is>
      </c>
      <c r="C3" s="2" t="inlineStr">
        <is>
          <t>Representative institutional data supporting Future Learning Outcome Alignment</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D04</t>
        </is>
      </c>
      <c r="B4" s="2" t="inlineStr">
        <is>
          <t>D04-D03</t>
        </is>
      </c>
      <c r="C4" s="2" t="inlineStr">
        <is>
          <t>Representative institutional data supporting Programme Review Effectiveness</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D04</t>
        </is>
      </c>
      <c r="B5" s="2" t="inlineStr">
        <is>
          <t>D04-D04</t>
        </is>
      </c>
      <c r="C5" s="2" t="inlineStr">
        <is>
          <t>Representative institutional data supporting Disciplinary AI Integration Depth</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D04</t>
        </is>
      </c>
      <c r="B6" s="2" t="inlineStr">
        <is>
          <t>D04-D05</t>
        </is>
      </c>
      <c r="C6" s="2" t="inlineStr">
        <is>
          <t>Representative institutional data supporting Content Obsolescence Response</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D04</t>
        </is>
      </c>
      <c r="B7" s="2" t="inlineStr">
        <is>
          <t>D04-D06</t>
        </is>
      </c>
      <c r="C7" s="2" t="inlineStr">
        <is>
          <t>Representative institutional data supporting Experiential Learning Strength</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D04</t>
        </is>
      </c>
      <c r="B8" s="2" t="inlineStr">
        <is>
          <t>D04-D07</t>
        </is>
      </c>
      <c r="C8" s="2" t="inlineStr">
        <is>
          <t>Representative institutional data supporting Interdisciplinary Flexibility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D04</t>
        </is>
      </c>
      <c r="B9" s="2" t="inlineStr">
        <is>
          <t>D04-D08</t>
        </is>
      </c>
      <c r="C9" s="2" t="inlineStr">
        <is>
          <t>Representative institutional data supporting Programme Agility</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D04</t>
        </is>
      </c>
      <c r="B10" s="2" t="inlineStr">
        <is>
          <t>D04-D09</t>
        </is>
      </c>
      <c r="C10" s="2" t="inlineStr">
        <is>
          <t>Representative institutional data supporting External Validation Strength</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D04</t>
        </is>
      </c>
      <c r="B11" s="2" t="inlineStr">
        <is>
          <t>D04-D10</t>
        </is>
      </c>
      <c r="C11" s="2" t="inlineStr">
        <is>
          <t>Representative institutional data supporting External Learning Ecosystem</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D04</t>
        </is>
      </c>
      <c r="B12" s="2" t="inlineStr">
        <is>
          <t>D04-D11</t>
        </is>
      </c>
      <c r="C12" s="2" t="inlineStr">
        <is>
          <t>Representative institutional data supporting Transfer Capability</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D04</t>
        </is>
      </c>
      <c r="B13" s="2" t="inlineStr">
        <is>
          <t>D04-D12</t>
        </is>
      </c>
      <c r="C13" s="2" t="inlineStr">
        <is>
          <t>Representative institutional data supporting Portfolio Foresight</t>
        </is>
      </c>
      <c r="D13" s="2" t="inlineStr">
        <is>
          <t>Number / structured input / evidence as applicable</t>
        </is>
      </c>
      <c r="E13" s="2" t="inlineStr">
        <is>
          <t>To be determined by adaptive branch</t>
        </is>
      </c>
      <c r="F13" s="2" t="inlineStr">
        <is>
          <t>I12</t>
        </is>
      </c>
      <c r="G13" s="2" t="inlineStr">
        <is>
          <t>Engine-design input; calibration required</t>
        </is>
      </c>
    </row>
  </sheetData>
  <autoFilter ref="A1:G13"/>
  <pageMargins left="0.7" right="0.7" top="0.75" bottom="0.75" header="0.3" footer="0.3"/>
</worksheet>
</file>

<file path=xl/worksheets/sheet76.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24" t="inlineStr">
        <is>
          <t>Check ID</t>
        </is>
      </c>
      <c r="B1" s="24" t="inlineStr">
        <is>
          <t>Check</t>
        </is>
      </c>
      <c r="C1" s="24" t="inlineStr">
        <is>
          <t>Rule</t>
        </is>
      </c>
      <c r="D1" s="24" t="inlineStr">
        <is>
          <t>Type</t>
        </is>
      </c>
    </row>
    <row r="2">
      <c r="A2" s="2" t="inlineStr">
        <is>
          <t>D04-QA01</t>
        </is>
      </c>
      <c r="B2" s="2" t="inlineStr">
        <is>
          <t>Programme counts</t>
        </is>
      </c>
      <c r="C2" s="2" t="inlineStr">
        <is>
          <t>Modified &lt;= reviewed &lt;= active</t>
        </is>
      </c>
      <c r="D2" s="2" t="inlineStr">
        <is>
          <t>Hard validation</t>
        </is>
      </c>
    </row>
    <row r="3">
      <c r="A3" s="2" t="inlineStr">
        <is>
          <t>D04-QA02</t>
        </is>
      </c>
      <c r="B3" s="2" t="inlineStr">
        <is>
          <t>Pilot counts</t>
        </is>
      </c>
      <c r="C3" s="2" t="inlineStr">
        <is>
          <t>Evaluated &lt;= conducted; scaled/stopped &lt;= evaluated</t>
        </is>
      </c>
      <c r="D3" s="2" t="inlineStr">
        <is>
          <t>Hard validation</t>
        </is>
      </c>
    </row>
    <row r="4">
      <c r="A4" s="2" t="inlineStr">
        <is>
          <t>D04-QA03</t>
        </is>
      </c>
      <c r="B4" s="2" t="inlineStr">
        <is>
          <t>Data counts</t>
        </is>
      </c>
      <c r="C4" s="2" t="inlineStr">
        <is>
          <t>Privacy-reviewed &lt;= data-processing &lt;= approved tools</t>
        </is>
      </c>
      <c r="D4" s="2" t="inlineStr">
        <is>
          <t>Hard validation</t>
        </is>
      </c>
    </row>
    <row r="5">
      <c r="A5" s="2" t="inlineStr">
        <is>
          <t>D04-QA04</t>
        </is>
      </c>
      <c r="B5" s="2" t="inlineStr">
        <is>
          <t>No policy inflation</t>
        </is>
      </c>
      <c r="C5" s="2" t="inlineStr">
        <is>
          <t>Policy existence alone cannot create high maturity</t>
        </is>
      </c>
      <c r="D5" s="2" t="inlineStr">
        <is>
          <t>Scoring rule</t>
        </is>
      </c>
    </row>
    <row r="6">
      <c r="A6" s="2" t="inlineStr">
        <is>
          <t>D04-QA05</t>
        </is>
      </c>
      <c r="B6" s="2" t="inlineStr">
        <is>
          <t>Context fairness</t>
        </is>
      </c>
      <c r="C6" s="2" t="inlineStr">
        <is>
          <t>Required maturity reflects mission, scale, resources, exposure</t>
        </is>
      </c>
      <c r="D6" s="2" t="inlineStr">
        <is>
          <t>Scoring rule</t>
        </is>
      </c>
    </row>
    <row r="7">
      <c r="A7" s="2" t="inlineStr">
        <is>
          <t>D04-QA06</t>
        </is>
      </c>
      <c r="B7" s="2" t="inlineStr">
        <is>
          <t>Non-technical fairness</t>
        </is>
      </c>
      <c r="C7" s="2" t="inlineStr">
        <is>
          <t>Assess discipline relevance, not coding/technical AI</t>
        </is>
      </c>
      <c r="D7" s="2" t="inlineStr">
        <is>
          <t>Scoring rule</t>
        </is>
      </c>
    </row>
    <row r="8">
      <c r="A8" s="2" t="inlineStr">
        <is>
          <t>D04-QA07</t>
        </is>
      </c>
      <c r="B8" s="2" t="inlineStr">
        <is>
          <t>No outcome fabrication</t>
        </is>
      </c>
      <c r="C8" s="2" t="inlineStr">
        <is>
          <t>N/A accepted where outcome measurement legitimately unavailable</t>
        </is>
      </c>
      <c r="D8" s="2" t="inlineStr">
        <is>
          <t>Scoring rule</t>
        </is>
      </c>
    </row>
    <row r="9">
      <c r="A9" s="2" t="inlineStr">
        <is>
          <t>D04-QA08</t>
        </is>
      </c>
      <c r="B9" s="2" t="inlineStr">
        <is>
          <t>Representative sampling</t>
        </is>
      </c>
      <c r="C9" s="2" t="inlineStr">
        <is>
          <t>Evidence requests stay limited to high-value samples</t>
        </is>
      </c>
      <c r="D9" s="2" t="inlineStr">
        <is>
          <t>UX rule</t>
        </is>
      </c>
    </row>
    <row r="10">
      <c r="A10" s="2" t="inlineStr">
        <is>
          <t>D04-D03</t>
        </is>
      </c>
      <c r="B10" s="2" t="inlineStr">
        <is>
          <t>Discipline coverage</t>
        </is>
      </c>
      <c r="C10" s="2" t="inlineStr">
        <is>
          <t>Expanded to health, pharmacy, media, humanities, professional, technical and interdisciplinary pathways.</t>
        </is>
      </c>
      <c r="D10" s="2" t="inlineStr">
        <is>
          <t>Pass</t>
        </is>
      </c>
    </row>
    <row r="11">
      <c r="A11" s="2" t="inlineStr">
        <is>
          <t>D04-D04-D06</t>
        </is>
      </c>
      <c r="B11" s="2" t="inlineStr">
        <is>
          <t>Architecture completeness</t>
        </is>
      </c>
      <c r="C11" s="2" t="inlineStr">
        <is>
          <t>Each domain has capabilities, metrics, assessment cards, 5 core questions and maturity anchors.</t>
        </is>
      </c>
      <c r="D11" s="2" t="inlineStr">
        <is>
          <t>Pass</t>
        </is>
      </c>
    </row>
    <row r="12">
      <c r="A12" s="2" t="inlineStr">
        <is>
          <t>D04-All</t>
        </is>
      </c>
      <c r="B12" s="2" t="inlineStr">
        <is>
          <t>Context calibration</t>
        </is>
      </c>
      <c r="C12" s="2" t="inlineStr">
        <is>
          <t>Institution context changes proportionality and branching, not the integrity standard.</t>
        </is>
      </c>
      <c r="D12" s="2" t="inlineStr">
        <is>
          <t>Pass</t>
        </is>
      </c>
    </row>
    <row r="13">
      <c r="A13" s="2" t="inlineStr">
        <is>
          <t>D04-All</t>
        </is>
      </c>
      <c r="B13" s="2" t="inlineStr">
        <is>
          <t>Reality gradient</t>
        </is>
      </c>
      <c r="C13" s="2" t="inlineStr">
        <is>
          <t>Claim→practice→evidence→outcome→adaptation captured separately from maturity.</t>
        </is>
      </c>
      <c r="D13" s="2" t="inlineStr">
        <is>
          <t>Pass</t>
        </is>
      </c>
    </row>
    <row r="14">
      <c r="A14" s="2" t="inlineStr">
        <is>
          <t>D04-QA-DOM01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D04-QA-DOM02</t>
        </is>
      </c>
      <c r="B15" s="2" t="inlineStr">
        <is>
          <t>Question/card coverage</t>
        </is>
      </c>
      <c r="C15" s="2" t="inlineStr">
        <is>
          <t>Every assessment card and question must map to at least one metric.</t>
        </is>
      </c>
      <c r="D15" s="2" t="inlineStr">
        <is>
          <t>Structural</t>
        </is>
      </c>
    </row>
    <row r="16">
      <c r="A16" s="2" t="inlineStr">
        <is>
          <t>D04-QA-DOM03</t>
        </is>
      </c>
      <c r="B16" s="2" t="inlineStr">
        <is>
          <t>Evidence traceability</t>
        </is>
      </c>
      <c r="C16" s="2" t="inlineStr">
        <is>
          <t>High-maturity claims must have an evidence path or an explicit evidence-gap flag.</t>
        </is>
      </c>
      <c r="D16" s="2" t="inlineStr">
        <is>
          <t>Scoring</t>
        </is>
      </c>
    </row>
    <row r="17">
      <c r="A17" s="2" t="inlineStr">
        <is>
          <t>D04-QA-DOM04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77.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24" t="inlineStr">
        <is>
          <t>Domain</t>
        </is>
      </c>
      <c r="B1" s="24" t="inlineStr">
        <is>
          <t>Domain Name</t>
        </is>
      </c>
      <c r="C1" s="24" t="inlineStr">
        <is>
          <t>Capability ID</t>
        </is>
      </c>
      <c r="D1" s="24" t="inlineStr">
        <is>
          <t>Capability Area</t>
        </is>
      </c>
      <c r="E1" s="24" t="inlineStr">
        <is>
          <t>Metric ID</t>
        </is>
      </c>
      <c r="F1" s="24" t="inlineStr">
        <is>
          <t>Metric</t>
        </is>
      </c>
      <c r="G1" s="24" t="inlineStr">
        <is>
          <t>What It Measures</t>
        </is>
      </c>
      <c r="H1" s="24" t="inlineStr">
        <is>
          <t>Measurement Method</t>
        </is>
      </c>
      <c r="I1" s="24" t="inlineStr">
        <is>
          <t>Exposure</t>
        </is>
      </c>
      <c r="J1" s="24" t="inlineStr">
        <is>
          <t>Source / Basis</t>
        </is>
      </c>
    </row>
    <row r="2">
      <c r="A2" s="2" t="inlineStr">
        <is>
          <t>D05</t>
        </is>
      </c>
      <c r="B2" s="2" t="inlineStr">
        <is>
          <t>Faculty Capability &amp; Academic Workforce Transformation</t>
        </is>
      </c>
      <c r="C2" s="2" t="inlineStr">
        <is>
          <t>C01</t>
        </is>
      </c>
      <c r="D2" s="2" t="inlineStr">
        <is>
          <t>Faculty AI Literacy</t>
        </is>
      </c>
      <c r="E2" s="2" t="inlineStr">
        <is>
          <t>I01</t>
        </is>
      </c>
      <c r="F2" s="2" t="inlineStr">
        <is>
          <t>Faculty AI Literacy Maturity</t>
        </is>
      </c>
      <c r="G2" s="2" t="inlineStr">
        <is>
          <t>Ability to understand AI capabilities, limits, risks and appropriate use</t>
        </is>
      </c>
      <c r="H2" s="2" t="inlineStr">
        <is>
          <t>Capability evidence + sample practice</t>
        </is>
      </c>
      <c r="I2" s="2" t="inlineStr">
        <is>
          <t>Very High</t>
        </is>
      </c>
      <c r="J2" s="2" t="inlineStr">
        <is>
          <t>Integrated master; D01-D03 baseline retained; D04-D11 integrated from domain matrices.</t>
        </is>
      </c>
    </row>
    <row r="3">
      <c r="A3" s="2" t="inlineStr">
        <is>
          <t>D05</t>
        </is>
      </c>
      <c r="B3" s="2" t="inlineStr">
        <is>
          <t>Faculty Capability &amp; Academic Workforce Transformation</t>
        </is>
      </c>
      <c r="C3" s="2" t="inlineStr">
        <is>
          <t>C02</t>
        </is>
      </c>
      <c r="D3" s="2" t="inlineStr">
        <is>
          <t>Discipline-Specific AI Practice</t>
        </is>
      </c>
      <c r="E3" s="2" t="inlineStr">
        <is>
          <t>I02</t>
        </is>
      </c>
      <c r="F3" s="2" t="inlineStr">
        <is>
          <t>Discipline-Specific AI Practice</t>
        </is>
      </c>
      <c r="G3" s="2" t="inlineStr">
        <is>
          <t>Use of AI in ways meaningful to the discipline</t>
        </is>
      </c>
      <c r="H3" s="2" t="inlineStr">
        <is>
          <t>Practice sample + discipline mapping</t>
        </is>
      </c>
      <c r="I3" s="2" t="inlineStr">
        <is>
          <t>Very High</t>
        </is>
      </c>
      <c r="J3" s="2" t="inlineStr">
        <is>
          <t>Integrated master; D01-D03 baseline retained; D04-D11 integrated from domain matrices.</t>
        </is>
      </c>
    </row>
    <row r="4">
      <c r="A4" s="2" t="inlineStr">
        <is>
          <t>D05</t>
        </is>
      </c>
      <c r="B4" s="2" t="inlineStr">
        <is>
          <t>Faculty Capability &amp; Academic Workforce Transformation</t>
        </is>
      </c>
      <c r="C4" s="2" t="inlineStr">
        <is>
          <t>C03</t>
        </is>
      </c>
      <c r="D4" s="2" t="inlineStr">
        <is>
          <t>AI-Enhanced Pedagogy</t>
        </is>
      </c>
      <c r="E4" s="2" t="inlineStr">
        <is>
          <t>I03</t>
        </is>
      </c>
      <c r="F4" s="2" t="inlineStr">
        <is>
          <t>AI-Enhanced Pedagogy</t>
        </is>
      </c>
      <c r="G4" s="2" t="inlineStr">
        <is>
          <t>Ability to redesign learning around AI rather than merely add tools</t>
        </is>
      </c>
      <c r="H4" s="2" t="inlineStr">
        <is>
          <t>Teaching artefacts + observation/self-report</t>
        </is>
      </c>
      <c r="I4" s="2" t="inlineStr">
        <is>
          <t>Very High</t>
        </is>
      </c>
      <c r="J4" s="2" t="inlineStr">
        <is>
          <t>Integrated master; D01-D03 baseline retained; D04-D11 integrated from domain matrices.</t>
        </is>
      </c>
    </row>
    <row r="5">
      <c r="A5" s="2" t="inlineStr">
        <is>
          <t>D05</t>
        </is>
      </c>
      <c r="B5" s="2" t="inlineStr">
        <is>
          <t>Faculty Capability &amp; Academic Workforce Transformation</t>
        </is>
      </c>
      <c r="C5" s="2" t="inlineStr">
        <is>
          <t>C04</t>
        </is>
      </c>
      <c r="D5" s="2" t="inlineStr">
        <is>
          <t>Assessment Redesign Capability</t>
        </is>
      </c>
      <c r="E5" s="2" t="inlineStr">
        <is>
          <t>I04</t>
        </is>
      </c>
      <c r="F5" s="2" t="inlineStr">
        <is>
          <t>Assessment Redesign Capability</t>
        </is>
      </c>
      <c r="G5" s="2" t="inlineStr">
        <is>
          <t>Faculty ability to redesign tasks so genuine capability remains visible</t>
        </is>
      </c>
      <c r="H5" s="2" t="inlineStr">
        <is>
          <t>Assessment samples + rationale</t>
        </is>
      </c>
      <c r="I5" s="2" t="inlineStr">
        <is>
          <t>Very High</t>
        </is>
      </c>
      <c r="J5" s="2" t="inlineStr">
        <is>
          <t>Integrated master; D01-D03 baseline retained; D04-D11 integrated from domain matrices.</t>
        </is>
      </c>
    </row>
    <row r="6">
      <c r="A6" s="2" t="inlineStr">
        <is>
          <t>D05</t>
        </is>
      </c>
      <c r="B6" s="2" t="inlineStr">
        <is>
          <t>Faculty Capability &amp; Academic Workforce Transformation</t>
        </is>
      </c>
      <c r="C6" s="2" t="inlineStr">
        <is>
          <t>C05</t>
        </is>
      </c>
      <c r="D6" s="2" t="inlineStr">
        <is>
          <t>Faculty Learning &amp; Development</t>
        </is>
      </c>
      <c r="E6" s="2" t="inlineStr">
        <is>
          <t>I05</t>
        </is>
      </c>
      <c r="F6" s="2" t="inlineStr">
        <is>
          <t>Faculty Learning &amp; Development Effectiveness</t>
        </is>
      </c>
      <c r="G6" s="2" t="inlineStr">
        <is>
          <t>Conversion of training into sustained academic practice</t>
        </is>
      </c>
      <c r="H6" s="2" t="inlineStr">
        <is>
          <t>Training→practice records + sample</t>
        </is>
      </c>
      <c r="I6" s="2" t="inlineStr">
        <is>
          <t>High</t>
        </is>
      </c>
      <c r="J6" s="2" t="inlineStr">
        <is>
          <t>Integrated master; D01-D03 baseline retained; D04-D11 integrated from domain matrices.</t>
        </is>
      </c>
    </row>
    <row r="7">
      <c r="A7" s="2" t="inlineStr">
        <is>
          <t>D05</t>
        </is>
      </c>
      <c r="B7" s="2" t="inlineStr">
        <is>
          <t>Faculty Capability &amp; Academic Workforce Transformation</t>
        </is>
      </c>
      <c r="C7" s="2" t="inlineStr">
        <is>
          <t>C06</t>
        </is>
      </c>
      <c r="D7" s="2" t="inlineStr">
        <is>
          <t>Peer Learning &amp; Communities</t>
        </is>
      </c>
      <c r="E7" s="2" t="inlineStr">
        <is>
          <t>I06</t>
        </is>
      </c>
      <c r="F7" s="2" t="inlineStr">
        <is>
          <t>Peer Learning &amp; Communities</t>
        </is>
      </c>
      <c r="G7" s="2" t="inlineStr">
        <is>
          <t>Institutional mechanisms for sharing AI practice</t>
        </is>
      </c>
      <c r="H7" s="2" t="inlineStr">
        <is>
          <t>Community evidence + participation</t>
        </is>
      </c>
      <c r="I7" s="2" t="inlineStr">
        <is>
          <t>Medium</t>
        </is>
      </c>
      <c r="J7" s="2" t="inlineStr">
        <is>
          <t>Integrated master; D01-D03 baseline retained; D04-D11 integrated from domain matrices.</t>
        </is>
      </c>
    </row>
    <row r="8">
      <c r="A8" s="2" t="inlineStr">
        <is>
          <t>D05</t>
        </is>
      </c>
      <c r="B8" s="2" t="inlineStr">
        <is>
          <t>Faculty Capability &amp; Academic Workforce Transformation</t>
        </is>
      </c>
      <c r="C8" s="2" t="inlineStr">
        <is>
          <t>C07</t>
        </is>
      </c>
      <c r="D8" s="2" t="inlineStr">
        <is>
          <t>Research/Knowledge Creation with AI</t>
        </is>
      </c>
      <c r="E8" s="2" t="inlineStr">
        <is>
          <t>I07</t>
        </is>
      </c>
      <c r="F8" s="2" t="inlineStr">
        <is>
          <t>AI Research &amp; Knowledge Creation</t>
        </is>
      </c>
      <c r="G8" s="2" t="inlineStr">
        <is>
          <t>Faculty use AI responsibly for research, analysis, scholarship and knowledge creation</t>
        </is>
      </c>
      <c r="H8" s="2" t="inlineStr">
        <is>
          <t>Research samples + policy</t>
        </is>
      </c>
      <c r="I8" s="2" t="inlineStr">
        <is>
          <t>High</t>
        </is>
      </c>
      <c r="J8" s="2" t="inlineStr">
        <is>
          <t>Integrated master; D01-D03 baseline retained; D04-D11 integrated from domain matrices.</t>
        </is>
      </c>
    </row>
    <row r="9">
      <c r="A9" s="2" t="inlineStr">
        <is>
          <t>D05</t>
        </is>
      </c>
      <c r="B9" s="2" t="inlineStr">
        <is>
          <t>Faculty Capability &amp; Academic Workforce Transformation</t>
        </is>
      </c>
      <c r="C9" s="2" t="inlineStr">
        <is>
          <t>C08</t>
        </is>
      </c>
      <c r="D9" s="2" t="inlineStr">
        <is>
          <t>Academic Role Redesign</t>
        </is>
      </c>
      <c r="E9" s="2" t="inlineStr">
        <is>
          <t>I08</t>
        </is>
      </c>
      <c r="F9" s="2" t="inlineStr">
        <is>
          <t>Academic Role Redesign</t>
        </is>
      </c>
      <c r="G9" s="2" t="inlineStr">
        <is>
          <t>Whether AI-driven changes in academic work are anticipated and supported</t>
        </is>
      </c>
      <c r="H9" s="2" t="inlineStr">
        <is>
          <t>Role/workflow examples</t>
        </is>
      </c>
      <c r="I9" s="2" t="inlineStr">
        <is>
          <t>High</t>
        </is>
      </c>
      <c r="J9" s="2" t="inlineStr">
        <is>
          <t>Integrated master; D01-D03 baseline retained; D04-D11 integrated from domain matrices.</t>
        </is>
      </c>
    </row>
    <row r="10">
      <c r="A10" s="2" t="inlineStr">
        <is>
          <t>D05</t>
        </is>
      </c>
      <c r="B10" s="2" t="inlineStr">
        <is>
          <t>Faculty Capability &amp; Academic Workforce Transformation</t>
        </is>
      </c>
      <c r="C10" s="2" t="inlineStr">
        <is>
          <t>C09</t>
        </is>
      </c>
      <c r="D10" s="2" t="inlineStr">
        <is>
          <t>Workload &amp; Workflow Transformation</t>
        </is>
      </c>
      <c r="E10" s="2" t="inlineStr">
        <is>
          <t>I09</t>
        </is>
      </c>
      <c r="F10" s="2" t="inlineStr">
        <is>
          <t>Workload &amp; Workflow Transformation</t>
        </is>
      </c>
      <c r="G10" s="2" t="inlineStr">
        <is>
          <t>Use of AI to reduce low-value work while protecting academic quality</t>
        </is>
      </c>
      <c r="H10" s="2" t="inlineStr">
        <is>
          <t>Workflow evidence + time/use data where available</t>
        </is>
      </c>
      <c r="I10" s="2" t="inlineStr">
        <is>
          <t>High</t>
        </is>
      </c>
      <c r="J10" s="2" t="inlineStr">
        <is>
          <t>Integrated master; D01-D03 baseline retained; D04-D11 integrated from domain matrices.</t>
        </is>
      </c>
    </row>
    <row r="11">
      <c r="A11" s="2" t="inlineStr">
        <is>
          <t>D05</t>
        </is>
      </c>
      <c r="B11" s="2" t="inlineStr">
        <is>
          <t>Faculty Capability &amp; Academic Workforce Transformation</t>
        </is>
      </c>
      <c r="C11" s="2" t="inlineStr">
        <is>
          <t>C10</t>
        </is>
      </c>
      <c r="D11" s="2" t="inlineStr">
        <is>
          <t>Faculty Support Infrastructure</t>
        </is>
      </c>
      <c r="E11" s="2" t="inlineStr">
        <is>
          <t>I10</t>
        </is>
      </c>
      <c r="F11" s="2" t="inlineStr">
        <is>
          <t>Faculty Support Infrastructure</t>
        </is>
      </c>
      <c r="G11" s="2" t="inlineStr">
        <is>
          <t>Access to tools, guidance, help, exemplars and technical support</t>
        </is>
      </c>
      <c r="H11" s="2" t="inlineStr">
        <is>
          <t>Support inventory + usage</t>
        </is>
      </c>
      <c r="I11" s="2" t="inlineStr">
        <is>
          <t>Medium</t>
        </is>
      </c>
      <c r="J11" s="2" t="inlineStr">
        <is>
          <t>Integrated master; D01-D03 baseline retained; D04-D11 integrated from domain matrices.</t>
        </is>
      </c>
    </row>
    <row r="12">
      <c r="A12" s="2" t="inlineStr">
        <is>
          <t>D05</t>
        </is>
      </c>
      <c r="B12" s="2" t="inlineStr">
        <is>
          <t>Faculty Capability &amp; Academic Workforce Transformation</t>
        </is>
      </c>
      <c r="C12" s="2" t="inlineStr">
        <is>
          <t>C11</t>
        </is>
      </c>
      <c r="D12" s="2" t="inlineStr">
        <is>
          <t>Academic Leadership for AI</t>
        </is>
      </c>
      <c r="E12" s="2" t="inlineStr">
        <is>
          <t>I11</t>
        </is>
      </c>
      <c r="F12" s="2" t="inlineStr">
        <is>
          <t>Academic Leadership for AI</t>
        </is>
      </c>
      <c r="G12" s="2" t="inlineStr">
        <is>
          <t>Department/school leaders translating AI change into academic action</t>
        </is>
      </c>
      <c r="H12" s="2" t="inlineStr">
        <is>
          <t>Scenario + decision records</t>
        </is>
      </c>
      <c r="I12" s="2" t="inlineStr">
        <is>
          <t>High</t>
        </is>
      </c>
      <c r="J12" s="2" t="inlineStr">
        <is>
          <t>Integrated master; D01-D03 baseline retained; D04-D11 integrated from domain matrices.</t>
        </is>
      </c>
    </row>
    <row r="13">
      <c r="A13" s="2" t="inlineStr">
        <is>
          <t>D05</t>
        </is>
      </c>
      <c r="B13" s="2" t="inlineStr">
        <is>
          <t>Faculty Capability &amp; Academic Workforce Transformation</t>
        </is>
      </c>
      <c r="C13" s="2" t="inlineStr">
        <is>
          <t>C12</t>
        </is>
      </c>
      <c r="D13" s="2" t="inlineStr">
        <is>
          <t>Faculty Adoption &amp; Learning Loop</t>
        </is>
      </c>
      <c r="E13" s="2" t="inlineStr">
        <is>
          <t>I12</t>
        </is>
      </c>
      <c r="F13" s="2" t="inlineStr">
        <is>
          <t>Faculty Adoption Learning Loop</t>
        </is>
      </c>
      <c r="G13" s="2" t="inlineStr">
        <is>
          <t>Institution learns from adoption, resistance, failure and emerging practice</t>
        </is>
      </c>
      <c r="H13" s="2" t="inlineStr">
        <is>
          <t>Review cycle + changes made</t>
        </is>
      </c>
      <c r="I13" s="2" t="inlineStr">
        <is>
          <t>Very High</t>
        </is>
      </c>
      <c r="J13" s="2" t="inlineStr">
        <is>
          <t>Integrated master; D01-D03 baseline retained; D04-D11 integrated from domain matrices.</t>
        </is>
      </c>
    </row>
  </sheetData>
  <autoFilter ref="A1:J13"/>
  <pageMargins left="0.7" right="0.7" top="0.75" bottom="0.75" header="0.3" footer="0.3"/>
</worksheet>
</file>

<file path=xl/worksheets/sheet78.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24" t="inlineStr">
        <is>
          <t>Domain</t>
        </is>
      </c>
      <c r="B1" s="24" t="inlineStr">
        <is>
          <t>Card ID</t>
        </is>
      </c>
      <c r="C1" s="24" t="inlineStr">
        <is>
          <t>Assessment Card</t>
        </is>
      </c>
      <c r="D1" s="24" t="inlineStr">
        <is>
          <t>Input / Response Format</t>
        </is>
      </c>
      <c r="E1" s="24" t="inlineStr">
        <is>
          <t>Purpose / Respondent Action</t>
        </is>
      </c>
      <c r="F1" s="24" t="inlineStr">
        <is>
          <t>Metric Link</t>
        </is>
      </c>
    </row>
    <row r="2">
      <c r="A2" s="2" t="inlineStr">
        <is>
          <t>D05</t>
        </is>
      </c>
      <c r="B2" s="2" t="inlineStr">
        <is>
          <t>A01</t>
        </is>
      </c>
      <c r="C2" s="2" t="inlineStr">
        <is>
          <t>Faculty Practice Reality</t>
        </is>
      </c>
      <c r="D2" s="2" t="inlineStr">
        <is>
          <t>Multi-select + samples</t>
        </is>
      </c>
      <c r="E2" s="2" t="inlineStr">
        <is>
          <t>Capture where faculty actually use AI and for what academic purpose.</t>
        </is>
      </c>
      <c r="F2" s="2" t="inlineStr">
        <is>
          <t>I01/I02/I03</t>
        </is>
      </c>
    </row>
    <row r="3">
      <c r="A3" s="2" t="inlineStr">
        <is>
          <t>D05</t>
        </is>
      </c>
      <c r="B3" s="2" t="inlineStr">
        <is>
          <t>A02</t>
        </is>
      </c>
      <c r="C3" s="2" t="inlineStr">
        <is>
          <t>Training-to-Practice Conversion</t>
        </is>
      </c>
      <c r="D3" s="2" t="inlineStr">
        <is>
          <t>Numbers + examples</t>
        </is>
      </c>
      <c r="E3" s="2" t="inlineStr">
        <is>
          <t>Measure whether faculty development changes practice rather than attendance only.</t>
        </is>
      </c>
      <c r="F3" s="2" t="inlineStr">
        <is>
          <t>I05/I06/I12</t>
        </is>
      </c>
    </row>
    <row r="4">
      <c r="A4" s="2" t="inlineStr">
        <is>
          <t>D05</t>
        </is>
      </c>
      <c r="B4" s="2" t="inlineStr">
        <is>
          <t>A03</t>
        </is>
      </c>
      <c r="C4" s="2" t="inlineStr">
        <is>
          <t>Teaching Redesign Scenario</t>
        </is>
      </c>
      <c r="D4" s="2" t="inlineStr">
        <is>
          <t>Scenario + artefact</t>
        </is>
      </c>
      <c r="E4" s="2" t="inlineStr">
        <is>
          <t>Test faculty response when AI can perform a taught task.</t>
        </is>
      </c>
      <c r="F4" s="2" t="inlineStr">
        <is>
          <t>I03/I04/I08</t>
        </is>
      </c>
    </row>
    <row r="5">
      <c r="A5" s="2" t="inlineStr">
        <is>
          <t>D05</t>
        </is>
      </c>
      <c r="B5" s="2" t="inlineStr">
        <is>
          <t>A04</t>
        </is>
      </c>
      <c r="C5" s="2" t="inlineStr">
        <is>
          <t>Academic Workforce Change</t>
        </is>
      </c>
      <c r="D5" s="2" t="inlineStr">
        <is>
          <t>Structured + evidence</t>
        </is>
      </c>
      <c r="E5" s="2" t="inlineStr">
        <is>
          <t>Assess role/workflow changes, support and leadership response.</t>
        </is>
      </c>
      <c r="F5" s="2" t="inlineStr">
        <is>
          <t>I08/I09/I10/I11</t>
        </is>
      </c>
    </row>
    <row r="6">
      <c r="A6" s="2" t="inlineStr">
        <is>
          <t>D05</t>
        </is>
      </c>
      <c r="B6" s="2" t="inlineStr">
        <is>
          <t>A05</t>
        </is>
      </c>
      <c r="C6" s="2" t="inlineStr">
        <is>
          <t>Faculty Capability Sample</t>
        </is>
      </c>
      <c r="D6" s="2" t="inlineStr">
        <is>
          <t>Representative sample + evidence</t>
        </is>
      </c>
      <c r="E6" s="2" t="inlineStr">
        <is>
          <t>Triangulate claims through teaching/research artefacts and support mechanisms.</t>
        </is>
      </c>
      <c r="F6" s="2" t="inlineStr">
        <is>
          <t>I01/I02/I07/I12</t>
        </is>
      </c>
    </row>
  </sheetData>
  <autoFilter ref="A1:F6"/>
  <pageMargins left="0.7" right="0.7" top="0.75" bottom="0.75" header="0.3" footer="0.3"/>
</worksheet>
</file>

<file path=xl/worksheets/sheet79.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24" t="inlineStr">
        <is>
          <t>Domain</t>
        </is>
      </c>
      <c r="B1" s="24" t="inlineStr">
        <is>
          <t>Question ID</t>
        </is>
      </c>
      <c r="C1" s="24" t="inlineStr">
        <is>
          <t>Card</t>
        </is>
      </c>
      <c r="D1" s="24" t="inlineStr">
        <is>
          <t>Prompt</t>
        </is>
      </c>
      <c r="E1" s="24" t="inlineStr">
        <is>
          <t>Input Type</t>
        </is>
      </c>
      <c r="F1" s="24" t="inlineStr">
        <is>
          <t>Role</t>
        </is>
      </c>
      <c r="G1" s="24" t="inlineStr">
        <is>
          <t>Metric Link</t>
        </is>
      </c>
    </row>
    <row r="2">
      <c r="A2" s="2" t="inlineStr">
        <is>
          <t>D05</t>
        </is>
      </c>
      <c r="B2" s="2" t="inlineStr">
        <is>
          <t>Q01</t>
        </is>
      </c>
      <c r="C2" s="2" t="inlineStr">
        <is>
          <t>A01</t>
        </is>
      </c>
      <c r="D2" s="2" t="inlineStr">
        <is>
          <t>Where are faculty currently using AI in their actual academic work, and what is the most meaningful change it has produced?</t>
        </is>
      </c>
      <c r="E2" s="2" t="inlineStr">
        <is>
          <t>Multi-select + examples</t>
        </is>
      </c>
      <c r="F2" s="2" t="inlineStr">
        <is>
          <t>Reality</t>
        </is>
      </c>
      <c r="G2" s="2" t="inlineStr">
        <is>
          <t>I01/I02/I03</t>
        </is>
      </c>
    </row>
    <row r="3">
      <c r="A3" s="2" t="inlineStr">
        <is>
          <t>D05</t>
        </is>
      </c>
      <c r="B3" s="2" t="inlineStr">
        <is>
          <t>Q02</t>
        </is>
      </c>
      <c r="C3" s="2" t="inlineStr">
        <is>
          <t>A02</t>
        </is>
      </c>
      <c r="D3" s="2" t="inlineStr">
        <is>
          <t>After faculty receive AI-related development, what usually happens to the practice they were expected to change?</t>
        </is>
      </c>
      <c r="E3" s="2" t="inlineStr">
        <is>
          <t>Single + numbers</t>
        </is>
      </c>
      <c r="F3" s="2" t="inlineStr">
        <is>
          <t>Implementation</t>
        </is>
      </c>
      <c r="G3" s="2" t="inlineStr">
        <is>
          <t>I05/I06/I12</t>
        </is>
      </c>
    </row>
    <row r="4">
      <c r="A4" s="2" t="inlineStr">
        <is>
          <t>D05</t>
        </is>
      </c>
      <c r="B4" s="2" t="inlineStr">
        <is>
          <t>Q03</t>
        </is>
      </c>
      <c r="C4" s="2" t="inlineStr">
        <is>
          <t>A03</t>
        </is>
      </c>
      <c r="D4" s="2" t="inlineStr">
        <is>
          <t>If an AI system can perform a significant part of an activity faculty currently teach, what would you expect the faculty member to change in the learning experience?</t>
        </is>
      </c>
      <c r="E4" s="2" t="inlineStr">
        <is>
          <t>Scenario</t>
        </is>
      </c>
      <c r="F4" s="2" t="inlineStr">
        <is>
          <t>Diagnostic</t>
        </is>
      </c>
      <c r="G4" s="2" t="inlineStr">
        <is>
          <t>I03/I04/I08</t>
        </is>
      </c>
    </row>
    <row r="5">
      <c r="A5" s="2" t="inlineStr">
        <is>
          <t>D05</t>
        </is>
      </c>
      <c r="B5" s="2" t="inlineStr">
        <is>
          <t>Q04</t>
        </is>
      </c>
      <c r="C5" s="2" t="inlineStr">
        <is>
          <t>A04</t>
        </is>
      </c>
      <c r="D5" s="2" t="inlineStr">
        <is>
          <t>Which parts of academic work are changing because of AI, and how is the institution supporting faculty through those changes?</t>
        </is>
      </c>
      <c r="E5" s="2" t="inlineStr">
        <is>
          <t>Multi-select + evidence</t>
        </is>
      </c>
      <c r="F5" s="2" t="inlineStr">
        <is>
          <t>Workforce</t>
        </is>
      </c>
      <c r="G5" s="2" t="inlineStr">
        <is>
          <t>I08/I09/I10/I11</t>
        </is>
      </c>
    </row>
    <row r="6">
      <c r="A6" s="2" t="inlineStr">
        <is>
          <t>D05</t>
        </is>
      </c>
      <c r="B6" s="2" t="inlineStr">
        <is>
          <t>Q05</t>
        </is>
      </c>
      <c r="C6" s="2" t="inlineStr">
        <is>
          <t>A05</t>
        </is>
      </c>
      <c r="D6" s="2" t="inlineStr">
        <is>
          <t>Provide a representative example of faculty practice where AI has improved, challenged or changed teaching, assessment or research—and show how the institution learned from it.</t>
        </is>
      </c>
      <c r="E6" s="2" t="inlineStr">
        <is>
          <t>Structured example + evidence</t>
        </is>
      </c>
      <c r="F6" s="2" t="inlineStr">
        <is>
          <t>Reality</t>
        </is>
      </c>
      <c r="G6" s="2" t="inlineStr">
        <is>
          <t>I01/I02/I07/I12</t>
        </is>
      </c>
    </row>
  </sheetData>
  <autoFilter ref="A1:G6"/>
  <pageMargins left="0.7" right="0.7" top="0.75" bottom="0.75" header="0.3" footer="0.3"/>
</worksheet>
</file>

<file path=xl/worksheets/sheet80.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24" t="inlineStr">
        <is>
          <t>Domain</t>
        </is>
      </c>
      <c r="B1" s="24" t="inlineStr">
        <is>
          <t>Evidence ID</t>
        </is>
      </c>
      <c r="C1" s="24" t="inlineStr">
        <is>
          <t>Evidence Item</t>
        </is>
      </c>
      <c r="D1" s="24" t="inlineStr">
        <is>
          <t>Quantity / Sampling</t>
        </is>
      </c>
      <c r="E1" s="24" t="inlineStr">
        <is>
          <t>Requirement</t>
        </is>
      </c>
      <c r="F1" s="24" t="inlineStr">
        <is>
          <t>Metric Link</t>
        </is>
      </c>
      <c r="G1" s="24" t="inlineStr">
        <is>
          <t>Source / Basis</t>
        </is>
      </c>
    </row>
    <row r="2">
      <c r="A2" s="2" t="inlineStr">
        <is>
          <t>D05</t>
        </is>
      </c>
      <c r="B2" s="2" t="inlineStr">
        <is>
          <t>E01</t>
        </is>
      </c>
      <c r="C2" s="2" t="inlineStr">
        <is>
          <t>Representative evidence supporting Faculty Practice Reality</t>
        </is>
      </c>
      <c r="D2" s="2" t="inlineStr">
        <is>
          <t>As triggered by assessment branch</t>
        </is>
      </c>
      <c r="E2" s="2" t="inlineStr">
        <is>
          <t>Higher maturity / verification claims require supporting evidence; exact quantity determined adaptively</t>
        </is>
      </c>
      <c r="F2" s="2" t="inlineStr">
        <is>
          <t>I01/I02/I03</t>
        </is>
      </c>
      <c r="G2" s="2" t="inlineStr">
        <is>
          <t>Engine-design evidence rule derived from assessment card</t>
        </is>
      </c>
    </row>
    <row r="3">
      <c r="A3" s="2" t="inlineStr">
        <is>
          <t>D05</t>
        </is>
      </c>
      <c r="B3" s="2" t="inlineStr">
        <is>
          <t>E02</t>
        </is>
      </c>
      <c r="C3" s="2" t="inlineStr">
        <is>
          <t>Representative evidence supporting Training-to-Practice Conversion</t>
        </is>
      </c>
      <c r="D3" s="2" t="inlineStr">
        <is>
          <t>As triggered by assessment branch</t>
        </is>
      </c>
      <c r="E3" s="2" t="inlineStr">
        <is>
          <t>Higher maturity / verification claims require supporting evidence; exact quantity determined adaptively</t>
        </is>
      </c>
      <c r="F3" s="2" t="inlineStr">
        <is>
          <t>I05/I06/I12</t>
        </is>
      </c>
      <c r="G3" s="2" t="inlineStr">
        <is>
          <t>Engine-design evidence rule derived from assessment card</t>
        </is>
      </c>
    </row>
    <row r="4">
      <c r="A4" s="2" t="inlineStr">
        <is>
          <t>D05</t>
        </is>
      </c>
      <c r="B4" s="2" t="inlineStr">
        <is>
          <t>E03</t>
        </is>
      </c>
      <c r="C4" s="2" t="inlineStr">
        <is>
          <t>Representative evidence supporting Teaching Redesign Scenario</t>
        </is>
      </c>
      <c r="D4" s="2" t="inlineStr">
        <is>
          <t>As triggered by assessment branch</t>
        </is>
      </c>
      <c r="E4" s="2" t="inlineStr">
        <is>
          <t>Higher maturity / verification claims require supporting evidence; exact quantity determined adaptively</t>
        </is>
      </c>
      <c r="F4" s="2" t="inlineStr">
        <is>
          <t>I03/I04/I08</t>
        </is>
      </c>
      <c r="G4" s="2" t="inlineStr">
        <is>
          <t>Engine-design evidence rule derived from assessment card</t>
        </is>
      </c>
    </row>
    <row r="5">
      <c r="A5" s="2" t="inlineStr">
        <is>
          <t>D05</t>
        </is>
      </c>
      <c r="B5" s="2" t="inlineStr">
        <is>
          <t>E04</t>
        </is>
      </c>
      <c r="C5" s="2" t="inlineStr">
        <is>
          <t>Representative evidence supporting Academic Workforce Change</t>
        </is>
      </c>
      <c r="D5" s="2" t="inlineStr">
        <is>
          <t>As triggered by assessment branch</t>
        </is>
      </c>
      <c r="E5" s="2" t="inlineStr">
        <is>
          <t>Higher maturity / verification claims require supporting evidence; exact quantity determined adaptively</t>
        </is>
      </c>
      <c r="F5" s="2" t="inlineStr">
        <is>
          <t>I08/I09/I10/I11</t>
        </is>
      </c>
      <c r="G5" s="2" t="inlineStr">
        <is>
          <t>Engine-design evidence rule derived from assessment card</t>
        </is>
      </c>
    </row>
    <row r="6">
      <c r="A6" s="2" t="inlineStr">
        <is>
          <t>D05</t>
        </is>
      </c>
      <c r="B6" s="2" t="inlineStr">
        <is>
          <t>E05</t>
        </is>
      </c>
      <c r="C6" s="2" t="inlineStr">
        <is>
          <t>Representative evidence supporting Faculty Capability Sample</t>
        </is>
      </c>
      <c r="D6" s="2" t="inlineStr">
        <is>
          <t>As triggered by assessment branch</t>
        </is>
      </c>
      <c r="E6" s="2" t="inlineStr">
        <is>
          <t>Higher maturity / verification claims require supporting evidence; exact quantity determined adaptively</t>
        </is>
      </c>
      <c r="F6" s="2" t="inlineStr">
        <is>
          <t>I01/I02/I07/I12</t>
        </is>
      </c>
      <c r="G6" s="2" t="inlineStr">
        <is>
          <t>Engine-design evidence rule derived from assessment card</t>
        </is>
      </c>
    </row>
  </sheetData>
  <autoFilter ref="A1:G6"/>
  <pageMargins left="0.7" right="0.7" top="0.75" bottom="0.75" header="0.3" footer="0.3"/>
</worksheet>
</file>

<file path=xl/worksheets/sheet81.xml><?xml version="1.0" encoding="utf-8"?>
<worksheet xmlns="http://schemas.openxmlformats.org/spreadsheetml/2006/main">
  <sheetPr>
    <outlinePr summaryBelow="1" summaryRight="1"/>
    <pageSetUpPr/>
  </sheetPr>
  <dimension ref="A1:G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24" t="inlineStr">
        <is>
          <t>Domain</t>
        </is>
      </c>
      <c r="B1" s="24" t="inlineStr">
        <is>
          <t>Data ID</t>
        </is>
      </c>
      <c r="C1" s="24" t="inlineStr">
        <is>
          <t>Institutional Data Item</t>
        </is>
      </c>
      <c r="D1" s="24" t="inlineStr">
        <is>
          <t>Input Type</t>
        </is>
      </c>
      <c r="E1" s="24" t="inlineStr">
        <is>
          <t>Requirement</t>
        </is>
      </c>
      <c r="F1" s="24" t="inlineStr">
        <is>
          <t>Metric / Use</t>
        </is>
      </c>
      <c r="G1" s="24" t="inlineStr">
        <is>
          <t>Status</t>
        </is>
      </c>
    </row>
    <row r="2">
      <c r="A2" s="2" t="inlineStr">
        <is>
          <t>D05</t>
        </is>
      </c>
      <c r="B2" s="2" t="inlineStr">
        <is>
          <t>D05-D01</t>
        </is>
      </c>
      <c r="C2" s="2" t="inlineStr">
        <is>
          <t>Representative institutional data supporting Faculty AI Literacy Maturity</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D05</t>
        </is>
      </c>
      <c r="B3" s="2" t="inlineStr">
        <is>
          <t>D05-D02</t>
        </is>
      </c>
      <c r="C3" s="2" t="inlineStr">
        <is>
          <t>Representative institutional data supporting Discipline-Specific AI Practice</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D05</t>
        </is>
      </c>
      <c r="B4" s="2" t="inlineStr">
        <is>
          <t>D05-D03</t>
        </is>
      </c>
      <c r="C4" s="2" t="inlineStr">
        <is>
          <t>Representative institutional data supporting AI-Enhanced Pedagogy</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D05</t>
        </is>
      </c>
      <c r="B5" s="2" t="inlineStr">
        <is>
          <t>D05-D04</t>
        </is>
      </c>
      <c r="C5" s="2" t="inlineStr">
        <is>
          <t>Representative institutional data supporting Assessment Redesign Capability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D05</t>
        </is>
      </c>
      <c r="B6" s="2" t="inlineStr">
        <is>
          <t>D05-D05</t>
        </is>
      </c>
      <c r="C6" s="2" t="inlineStr">
        <is>
          <t>Representative institutional data supporting Faculty Learning &amp; Development Effectiveness</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D05</t>
        </is>
      </c>
      <c r="B7" s="2" t="inlineStr">
        <is>
          <t>D05-D06</t>
        </is>
      </c>
      <c r="C7" s="2" t="inlineStr">
        <is>
          <t>Representative institutional data supporting Peer Learning &amp; Communities</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D05</t>
        </is>
      </c>
      <c r="B8" s="2" t="inlineStr">
        <is>
          <t>D05-D07</t>
        </is>
      </c>
      <c r="C8" s="2" t="inlineStr">
        <is>
          <t>Representative institutional data supporting AI Research &amp; Knowledge Creation</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D05</t>
        </is>
      </c>
      <c r="B9" s="2" t="inlineStr">
        <is>
          <t>D05-D08</t>
        </is>
      </c>
      <c r="C9" s="2" t="inlineStr">
        <is>
          <t>Representative institutional data supporting Academic Role Redesign</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D05</t>
        </is>
      </c>
      <c r="B10" s="2" t="inlineStr">
        <is>
          <t>D05-D09</t>
        </is>
      </c>
      <c r="C10" s="2" t="inlineStr">
        <is>
          <t>Representative institutional data supporting Workload &amp; Workflow Transformation</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D05</t>
        </is>
      </c>
      <c r="B11" s="2" t="inlineStr">
        <is>
          <t>D05-D10</t>
        </is>
      </c>
      <c r="C11" s="2" t="inlineStr">
        <is>
          <t>Representative institutional data supporting Faculty Support Infrastructure</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D05</t>
        </is>
      </c>
      <c r="B12" s="2" t="inlineStr">
        <is>
          <t>D05-D11</t>
        </is>
      </c>
      <c r="C12" s="2" t="inlineStr">
        <is>
          <t>Representative institutional data supporting Academic Leadership for AI</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D05</t>
        </is>
      </c>
      <c r="B13" s="2" t="inlineStr">
        <is>
          <t>D05-D12</t>
        </is>
      </c>
      <c r="C13" s="2" t="inlineStr">
        <is>
          <t>Representative institutional data supporting Faculty Adoption Learning Loop</t>
        </is>
      </c>
      <c r="D13" s="2" t="inlineStr">
        <is>
          <t>Number / structured input / evidence as applicable</t>
        </is>
      </c>
      <c r="E13" s="2" t="inlineStr">
        <is>
          <t>To be determined by adaptive branch</t>
        </is>
      </c>
      <c r="F13" s="2" t="inlineStr">
        <is>
          <t>I12</t>
        </is>
      </c>
      <c r="G13" s="2" t="inlineStr">
        <is>
          <t>Engine-design input; calibration required</t>
        </is>
      </c>
    </row>
  </sheetData>
  <autoFilter ref="A1:G13"/>
  <pageMargins left="0.7" right="0.7" top="0.75" bottom="0.75" header="0.3" footer="0.3"/>
</worksheet>
</file>

<file path=xl/worksheets/sheet82.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24" t="inlineStr">
        <is>
          <t>Check ID</t>
        </is>
      </c>
      <c r="B1" s="24" t="inlineStr">
        <is>
          <t>Check</t>
        </is>
      </c>
      <c r="C1" s="24" t="inlineStr">
        <is>
          <t>Rule</t>
        </is>
      </c>
      <c r="D1" s="24" t="inlineStr">
        <is>
          <t>Type</t>
        </is>
      </c>
    </row>
    <row r="2">
      <c r="A2" s="2" t="inlineStr">
        <is>
          <t>D05-QA01</t>
        </is>
      </c>
      <c r="B2" s="2" t="inlineStr">
        <is>
          <t>Programme counts</t>
        </is>
      </c>
      <c r="C2" s="2" t="inlineStr">
        <is>
          <t>Modified &lt;= reviewed &lt;= active</t>
        </is>
      </c>
      <c r="D2" s="2" t="inlineStr">
        <is>
          <t>Hard validation</t>
        </is>
      </c>
    </row>
    <row r="3">
      <c r="A3" s="2" t="inlineStr">
        <is>
          <t>D05-QA02</t>
        </is>
      </c>
      <c r="B3" s="2" t="inlineStr">
        <is>
          <t>Pilot counts</t>
        </is>
      </c>
      <c r="C3" s="2" t="inlineStr">
        <is>
          <t>Evaluated &lt;= conducted; scaled/stopped &lt;= evaluated</t>
        </is>
      </c>
      <c r="D3" s="2" t="inlineStr">
        <is>
          <t>Hard validation</t>
        </is>
      </c>
    </row>
    <row r="4">
      <c r="A4" s="2" t="inlineStr">
        <is>
          <t>D05-QA03</t>
        </is>
      </c>
      <c r="B4" s="2" t="inlineStr">
        <is>
          <t>Data counts</t>
        </is>
      </c>
      <c r="C4" s="2" t="inlineStr">
        <is>
          <t>Privacy-reviewed &lt;= data-processing &lt;= approved tools</t>
        </is>
      </c>
      <c r="D4" s="2" t="inlineStr">
        <is>
          <t>Hard validation</t>
        </is>
      </c>
    </row>
    <row r="5">
      <c r="A5" s="2" t="inlineStr">
        <is>
          <t>D05-QA04</t>
        </is>
      </c>
      <c r="B5" s="2" t="inlineStr">
        <is>
          <t>No policy inflation</t>
        </is>
      </c>
      <c r="C5" s="2" t="inlineStr">
        <is>
          <t>Policy existence alone cannot create high maturity</t>
        </is>
      </c>
      <c r="D5" s="2" t="inlineStr">
        <is>
          <t>Scoring rule</t>
        </is>
      </c>
    </row>
    <row r="6">
      <c r="A6" s="2" t="inlineStr">
        <is>
          <t>D05-QA05</t>
        </is>
      </c>
      <c r="B6" s="2" t="inlineStr">
        <is>
          <t>Context fairness</t>
        </is>
      </c>
      <c r="C6" s="2" t="inlineStr">
        <is>
          <t>Required maturity reflects mission, scale, resources, exposure</t>
        </is>
      </c>
      <c r="D6" s="2" t="inlineStr">
        <is>
          <t>Scoring rule</t>
        </is>
      </c>
    </row>
    <row r="7">
      <c r="A7" s="2" t="inlineStr">
        <is>
          <t>D05-QA06</t>
        </is>
      </c>
      <c r="B7" s="2" t="inlineStr">
        <is>
          <t>Non-technical fairness</t>
        </is>
      </c>
      <c r="C7" s="2" t="inlineStr">
        <is>
          <t>Assess discipline relevance, not coding/technical AI</t>
        </is>
      </c>
      <c r="D7" s="2" t="inlineStr">
        <is>
          <t>Scoring rule</t>
        </is>
      </c>
    </row>
    <row r="8">
      <c r="A8" s="2" t="inlineStr">
        <is>
          <t>D05-QA07</t>
        </is>
      </c>
      <c r="B8" s="2" t="inlineStr">
        <is>
          <t>No outcome fabrication</t>
        </is>
      </c>
      <c r="C8" s="2" t="inlineStr">
        <is>
          <t>N/A accepted where outcome measurement legitimately unavailable</t>
        </is>
      </c>
      <c r="D8" s="2" t="inlineStr">
        <is>
          <t>Scoring rule</t>
        </is>
      </c>
    </row>
    <row r="9">
      <c r="A9" s="2" t="inlineStr">
        <is>
          <t>D05-QA08</t>
        </is>
      </c>
      <c r="B9" s="2" t="inlineStr">
        <is>
          <t>Representative sampling</t>
        </is>
      </c>
      <c r="C9" s="2" t="inlineStr">
        <is>
          <t>Evidence requests stay limited to high-value samples</t>
        </is>
      </c>
      <c r="D9" s="2" t="inlineStr">
        <is>
          <t>UX rule</t>
        </is>
      </c>
    </row>
    <row r="10">
      <c r="A10" s="2" t="inlineStr">
        <is>
          <t>D05-D03</t>
        </is>
      </c>
      <c r="B10" s="2" t="inlineStr">
        <is>
          <t>Discipline coverage</t>
        </is>
      </c>
      <c r="C10" s="2" t="inlineStr">
        <is>
          <t>Expanded to health, pharmacy, media, humanities, professional, technical and interdisciplinary pathways.</t>
        </is>
      </c>
      <c r="D10" s="2" t="inlineStr">
        <is>
          <t>Pass</t>
        </is>
      </c>
    </row>
    <row r="11">
      <c r="A11" s="2" t="inlineStr">
        <is>
          <t>D05-D04-D06</t>
        </is>
      </c>
      <c r="B11" s="2" t="inlineStr">
        <is>
          <t>Architecture completeness</t>
        </is>
      </c>
      <c r="C11" s="2" t="inlineStr">
        <is>
          <t>Each domain has capabilities, metrics, assessment cards, 5 core questions and maturity anchors.</t>
        </is>
      </c>
      <c r="D11" s="2" t="inlineStr">
        <is>
          <t>Pass</t>
        </is>
      </c>
    </row>
    <row r="12">
      <c r="A12" s="2" t="inlineStr">
        <is>
          <t>D05-All</t>
        </is>
      </c>
      <c r="B12" s="2" t="inlineStr">
        <is>
          <t>Context calibration</t>
        </is>
      </c>
      <c r="C12" s="2" t="inlineStr">
        <is>
          <t>Institution context changes proportionality and branching, not the integrity standard.</t>
        </is>
      </c>
      <c r="D12" s="2" t="inlineStr">
        <is>
          <t>Pass</t>
        </is>
      </c>
    </row>
    <row r="13">
      <c r="A13" s="2" t="inlineStr">
        <is>
          <t>D05-All</t>
        </is>
      </c>
      <c r="B13" s="2" t="inlineStr">
        <is>
          <t>Reality gradient</t>
        </is>
      </c>
      <c r="C13" s="2" t="inlineStr">
        <is>
          <t>Claim→practice→evidence→outcome→adaptation captured separately from maturity.</t>
        </is>
      </c>
      <c r="D13" s="2" t="inlineStr">
        <is>
          <t>Pass</t>
        </is>
      </c>
    </row>
    <row r="14">
      <c r="A14" s="2" t="inlineStr">
        <is>
          <t>D05-QA-DOM01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D05-QA-DOM02</t>
        </is>
      </c>
      <c r="B15" s="2" t="inlineStr">
        <is>
          <t>Question/card coverage</t>
        </is>
      </c>
      <c r="C15" s="2" t="inlineStr">
        <is>
          <t>Every assessment card and question must map to at least one metric.</t>
        </is>
      </c>
      <c r="D15" s="2" t="inlineStr">
        <is>
          <t>Structural</t>
        </is>
      </c>
    </row>
    <row r="16">
      <c r="A16" s="2" t="inlineStr">
        <is>
          <t>D05-QA-DOM03</t>
        </is>
      </c>
      <c r="B16" s="2" t="inlineStr">
        <is>
          <t>Evidence traceability</t>
        </is>
      </c>
      <c r="C16" s="2" t="inlineStr">
        <is>
          <t>High-maturity claims must have an evidence path or an explicit evidence-gap flag.</t>
        </is>
      </c>
      <c r="D16" s="2" t="inlineStr">
        <is>
          <t>Scoring</t>
        </is>
      </c>
    </row>
    <row r="17">
      <c r="A17" s="2" t="inlineStr">
        <is>
          <t>D05-QA-DOM04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83.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24" t="inlineStr">
        <is>
          <t>Domain</t>
        </is>
      </c>
      <c r="B1" s="24" t="inlineStr">
        <is>
          <t>Domain Name</t>
        </is>
      </c>
      <c r="C1" s="24" t="inlineStr">
        <is>
          <t>Capability ID</t>
        </is>
      </c>
      <c r="D1" s="24" t="inlineStr">
        <is>
          <t>Capability Area</t>
        </is>
      </c>
      <c r="E1" s="24" t="inlineStr">
        <is>
          <t>Metric ID</t>
        </is>
      </c>
      <c r="F1" s="24" t="inlineStr">
        <is>
          <t>Metric</t>
        </is>
      </c>
      <c r="G1" s="24" t="inlineStr">
        <is>
          <t>What It Measures</t>
        </is>
      </c>
      <c r="H1" s="24" t="inlineStr">
        <is>
          <t>Measurement Method</t>
        </is>
      </c>
      <c r="I1" s="24" t="inlineStr">
        <is>
          <t>Exposure</t>
        </is>
      </c>
      <c r="J1" s="24" t="inlineStr">
        <is>
          <t>Source / Basis</t>
        </is>
      </c>
    </row>
    <row r="2">
      <c r="A2" s="2" t="inlineStr">
        <is>
          <t>D06</t>
        </is>
      </c>
      <c r="B2" s="2" t="inlineStr">
        <is>
          <t>Student Capability, Agency &amp; Future Readiness</t>
        </is>
      </c>
      <c r="C2" s="2" t="inlineStr">
        <is>
          <t>C01</t>
        </is>
      </c>
      <c r="D2" s="2" t="inlineStr">
        <is>
          <t>Student AI Literacy</t>
        </is>
      </c>
      <c r="E2" s="2" t="inlineStr">
        <is>
          <t>I01</t>
        </is>
      </c>
      <c r="F2" s="2" t="inlineStr">
        <is>
          <t>Student AI Literacy</t>
        </is>
      </c>
      <c r="G2" s="2" t="inlineStr">
        <is>
          <t>Students understand capabilities, limits, responsible use and verification</t>
        </is>
      </c>
      <c r="H2" s="2" t="inlineStr">
        <is>
          <t>Student evidence + curriculum mapping</t>
        </is>
      </c>
      <c r="I2" s="2" t="inlineStr">
        <is>
          <t>Very High</t>
        </is>
      </c>
      <c r="J2" s="2" t="inlineStr">
        <is>
          <t>Integrated master; D01-D03 baseline retained; D04-D11 integrated from domain matrices.</t>
        </is>
      </c>
    </row>
    <row r="3">
      <c r="A3" s="2" t="inlineStr">
        <is>
          <t>D06</t>
        </is>
      </c>
      <c r="B3" s="2" t="inlineStr">
        <is>
          <t>Student Capability, Agency &amp; Future Readiness</t>
        </is>
      </c>
      <c r="C3" s="2" t="inlineStr">
        <is>
          <t>C02</t>
        </is>
      </c>
      <c r="D3" s="2" t="inlineStr">
        <is>
          <t>Critical AI Evaluation</t>
        </is>
      </c>
      <c r="E3" s="2" t="inlineStr">
        <is>
          <t>I02</t>
        </is>
      </c>
      <c r="F3" s="2" t="inlineStr">
        <is>
          <t>Critical AI Evaluation</t>
        </is>
      </c>
      <c r="G3" s="2" t="inlineStr">
        <is>
          <t>Students can interrogate, verify and challenge AI outputs</t>
        </is>
      </c>
      <c r="H3" s="2" t="inlineStr">
        <is>
          <t>Assessment/sample work</t>
        </is>
      </c>
      <c r="I3" s="2" t="inlineStr">
        <is>
          <t>Very High</t>
        </is>
      </c>
      <c r="J3" s="2" t="inlineStr">
        <is>
          <t>Integrated master; D01-D03 baseline retained; D04-D11 integrated from domain matrices.</t>
        </is>
      </c>
    </row>
    <row r="4">
      <c r="A4" s="2" t="inlineStr">
        <is>
          <t>D06</t>
        </is>
      </c>
      <c r="B4" s="2" t="inlineStr">
        <is>
          <t>Student Capability, Agency &amp; Future Readiness</t>
        </is>
      </c>
      <c r="C4" s="2" t="inlineStr">
        <is>
          <t>C03</t>
        </is>
      </c>
      <c r="D4" s="2" t="inlineStr">
        <is>
          <t>Learning Agency</t>
        </is>
      </c>
      <c r="E4" s="2" t="inlineStr">
        <is>
          <t>I03</t>
        </is>
      </c>
      <c r="F4" s="2" t="inlineStr">
        <is>
          <t>Learning Agency</t>
        </is>
      </c>
      <c r="G4" s="2" t="inlineStr">
        <is>
          <t>Students use AI to extend learning without surrendering intellectual responsibility</t>
        </is>
      </c>
      <c r="H4" s="2" t="inlineStr">
        <is>
          <t>Student practice + reflection</t>
        </is>
      </c>
      <c r="I4" s="2" t="inlineStr">
        <is>
          <t>Very High</t>
        </is>
      </c>
      <c r="J4" s="2" t="inlineStr">
        <is>
          <t>Integrated master; D01-D03 baseline retained; D04-D11 integrated from domain matrices.</t>
        </is>
      </c>
    </row>
    <row r="5">
      <c r="A5" s="2" t="inlineStr">
        <is>
          <t>D06</t>
        </is>
      </c>
      <c r="B5" s="2" t="inlineStr">
        <is>
          <t>Student Capability, Agency &amp; Future Readiness</t>
        </is>
      </c>
      <c r="C5" s="2" t="inlineStr">
        <is>
          <t>C04</t>
        </is>
      </c>
      <c r="D5" s="2" t="inlineStr">
        <is>
          <t>Independent Intellectual Agency</t>
        </is>
      </c>
      <c r="E5" s="2" t="inlineStr">
        <is>
          <t>I04</t>
        </is>
      </c>
      <c r="F5" s="2" t="inlineStr">
        <is>
          <t>Independent Intellectual Agency</t>
        </is>
      </c>
      <c r="G5" s="2" t="inlineStr">
        <is>
          <t>Students can formulate positions, questions and solutions independently</t>
        </is>
      </c>
      <c r="H5" s="2" t="inlineStr">
        <is>
          <t>Work samples + oral/defence evidence</t>
        </is>
      </c>
      <c r="I5" s="2" t="inlineStr">
        <is>
          <t>Very High</t>
        </is>
      </c>
      <c r="J5" s="2" t="inlineStr">
        <is>
          <t>Integrated master; D01-D03 baseline retained; D04-D11 integrated from domain matrices.</t>
        </is>
      </c>
    </row>
    <row r="6">
      <c r="A6" s="2" t="inlineStr">
        <is>
          <t>D06</t>
        </is>
      </c>
      <c r="B6" s="2" t="inlineStr">
        <is>
          <t>Student Capability, Agency &amp; Future Readiness</t>
        </is>
      </c>
      <c r="C6" s="2" t="inlineStr">
        <is>
          <t>C05</t>
        </is>
      </c>
      <c r="D6" s="2" t="inlineStr">
        <is>
          <t>Communication &amp; Defence</t>
        </is>
      </c>
      <c r="E6" s="2" t="inlineStr">
        <is>
          <t>I05</t>
        </is>
      </c>
      <c r="F6" s="2" t="inlineStr">
        <is>
          <t>Communication &amp; Defence</t>
        </is>
      </c>
      <c r="G6" s="2" t="inlineStr">
        <is>
          <t>Students can explain and defend their reasoning, sources and decisions</t>
        </is>
      </c>
      <c r="H6" s="2" t="inlineStr">
        <is>
          <t>Oral/project evidence</t>
        </is>
      </c>
      <c r="I6" s="2" t="inlineStr">
        <is>
          <t>High</t>
        </is>
      </c>
      <c r="J6" s="2" t="inlineStr">
        <is>
          <t>Integrated master; D01-D03 baseline retained; D04-D11 integrated from domain matrices.</t>
        </is>
      </c>
    </row>
    <row r="7">
      <c r="A7" s="2" t="inlineStr">
        <is>
          <t>D06</t>
        </is>
      </c>
      <c r="B7" s="2" t="inlineStr">
        <is>
          <t>Student Capability, Agency &amp; Future Readiness</t>
        </is>
      </c>
      <c r="C7" s="2" t="inlineStr">
        <is>
          <t>C06</t>
        </is>
      </c>
      <c r="D7" s="2" t="inlineStr">
        <is>
          <t>Collaboration</t>
        </is>
      </c>
      <c r="E7" s="2" t="inlineStr">
        <is>
          <t>I06</t>
        </is>
      </c>
      <c r="F7" s="2" t="inlineStr">
        <is>
          <t>Collaboration Capability</t>
        </is>
      </c>
      <c r="G7" s="2" t="inlineStr">
        <is>
          <t>Students collaborate with people and AI appropriately</t>
        </is>
      </c>
      <c r="H7" s="2" t="inlineStr">
        <is>
          <t>Team/project evidence</t>
        </is>
      </c>
      <c r="I7" s="2" t="inlineStr">
        <is>
          <t>High</t>
        </is>
      </c>
      <c r="J7" s="2" t="inlineStr">
        <is>
          <t>Integrated master; D01-D03 baseline retained; D04-D11 integrated from domain matrices.</t>
        </is>
      </c>
    </row>
    <row r="8">
      <c r="A8" s="2" t="inlineStr">
        <is>
          <t>D06</t>
        </is>
      </c>
      <c r="B8" s="2" t="inlineStr">
        <is>
          <t>Student Capability, Agency &amp; Future Readiness</t>
        </is>
      </c>
      <c r="C8" s="2" t="inlineStr">
        <is>
          <t>C07</t>
        </is>
      </c>
      <c r="D8" s="2" t="inlineStr">
        <is>
          <t>Practical/Experiential Capability</t>
        </is>
      </c>
      <c r="E8" s="2" t="inlineStr">
        <is>
          <t>I07</t>
        </is>
      </c>
      <c r="F8" s="2" t="inlineStr">
        <is>
          <t>Practical Capability</t>
        </is>
      </c>
      <c r="G8" s="2" t="inlineStr">
        <is>
          <t>Students can act in real or simulated contexts beyond content generation</t>
        </is>
      </c>
      <c r="H8" s="2" t="inlineStr">
        <is>
          <t>Projects/labs/internships</t>
        </is>
      </c>
      <c r="I8" s="2" t="inlineStr">
        <is>
          <t>Very High</t>
        </is>
      </c>
      <c r="J8" s="2" t="inlineStr">
        <is>
          <t>Integrated master; D01-D03 baseline retained; D04-D11 integrated from domain matrices.</t>
        </is>
      </c>
    </row>
    <row r="9">
      <c r="A9" s="2" t="inlineStr">
        <is>
          <t>D06</t>
        </is>
      </c>
      <c r="B9" s="2" t="inlineStr">
        <is>
          <t>Student Capability, Agency &amp; Future Readiness</t>
        </is>
      </c>
      <c r="C9" s="2" t="inlineStr">
        <is>
          <t>C08</t>
        </is>
      </c>
      <c r="D9" s="2" t="inlineStr">
        <is>
          <t>Career Adaptability</t>
        </is>
      </c>
      <c r="E9" s="2" t="inlineStr">
        <is>
          <t>I08</t>
        </is>
      </c>
      <c r="F9" s="2" t="inlineStr">
        <is>
          <t>Career Adaptability</t>
        </is>
      </c>
      <c r="G9" s="2" t="inlineStr">
        <is>
          <t>Students can interpret changing work requirements and update capabilities</t>
        </is>
      </c>
      <c r="H9" s="2" t="inlineStr">
        <is>
          <t>Career activities + student evidence</t>
        </is>
      </c>
      <c r="I9" s="2" t="inlineStr">
        <is>
          <t>High</t>
        </is>
      </c>
      <c r="J9" s="2" t="inlineStr">
        <is>
          <t>Integrated master; D01-D03 baseline retained; D04-D11 integrated from domain matrices.</t>
        </is>
      </c>
    </row>
    <row r="10">
      <c r="A10" s="2" t="inlineStr">
        <is>
          <t>D06</t>
        </is>
      </c>
      <c r="B10" s="2" t="inlineStr">
        <is>
          <t>Student Capability, Agency &amp; Future Readiness</t>
        </is>
      </c>
      <c r="C10" s="2" t="inlineStr">
        <is>
          <t>C09</t>
        </is>
      </c>
      <c r="D10" s="2" t="inlineStr">
        <is>
          <t>Portfolio &amp; Capability Signalling</t>
        </is>
      </c>
      <c r="E10" s="2" t="inlineStr">
        <is>
          <t>I09</t>
        </is>
      </c>
      <c r="F10" s="2" t="inlineStr">
        <is>
          <t>Portfolio &amp; Capability Signalling</t>
        </is>
      </c>
      <c r="G10" s="2" t="inlineStr">
        <is>
          <t>Students can show credible evidence of what they can do</t>
        </is>
      </c>
      <c r="H10" s="2" t="inlineStr">
        <is>
          <t>Portfolios/projects/certifications</t>
        </is>
      </c>
      <c r="I10" s="2" t="inlineStr">
        <is>
          <t>High</t>
        </is>
      </c>
      <c r="J10" s="2" t="inlineStr">
        <is>
          <t>Integrated master; D01-D03 baseline retained; D04-D11 integrated from domain matrices.</t>
        </is>
      </c>
    </row>
    <row r="11">
      <c r="A11" s="2" t="inlineStr">
        <is>
          <t>D06</t>
        </is>
      </c>
      <c r="B11" s="2" t="inlineStr">
        <is>
          <t>Student Capability, Agency &amp; Future Readiness</t>
        </is>
      </c>
      <c r="C11" s="2" t="inlineStr">
        <is>
          <t>C10</t>
        </is>
      </c>
      <c r="D11" s="2" t="inlineStr">
        <is>
          <t>Problem Solving &amp; Transfer</t>
        </is>
      </c>
      <c r="E11" s="2" t="inlineStr">
        <is>
          <t>I10</t>
        </is>
      </c>
      <c r="F11" s="2" t="inlineStr">
        <is>
          <t>Problem Solving &amp; Transfer</t>
        </is>
      </c>
      <c r="G11" s="2" t="inlineStr">
        <is>
          <t>Students apply learning to unfamiliar/ambiguous problems</t>
        </is>
      </c>
      <c r="H11" s="2" t="inlineStr">
        <is>
          <t>Assessment/project evidence</t>
        </is>
      </c>
      <c r="I11" s="2" t="inlineStr">
        <is>
          <t>Very High</t>
        </is>
      </c>
      <c r="J11" s="2" t="inlineStr">
        <is>
          <t>Integrated master; D01-D03 baseline retained; D04-D11 integrated from domain matrices.</t>
        </is>
      </c>
    </row>
    <row r="12">
      <c r="A12" s="2" t="inlineStr">
        <is>
          <t>D06</t>
        </is>
      </c>
      <c r="B12" s="2" t="inlineStr">
        <is>
          <t>Student Capability, Agency &amp; Future Readiness</t>
        </is>
      </c>
      <c r="C12" s="2" t="inlineStr">
        <is>
          <t>C11</t>
        </is>
      </c>
      <c r="D12" s="2" t="inlineStr">
        <is>
          <t>Creator/Entrepreneurial Agency</t>
        </is>
      </c>
      <c r="E12" s="2" t="inlineStr">
        <is>
          <t>I11</t>
        </is>
      </c>
      <c r="F12" s="2" t="inlineStr">
        <is>
          <t>Creator &amp; Entrepreneurial Agency</t>
        </is>
      </c>
      <c r="G12" s="2" t="inlineStr">
        <is>
          <t>Students use AI to create, prototype, innovate or build value</t>
        </is>
      </c>
      <c r="H12" s="2" t="inlineStr">
        <is>
          <t>Startup/project/creation evidence</t>
        </is>
      </c>
      <c r="I12" s="2" t="inlineStr">
        <is>
          <t>High</t>
        </is>
      </c>
      <c r="J12" s="2" t="inlineStr">
        <is>
          <t>Integrated master; D01-D03 baseline retained; D04-D11 integrated from domain matrices.</t>
        </is>
      </c>
    </row>
    <row r="13">
      <c r="A13" s="2" t="inlineStr">
        <is>
          <t>D06</t>
        </is>
      </c>
      <c r="B13" s="2" t="inlineStr">
        <is>
          <t>Student Capability, Agency &amp; Future Readiness</t>
        </is>
      </c>
      <c r="C13" s="2" t="inlineStr">
        <is>
          <t>C12</t>
        </is>
      </c>
      <c r="D13" s="2" t="inlineStr">
        <is>
          <t>Digital Citizenship &amp; Responsible Use</t>
        </is>
      </c>
      <c r="E13" s="2" t="inlineStr">
        <is>
          <t>I12</t>
        </is>
      </c>
      <c r="F13" s="2" t="inlineStr">
        <is>
          <t>Digital Citizenship &amp; Responsible Use</t>
        </is>
      </c>
      <c r="G13" s="2" t="inlineStr">
        <is>
          <t>Students understand privacy, IP, bias, integrity and social consequences</t>
        </is>
      </c>
      <c r="H13" s="2" t="inlineStr">
        <is>
          <t>Guidance + assessment evidence</t>
        </is>
      </c>
      <c r="I13" s="2" t="inlineStr">
        <is>
          <t>High</t>
        </is>
      </c>
      <c r="J13" s="2" t="inlineStr">
        <is>
          <t>Integrated master; D01-D03 baseline retained; D04-D11 integrated from domain matrices.</t>
        </is>
      </c>
    </row>
    <row r="14">
      <c r="A14" s="2" t="inlineStr">
        <is>
          <t>D06</t>
        </is>
      </c>
      <c r="B14" s="2" t="inlineStr">
        <is>
          <t>Student Capability, Agency &amp; Future Readiness</t>
        </is>
      </c>
      <c r="C14" s="2" t="inlineStr">
        <is>
          <t>C13</t>
        </is>
      </c>
      <c r="D14" s="2" t="inlineStr">
        <is>
          <t>Equitable AI Access</t>
        </is>
      </c>
      <c r="E14" s="2" t="inlineStr">
        <is>
          <t>I13</t>
        </is>
      </c>
      <c r="F14" s="2" t="inlineStr">
        <is>
          <t>Equitable AI Access</t>
        </is>
      </c>
      <c r="G14" s="2" t="inlineStr">
        <is>
          <t>Institution identifies and mitigates unequal access/capability barriers</t>
        </is>
      </c>
      <c r="H14" s="2" t="inlineStr">
        <is>
          <t>Access data + support mechanisms</t>
        </is>
      </c>
      <c r="I14" s="2" t="inlineStr">
        <is>
          <t>Very High</t>
        </is>
      </c>
      <c r="J14" s="2" t="inlineStr">
        <is>
          <t>Integrated master; D01-D03 baseline retained; D04-D11 integrated from domain matrices.</t>
        </is>
      </c>
    </row>
    <row r="15">
      <c r="A15" s="2" t="inlineStr">
        <is>
          <t>D06</t>
        </is>
      </c>
      <c r="B15" s="2" t="inlineStr">
        <is>
          <t>Student Capability, Agency &amp; Future Readiness</t>
        </is>
      </c>
      <c r="C15" s="2" t="inlineStr">
        <is>
          <t>C14</t>
        </is>
      </c>
      <c r="D15" s="2" t="inlineStr">
        <is>
          <t>Student Voice &amp; Feedback Loop</t>
        </is>
      </c>
      <c r="E15" s="2" t="inlineStr">
        <is>
          <t>I14</t>
        </is>
      </c>
      <c r="F15" s="2" t="inlineStr">
        <is>
          <t>Student Voice &amp; Feedback Loop</t>
        </is>
      </c>
      <c r="G15" s="2" t="inlineStr">
        <is>
          <t>Student experience informs AI-era curriculum and capability design</t>
        </is>
      </c>
      <c r="H15" s="2" t="inlineStr">
        <is>
          <t>Survey/feedback + action records</t>
        </is>
      </c>
      <c r="I15" s="2" t="inlineStr">
        <is>
          <t>Medium</t>
        </is>
      </c>
      <c r="J15" s="2" t="inlineStr">
        <is>
          <t>Integrated master; D01-D03 baseline retained; D04-D11 integrated from domain matrices.</t>
        </is>
      </c>
    </row>
  </sheetData>
  <autoFilter ref="A1:J15"/>
  <pageMargins left="0.7" right="0.7" top="0.75" bottom="0.75" header="0.3" footer="0.3"/>
</worksheet>
</file>

<file path=xl/worksheets/sheet84.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24" t="inlineStr">
        <is>
          <t>Domain</t>
        </is>
      </c>
      <c r="B1" s="24" t="inlineStr">
        <is>
          <t>Card ID</t>
        </is>
      </c>
      <c r="C1" s="24" t="inlineStr">
        <is>
          <t>Assessment Card</t>
        </is>
      </c>
      <c r="D1" s="24" t="inlineStr">
        <is>
          <t>Input / Response Format</t>
        </is>
      </c>
      <c r="E1" s="24" t="inlineStr">
        <is>
          <t>Purpose / Respondent Action</t>
        </is>
      </c>
      <c r="F1" s="24" t="inlineStr">
        <is>
          <t>Metric Link</t>
        </is>
      </c>
    </row>
    <row r="2">
      <c r="A2" s="2" t="inlineStr">
        <is>
          <t>D06</t>
        </is>
      </c>
      <c r="B2" s="2" t="inlineStr">
        <is>
          <t>A01</t>
        </is>
      </c>
      <c r="C2" s="2" t="inlineStr">
        <is>
          <t>Student AI Capability Reality</t>
        </is>
      </c>
      <c r="D2" s="2" t="inlineStr">
        <is>
          <t>Multi-select + sample</t>
        </is>
      </c>
      <c r="E2" s="2" t="inlineStr">
        <is>
          <t>Identify what students can actually do with AI, not merely whether they use it.</t>
        </is>
      </c>
      <c r="F2" s="2" t="inlineStr">
        <is>
          <t>I01/I02/I03</t>
        </is>
      </c>
    </row>
    <row r="3">
      <c r="A3" s="2" t="inlineStr">
        <is>
          <t>D06</t>
        </is>
      </c>
      <c r="B3" s="2" t="inlineStr">
        <is>
          <t>A02</t>
        </is>
      </c>
      <c r="C3" s="2" t="inlineStr">
        <is>
          <t>Agency &amp; Intellectual Independence</t>
        </is>
      </c>
      <c r="D3" s="2" t="inlineStr">
        <is>
          <t>Scenario + work sample</t>
        </is>
      </c>
      <c r="E3" s="2" t="inlineStr">
        <is>
          <t>Test whether students retain responsibility for questions, reasoning and decisions.</t>
        </is>
      </c>
      <c r="F3" s="2" t="inlineStr">
        <is>
          <t>I03/I04/I05</t>
        </is>
      </c>
    </row>
    <row r="4">
      <c r="A4" s="2" t="inlineStr">
        <is>
          <t>D06</t>
        </is>
      </c>
      <c r="B4" s="2" t="inlineStr">
        <is>
          <t>A03</t>
        </is>
      </c>
      <c r="C4" s="2" t="inlineStr">
        <is>
          <t>Transfer &amp; Practical Capability</t>
        </is>
      </c>
      <c r="D4" s="2" t="inlineStr">
        <is>
          <t>Project/experience sample</t>
        </is>
      </c>
      <c r="E4" s="2" t="inlineStr">
        <is>
          <t>Assess application to unfamiliar/real-world situations.</t>
        </is>
      </c>
      <c r="F4" s="2" t="inlineStr">
        <is>
          <t>I07/I10</t>
        </is>
      </c>
    </row>
    <row r="5">
      <c r="A5" s="2" t="inlineStr">
        <is>
          <t>D06</t>
        </is>
      </c>
      <c r="B5" s="2" t="inlineStr">
        <is>
          <t>A04</t>
        </is>
      </c>
      <c r="C5" s="2" t="inlineStr">
        <is>
          <t>Future Transition Readiness</t>
        </is>
      </c>
      <c r="D5" s="2" t="inlineStr">
        <is>
          <t>Structured + student evidence</t>
        </is>
      </c>
      <c r="E5" s="2" t="inlineStr">
        <is>
          <t>Assess career adaptability, portfolios, employer exposure and creator capability.</t>
        </is>
      </c>
      <c r="F5" s="2" t="inlineStr">
        <is>
          <t>I08/I09/I11</t>
        </is>
      </c>
    </row>
    <row r="6">
      <c r="A6" s="2" t="inlineStr">
        <is>
          <t>D06</t>
        </is>
      </c>
      <c r="B6" s="2" t="inlineStr">
        <is>
          <t>A05</t>
        </is>
      </c>
      <c r="C6" s="2" t="inlineStr">
        <is>
          <t>Equity &amp; Student Voice</t>
        </is>
      </c>
      <c r="D6" s="2" t="inlineStr">
        <is>
          <t>Data + action evidence</t>
        </is>
      </c>
      <c r="E6" s="2" t="inlineStr">
        <is>
          <t>Assess unequal access and whether student feedback changes institutional action.</t>
        </is>
      </c>
      <c r="F6" s="2" t="inlineStr">
        <is>
          <t>I13/I14</t>
        </is>
      </c>
    </row>
  </sheetData>
  <autoFilter ref="A1:F6"/>
  <pageMargins left="0.7" right="0.7" top="0.75" bottom="0.75" header="0.3" footer="0.3"/>
</worksheet>
</file>

<file path=xl/worksheets/sheet85.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24" t="inlineStr">
        <is>
          <t>Domain</t>
        </is>
      </c>
      <c r="B1" s="24" t="inlineStr">
        <is>
          <t>Question ID</t>
        </is>
      </c>
      <c r="C1" s="24" t="inlineStr">
        <is>
          <t>Card</t>
        </is>
      </c>
      <c r="D1" s="24" t="inlineStr">
        <is>
          <t>Prompt</t>
        </is>
      </c>
      <c r="E1" s="24" t="inlineStr">
        <is>
          <t>Input Type</t>
        </is>
      </c>
      <c r="F1" s="24" t="inlineStr">
        <is>
          <t>Role</t>
        </is>
      </c>
      <c r="G1" s="24" t="inlineStr">
        <is>
          <t>Metric Link</t>
        </is>
      </c>
    </row>
    <row r="2">
      <c r="A2" s="2" t="inlineStr">
        <is>
          <t>D06</t>
        </is>
      </c>
      <c r="B2" s="2" t="inlineStr">
        <is>
          <t>Q01</t>
        </is>
      </c>
      <c r="C2" s="2" t="inlineStr">
        <is>
          <t>A01</t>
        </is>
      </c>
      <c r="D2" s="2" t="inlineStr">
        <is>
          <t>When students use AI for learning, what does the institution expect them to be able to do themselves before the work can be considered credible?</t>
        </is>
      </c>
      <c r="E2" s="2" t="inlineStr">
        <is>
          <t>Multi-select + examples</t>
        </is>
      </c>
      <c r="F2" s="2" t="inlineStr">
        <is>
          <t>Capability</t>
        </is>
      </c>
      <c r="G2" s="2" t="inlineStr">
        <is>
          <t>I01/I02/I03/I04</t>
        </is>
      </c>
    </row>
    <row r="3">
      <c r="A3" s="2" t="inlineStr">
        <is>
          <t>D06</t>
        </is>
      </c>
      <c r="B3" s="2" t="inlineStr">
        <is>
          <t>Q02</t>
        </is>
      </c>
      <c r="C3" s="2" t="inlineStr">
        <is>
          <t>A02</t>
        </is>
      </c>
      <c r="D3" s="2" t="inlineStr">
        <is>
          <t>A student submits a polished AI-generated answer. What would you need to see to determine whether the student actually understands and can defend the work?</t>
        </is>
      </c>
      <c r="E3" s="2" t="inlineStr">
        <is>
          <t>Scenario + evidence</t>
        </is>
      </c>
      <c r="F3" s="2" t="inlineStr">
        <is>
          <t>Diagnostic</t>
        </is>
      </c>
      <c r="G3" s="2" t="inlineStr">
        <is>
          <t>I02/I04/I05</t>
        </is>
      </c>
    </row>
    <row r="4">
      <c r="A4" s="2" t="inlineStr">
        <is>
          <t>D06</t>
        </is>
      </c>
      <c r="B4" s="2" t="inlineStr">
        <is>
          <t>Q03</t>
        </is>
      </c>
      <c r="C4" s="2" t="inlineStr">
        <is>
          <t>A03</t>
        </is>
      </c>
      <c r="D4" s="2" t="inlineStr">
        <is>
          <t>How often are students required to apply knowledge to unfamiliar, ambiguous or real situations where AI can assist but cannot simply supply the finished answer?</t>
        </is>
      </c>
      <c r="E4" s="2" t="inlineStr">
        <is>
          <t>Frequency + examples</t>
        </is>
      </c>
      <c r="F4" s="2" t="inlineStr">
        <is>
          <t>Transfer</t>
        </is>
      </c>
      <c r="G4" s="2" t="inlineStr">
        <is>
          <t>I07/I10</t>
        </is>
      </c>
    </row>
    <row r="5">
      <c r="A5" s="2" t="inlineStr">
        <is>
          <t>D06</t>
        </is>
      </c>
      <c r="B5" s="2" t="inlineStr">
        <is>
          <t>Q04</t>
        </is>
      </c>
      <c r="C5" s="2" t="inlineStr">
        <is>
          <t>A04</t>
        </is>
      </c>
      <c r="D5" s="2" t="inlineStr">
        <is>
          <t>How is the institution helping students understand changing work requirements and build credible evidence of capability for employers, further study or entrepreneurship?</t>
        </is>
      </c>
      <c r="E5" s="2" t="inlineStr">
        <is>
          <t>Multi-select + evidence</t>
        </is>
      </c>
      <c r="F5" s="2" t="inlineStr">
        <is>
          <t>Transition</t>
        </is>
      </c>
      <c r="G5" s="2" t="inlineStr">
        <is>
          <t>I08/I09/I11</t>
        </is>
      </c>
    </row>
    <row r="6">
      <c r="A6" s="2" t="inlineStr">
        <is>
          <t>D06</t>
        </is>
      </c>
      <c r="B6" s="2" t="inlineStr">
        <is>
          <t>Q05</t>
        </is>
      </c>
      <c r="C6" s="2" t="inlineStr">
        <is>
          <t>A05</t>
        </is>
      </c>
      <c r="D6" s="2" t="inlineStr">
        <is>
          <t>Which student groups are least able to access or benefit from AI-enabled learning, and what has the institution actually done in response?</t>
        </is>
      </c>
      <c r="E6" s="2" t="inlineStr">
        <is>
          <t>Structured comparison + evidence</t>
        </is>
      </c>
      <c r="F6" s="2" t="inlineStr">
        <is>
          <t>Equity</t>
        </is>
      </c>
      <c r="G6" s="2" t="inlineStr">
        <is>
          <t>I13/I14</t>
        </is>
      </c>
    </row>
  </sheetData>
  <autoFilter ref="A1:G6"/>
  <pageMargins left="0.7" right="0.7" top="0.75" bottom="0.75" header="0.3" footer="0.3"/>
</worksheet>
</file>

<file path=xl/worksheets/sheet86.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24" t="inlineStr">
        <is>
          <t>Domain</t>
        </is>
      </c>
      <c r="B1" s="24" t="inlineStr">
        <is>
          <t>Evidence ID</t>
        </is>
      </c>
      <c r="C1" s="24" t="inlineStr">
        <is>
          <t>Evidence Item</t>
        </is>
      </c>
      <c r="D1" s="24" t="inlineStr">
        <is>
          <t>Quantity / Sampling</t>
        </is>
      </c>
      <c r="E1" s="24" t="inlineStr">
        <is>
          <t>Requirement</t>
        </is>
      </c>
      <c r="F1" s="24" t="inlineStr">
        <is>
          <t>Metric Link</t>
        </is>
      </c>
      <c r="G1" s="24" t="inlineStr">
        <is>
          <t>Source / Basis</t>
        </is>
      </c>
    </row>
    <row r="2">
      <c r="A2" s="2" t="inlineStr">
        <is>
          <t>D06</t>
        </is>
      </c>
      <c r="B2" s="2" t="inlineStr">
        <is>
          <t>E01</t>
        </is>
      </c>
      <c r="C2" s="2" t="inlineStr">
        <is>
          <t>Representative evidence supporting Student AI Capability Reality</t>
        </is>
      </c>
      <c r="D2" s="2" t="inlineStr">
        <is>
          <t>As triggered by assessment branch</t>
        </is>
      </c>
      <c r="E2" s="2" t="inlineStr">
        <is>
          <t>Higher maturity / verification claims require supporting evidence; exact quantity determined adaptively</t>
        </is>
      </c>
      <c r="F2" s="2" t="inlineStr">
        <is>
          <t>I01/I02/I03</t>
        </is>
      </c>
      <c r="G2" s="2" t="inlineStr">
        <is>
          <t>Engine-design evidence rule derived from assessment card</t>
        </is>
      </c>
    </row>
    <row r="3">
      <c r="A3" s="2" t="inlineStr">
        <is>
          <t>D06</t>
        </is>
      </c>
      <c r="B3" s="2" t="inlineStr">
        <is>
          <t>E02</t>
        </is>
      </c>
      <c r="C3" s="2" t="inlineStr">
        <is>
          <t>Representative evidence supporting Agency &amp; Intellectual Independence</t>
        </is>
      </c>
      <c r="D3" s="2" t="inlineStr">
        <is>
          <t>As triggered by assessment branch</t>
        </is>
      </c>
      <c r="E3" s="2" t="inlineStr">
        <is>
          <t>Higher maturity / verification claims require supporting evidence; exact quantity determined adaptively</t>
        </is>
      </c>
      <c r="F3" s="2" t="inlineStr">
        <is>
          <t>I03/I04/I05</t>
        </is>
      </c>
      <c r="G3" s="2" t="inlineStr">
        <is>
          <t>Engine-design evidence rule derived from assessment card</t>
        </is>
      </c>
    </row>
    <row r="4">
      <c r="A4" s="2" t="inlineStr">
        <is>
          <t>D06</t>
        </is>
      </c>
      <c r="B4" s="2" t="inlineStr">
        <is>
          <t>E03</t>
        </is>
      </c>
      <c r="C4" s="2" t="inlineStr">
        <is>
          <t>Representative evidence supporting Transfer &amp; Practical Capability</t>
        </is>
      </c>
      <c r="D4" s="2" t="inlineStr">
        <is>
          <t>As triggered by assessment branch</t>
        </is>
      </c>
      <c r="E4" s="2" t="inlineStr">
        <is>
          <t>Higher maturity / verification claims require supporting evidence; exact quantity determined adaptively</t>
        </is>
      </c>
      <c r="F4" s="2" t="inlineStr">
        <is>
          <t>I07/I10</t>
        </is>
      </c>
      <c r="G4" s="2" t="inlineStr">
        <is>
          <t>Engine-design evidence rule derived from assessment card</t>
        </is>
      </c>
    </row>
    <row r="5">
      <c r="A5" s="2" t="inlineStr">
        <is>
          <t>D06</t>
        </is>
      </c>
      <c r="B5" s="2" t="inlineStr">
        <is>
          <t>E04</t>
        </is>
      </c>
      <c r="C5" s="2" t="inlineStr">
        <is>
          <t>Representative evidence supporting Future Transition Readiness</t>
        </is>
      </c>
      <c r="D5" s="2" t="inlineStr">
        <is>
          <t>As triggered by assessment branch</t>
        </is>
      </c>
      <c r="E5" s="2" t="inlineStr">
        <is>
          <t>Higher maturity / verification claims require supporting evidence; exact quantity determined adaptively</t>
        </is>
      </c>
      <c r="F5" s="2" t="inlineStr">
        <is>
          <t>I08/I09/I11</t>
        </is>
      </c>
      <c r="G5" s="2" t="inlineStr">
        <is>
          <t>Engine-design evidence rule derived from assessment card</t>
        </is>
      </c>
    </row>
    <row r="6">
      <c r="A6" s="2" t="inlineStr">
        <is>
          <t>D06</t>
        </is>
      </c>
      <c r="B6" s="2" t="inlineStr">
        <is>
          <t>E05</t>
        </is>
      </c>
      <c r="C6" s="2" t="inlineStr">
        <is>
          <t>Representative evidence supporting Equity &amp; Student Voice</t>
        </is>
      </c>
      <c r="D6" s="2" t="inlineStr">
        <is>
          <t>As triggered by assessment branch</t>
        </is>
      </c>
      <c r="E6" s="2" t="inlineStr">
        <is>
          <t>Higher maturity / verification claims require supporting evidence; exact quantity determined adaptively</t>
        </is>
      </c>
      <c r="F6" s="2" t="inlineStr">
        <is>
          <t>I13/I14</t>
        </is>
      </c>
      <c r="G6" s="2" t="inlineStr">
        <is>
          <t>Engine-design evidence rule derived from assessment card</t>
        </is>
      </c>
    </row>
  </sheetData>
  <autoFilter ref="A1:G6"/>
  <pageMargins left="0.7" right="0.7" top="0.75" bottom="0.75" header="0.3" footer="0.3"/>
</worksheet>
</file>

<file path=xl/worksheets/sheet87.xml><?xml version="1.0" encoding="utf-8"?>
<worksheet xmlns="http://schemas.openxmlformats.org/spreadsheetml/2006/main">
  <sheetPr>
    <outlinePr summaryBelow="1" summaryRight="1"/>
    <pageSetUpPr/>
  </sheetPr>
  <dimension ref="A1:G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24" t="inlineStr">
        <is>
          <t>Domain</t>
        </is>
      </c>
      <c r="B1" s="24" t="inlineStr">
        <is>
          <t>Data ID</t>
        </is>
      </c>
      <c r="C1" s="24" t="inlineStr">
        <is>
          <t>Institutional Data Item</t>
        </is>
      </c>
      <c r="D1" s="24" t="inlineStr">
        <is>
          <t>Input Type</t>
        </is>
      </c>
      <c r="E1" s="24" t="inlineStr">
        <is>
          <t>Requirement</t>
        </is>
      </c>
      <c r="F1" s="24" t="inlineStr">
        <is>
          <t>Metric / Use</t>
        </is>
      </c>
      <c r="G1" s="24" t="inlineStr">
        <is>
          <t>Status</t>
        </is>
      </c>
    </row>
    <row r="2">
      <c r="A2" s="2" t="inlineStr">
        <is>
          <t>D06</t>
        </is>
      </c>
      <c r="B2" s="2" t="inlineStr">
        <is>
          <t>D06-D01</t>
        </is>
      </c>
      <c r="C2" s="2" t="inlineStr">
        <is>
          <t>Representative institutional data supporting Student AI Literacy</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D06</t>
        </is>
      </c>
      <c r="B3" s="2" t="inlineStr">
        <is>
          <t>D06-D02</t>
        </is>
      </c>
      <c r="C3" s="2" t="inlineStr">
        <is>
          <t>Representative institutional data supporting Critical AI Evaluation</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D06</t>
        </is>
      </c>
      <c r="B4" s="2" t="inlineStr">
        <is>
          <t>D06-D03</t>
        </is>
      </c>
      <c r="C4" s="2" t="inlineStr">
        <is>
          <t>Representative institutional data supporting Learning Agency</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D06</t>
        </is>
      </c>
      <c r="B5" s="2" t="inlineStr">
        <is>
          <t>D06-D04</t>
        </is>
      </c>
      <c r="C5" s="2" t="inlineStr">
        <is>
          <t>Representative institutional data supporting Independent Intellectual Agency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D06</t>
        </is>
      </c>
      <c r="B6" s="2" t="inlineStr">
        <is>
          <t>D06-D05</t>
        </is>
      </c>
      <c r="C6" s="2" t="inlineStr">
        <is>
          <t>Representative institutional data supporting Communication &amp; Defence</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D06</t>
        </is>
      </c>
      <c r="B7" s="2" t="inlineStr">
        <is>
          <t>D06-D06</t>
        </is>
      </c>
      <c r="C7" s="2" t="inlineStr">
        <is>
          <t>Representative institutional data supporting Collaboration Capability</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D06</t>
        </is>
      </c>
      <c r="B8" s="2" t="inlineStr">
        <is>
          <t>D06-D07</t>
        </is>
      </c>
      <c r="C8" s="2" t="inlineStr">
        <is>
          <t>Representative institutional data supporting Practical Capability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D06</t>
        </is>
      </c>
      <c r="B9" s="2" t="inlineStr">
        <is>
          <t>D06-D08</t>
        </is>
      </c>
      <c r="C9" s="2" t="inlineStr">
        <is>
          <t>Representative institutional data supporting Career Adaptability</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D06</t>
        </is>
      </c>
      <c r="B10" s="2" t="inlineStr">
        <is>
          <t>D06-D09</t>
        </is>
      </c>
      <c r="C10" s="2" t="inlineStr">
        <is>
          <t>Representative institutional data supporting Portfolio &amp; Capability Signalling</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D06</t>
        </is>
      </c>
      <c r="B11" s="2" t="inlineStr">
        <is>
          <t>D06-D10</t>
        </is>
      </c>
      <c r="C11" s="2" t="inlineStr">
        <is>
          <t>Representative institutional data supporting Problem Solving &amp; Transfer</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D06</t>
        </is>
      </c>
      <c r="B12" s="2" t="inlineStr">
        <is>
          <t>D06-D11</t>
        </is>
      </c>
      <c r="C12" s="2" t="inlineStr">
        <is>
          <t>Representative institutional data supporting Creator &amp; Entrepreneurial Agency</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D06</t>
        </is>
      </c>
      <c r="B13" s="2" t="inlineStr">
        <is>
          <t>D06-D12</t>
        </is>
      </c>
      <c r="C13" s="2" t="inlineStr">
        <is>
          <t>Representative institutional data supporting Digital Citizenship &amp; Responsible Use</t>
        </is>
      </c>
      <c r="D13" s="2" t="inlineStr">
        <is>
          <t>Number / structured input / evidence as applicable</t>
        </is>
      </c>
      <c r="E13" s="2" t="inlineStr">
        <is>
          <t>To be determined by adaptive branch</t>
        </is>
      </c>
      <c r="F13" s="2" t="inlineStr">
        <is>
          <t>I12</t>
        </is>
      </c>
      <c r="G13" s="2" t="inlineStr">
        <is>
          <t>Engine-design input; calibration required</t>
        </is>
      </c>
    </row>
    <row r="14">
      <c r="A14" s="2" t="inlineStr">
        <is>
          <t>D06</t>
        </is>
      </c>
      <c r="B14" s="2" t="inlineStr">
        <is>
          <t>D06-D13</t>
        </is>
      </c>
      <c r="C14" s="2" t="inlineStr">
        <is>
          <t>Representative institutional data supporting Equitable AI Access</t>
        </is>
      </c>
      <c r="D14" s="2" t="inlineStr">
        <is>
          <t>Number / structured input / evidence as applicable</t>
        </is>
      </c>
      <c r="E14" s="2" t="inlineStr">
        <is>
          <t>To be determined by adaptive branch</t>
        </is>
      </c>
      <c r="F14" s="2" t="inlineStr">
        <is>
          <t>I13</t>
        </is>
      </c>
      <c r="G14" s="2" t="inlineStr">
        <is>
          <t>Engine-design input; calibration required</t>
        </is>
      </c>
    </row>
    <row r="15">
      <c r="A15" s="2" t="inlineStr">
        <is>
          <t>D06</t>
        </is>
      </c>
      <c r="B15" s="2" t="inlineStr">
        <is>
          <t>D06-D14</t>
        </is>
      </c>
      <c r="C15" s="2" t="inlineStr">
        <is>
          <t>Representative institutional data supporting Student Voice &amp; Feedback Loop</t>
        </is>
      </c>
      <c r="D15" s="2" t="inlineStr">
        <is>
          <t>Number / structured input / evidence as applicable</t>
        </is>
      </c>
      <c r="E15" s="2" t="inlineStr">
        <is>
          <t>To be determined by adaptive branch</t>
        </is>
      </c>
      <c r="F15" s="2" t="inlineStr">
        <is>
          <t>I14</t>
        </is>
      </c>
      <c r="G15" s="2" t="inlineStr">
        <is>
          <t>Engine-design input; calibration required</t>
        </is>
      </c>
    </row>
  </sheetData>
  <autoFilter ref="A1:G15"/>
  <pageMargins left="0.7" right="0.7" top="0.75" bottom="0.75" header="0.3" footer="0.3"/>
</worksheet>
</file>

<file path=xl/worksheets/sheet88.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24" t="inlineStr">
        <is>
          <t>Check ID</t>
        </is>
      </c>
      <c r="B1" s="24" t="inlineStr">
        <is>
          <t>Check</t>
        </is>
      </c>
      <c r="C1" s="24" t="inlineStr">
        <is>
          <t>Rule</t>
        </is>
      </c>
      <c r="D1" s="24" t="inlineStr">
        <is>
          <t>Type</t>
        </is>
      </c>
    </row>
    <row r="2">
      <c r="A2" s="2" t="inlineStr">
        <is>
          <t>D06-QA01</t>
        </is>
      </c>
      <c r="B2" s="2" t="inlineStr">
        <is>
          <t>Programme counts</t>
        </is>
      </c>
      <c r="C2" s="2" t="inlineStr">
        <is>
          <t>Modified &lt;= reviewed &lt;= active</t>
        </is>
      </c>
      <c r="D2" s="2" t="inlineStr">
        <is>
          <t>Hard validation</t>
        </is>
      </c>
    </row>
    <row r="3">
      <c r="A3" s="2" t="inlineStr">
        <is>
          <t>D06-QA02</t>
        </is>
      </c>
      <c r="B3" s="2" t="inlineStr">
        <is>
          <t>Pilot counts</t>
        </is>
      </c>
      <c r="C3" s="2" t="inlineStr">
        <is>
          <t>Evaluated &lt;= conducted; scaled/stopped &lt;= evaluated</t>
        </is>
      </c>
      <c r="D3" s="2" t="inlineStr">
        <is>
          <t>Hard validation</t>
        </is>
      </c>
    </row>
    <row r="4">
      <c r="A4" s="2" t="inlineStr">
        <is>
          <t>D06-QA03</t>
        </is>
      </c>
      <c r="B4" s="2" t="inlineStr">
        <is>
          <t>Data counts</t>
        </is>
      </c>
      <c r="C4" s="2" t="inlineStr">
        <is>
          <t>Privacy-reviewed &lt;= data-processing &lt;= approved tools</t>
        </is>
      </c>
      <c r="D4" s="2" t="inlineStr">
        <is>
          <t>Hard validation</t>
        </is>
      </c>
    </row>
    <row r="5">
      <c r="A5" s="2" t="inlineStr">
        <is>
          <t>D06-QA04</t>
        </is>
      </c>
      <c r="B5" s="2" t="inlineStr">
        <is>
          <t>No policy inflation</t>
        </is>
      </c>
      <c r="C5" s="2" t="inlineStr">
        <is>
          <t>Policy existence alone cannot create high maturity</t>
        </is>
      </c>
      <c r="D5" s="2" t="inlineStr">
        <is>
          <t>Scoring rule</t>
        </is>
      </c>
    </row>
    <row r="6">
      <c r="A6" s="2" t="inlineStr">
        <is>
          <t>D06-QA05</t>
        </is>
      </c>
      <c r="B6" s="2" t="inlineStr">
        <is>
          <t>Context fairness</t>
        </is>
      </c>
      <c r="C6" s="2" t="inlineStr">
        <is>
          <t>Required maturity reflects mission, scale, resources, exposure</t>
        </is>
      </c>
      <c r="D6" s="2" t="inlineStr">
        <is>
          <t>Scoring rule</t>
        </is>
      </c>
    </row>
    <row r="7">
      <c r="A7" s="2" t="inlineStr">
        <is>
          <t>D06-QA06</t>
        </is>
      </c>
      <c r="B7" s="2" t="inlineStr">
        <is>
          <t>Non-technical fairness</t>
        </is>
      </c>
      <c r="C7" s="2" t="inlineStr">
        <is>
          <t>Assess discipline relevance, not coding/technical AI</t>
        </is>
      </c>
      <c r="D7" s="2" t="inlineStr">
        <is>
          <t>Scoring rule</t>
        </is>
      </c>
    </row>
    <row r="8">
      <c r="A8" s="2" t="inlineStr">
        <is>
          <t>D06-QA07</t>
        </is>
      </c>
      <c r="B8" s="2" t="inlineStr">
        <is>
          <t>No outcome fabrication</t>
        </is>
      </c>
      <c r="C8" s="2" t="inlineStr">
        <is>
          <t>N/A accepted where outcome measurement legitimately unavailable</t>
        </is>
      </c>
      <c r="D8" s="2" t="inlineStr">
        <is>
          <t>Scoring rule</t>
        </is>
      </c>
    </row>
    <row r="9">
      <c r="A9" s="2" t="inlineStr">
        <is>
          <t>D06-QA08</t>
        </is>
      </c>
      <c r="B9" s="2" t="inlineStr">
        <is>
          <t>Representative sampling</t>
        </is>
      </c>
      <c r="C9" s="2" t="inlineStr">
        <is>
          <t>Evidence requests stay limited to high-value samples</t>
        </is>
      </c>
      <c r="D9" s="2" t="inlineStr">
        <is>
          <t>UX rule</t>
        </is>
      </c>
    </row>
    <row r="10">
      <c r="A10" s="2" t="inlineStr">
        <is>
          <t>D06-D03</t>
        </is>
      </c>
      <c r="B10" s="2" t="inlineStr">
        <is>
          <t>Discipline coverage</t>
        </is>
      </c>
      <c r="C10" s="2" t="inlineStr">
        <is>
          <t>Expanded to health, pharmacy, media, humanities, professional, technical and interdisciplinary pathways.</t>
        </is>
      </c>
      <c r="D10" s="2" t="inlineStr">
        <is>
          <t>Pass</t>
        </is>
      </c>
    </row>
    <row r="11">
      <c r="A11" s="2" t="inlineStr">
        <is>
          <t>D06-D04-D06</t>
        </is>
      </c>
      <c r="B11" s="2" t="inlineStr">
        <is>
          <t>Architecture completeness</t>
        </is>
      </c>
      <c r="C11" s="2" t="inlineStr">
        <is>
          <t>Each domain has capabilities, metrics, assessment cards, 5 core questions and maturity anchors.</t>
        </is>
      </c>
      <c r="D11" s="2" t="inlineStr">
        <is>
          <t>Pass</t>
        </is>
      </c>
    </row>
    <row r="12">
      <c r="A12" s="2" t="inlineStr">
        <is>
          <t>D06-All</t>
        </is>
      </c>
      <c r="B12" s="2" t="inlineStr">
        <is>
          <t>Context calibration</t>
        </is>
      </c>
      <c r="C12" s="2" t="inlineStr">
        <is>
          <t>Institution context changes proportionality and branching, not the integrity standard.</t>
        </is>
      </c>
      <c r="D12" s="2" t="inlineStr">
        <is>
          <t>Pass</t>
        </is>
      </c>
    </row>
    <row r="13">
      <c r="A13" s="2" t="inlineStr">
        <is>
          <t>D06-All</t>
        </is>
      </c>
      <c r="B13" s="2" t="inlineStr">
        <is>
          <t>Reality gradient</t>
        </is>
      </c>
      <c r="C13" s="2" t="inlineStr">
        <is>
          <t>Claim→practice→evidence→outcome→adaptation captured separately from maturity.</t>
        </is>
      </c>
      <c r="D13" s="2" t="inlineStr">
        <is>
          <t>Pass</t>
        </is>
      </c>
    </row>
    <row r="14">
      <c r="A14" s="2" t="inlineStr">
        <is>
          <t>D06-QA-DOM01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D06-QA-DOM02</t>
        </is>
      </c>
      <c r="B15" s="2" t="inlineStr">
        <is>
          <t>Question/card coverage</t>
        </is>
      </c>
      <c r="C15" s="2" t="inlineStr">
        <is>
          <t>Every assessment card and question must map to at least one metric.</t>
        </is>
      </c>
      <c r="D15" s="2" t="inlineStr">
        <is>
          <t>Structural</t>
        </is>
      </c>
    </row>
    <row r="16">
      <c r="A16" s="2" t="inlineStr">
        <is>
          <t>D06-QA-DOM03</t>
        </is>
      </c>
      <c r="B16" s="2" t="inlineStr">
        <is>
          <t>Evidence traceability</t>
        </is>
      </c>
      <c r="C16" s="2" t="inlineStr">
        <is>
          <t>High-maturity claims must have an evidence path or an explicit evidence-gap flag.</t>
        </is>
      </c>
      <c r="D16" s="2" t="inlineStr">
        <is>
          <t>Scoring</t>
        </is>
      </c>
    </row>
    <row r="17">
      <c r="A17" s="2" t="inlineStr">
        <is>
          <t>D06-QA-DOM04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89.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24" t="inlineStr">
        <is>
          <t>Domain</t>
        </is>
      </c>
      <c r="B1" s="24" t="inlineStr">
        <is>
          <t>Domain Name</t>
        </is>
      </c>
      <c r="C1" s="24" t="inlineStr">
        <is>
          <t>Capability ID</t>
        </is>
      </c>
      <c r="D1" s="24" t="inlineStr">
        <is>
          <t>Capability Area</t>
        </is>
      </c>
      <c r="E1" s="24" t="inlineStr">
        <is>
          <t>Metric ID</t>
        </is>
      </c>
      <c r="F1" s="24" t="inlineStr">
        <is>
          <t>Metric</t>
        </is>
      </c>
      <c r="G1" s="24" t="inlineStr">
        <is>
          <t>What It Measures</t>
        </is>
      </c>
      <c r="H1" s="24" t="inlineStr">
        <is>
          <t>Measurement Method</t>
        </is>
      </c>
      <c r="I1" s="24" t="inlineStr">
        <is>
          <t>Exposure</t>
        </is>
      </c>
      <c r="J1" s="24" t="inlineStr">
        <is>
          <t>Source / Basis</t>
        </is>
      </c>
    </row>
    <row r="2">
      <c r="A2" s="2" t="inlineStr">
        <is>
          <t>D07</t>
        </is>
      </c>
      <c r="B2" s="2" t="inlineStr">
        <is>
          <t>Learning, Assessment &amp; Evidence of Capability</t>
        </is>
      </c>
      <c r="C2" s="2" t="inlineStr">
        <is>
          <t>C01</t>
        </is>
      </c>
      <c r="D2" s="2" t="inlineStr">
        <is>
          <t>Assessment Architecture</t>
        </is>
      </c>
      <c r="E2" s="2" t="inlineStr">
        <is>
          <t>I01</t>
        </is>
      </c>
      <c r="F2" s="2" t="inlineStr">
        <is>
          <t>Assessment Design Maturity</t>
        </is>
      </c>
      <c r="G2" s="2" t="inlineStr">
        <is>
          <t>Whether assessment is deliberately designed around intended capabilities rather than answer production.</t>
        </is>
      </c>
      <c r="H2" s="2" t="inlineStr">
        <is>
          <t>Assessment samples + rubric review + evidence triangulation</t>
        </is>
      </c>
      <c r="I2" s="2" t="inlineStr">
        <is>
          <t>High</t>
        </is>
      </c>
      <c r="J2" s="2" t="inlineStr">
        <is>
          <t>Integrated master; D01-D03 baseline retained; D04-D11 integrated from domain matrices.</t>
        </is>
      </c>
    </row>
    <row r="3">
      <c r="A3" s="2" t="inlineStr">
        <is>
          <t>D07</t>
        </is>
      </c>
      <c r="B3" s="2" t="inlineStr">
        <is>
          <t>Learning, Assessment &amp; Evidence of Capability</t>
        </is>
      </c>
      <c r="C3" s="2" t="inlineStr">
        <is>
          <t>C02</t>
        </is>
      </c>
      <c r="D3" s="2" t="inlineStr">
        <is>
          <t>Cognitive Demonstration</t>
        </is>
      </c>
      <c r="E3" s="2" t="inlineStr">
        <is>
          <t>I02</t>
        </is>
      </c>
      <c r="F3" s="2" t="inlineStr">
        <is>
          <t>Cognitive Demonstration Depth</t>
        </is>
      </c>
      <c r="G3" s="2" t="inlineStr">
        <is>
          <t>Extent to which students must demonstrate reasoning, judgement, interpretation and problem-solving.</t>
        </is>
      </c>
      <c r="H3" s="2" t="inlineStr">
        <is>
          <t>Assessment samples + rubric review + evidence triangulation</t>
        </is>
      </c>
      <c r="I3" s="2" t="inlineStr">
        <is>
          <t>High</t>
        </is>
      </c>
      <c r="J3" s="2" t="inlineStr">
        <is>
          <t>Integrated master; D01-D03 baseline retained; D04-D11 integrated from domain matrices.</t>
        </is>
      </c>
    </row>
    <row r="4">
      <c r="A4" s="2" t="inlineStr">
        <is>
          <t>D07</t>
        </is>
      </c>
      <c r="B4" s="2" t="inlineStr">
        <is>
          <t>Learning, Assessment &amp; Evidence of Capability</t>
        </is>
      </c>
      <c r="C4" s="2" t="inlineStr">
        <is>
          <t>C03</t>
        </is>
      </c>
      <c r="D4" s="2" t="inlineStr">
        <is>
          <t>Authentic Assessment</t>
        </is>
      </c>
      <c r="E4" s="2" t="inlineStr">
        <is>
          <t>I03</t>
        </is>
      </c>
      <c r="F4" s="2" t="inlineStr">
        <is>
          <t>Authenticity of Demonstration</t>
        </is>
      </c>
      <c r="G4" s="2" t="inlineStr">
        <is>
          <t>Use of real, unfamiliar, contextual and practice-linked tasks.</t>
        </is>
      </c>
      <c r="H4" s="2" t="inlineStr">
        <is>
          <t>Assessment samples + rubric review + evidence triangulation</t>
        </is>
      </c>
      <c r="I4" s="2" t="inlineStr">
        <is>
          <t>High</t>
        </is>
      </c>
      <c r="J4" s="2" t="inlineStr">
        <is>
          <t>Integrated master; D01-D03 baseline retained; D04-D11 integrated from domain matrices.</t>
        </is>
      </c>
    </row>
    <row r="5">
      <c r="A5" s="2" t="inlineStr">
        <is>
          <t>D07</t>
        </is>
      </c>
      <c r="B5" s="2" t="inlineStr">
        <is>
          <t>Learning, Assessment &amp; Evidence of Capability</t>
        </is>
      </c>
      <c r="C5" s="2" t="inlineStr">
        <is>
          <t>C04</t>
        </is>
      </c>
      <c r="D5" s="2" t="inlineStr">
        <is>
          <t>AI-Aware Assessment</t>
        </is>
      </c>
      <c r="E5" s="2" t="inlineStr">
        <is>
          <t>I04</t>
        </is>
      </c>
      <c r="F5" s="2" t="inlineStr">
        <is>
          <t>AI-Aware Assessment Maturity</t>
        </is>
      </c>
      <c r="G5" s="2" t="inlineStr">
        <is>
          <t>Extent to which assessment design responds intelligently to generative AI availability.</t>
        </is>
      </c>
      <c r="H5" s="2" t="inlineStr">
        <is>
          <t>Assessment samples + rubric review + evidence triangulation</t>
        </is>
      </c>
      <c r="I5" s="2" t="inlineStr">
        <is>
          <t>Very High</t>
        </is>
      </c>
      <c r="J5" s="2" t="inlineStr">
        <is>
          <t>Integrated master; D01-D03 baseline retained; D04-D11 integrated from domain matrices.</t>
        </is>
      </c>
    </row>
    <row r="6">
      <c r="A6" s="2" t="inlineStr">
        <is>
          <t>D07</t>
        </is>
      </c>
      <c r="B6" s="2" t="inlineStr">
        <is>
          <t>Learning, Assessment &amp; Evidence of Capability</t>
        </is>
      </c>
      <c r="C6" s="2" t="inlineStr">
        <is>
          <t>C05</t>
        </is>
      </c>
      <c r="D6" s="2" t="inlineStr">
        <is>
          <t>Oral/Defence</t>
        </is>
      </c>
      <c r="E6" s="2" t="inlineStr">
        <is>
          <t>I05</t>
        </is>
      </c>
      <c r="F6" s="2" t="inlineStr">
        <is>
          <t>Verification &amp; Defence</t>
        </is>
      </c>
      <c r="G6" s="2" t="inlineStr">
        <is>
          <t>Ability of students to explain, defend and interrogate their own work.</t>
        </is>
      </c>
      <c r="H6" s="2" t="inlineStr">
        <is>
          <t>Assessment samples + rubric review + evidence triangulation</t>
        </is>
      </c>
      <c r="I6" s="2" t="inlineStr">
        <is>
          <t>High</t>
        </is>
      </c>
      <c r="J6" s="2" t="inlineStr">
        <is>
          <t>Integrated master; D01-D03 baseline retained; D04-D11 integrated from domain matrices.</t>
        </is>
      </c>
    </row>
    <row r="7">
      <c r="A7" s="2" t="inlineStr">
        <is>
          <t>D07</t>
        </is>
      </c>
      <c r="B7" s="2" t="inlineStr">
        <is>
          <t>Learning, Assessment &amp; Evidence of Capability</t>
        </is>
      </c>
      <c r="C7" s="2" t="inlineStr">
        <is>
          <t>C06</t>
        </is>
      </c>
      <c r="D7" s="2" t="inlineStr">
        <is>
          <t>Feedback</t>
        </is>
      </c>
      <c r="E7" s="2" t="inlineStr">
        <is>
          <t>I06</t>
        </is>
      </c>
      <c r="F7" s="2" t="inlineStr">
        <is>
          <t>Feedback Intelligence</t>
        </is>
      </c>
      <c r="G7" s="2" t="inlineStr">
        <is>
          <t>Use of feedback to improve capability rather than merely correct answers.</t>
        </is>
      </c>
      <c r="H7" s="2" t="inlineStr">
        <is>
          <t>Assessment samples + rubric review + evidence triangulation</t>
        </is>
      </c>
      <c r="I7" s="2" t="inlineStr">
        <is>
          <t>High</t>
        </is>
      </c>
      <c r="J7" s="2" t="inlineStr">
        <is>
          <t>Integrated master; D01-D03 baseline retained; D04-D11 integrated from domain matrices.</t>
        </is>
      </c>
    </row>
    <row r="8">
      <c r="A8" s="2" t="inlineStr">
        <is>
          <t>D07</t>
        </is>
      </c>
      <c r="B8" s="2" t="inlineStr">
        <is>
          <t>Learning, Assessment &amp; Evidence of Capability</t>
        </is>
      </c>
      <c r="C8" s="2" t="inlineStr">
        <is>
          <t>C07</t>
        </is>
      </c>
      <c r="D8" s="2" t="inlineStr">
        <is>
          <t>Learning Evidence</t>
        </is>
      </c>
      <c r="E8" s="2" t="inlineStr">
        <is>
          <t>I07</t>
        </is>
      </c>
      <c r="F8" s="2" t="inlineStr">
        <is>
          <t>Evidence of Learning</t>
        </is>
      </c>
      <c r="G8" s="2" t="inlineStr">
        <is>
          <t>Quality of institutional evidence showing that intended learning actually occurred.</t>
        </is>
      </c>
      <c r="H8" s="2" t="inlineStr">
        <is>
          <t>Assessment samples + rubric review + evidence triangulation</t>
        </is>
      </c>
      <c r="I8" s="2" t="inlineStr">
        <is>
          <t>High</t>
        </is>
      </c>
      <c r="J8" s="2" t="inlineStr">
        <is>
          <t>Integrated master; D01-D03 baseline retained; D04-D11 integrated from domain matrices.</t>
        </is>
      </c>
    </row>
    <row r="9">
      <c r="A9" s="2" t="inlineStr">
        <is>
          <t>D07</t>
        </is>
      </c>
      <c r="B9" s="2" t="inlineStr">
        <is>
          <t>Learning, Assessment &amp; Evidence of Capability</t>
        </is>
      </c>
      <c r="C9" s="2" t="inlineStr">
        <is>
          <t>C08</t>
        </is>
      </c>
      <c r="D9" s="2" t="inlineStr">
        <is>
          <t>Outcome Measurement</t>
        </is>
      </c>
      <c r="E9" s="2" t="inlineStr">
        <is>
          <t>I08</t>
        </is>
      </c>
      <c r="F9" s="2" t="inlineStr">
        <is>
          <t>Capability Outcome Measurement</t>
        </is>
      </c>
      <c r="G9" s="2" t="inlineStr">
        <is>
          <t>Extent to which learning outcomes are measured with meaningful evidence.</t>
        </is>
      </c>
      <c r="H9" s="2" t="inlineStr">
        <is>
          <t>Assessment samples + rubric review + evidence triangulation</t>
        </is>
      </c>
      <c r="I9" s="2" t="inlineStr">
        <is>
          <t>High</t>
        </is>
      </c>
      <c r="J9" s="2" t="inlineStr">
        <is>
          <t>Integrated master; D01-D03 baseline retained; D04-D11 integrated from domain matrices.</t>
        </is>
      </c>
    </row>
    <row r="10">
      <c r="A10" s="2" t="inlineStr">
        <is>
          <t>D07</t>
        </is>
      </c>
      <c r="B10" s="2" t="inlineStr">
        <is>
          <t>Learning, Assessment &amp; Evidence of Capability</t>
        </is>
      </c>
      <c r="C10" s="2" t="inlineStr">
        <is>
          <t>C09</t>
        </is>
      </c>
      <c r="D10" s="2" t="inlineStr">
        <is>
          <t>Assessment Equity</t>
        </is>
      </c>
      <c r="E10" s="2" t="inlineStr">
        <is>
          <t>I09</t>
        </is>
      </c>
      <c r="F10" s="2" t="inlineStr">
        <is>
          <t>Assessment Equity &amp; Access</t>
        </is>
      </c>
      <c r="G10" s="2" t="inlineStr">
        <is>
          <t>Ability to assess capability fairly across diverse student contexts and access conditions.</t>
        </is>
      </c>
      <c r="H10" s="2" t="inlineStr">
        <is>
          <t>Assessment samples + rubric review + evidence triangulation</t>
        </is>
      </c>
      <c r="I10" s="2" t="inlineStr">
        <is>
          <t>High</t>
        </is>
      </c>
      <c r="J10" s="2" t="inlineStr">
        <is>
          <t>Integrated master; D01-D03 baseline retained; D04-D11 integrated from domain matrices.</t>
        </is>
      </c>
    </row>
    <row r="11">
      <c r="A11" s="2" t="inlineStr">
        <is>
          <t>D07</t>
        </is>
      </c>
      <c r="B11" s="2" t="inlineStr">
        <is>
          <t>Learning, Assessment &amp; Evidence of Capability</t>
        </is>
      </c>
      <c r="C11" s="2" t="inlineStr">
        <is>
          <t>C10</t>
        </is>
      </c>
      <c r="D11" s="2" t="inlineStr">
        <is>
          <t>Assessment Governance</t>
        </is>
      </c>
      <c r="E11" s="2" t="inlineStr">
        <is>
          <t>I10</t>
        </is>
      </c>
      <c r="F11" s="2" t="inlineStr">
        <is>
          <t>Assessment Governance</t>
        </is>
      </c>
      <c r="G11" s="2" t="inlineStr">
        <is>
          <t>Institutional oversight of assessment quality, integrity and consistency.</t>
        </is>
      </c>
      <c r="H11" s="2" t="inlineStr">
        <is>
          <t>Assessment samples + rubric review + evidence triangulation</t>
        </is>
      </c>
      <c r="I11" s="2" t="inlineStr">
        <is>
          <t>Very High</t>
        </is>
      </c>
      <c r="J11" s="2" t="inlineStr">
        <is>
          <t>Integrated master; D01-D03 baseline retained; D04-D11 integrated from domain matrices.</t>
        </is>
      </c>
    </row>
    <row r="12">
      <c r="A12" s="2" t="inlineStr">
        <is>
          <t>D07</t>
        </is>
      </c>
      <c r="B12" s="2" t="inlineStr">
        <is>
          <t>Learning, Assessment &amp; Evidence of Capability</t>
        </is>
      </c>
      <c r="C12" s="2" t="inlineStr">
        <is>
          <t>C11</t>
        </is>
      </c>
      <c r="D12" s="2" t="inlineStr">
        <is>
          <t>Assessment Innovation</t>
        </is>
      </c>
      <c r="E12" s="2" t="inlineStr">
        <is>
          <t>I11</t>
        </is>
      </c>
      <c r="F12" s="2" t="inlineStr">
        <is>
          <t>Assessment Innovation</t>
        </is>
      </c>
      <c r="G12" s="2" t="inlineStr">
        <is>
          <t>Ability to experiment with and evaluate new assessment models.</t>
        </is>
      </c>
      <c r="H12" s="2" t="inlineStr">
        <is>
          <t>Assessment samples + rubric review + evidence triangulation</t>
        </is>
      </c>
      <c r="I12" s="2" t="inlineStr">
        <is>
          <t>High</t>
        </is>
      </c>
      <c r="J12" s="2" t="inlineStr">
        <is>
          <t>Integrated master; D01-D03 baseline retained; D04-D11 integrated from domain matrices.</t>
        </is>
      </c>
    </row>
    <row r="13">
      <c r="A13" s="2" t="inlineStr">
        <is>
          <t>D07</t>
        </is>
      </c>
      <c r="B13" s="2" t="inlineStr">
        <is>
          <t>Learning, Assessment &amp; Evidence of Capability</t>
        </is>
      </c>
      <c r="C13" s="2" t="inlineStr">
        <is>
          <t>C12</t>
        </is>
      </c>
      <c r="D13" s="2" t="inlineStr">
        <is>
          <t>Learning Analytics</t>
        </is>
      </c>
      <c r="E13" s="2" t="inlineStr">
        <is>
          <t>I12</t>
        </is>
      </c>
      <c r="F13" s="2" t="inlineStr">
        <is>
          <t>Learning Evidence Analytics</t>
        </is>
      </c>
      <c r="G13" s="2" t="inlineStr">
        <is>
          <t>Use of data to identify capability gaps and improve learning design.</t>
        </is>
      </c>
      <c r="H13" s="2" t="inlineStr">
        <is>
          <t>Assessment samples + rubric review + evidence triangulation</t>
        </is>
      </c>
      <c r="I13" s="2" t="inlineStr">
        <is>
          <t>High</t>
        </is>
      </c>
      <c r="J13" s="2" t="inlineStr">
        <is>
          <t>Integrated master; D01-D03 baseline retained; D04-D11 integrated from domain matrices.</t>
        </is>
      </c>
    </row>
  </sheetData>
  <autoFilter ref="A1:J13"/>
  <pageMargins left="0.7" right="0.7" top="0.75" bottom="0.75" header="0.3" footer="0.3"/>
</worksheet>
</file>

<file path=xl/worksheets/sheet90.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24" t="inlineStr">
        <is>
          <t>Domain</t>
        </is>
      </c>
      <c r="B1" s="24" t="inlineStr">
        <is>
          <t>Card ID</t>
        </is>
      </c>
      <c r="C1" s="24" t="inlineStr">
        <is>
          <t>Assessment Card</t>
        </is>
      </c>
      <c r="D1" s="24" t="inlineStr">
        <is>
          <t>Input / Response Format</t>
        </is>
      </c>
      <c r="E1" s="24" t="inlineStr">
        <is>
          <t>Purpose / Respondent Action</t>
        </is>
      </c>
      <c r="F1" s="24" t="inlineStr">
        <is>
          <t>Metric Link</t>
        </is>
      </c>
    </row>
    <row r="2">
      <c r="A2" s="2" t="inlineStr">
        <is>
          <t>D07</t>
        </is>
      </c>
      <c r="B2" s="2" t="inlineStr">
        <is>
          <t>D07.1</t>
        </is>
      </c>
      <c r="C2" s="2" t="inlineStr">
        <is>
          <t>Assessment Reality Test</t>
        </is>
      </c>
      <c r="D2" s="2" t="inlineStr">
        <is>
          <t>Structured assessment card</t>
        </is>
      </c>
      <c r="E2" s="2" t="inlineStr">
        <is>
          <t>Across representative programmes, what do students actually have to demonstrate to complete major assessments?</t>
        </is>
      </c>
      <c r="F2" s="2" t="inlineStr">
        <is>
          <t>I01/I02/I03</t>
        </is>
      </c>
    </row>
    <row r="3">
      <c r="A3" s="2" t="inlineStr">
        <is>
          <t>D07</t>
        </is>
      </c>
      <c r="B3" s="2" t="inlineStr">
        <is>
          <t>D07.2</t>
        </is>
      </c>
      <c r="C3" s="2" t="inlineStr">
        <is>
          <t>AI Substitution Test</t>
        </is>
      </c>
      <c r="D3" s="2" t="inlineStr">
        <is>
          <t>Structured assessment card</t>
        </is>
      </c>
      <c r="E3" s="2" t="inlineStr">
        <is>
          <t>If generative AI could produce a plausible answer to a major assessment today, what would still make the assessment academically meaningful?</t>
        </is>
      </c>
      <c r="F3" s="2" t="inlineStr">
        <is>
          <t>I04/I05</t>
        </is>
      </c>
    </row>
    <row r="4">
      <c r="A4" s="2" t="inlineStr">
        <is>
          <t>D07</t>
        </is>
      </c>
      <c r="B4" s="2" t="inlineStr">
        <is>
          <t>D07.3</t>
        </is>
      </c>
      <c r="C4" s="2" t="inlineStr">
        <is>
          <t>Capability Proof Test</t>
        </is>
      </c>
      <c r="D4" s="2" t="inlineStr">
        <is>
          <t>Structured assessment card</t>
        </is>
      </c>
      <c r="E4" s="2" t="inlineStr">
        <is>
          <t>How does the institution know that students possess the capabilities its programmes say they develop?</t>
        </is>
      </c>
      <c r="F4" s="2" t="inlineStr">
        <is>
          <t>I07/I08</t>
        </is>
      </c>
    </row>
    <row r="5">
      <c r="A5" s="2" t="inlineStr">
        <is>
          <t>D07</t>
        </is>
      </c>
      <c r="B5" s="2" t="inlineStr">
        <is>
          <t>D07.4</t>
        </is>
      </c>
      <c r="C5" s="2" t="inlineStr">
        <is>
          <t>Unfamiliar Problem Test</t>
        </is>
      </c>
      <c r="D5" s="2" t="inlineStr">
        <is>
          <t>Structured assessment card</t>
        </is>
      </c>
      <c r="E5" s="2" t="inlineStr">
        <is>
          <t>How often are students asked to solve unfamiliar or ambiguous problems where there is no prepared model answer?</t>
        </is>
      </c>
      <c r="F5" s="2" t="inlineStr">
        <is>
          <t>I03/I02</t>
        </is>
      </c>
    </row>
    <row r="6">
      <c r="A6" s="2" t="inlineStr">
        <is>
          <t>D07</t>
        </is>
      </c>
      <c r="B6" s="2" t="inlineStr">
        <is>
          <t>D07.5</t>
        </is>
      </c>
      <c r="C6" s="2" t="inlineStr">
        <is>
          <t>Assessment Learning Loop</t>
        </is>
      </c>
      <c r="D6" s="2" t="inlineStr">
        <is>
          <t>Structured assessment card</t>
        </is>
      </c>
      <c r="E6" s="2" t="inlineStr">
        <is>
          <t>When assessment evidence shows students are weak in an important capability, what normally happens?</t>
        </is>
      </c>
      <c r="F6" s="2" t="inlineStr">
        <is>
          <t>I06/I09/I11</t>
        </is>
      </c>
    </row>
  </sheetData>
  <autoFilter ref="A1:F6"/>
  <pageMargins left="0.7" right="0.7" top="0.75" bottom="0.75" header="0.3" footer="0.3"/>
</worksheet>
</file>

<file path=xl/worksheets/sheet91.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24" t="inlineStr">
        <is>
          <t>Domain</t>
        </is>
      </c>
      <c r="B1" s="24" t="inlineStr">
        <is>
          <t>Question ID</t>
        </is>
      </c>
      <c r="C1" s="24" t="inlineStr">
        <is>
          <t>Card</t>
        </is>
      </c>
      <c r="D1" s="24" t="inlineStr">
        <is>
          <t>Prompt</t>
        </is>
      </c>
      <c r="E1" s="24" t="inlineStr">
        <is>
          <t>Input Type</t>
        </is>
      </c>
      <c r="F1" s="24" t="inlineStr">
        <is>
          <t>Role</t>
        </is>
      </c>
      <c r="G1" s="24" t="inlineStr">
        <is>
          <t>Metric Link</t>
        </is>
      </c>
    </row>
    <row r="2">
      <c r="A2" s="2" t="inlineStr">
        <is>
          <t>D07</t>
        </is>
      </c>
      <c r="B2" s="2" t="inlineStr">
        <is>
          <t>D07.1</t>
        </is>
      </c>
      <c r="C2" s="2" t="inlineStr">
        <is>
          <t>Assessment Reality Test</t>
        </is>
      </c>
      <c r="D2" s="2" t="inlineStr">
        <is>
          <t>Across representative programmes, what do students actually have to demonstrate to complete major assessments?</t>
        </is>
      </c>
      <c r="E2" s="2" t="inlineStr">
        <is>
          <t>Structured card response</t>
        </is>
      </c>
      <c r="F2" s="2" t="inlineStr">
        <is>
          <t>Reality/Diagnostic</t>
        </is>
      </c>
      <c r="G2" s="2" t="inlineStr">
        <is>
          <t>I01/I02/I03</t>
        </is>
      </c>
    </row>
    <row r="3">
      <c r="A3" s="2" t="inlineStr">
        <is>
          <t>D07</t>
        </is>
      </c>
      <c r="B3" s="2" t="inlineStr">
        <is>
          <t>D07.2</t>
        </is>
      </c>
      <c r="C3" s="2" t="inlineStr">
        <is>
          <t>AI Substitution Test</t>
        </is>
      </c>
      <c r="D3" s="2" t="inlineStr">
        <is>
          <t>If generative AI could produce a plausible answer to a major assessment today, what would still make the assessment academically meaningful?</t>
        </is>
      </c>
      <c r="E3" s="2" t="inlineStr">
        <is>
          <t>Structured card response</t>
        </is>
      </c>
      <c r="F3" s="2" t="inlineStr">
        <is>
          <t>Reality/Diagnostic</t>
        </is>
      </c>
      <c r="G3" s="2" t="inlineStr">
        <is>
          <t>I04/I05</t>
        </is>
      </c>
    </row>
    <row r="4">
      <c r="A4" s="2" t="inlineStr">
        <is>
          <t>D07</t>
        </is>
      </c>
      <c r="B4" s="2" t="inlineStr">
        <is>
          <t>D07.3</t>
        </is>
      </c>
      <c r="C4" s="2" t="inlineStr">
        <is>
          <t>Capability Proof Test</t>
        </is>
      </c>
      <c r="D4" s="2" t="inlineStr">
        <is>
          <t>How does the institution know that students possess the capabilities its programmes say they develop?</t>
        </is>
      </c>
      <c r="E4" s="2" t="inlineStr">
        <is>
          <t>Structured card response</t>
        </is>
      </c>
      <c r="F4" s="2" t="inlineStr">
        <is>
          <t>Reality/Diagnostic</t>
        </is>
      </c>
      <c r="G4" s="2" t="inlineStr">
        <is>
          <t>I07/I08</t>
        </is>
      </c>
    </row>
    <row r="5">
      <c r="A5" s="2" t="inlineStr">
        <is>
          <t>D07</t>
        </is>
      </c>
      <c r="B5" s="2" t="inlineStr">
        <is>
          <t>D07.4</t>
        </is>
      </c>
      <c r="C5" s="2" t="inlineStr">
        <is>
          <t>Unfamiliar Problem Test</t>
        </is>
      </c>
      <c r="D5" s="2" t="inlineStr">
        <is>
          <t>How often are students asked to solve unfamiliar or ambiguous problems where there is no prepared model answer?</t>
        </is>
      </c>
      <c r="E5" s="2" t="inlineStr">
        <is>
          <t>Structured card response</t>
        </is>
      </c>
      <c r="F5" s="2" t="inlineStr">
        <is>
          <t>Reality/Diagnostic</t>
        </is>
      </c>
      <c r="G5" s="2" t="inlineStr">
        <is>
          <t>I03/I02</t>
        </is>
      </c>
    </row>
    <row r="6">
      <c r="A6" s="2" t="inlineStr">
        <is>
          <t>D07</t>
        </is>
      </c>
      <c r="B6" s="2" t="inlineStr">
        <is>
          <t>D07.5</t>
        </is>
      </c>
      <c r="C6" s="2" t="inlineStr">
        <is>
          <t>Assessment Learning Loop</t>
        </is>
      </c>
      <c r="D6" s="2" t="inlineStr">
        <is>
          <t>When assessment evidence shows students are weak in an important capability, what normally happens?</t>
        </is>
      </c>
      <c r="E6" s="2" t="inlineStr">
        <is>
          <t>Structured card response</t>
        </is>
      </c>
      <c r="F6" s="2" t="inlineStr">
        <is>
          <t>Diagnostic</t>
        </is>
      </c>
      <c r="G6" s="2" t="inlineStr">
        <is>
          <t>I06/I09/I11</t>
        </is>
      </c>
    </row>
  </sheetData>
  <autoFilter ref="A1:G6"/>
  <pageMargins left="0.7" right="0.7" top="0.75" bottom="0.75" header="0.3" footer="0.3"/>
</worksheet>
</file>

<file path=xl/worksheets/sheet92.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24" t="inlineStr">
        <is>
          <t>Domain</t>
        </is>
      </c>
      <c r="B1" s="24" t="inlineStr">
        <is>
          <t>Evidence ID</t>
        </is>
      </c>
      <c r="C1" s="24" t="inlineStr">
        <is>
          <t>Evidence Item</t>
        </is>
      </c>
      <c r="D1" s="24" t="inlineStr">
        <is>
          <t>Quantity / Sampling</t>
        </is>
      </c>
      <c r="E1" s="24" t="inlineStr">
        <is>
          <t>Requirement</t>
        </is>
      </c>
      <c r="F1" s="24" t="inlineStr">
        <is>
          <t>Metric Link</t>
        </is>
      </c>
      <c r="G1" s="24" t="inlineStr">
        <is>
          <t>Source / Basis</t>
        </is>
      </c>
    </row>
    <row r="2">
      <c r="A2" s="2" t="inlineStr">
        <is>
          <t>D07</t>
        </is>
      </c>
      <c r="B2" s="2" t="inlineStr">
        <is>
          <t>E01</t>
        </is>
      </c>
      <c r="C2" s="2" t="inlineStr">
        <is>
          <t>Representative evidence supporting Assessment Reality Test</t>
        </is>
      </c>
      <c r="D2" s="2" t="inlineStr">
        <is>
          <t>As triggered by assessment branch</t>
        </is>
      </c>
      <c r="E2" s="2" t="inlineStr">
        <is>
          <t>Higher maturity / verification claims require supporting evidence; exact quantity determined adaptively</t>
        </is>
      </c>
      <c r="F2" s="2" t="inlineStr">
        <is>
          <t>I01/I02/I03</t>
        </is>
      </c>
      <c r="G2" s="2" t="inlineStr">
        <is>
          <t>Engine-design evidence rule derived from assessment card</t>
        </is>
      </c>
    </row>
    <row r="3">
      <c r="A3" s="2" t="inlineStr">
        <is>
          <t>D07</t>
        </is>
      </c>
      <c r="B3" s="2" t="inlineStr">
        <is>
          <t>E02</t>
        </is>
      </c>
      <c r="C3" s="2" t="inlineStr">
        <is>
          <t>Representative evidence supporting AI Substitution Test</t>
        </is>
      </c>
      <c r="D3" s="2" t="inlineStr">
        <is>
          <t>As triggered by assessment branch</t>
        </is>
      </c>
      <c r="E3" s="2" t="inlineStr">
        <is>
          <t>Higher maturity / verification claims require supporting evidence; exact quantity determined adaptively</t>
        </is>
      </c>
      <c r="F3" s="2" t="inlineStr">
        <is>
          <t>I04/I05</t>
        </is>
      </c>
      <c r="G3" s="2" t="inlineStr">
        <is>
          <t>Engine-design evidence rule derived from assessment card</t>
        </is>
      </c>
    </row>
    <row r="4">
      <c r="A4" s="2" t="inlineStr">
        <is>
          <t>D07</t>
        </is>
      </c>
      <c r="B4" s="2" t="inlineStr">
        <is>
          <t>E03</t>
        </is>
      </c>
      <c r="C4" s="2" t="inlineStr">
        <is>
          <t>Representative evidence supporting Capability Proof Test</t>
        </is>
      </c>
      <c r="D4" s="2" t="inlineStr">
        <is>
          <t>As triggered by assessment branch</t>
        </is>
      </c>
      <c r="E4" s="2" t="inlineStr">
        <is>
          <t>Higher maturity / verification claims require supporting evidence; exact quantity determined adaptively</t>
        </is>
      </c>
      <c r="F4" s="2" t="inlineStr">
        <is>
          <t>I07/I08</t>
        </is>
      </c>
      <c r="G4" s="2" t="inlineStr">
        <is>
          <t>Engine-design evidence rule derived from assessment card</t>
        </is>
      </c>
    </row>
    <row r="5">
      <c r="A5" s="2" t="inlineStr">
        <is>
          <t>D07</t>
        </is>
      </c>
      <c r="B5" s="2" t="inlineStr">
        <is>
          <t>E04</t>
        </is>
      </c>
      <c r="C5" s="2" t="inlineStr">
        <is>
          <t>Representative evidence supporting Unfamiliar Problem Test</t>
        </is>
      </c>
      <c r="D5" s="2" t="inlineStr">
        <is>
          <t>As triggered by assessment branch</t>
        </is>
      </c>
      <c r="E5" s="2" t="inlineStr">
        <is>
          <t>Higher maturity / verification claims require supporting evidence; exact quantity determined adaptively</t>
        </is>
      </c>
      <c r="F5" s="2" t="inlineStr">
        <is>
          <t>I03/I02</t>
        </is>
      </c>
      <c r="G5" s="2" t="inlineStr">
        <is>
          <t>Engine-design evidence rule derived from assessment card</t>
        </is>
      </c>
    </row>
    <row r="6">
      <c r="A6" s="2" t="inlineStr">
        <is>
          <t>D07</t>
        </is>
      </c>
      <c r="B6" s="2" t="inlineStr">
        <is>
          <t>E05</t>
        </is>
      </c>
      <c r="C6" s="2" t="inlineStr">
        <is>
          <t>Representative evidence supporting Assessment Learning Loop</t>
        </is>
      </c>
      <c r="D6" s="2" t="inlineStr">
        <is>
          <t>As triggered by assessment branch</t>
        </is>
      </c>
      <c r="E6" s="2" t="inlineStr">
        <is>
          <t>Higher maturity / verification claims require supporting evidence; exact quantity determined adaptively</t>
        </is>
      </c>
      <c r="F6" s="2" t="inlineStr">
        <is>
          <t>I06/I09/I11</t>
        </is>
      </c>
      <c r="G6" s="2" t="inlineStr">
        <is>
          <t>Engine-design evidence rule derived from assessment card</t>
        </is>
      </c>
    </row>
  </sheetData>
  <autoFilter ref="A1:G6"/>
  <pageMargins left="0.7" right="0.7" top="0.75" bottom="0.75" header="0.3" footer="0.3"/>
</worksheet>
</file>

<file path=xl/worksheets/sheet93.xml><?xml version="1.0" encoding="utf-8"?>
<worksheet xmlns="http://schemas.openxmlformats.org/spreadsheetml/2006/main">
  <sheetPr>
    <outlinePr summaryBelow="1" summaryRight="1"/>
    <pageSetUpPr/>
  </sheetPr>
  <dimension ref="A1:G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24" t="inlineStr">
        <is>
          <t>Domain</t>
        </is>
      </c>
      <c r="B1" s="24" t="inlineStr">
        <is>
          <t>Data ID</t>
        </is>
      </c>
      <c r="C1" s="24" t="inlineStr">
        <is>
          <t>Institutional Data Item</t>
        </is>
      </c>
      <c r="D1" s="24" t="inlineStr">
        <is>
          <t>Input Type</t>
        </is>
      </c>
      <c r="E1" s="24" t="inlineStr">
        <is>
          <t>Requirement</t>
        </is>
      </c>
      <c r="F1" s="24" t="inlineStr">
        <is>
          <t>Metric / Use</t>
        </is>
      </c>
      <c r="G1" s="24" t="inlineStr">
        <is>
          <t>Status</t>
        </is>
      </c>
    </row>
    <row r="2">
      <c r="A2" s="2" t="inlineStr">
        <is>
          <t>D07</t>
        </is>
      </c>
      <c r="B2" s="2" t="inlineStr">
        <is>
          <t>D07-D01</t>
        </is>
      </c>
      <c r="C2" s="2" t="inlineStr">
        <is>
          <t>Representative institutional data supporting Assessment Design Maturity</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D07</t>
        </is>
      </c>
      <c r="B3" s="2" t="inlineStr">
        <is>
          <t>D07-D02</t>
        </is>
      </c>
      <c r="C3" s="2" t="inlineStr">
        <is>
          <t>Representative institutional data supporting Cognitive Demonstration Depth</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D07</t>
        </is>
      </c>
      <c r="B4" s="2" t="inlineStr">
        <is>
          <t>D07-D03</t>
        </is>
      </c>
      <c r="C4" s="2" t="inlineStr">
        <is>
          <t>Representative institutional data supporting Authenticity of Demonstration</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D07</t>
        </is>
      </c>
      <c r="B5" s="2" t="inlineStr">
        <is>
          <t>D07-D04</t>
        </is>
      </c>
      <c r="C5" s="2" t="inlineStr">
        <is>
          <t>Representative institutional data supporting AI-Aware Assessment Maturity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D07</t>
        </is>
      </c>
      <c r="B6" s="2" t="inlineStr">
        <is>
          <t>D07-D05</t>
        </is>
      </c>
      <c r="C6" s="2" t="inlineStr">
        <is>
          <t>Representative institutional data supporting Verification &amp; Defence</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D07</t>
        </is>
      </c>
      <c r="B7" s="2" t="inlineStr">
        <is>
          <t>D07-D06</t>
        </is>
      </c>
      <c r="C7" s="2" t="inlineStr">
        <is>
          <t>Representative institutional data supporting Feedback Intelligence</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D07</t>
        </is>
      </c>
      <c r="B8" s="2" t="inlineStr">
        <is>
          <t>D07-D07</t>
        </is>
      </c>
      <c r="C8" s="2" t="inlineStr">
        <is>
          <t>Representative institutional data supporting Evidence of Learning</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D07</t>
        </is>
      </c>
      <c r="B9" s="2" t="inlineStr">
        <is>
          <t>D07-D08</t>
        </is>
      </c>
      <c r="C9" s="2" t="inlineStr">
        <is>
          <t>Representative institutional data supporting Capability Outcome Measurement</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D07</t>
        </is>
      </c>
      <c r="B10" s="2" t="inlineStr">
        <is>
          <t>D07-D09</t>
        </is>
      </c>
      <c r="C10" s="2" t="inlineStr">
        <is>
          <t>Representative institutional data supporting Assessment Equity &amp; Access</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D07</t>
        </is>
      </c>
      <c r="B11" s="2" t="inlineStr">
        <is>
          <t>D07-D10</t>
        </is>
      </c>
      <c r="C11" s="2" t="inlineStr">
        <is>
          <t>Representative institutional data supporting Assessment Governance</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D07</t>
        </is>
      </c>
      <c r="B12" s="2" t="inlineStr">
        <is>
          <t>D07-D11</t>
        </is>
      </c>
      <c r="C12" s="2" t="inlineStr">
        <is>
          <t>Representative institutional data supporting Assessment Innovation</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D07</t>
        </is>
      </c>
      <c r="B13" s="2" t="inlineStr">
        <is>
          <t>D07-D12</t>
        </is>
      </c>
      <c r="C13" s="2" t="inlineStr">
        <is>
          <t>Representative institutional data supporting Learning Evidence Analytics</t>
        </is>
      </c>
      <c r="D13" s="2" t="inlineStr">
        <is>
          <t>Number / structured input / evidence as applicable</t>
        </is>
      </c>
      <c r="E13" s="2" t="inlineStr">
        <is>
          <t>To be determined by adaptive branch</t>
        </is>
      </c>
      <c r="F13" s="2" t="inlineStr">
        <is>
          <t>I12</t>
        </is>
      </c>
      <c r="G13" s="2" t="inlineStr">
        <is>
          <t>Engine-design input; calibration required</t>
        </is>
      </c>
    </row>
  </sheetData>
  <autoFilter ref="A1:G13"/>
  <pageMargins left="0.7" right="0.7" top="0.75" bottom="0.75" header="0.3" footer="0.3"/>
</worksheet>
</file>

<file path=xl/worksheets/sheet94.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24" t="inlineStr">
        <is>
          <t>Check ID</t>
        </is>
      </c>
      <c r="B1" s="24" t="inlineStr">
        <is>
          <t>Check</t>
        </is>
      </c>
      <c r="C1" s="24" t="inlineStr">
        <is>
          <t>Rule</t>
        </is>
      </c>
      <c r="D1" s="24" t="inlineStr">
        <is>
          <t>Type</t>
        </is>
      </c>
    </row>
    <row r="2">
      <c r="A2" s="2" t="inlineStr">
        <is>
          <t>D07-QA01</t>
        </is>
      </c>
      <c r="B2" s="2" t="inlineStr">
        <is>
          <t>Programme counts</t>
        </is>
      </c>
      <c r="C2" s="2" t="inlineStr">
        <is>
          <t>Modified &lt;= reviewed &lt;= active</t>
        </is>
      </c>
      <c r="D2" s="2" t="inlineStr">
        <is>
          <t>Hard validation</t>
        </is>
      </c>
    </row>
    <row r="3">
      <c r="A3" s="2" t="inlineStr">
        <is>
          <t>D07-QA02</t>
        </is>
      </c>
      <c r="B3" s="2" t="inlineStr">
        <is>
          <t>Pilot counts</t>
        </is>
      </c>
      <c r="C3" s="2" t="inlineStr">
        <is>
          <t>Evaluated &lt;= conducted; scaled/stopped &lt;= evaluated</t>
        </is>
      </c>
      <c r="D3" s="2" t="inlineStr">
        <is>
          <t>Hard validation</t>
        </is>
      </c>
    </row>
    <row r="4">
      <c r="A4" s="2" t="inlineStr">
        <is>
          <t>D07-QA03</t>
        </is>
      </c>
      <c r="B4" s="2" t="inlineStr">
        <is>
          <t>Data counts</t>
        </is>
      </c>
      <c r="C4" s="2" t="inlineStr">
        <is>
          <t>Privacy-reviewed &lt;= data-processing &lt;= approved tools</t>
        </is>
      </c>
      <c r="D4" s="2" t="inlineStr">
        <is>
          <t>Hard validation</t>
        </is>
      </c>
    </row>
    <row r="5">
      <c r="A5" s="2" t="inlineStr">
        <is>
          <t>D07-QA04</t>
        </is>
      </c>
      <c r="B5" s="2" t="inlineStr">
        <is>
          <t>No policy inflation</t>
        </is>
      </c>
      <c r="C5" s="2" t="inlineStr">
        <is>
          <t>Policy existence alone cannot create high maturity</t>
        </is>
      </c>
      <c r="D5" s="2" t="inlineStr">
        <is>
          <t>Scoring rule</t>
        </is>
      </c>
    </row>
    <row r="6">
      <c r="A6" s="2" t="inlineStr">
        <is>
          <t>D07-QA05</t>
        </is>
      </c>
      <c r="B6" s="2" t="inlineStr">
        <is>
          <t>Context fairness</t>
        </is>
      </c>
      <c r="C6" s="2" t="inlineStr">
        <is>
          <t>Required maturity reflects mission, scale, resources, exposure</t>
        </is>
      </c>
      <c r="D6" s="2" t="inlineStr">
        <is>
          <t>Scoring rule</t>
        </is>
      </c>
    </row>
    <row r="7">
      <c r="A7" s="2" t="inlineStr">
        <is>
          <t>D07-QA06</t>
        </is>
      </c>
      <c r="B7" s="2" t="inlineStr">
        <is>
          <t>Non-technical fairness</t>
        </is>
      </c>
      <c r="C7" s="2" t="inlineStr">
        <is>
          <t>Assess discipline relevance, not coding/technical AI</t>
        </is>
      </c>
      <c r="D7" s="2" t="inlineStr">
        <is>
          <t>Scoring rule</t>
        </is>
      </c>
    </row>
    <row r="8">
      <c r="A8" s="2" t="inlineStr">
        <is>
          <t>D07-QA07</t>
        </is>
      </c>
      <c r="B8" s="2" t="inlineStr">
        <is>
          <t>No outcome fabrication</t>
        </is>
      </c>
      <c r="C8" s="2" t="inlineStr">
        <is>
          <t>N/A accepted where outcome measurement legitimately unavailable</t>
        </is>
      </c>
      <c r="D8" s="2" t="inlineStr">
        <is>
          <t>Scoring rule</t>
        </is>
      </c>
    </row>
    <row r="9">
      <c r="A9" s="2" t="inlineStr">
        <is>
          <t>D07-QA08</t>
        </is>
      </c>
      <c r="B9" s="2" t="inlineStr">
        <is>
          <t>Representative sampling</t>
        </is>
      </c>
      <c r="C9" s="2" t="inlineStr">
        <is>
          <t>Evidence requests stay limited to high-value samples</t>
        </is>
      </c>
      <c r="D9" s="2" t="inlineStr">
        <is>
          <t>UX rule</t>
        </is>
      </c>
    </row>
    <row r="10">
      <c r="A10" s="2" t="inlineStr">
        <is>
          <t>D07-D03</t>
        </is>
      </c>
      <c r="B10" s="2" t="inlineStr">
        <is>
          <t>Discipline coverage</t>
        </is>
      </c>
      <c r="C10" s="2" t="inlineStr">
        <is>
          <t>Expanded to health, pharmacy, media, humanities, professional, technical and interdisciplinary pathways.</t>
        </is>
      </c>
      <c r="D10" s="2" t="inlineStr">
        <is>
          <t>Pass</t>
        </is>
      </c>
    </row>
    <row r="11">
      <c r="A11" s="2" t="inlineStr">
        <is>
          <t>D07-D04-D06</t>
        </is>
      </c>
      <c r="B11" s="2" t="inlineStr">
        <is>
          <t>Architecture completeness</t>
        </is>
      </c>
      <c r="C11" s="2" t="inlineStr">
        <is>
          <t>Each domain has capabilities, metrics, assessment cards, 5 core questions and maturity anchors.</t>
        </is>
      </c>
      <c r="D11" s="2" t="inlineStr">
        <is>
          <t>Pass</t>
        </is>
      </c>
    </row>
    <row r="12">
      <c r="A12" s="2" t="inlineStr">
        <is>
          <t>D07-All</t>
        </is>
      </c>
      <c r="B12" s="2" t="inlineStr">
        <is>
          <t>Context calibration</t>
        </is>
      </c>
      <c r="C12" s="2" t="inlineStr">
        <is>
          <t>Institution context changes proportionality and branching, not the integrity standard.</t>
        </is>
      </c>
      <c r="D12" s="2" t="inlineStr">
        <is>
          <t>Pass</t>
        </is>
      </c>
    </row>
    <row r="13">
      <c r="A13" s="2" t="inlineStr">
        <is>
          <t>D07-All</t>
        </is>
      </c>
      <c r="B13" s="2" t="inlineStr">
        <is>
          <t>Reality gradient</t>
        </is>
      </c>
      <c r="C13" s="2" t="inlineStr">
        <is>
          <t>Claim→practice→evidence→outcome→adaptation captured separately from maturity.</t>
        </is>
      </c>
      <c r="D13" s="2" t="inlineStr">
        <is>
          <t>Pass</t>
        </is>
      </c>
    </row>
    <row r="14">
      <c r="A14" s="2" t="inlineStr">
        <is>
          <t>D07-QA-DOM01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D07-QA-DOM02</t>
        </is>
      </c>
      <c r="B15" s="2" t="inlineStr">
        <is>
          <t>Question/card coverage</t>
        </is>
      </c>
      <c r="C15" s="2" t="inlineStr">
        <is>
          <t>Every assessment card and question must map to at least one metric.</t>
        </is>
      </c>
      <c r="D15" s="2" t="inlineStr">
        <is>
          <t>Structural</t>
        </is>
      </c>
    </row>
    <row r="16">
      <c r="A16" s="2" t="inlineStr">
        <is>
          <t>D07-QA-DOM03</t>
        </is>
      </c>
      <c r="B16" s="2" t="inlineStr">
        <is>
          <t>Evidence traceability</t>
        </is>
      </c>
      <c r="C16" s="2" t="inlineStr">
        <is>
          <t>High-maturity claims must have an evidence path or an explicit evidence-gap flag.</t>
        </is>
      </c>
      <c r="D16" s="2" t="inlineStr">
        <is>
          <t>Scoring</t>
        </is>
      </c>
    </row>
    <row r="17">
      <c r="A17" s="2" t="inlineStr">
        <is>
          <t>D07-QA-DOM04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95.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24" t="inlineStr">
        <is>
          <t>Domain</t>
        </is>
      </c>
      <c r="B1" s="24" t="inlineStr">
        <is>
          <t>Domain Name</t>
        </is>
      </c>
      <c r="C1" s="24" t="inlineStr">
        <is>
          <t>Capability ID</t>
        </is>
      </c>
      <c r="D1" s="24" t="inlineStr">
        <is>
          <t>Capability Area</t>
        </is>
      </c>
      <c r="E1" s="24" t="inlineStr">
        <is>
          <t>Metric ID</t>
        </is>
      </c>
      <c r="F1" s="24" t="inlineStr">
        <is>
          <t>Metric</t>
        </is>
      </c>
      <c r="G1" s="24" t="inlineStr">
        <is>
          <t>What It Measures</t>
        </is>
      </c>
      <c r="H1" s="24" t="inlineStr">
        <is>
          <t>Measurement Method</t>
        </is>
      </c>
      <c r="I1" s="24" t="inlineStr">
        <is>
          <t>Exposure</t>
        </is>
      </c>
      <c r="J1" s="24" t="inlineStr">
        <is>
          <t>Source / Basis</t>
        </is>
      </c>
    </row>
    <row r="2">
      <c r="A2" s="2" t="inlineStr">
        <is>
          <t>D08</t>
        </is>
      </c>
      <c r="B2" s="2" t="inlineStr">
        <is>
          <t>Digital, Data &amp; Institutional Intelligence</t>
        </is>
      </c>
      <c r="C2" s="2" t="inlineStr">
        <is>
          <t>C01</t>
        </is>
      </c>
      <c r="D2" s="2" t="inlineStr">
        <is>
          <t>Digital Foundation</t>
        </is>
      </c>
      <c r="E2" s="2" t="inlineStr">
        <is>
          <t>I01</t>
        </is>
      </c>
      <c r="F2" s="2" t="inlineStr">
        <is>
          <t>Digital Environment Readiness</t>
        </is>
      </c>
      <c r="G2" s="2" t="inlineStr">
        <is>
          <t>Suitability of the institutional digital environment for emerging academic and administrative needs.</t>
        </is>
      </c>
      <c r="H2" s="2" t="inlineStr">
        <is>
          <t>System/data inventory + process sample + decision example</t>
        </is>
      </c>
      <c r="I2" s="2" t="inlineStr">
        <is>
          <t>High</t>
        </is>
      </c>
      <c r="J2" s="2" t="inlineStr">
        <is>
          <t>Integrated master; D01-D03 baseline retained; D04-D11 integrated from domain matrices.</t>
        </is>
      </c>
    </row>
    <row r="3">
      <c r="A3" s="2" t="inlineStr">
        <is>
          <t>D08</t>
        </is>
      </c>
      <c r="B3" s="2" t="inlineStr">
        <is>
          <t>Digital, Data &amp; Institutional Intelligence</t>
        </is>
      </c>
      <c r="C3" s="2" t="inlineStr">
        <is>
          <t>C02</t>
        </is>
      </c>
      <c r="D3" s="2" t="inlineStr">
        <is>
          <t>Data Architecture</t>
        </is>
      </c>
      <c r="E3" s="2" t="inlineStr">
        <is>
          <t>I02</t>
        </is>
      </c>
      <c r="F3" s="2" t="inlineStr">
        <is>
          <t>Institutional Data Architecture</t>
        </is>
      </c>
      <c r="G3" s="2" t="inlineStr">
        <is>
          <t>Degree to which important institutional data are structured, connected and usable.</t>
        </is>
      </c>
      <c r="H3" s="2" t="inlineStr">
        <is>
          <t>System/data inventory + process sample + decision example</t>
        </is>
      </c>
      <c r="I3" s="2" t="inlineStr">
        <is>
          <t>High</t>
        </is>
      </c>
      <c r="J3" s="2" t="inlineStr">
        <is>
          <t>Integrated master; D01-D03 baseline retained; D04-D11 integrated from domain matrices.</t>
        </is>
      </c>
    </row>
    <row r="4">
      <c r="A4" s="2" t="inlineStr">
        <is>
          <t>D08</t>
        </is>
      </c>
      <c r="B4" s="2" t="inlineStr">
        <is>
          <t>Digital, Data &amp; Institutional Intelligence</t>
        </is>
      </c>
      <c r="C4" s="2" t="inlineStr">
        <is>
          <t>C03</t>
        </is>
      </c>
      <c r="D4" s="2" t="inlineStr">
        <is>
          <t>Data Quality</t>
        </is>
      </c>
      <c r="E4" s="2" t="inlineStr">
        <is>
          <t>I03</t>
        </is>
      </c>
      <c r="F4" s="2" t="inlineStr">
        <is>
          <t>Data Quality &amp; Integrity</t>
        </is>
      </c>
      <c r="G4" s="2" t="inlineStr">
        <is>
          <t>Reliability, completeness, consistency and stewardship of institutional data.</t>
        </is>
      </c>
      <c r="H4" s="2" t="inlineStr">
        <is>
          <t>System/data inventory + process sample + decision example</t>
        </is>
      </c>
      <c r="I4" s="2" t="inlineStr">
        <is>
          <t>High</t>
        </is>
      </c>
      <c r="J4" s="2" t="inlineStr">
        <is>
          <t>Integrated master; D01-D03 baseline retained; D04-D11 integrated from domain matrices.</t>
        </is>
      </c>
    </row>
    <row r="5">
      <c r="A5" s="2" t="inlineStr">
        <is>
          <t>D08</t>
        </is>
      </c>
      <c r="B5" s="2" t="inlineStr">
        <is>
          <t>Digital, Data &amp; Institutional Intelligence</t>
        </is>
      </c>
      <c r="C5" s="2" t="inlineStr">
        <is>
          <t>C04</t>
        </is>
      </c>
      <c r="D5" s="2" t="inlineStr">
        <is>
          <t>Interoperability</t>
        </is>
      </c>
      <c r="E5" s="2" t="inlineStr">
        <is>
          <t>I04</t>
        </is>
      </c>
      <c r="F5" s="2" t="inlineStr">
        <is>
          <t>System Interoperability</t>
        </is>
      </c>
      <c r="G5" s="2" t="inlineStr">
        <is>
          <t>Ability of institutional systems to exchange and use information coherently.</t>
        </is>
      </c>
      <c r="H5" s="2" t="inlineStr">
        <is>
          <t>System/data inventory + process sample + decision example</t>
        </is>
      </c>
      <c r="I5" s="2" t="inlineStr">
        <is>
          <t>High</t>
        </is>
      </c>
      <c r="J5" s="2" t="inlineStr">
        <is>
          <t>Integrated master; D01-D03 baseline retained; D04-D11 integrated from domain matrices.</t>
        </is>
      </c>
    </row>
    <row r="6">
      <c r="A6" s="2" t="inlineStr">
        <is>
          <t>D08</t>
        </is>
      </c>
      <c r="B6" s="2" t="inlineStr">
        <is>
          <t>Digital, Data &amp; Institutional Intelligence</t>
        </is>
      </c>
      <c r="C6" s="2" t="inlineStr">
        <is>
          <t>C05</t>
        </is>
      </c>
      <c r="D6" s="2" t="inlineStr">
        <is>
          <t>Analytics</t>
        </is>
      </c>
      <c r="E6" s="2" t="inlineStr">
        <is>
          <t>I05</t>
        </is>
      </c>
      <c r="F6" s="2" t="inlineStr">
        <is>
          <t>Decision Intelligence</t>
        </is>
      </c>
      <c r="G6" s="2" t="inlineStr">
        <is>
          <t>Use of institutional data and analytics in leadership and operational decisions.</t>
        </is>
      </c>
      <c r="H6" s="2" t="inlineStr">
        <is>
          <t>System/data inventory + process sample + decision example</t>
        </is>
      </c>
      <c r="I6" s="2" t="inlineStr">
        <is>
          <t>High</t>
        </is>
      </c>
      <c r="J6" s="2" t="inlineStr">
        <is>
          <t>Integrated master; D01-D03 baseline retained; D04-D11 integrated from domain matrices.</t>
        </is>
      </c>
    </row>
    <row r="7">
      <c r="A7" s="2" t="inlineStr">
        <is>
          <t>D08</t>
        </is>
      </c>
      <c r="B7" s="2" t="inlineStr">
        <is>
          <t>Digital, Data &amp; Institutional Intelligence</t>
        </is>
      </c>
      <c r="C7" s="2" t="inlineStr">
        <is>
          <t>C06</t>
        </is>
      </c>
      <c r="D7" s="2" t="inlineStr">
        <is>
          <t>AI Enablement</t>
        </is>
      </c>
      <c r="E7" s="2" t="inlineStr">
        <is>
          <t>I06</t>
        </is>
      </c>
      <c r="F7" s="2" t="inlineStr">
        <is>
          <t>AI Enablement Readiness</t>
        </is>
      </c>
      <c r="G7" s="2" t="inlineStr">
        <is>
          <t>Whether infrastructure and data can responsibly support AI-enabled activity.</t>
        </is>
      </c>
      <c r="H7" s="2" t="inlineStr">
        <is>
          <t>System/data inventory + process sample + decision example</t>
        </is>
      </c>
      <c r="I7" s="2" t="inlineStr">
        <is>
          <t>High</t>
        </is>
      </c>
      <c r="J7" s="2" t="inlineStr">
        <is>
          <t>Integrated master; D01-D03 baseline retained; D04-D11 integrated from domain matrices.</t>
        </is>
      </c>
    </row>
    <row r="8">
      <c r="A8" s="2" t="inlineStr">
        <is>
          <t>D08</t>
        </is>
      </c>
      <c r="B8" s="2" t="inlineStr">
        <is>
          <t>Digital, Data &amp; Institutional Intelligence</t>
        </is>
      </c>
      <c r="C8" s="2" t="inlineStr">
        <is>
          <t>C07</t>
        </is>
      </c>
      <c r="D8" s="2" t="inlineStr">
        <is>
          <t>Cybersecurity</t>
        </is>
      </c>
      <c r="E8" s="2" t="inlineStr">
        <is>
          <t>I07</t>
        </is>
      </c>
      <c r="F8" s="2" t="inlineStr">
        <is>
          <t>Cyber &amp; Information Security</t>
        </is>
      </c>
      <c r="G8" s="2" t="inlineStr">
        <is>
          <t>Protection of institutional information, systems and users.</t>
        </is>
      </c>
      <c r="H8" s="2" t="inlineStr">
        <is>
          <t>System/data inventory + process sample + decision example</t>
        </is>
      </c>
      <c r="I8" s="2" t="inlineStr">
        <is>
          <t>Very High</t>
        </is>
      </c>
      <c r="J8" s="2" t="inlineStr">
        <is>
          <t>Integrated master; D01-D03 baseline retained; D04-D11 integrated from domain matrices.</t>
        </is>
      </c>
    </row>
    <row r="9">
      <c r="A9" s="2" t="inlineStr">
        <is>
          <t>D08</t>
        </is>
      </c>
      <c r="B9" s="2" t="inlineStr">
        <is>
          <t>Digital, Data &amp; Institutional Intelligence</t>
        </is>
      </c>
      <c r="C9" s="2" t="inlineStr">
        <is>
          <t>C08</t>
        </is>
      </c>
      <c r="D9" s="2" t="inlineStr">
        <is>
          <t>Privacy</t>
        </is>
      </c>
      <c r="E9" s="2" t="inlineStr">
        <is>
          <t>I08</t>
        </is>
      </c>
      <c r="F9" s="2" t="inlineStr">
        <is>
          <t>Data Privacy Readiness</t>
        </is>
      </c>
      <c r="G9" s="2" t="inlineStr">
        <is>
          <t>Controls governing sensitive student, faculty and research information.</t>
        </is>
      </c>
      <c r="H9" s="2" t="inlineStr">
        <is>
          <t>System/data inventory + process sample + decision example</t>
        </is>
      </c>
      <c r="I9" s="2" t="inlineStr">
        <is>
          <t>Very High</t>
        </is>
      </c>
      <c r="J9" s="2" t="inlineStr">
        <is>
          <t>Integrated master; D01-D03 baseline retained; D04-D11 integrated from domain matrices.</t>
        </is>
      </c>
    </row>
    <row r="10">
      <c r="A10" s="2" t="inlineStr">
        <is>
          <t>D08</t>
        </is>
      </c>
      <c r="B10" s="2" t="inlineStr">
        <is>
          <t>Digital, Data &amp; Institutional Intelligence</t>
        </is>
      </c>
      <c r="C10" s="2" t="inlineStr">
        <is>
          <t>C09</t>
        </is>
      </c>
      <c r="D10" s="2" t="inlineStr">
        <is>
          <t>Access</t>
        </is>
      </c>
      <c r="E10" s="2" t="inlineStr">
        <is>
          <t>I09</t>
        </is>
      </c>
      <c r="F10" s="2" t="inlineStr">
        <is>
          <t>Digital Equity &amp; Access</t>
        </is>
      </c>
      <c r="G10" s="2" t="inlineStr">
        <is>
          <t>Ability to provide appropriate digital/AI access across student groups.</t>
        </is>
      </c>
      <c r="H10" s="2" t="inlineStr">
        <is>
          <t>System/data inventory + process sample + decision example</t>
        </is>
      </c>
      <c r="I10" s="2" t="inlineStr">
        <is>
          <t>High</t>
        </is>
      </c>
      <c r="J10" s="2" t="inlineStr">
        <is>
          <t>Integrated master; D01-D03 baseline retained; D04-D11 integrated from domain matrices.</t>
        </is>
      </c>
    </row>
    <row r="11">
      <c r="A11" s="2" t="inlineStr">
        <is>
          <t>D08</t>
        </is>
      </c>
      <c r="B11" s="2" t="inlineStr">
        <is>
          <t>Digital, Data &amp; Institutional Intelligence</t>
        </is>
      </c>
      <c r="C11" s="2" t="inlineStr">
        <is>
          <t>C10</t>
        </is>
      </c>
      <c r="D11" s="2" t="inlineStr">
        <is>
          <t>Technology Governance</t>
        </is>
      </c>
      <c r="E11" s="2" t="inlineStr">
        <is>
          <t>I10</t>
        </is>
      </c>
      <c r="F11" s="2" t="inlineStr">
        <is>
          <t>Technology Decision Governance</t>
        </is>
      </c>
      <c r="G11" s="2" t="inlineStr">
        <is>
          <t>How technology choices are evaluated, prioritised and governed.</t>
        </is>
      </c>
      <c r="H11" s="2" t="inlineStr">
        <is>
          <t>System/data inventory + process sample + decision example</t>
        </is>
      </c>
      <c r="I11" s="2" t="inlineStr">
        <is>
          <t>High</t>
        </is>
      </c>
      <c r="J11" s="2" t="inlineStr">
        <is>
          <t>Integrated master; D01-D03 baseline retained; D04-D11 integrated from domain matrices.</t>
        </is>
      </c>
    </row>
    <row r="12">
      <c r="A12" s="2" t="inlineStr">
        <is>
          <t>D08</t>
        </is>
      </c>
      <c r="B12" s="2" t="inlineStr">
        <is>
          <t>Digital, Data &amp; Institutional Intelligence</t>
        </is>
      </c>
      <c r="C12" s="2" t="inlineStr">
        <is>
          <t>C11</t>
        </is>
      </c>
      <c r="D12" s="2" t="inlineStr">
        <is>
          <t>Digital Operations</t>
        </is>
      </c>
      <c r="E12" s="2" t="inlineStr">
        <is>
          <t>I11</t>
        </is>
      </c>
      <c r="F12" s="2" t="inlineStr">
        <is>
          <t>Digital Process Maturity</t>
        </is>
      </c>
      <c r="G12" s="2" t="inlineStr">
        <is>
          <t>Extent to which institutional workflows are digitally enabled and intelligently designed.</t>
        </is>
      </c>
      <c r="H12" s="2" t="inlineStr">
        <is>
          <t>System/data inventory + process sample + decision example</t>
        </is>
      </c>
      <c r="I12" s="2" t="inlineStr">
        <is>
          <t>High</t>
        </is>
      </c>
      <c r="J12" s="2" t="inlineStr">
        <is>
          <t>Integrated master; D01-D03 baseline retained; D04-D11 integrated from domain matrices.</t>
        </is>
      </c>
    </row>
    <row r="13">
      <c r="A13" s="2" t="inlineStr">
        <is>
          <t>D08</t>
        </is>
      </c>
      <c r="B13" s="2" t="inlineStr">
        <is>
          <t>Digital, Data &amp; Institutional Intelligence</t>
        </is>
      </c>
      <c r="C13" s="2" t="inlineStr">
        <is>
          <t>C12</t>
        </is>
      </c>
      <c r="D13" s="2" t="inlineStr">
        <is>
          <t>Institutional Intelligence</t>
        </is>
      </c>
      <c r="E13" s="2" t="inlineStr">
        <is>
          <t>I12</t>
        </is>
      </c>
      <c r="F13" s="2" t="inlineStr">
        <is>
          <t>Institutional Intelligence Capability</t>
        </is>
      </c>
      <c r="G13" s="2" t="inlineStr">
        <is>
          <t>Ability to turn fragmented data into actionable institutional understanding.</t>
        </is>
      </c>
      <c r="H13" s="2" t="inlineStr">
        <is>
          <t>System/data inventory + process sample + decision example</t>
        </is>
      </c>
      <c r="I13" s="2" t="inlineStr">
        <is>
          <t>High</t>
        </is>
      </c>
      <c r="J13" s="2" t="inlineStr">
        <is>
          <t>Integrated master; D01-D03 baseline retained; D04-D11 integrated from domain matrices.</t>
        </is>
      </c>
    </row>
  </sheetData>
  <autoFilter ref="A1:J13"/>
  <pageMargins left="0.7" right="0.7" top="0.75" bottom="0.75" header="0.3" footer="0.3"/>
</worksheet>
</file>

<file path=xl/worksheets/sheet96.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24" t="inlineStr">
        <is>
          <t>Domain</t>
        </is>
      </c>
      <c r="B1" s="24" t="inlineStr">
        <is>
          <t>Card ID</t>
        </is>
      </c>
      <c r="C1" s="24" t="inlineStr">
        <is>
          <t>Assessment Card</t>
        </is>
      </c>
      <c r="D1" s="24" t="inlineStr">
        <is>
          <t>Input / Response Format</t>
        </is>
      </c>
      <c r="E1" s="24" t="inlineStr">
        <is>
          <t>Purpose / Respondent Action</t>
        </is>
      </c>
      <c r="F1" s="24" t="inlineStr">
        <is>
          <t>Metric Link</t>
        </is>
      </c>
    </row>
    <row r="2">
      <c r="A2" s="2" t="inlineStr">
        <is>
          <t>D08</t>
        </is>
      </c>
      <c r="B2" s="2" t="inlineStr">
        <is>
          <t>D08.1</t>
        </is>
      </c>
      <c r="C2" s="2" t="inlineStr">
        <is>
          <t>Data Reality Test</t>
        </is>
      </c>
      <c r="D2" s="2" t="inlineStr">
        <is>
          <t>Structured assessment card</t>
        </is>
      </c>
      <c r="E2" s="2" t="inlineStr">
        <is>
          <t>If leadership needs a reliable answer about students, programmes, faculty, placements or research today, how quickly can the institution produce it?</t>
        </is>
      </c>
      <c r="F2" s="2" t="inlineStr">
        <is>
          <t>I02/I05/I12</t>
        </is>
      </c>
    </row>
    <row r="3">
      <c r="A3" s="2" t="inlineStr">
        <is>
          <t>D08</t>
        </is>
      </c>
      <c r="B3" s="2" t="inlineStr">
        <is>
          <t>D08.2</t>
        </is>
      </c>
      <c r="C3" s="2" t="inlineStr">
        <is>
          <t>Data Journey Test</t>
        </is>
      </c>
      <c r="D3" s="2" t="inlineStr">
        <is>
          <t>Structured assessment card</t>
        </is>
      </c>
      <c r="E3" s="2" t="inlineStr">
        <is>
          <t>What normally happens to an important institutional data point from its creation to its use in a decision?</t>
        </is>
      </c>
      <c r="F3" s="2" t="inlineStr">
        <is>
          <t>I02/I03/I04</t>
        </is>
      </c>
    </row>
    <row r="4">
      <c r="A4" s="2" t="inlineStr">
        <is>
          <t>D08</t>
        </is>
      </c>
      <c r="B4" s="2" t="inlineStr">
        <is>
          <t>D08.3</t>
        </is>
      </c>
      <c r="C4" s="2" t="inlineStr">
        <is>
          <t>AI Infrastructure Test</t>
        </is>
      </c>
      <c r="D4" s="2" t="inlineStr">
        <is>
          <t>Structured assessment card</t>
        </is>
      </c>
      <c r="E4" s="2" t="inlineStr">
        <is>
          <t>Which institutional capabilities are currently sufficient to support responsible AI-enabled academic or administrative use?</t>
        </is>
      </c>
      <c r="F4" s="2" t="inlineStr">
        <is>
          <t>I01/I06/I07/I08/I09</t>
        </is>
      </c>
    </row>
    <row r="5">
      <c r="A5" s="2" t="inlineStr">
        <is>
          <t>D08</t>
        </is>
      </c>
      <c r="B5" s="2" t="inlineStr">
        <is>
          <t>D08.4</t>
        </is>
      </c>
      <c r="C5" s="2" t="inlineStr">
        <is>
          <t>Decision Intelligence Test</t>
        </is>
      </c>
      <c r="D5" s="2" t="inlineStr">
        <is>
          <t>Structured assessment card</t>
        </is>
      </c>
      <c r="E5" s="2" t="inlineStr">
        <is>
          <t>Give one recent leadership decision where institutional data or analytics materially changed the decision.</t>
        </is>
      </c>
      <c r="F5" s="2" t="inlineStr">
        <is>
          <t>I05/I12</t>
        </is>
      </c>
    </row>
  </sheetData>
  <autoFilter ref="A1:F5"/>
  <pageMargins left="0.7" right="0.7" top="0.75" bottom="0.75" header="0.3" footer="0.3"/>
</worksheet>
</file>

<file path=xl/worksheets/sheet97.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24" t="inlineStr">
        <is>
          <t>Domain</t>
        </is>
      </c>
      <c r="B1" s="24" t="inlineStr">
        <is>
          <t>Question ID</t>
        </is>
      </c>
      <c r="C1" s="24" t="inlineStr">
        <is>
          <t>Card</t>
        </is>
      </c>
      <c r="D1" s="24" t="inlineStr">
        <is>
          <t>Prompt</t>
        </is>
      </c>
      <c r="E1" s="24" t="inlineStr">
        <is>
          <t>Input Type</t>
        </is>
      </c>
      <c r="F1" s="24" t="inlineStr">
        <is>
          <t>Role</t>
        </is>
      </c>
      <c r="G1" s="24" t="inlineStr">
        <is>
          <t>Metric Link</t>
        </is>
      </c>
    </row>
    <row r="2">
      <c r="A2" s="2" t="inlineStr">
        <is>
          <t>D08</t>
        </is>
      </c>
      <c r="B2" s="2" t="inlineStr">
        <is>
          <t>D08.1</t>
        </is>
      </c>
      <c r="C2" s="2" t="inlineStr">
        <is>
          <t>Data Reality Test</t>
        </is>
      </c>
      <c r="D2" s="2" t="inlineStr">
        <is>
          <t>If leadership needs a reliable answer about students, programmes, faculty, placements or research today, how quickly can the institution produce it?</t>
        </is>
      </c>
      <c r="E2" s="2" t="inlineStr">
        <is>
          <t>Structured card response</t>
        </is>
      </c>
      <c r="F2" s="2" t="inlineStr">
        <is>
          <t>Reality/Diagnostic</t>
        </is>
      </c>
      <c r="G2" s="2" t="inlineStr">
        <is>
          <t>I02/I05/I12</t>
        </is>
      </c>
    </row>
    <row r="3">
      <c r="A3" s="2" t="inlineStr">
        <is>
          <t>D08</t>
        </is>
      </c>
      <c r="B3" s="2" t="inlineStr">
        <is>
          <t>D08.2</t>
        </is>
      </c>
      <c r="C3" s="2" t="inlineStr">
        <is>
          <t>Data Journey Test</t>
        </is>
      </c>
      <c r="D3" s="2" t="inlineStr">
        <is>
          <t>What normally happens to an important institutional data point from its creation to its use in a decision?</t>
        </is>
      </c>
      <c r="E3" s="2" t="inlineStr">
        <is>
          <t>Structured card response</t>
        </is>
      </c>
      <c r="F3" s="2" t="inlineStr">
        <is>
          <t>Reality/Diagnostic</t>
        </is>
      </c>
      <c r="G3" s="2" t="inlineStr">
        <is>
          <t>I02/I03/I04</t>
        </is>
      </c>
    </row>
    <row r="4">
      <c r="A4" s="2" t="inlineStr">
        <is>
          <t>D08</t>
        </is>
      </c>
      <c r="B4" s="2" t="inlineStr">
        <is>
          <t>D08.3</t>
        </is>
      </c>
      <c r="C4" s="2" t="inlineStr">
        <is>
          <t>AI Infrastructure Test</t>
        </is>
      </c>
      <c r="D4" s="2" t="inlineStr">
        <is>
          <t>Which institutional capabilities are currently sufficient to support responsible AI-enabled academic or administrative use?</t>
        </is>
      </c>
      <c r="E4" s="2" t="inlineStr">
        <is>
          <t>Structured card response</t>
        </is>
      </c>
      <c r="F4" s="2" t="inlineStr">
        <is>
          <t>Reality/Diagnostic</t>
        </is>
      </c>
      <c r="G4" s="2" t="inlineStr">
        <is>
          <t>I01/I06/I07/I08/I09</t>
        </is>
      </c>
    </row>
    <row r="5">
      <c r="A5" s="2" t="inlineStr">
        <is>
          <t>D08</t>
        </is>
      </c>
      <c r="B5" s="2" t="inlineStr">
        <is>
          <t>D08.4</t>
        </is>
      </c>
      <c r="C5" s="2" t="inlineStr">
        <is>
          <t>Decision Intelligence Test</t>
        </is>
      </c>
      <c r="D5" s="2" t="inlineStr">
        <is>
          <t>Give one recent leadership decision where institutional data or analytics materially changed the decision.</t>
        </is>
      </c>
      <c r="E5" s="2" t="inlineStr">
        <is>
          <t>Structured card response</t>
        </is>
      </c>
      <c r="F5" s="2" t="inlineStr">
        <is>
          <t>Reality/Diagnostic</t>
        </is>
      </c>
      <c r="G5" s="2" t="inlineStr">
        <is>
          <t>I05/I12</t>
        </is>
      </c>
    </row>
  </sheetData>
  <autoFilter ref="A1:G5"/>
  <pageMargins left="0.7" right="0.7" top="0.75" bottom="0.75" header="0.3" footer="0.3"/>
</worksheet>
</file>

<file path=xl/worksheets/sheet98.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24" t="inlineStr">
        <is>
          <t>Domain</t>
        </is>
      </c>
      <c r="B1" s="24" t="inlineStr">
        <is>
          <t>Evidence ID</t>
        </is>
      </c>
      <c r="C1" s="24" t="inlineStr">
        <is>
          <t>Evidence Item</t>
        </is>
      </c>
      <c r="D1" s="24" t="inlineStr">
        <is>
          <t>Quantity / Sampling</t>
        </is>
      </c>
      <c r="E1" s="24" t="inlineStr">
        <is>
          <t>Requirement</t>
        </is>
      </c>
      <c r="F1" s="24" t="inlineStr">
        <is>
          <t>Metric Link</t>
        </is>
      </c>
      <c r="G1" s="24" t="inlineStr">
        <is>
          <t>Source / Basis</t>
        </is>
      </c>
    </row>
    <row r="2">
      <c r="A2" s="2" t="inlineStr">
        <is>
          <t>D08</t>
        </is>
      </c>
      <c r="B2" s="2" t="inlineStr">
        <is>
          <t>E01</t>
        </is>
      </c>
      <c r="C2" s="2" t="inlineStr">
        <is>
          <t>Representative evidence supporting Data Reality Test</t>
        </is>
      </c>
      <c r="D2" s="2" t="inlineStr">
        <is>
          <t>As triggered by assessment branch</t>
        </is>
      </c>
      <c r="E2" s="2" t="inlineStr">
        <is>
          <t>Higher maturity / verification claims require supporting evidence; exact quantity determined adaptively</t>
        </is>
      </c>
      <c r="F2" s="2" t="inlineStr">
        <is>
          <t>I02/I05/I12</t>
        </is>
      </c>
      <c r="G2" s="2" t="inlineStr">
        <is>
          <t>Engine-design evidence rule derived from assessment card</t>
        </is>
      </c>
    </row>
    <row r="3">
      <c r="A3" s="2" t="inlineStr">
        <is>
          <t>D08</t>
        </is>
      </c>
      <c r="B3" s="2" t="inlineStr">
        <is>
          <t>E02</t>
        </is>
      </c>
      <c r="C3" s="2" t="inlineStr">
        <is>
          <t>Representative evidence supporting Data Journey Test</t>
        </is>
      </c>
      <c r="D3" s="2" t="inlineStr">
        <is>
          <t>As triggered by assessment branch</t>
        </is>
      </c>
      <c r="E3" s="2" t="inlineStr">
        <is>
          <t>Higher maturity / verification claims require supporting evidence; exact quantity determined adaptively</t>
        </is>
      </c>
      <c r="F3" s="2" t="inlineStr">
        <is>
          <t>I02/I03/I04</t>
        </is>
      </c>
      <c r="G3" s="2" t="inlineStr">
        <is>
          <t>Engine-design evidence rule derived from assessment card</t>
        </is>
      </c>
    </row>
    <row r="4">
      <c r="A4" s="2" t="inlineStr">
        <is>
          <t>D08</t>
        </is>
      </c>
      <c r="B4" s="2" t="inlineStr">
        <is>
          <t>E03</t>
        </is>
      </c>
      <c r="C4" s="2" t="inlineStr">
        <is>
          <t>Representative evidence supporting AI Infrastructure Test</t>
        </is>
      </c>
      <c r="D4" s="2" t="inlineStr">
        <is>
          <t>As triggered by assessment branch</t>
        </is>
      </c>
      <c r="E4" s="2" t="inlineStr">
        <is>
          <t>Higher maturity / verification claims require supporting evidence; exact quantity determined adaptively</t>
        </is>
      </c>
      <c r="F4" s="2" t="inlineStr">
        <is>
          <t>I01/I06/I07/I08/I09</t>
        </is>
      </c>
      <c r="G4" s="2" t="inlineStr">
        <is>
          <t>Engine-design evidence rule derived from assessment card</t>
        </is>
      </c>
    </row>
    <row r="5">
      <c r="A5" s="2" t="inlineStr">
        <is>
          <t>D08</t>
        </is>
      </c>
      <c r="B5" s="2" t="inlineStr">
        <is>
          <t>E04</t>
        </is>
      </c>
      <c r="C5" s="2" t="inlineStr">
        <is>
          <t>Representative evidence supporting Decision Intelligence Test</t>
        </is>
      </c>
      <c r="D5" s="2" t="inlineStr">
        <is>
          <t>As triggered by assessment branch</t>
        </is>
      </c>
      <c r="E5" s="2" t="inlineStr">
        <is>
          <t>Higher maturity / verification claims require supporting evidence; exact quantity determined adaptively</t>
        </is>
      </c>
      <c r="F5" s="2" t="inlineStr">
        <is>
          <t>I05/I12</t>
        </is>
      </c>
      <c r="G5" s="2" t="inlineStr">
        <is>
          <t>Engine-design evidence rule derived from assessment card</t>
        </is>
      </c>
    </row>
  </sheetData>
  <autoFilter ref="A1:G5"/>
  <pageMargins left="0.7" right="0.7" top="0.75" bottom="0.75" header="0.3" footer="0.3"/>
</worksheet>
</file>

<file path=xl/worksheets/sheet99.xml><?xml version="1.0" encoding="utf-8"?>
<worksheet xmlns="http://schemas.openxmlformats.org/spreadsheetml/2006/main">
  <sheetPr>
    <outlinePr summaryBelow="1" summaryRight="1"/>
    <pageSetUpPr/>
  </sheetPr>
  <dimension ref="A1:G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24" t="inlineStr">
        <is>
          <t>Domain</t>
        </is>
      </c>
      <c r="B1" s="24" t="inlineStr">
        <is>
          <t>Data ID</t>
        </is>
      </c>
      <c r="C1" s="24" t="inlineStr">
        <is>
          <t>Institutional Data Item</t>
        </is>
      </c>
      <c r="D1" s="24" t="inlineStr">
        <is>
          <t>Input Type</t>
        </is>
      </c>
      <c r="E1" s="24" t="inlineStr">
        <is>
          <t>Requirement</t>
        </is>
      </c>
      <c r="F1" s="24" t="inlineStr">
        <is>
          <t>Metric / Use</t>
        </is>
      </c>
      <c r="G1" s="24" t="inlineStr">
        <is>
          <t>Status</t>
        </is>
      </c>
    </row>
    <row r="2">
      <c r="A2" s="2" t="inlineStr">
        <is>
          <t>D08</t>
        </is>
      </c>
      <c r="B2" s="2" t="inlineStr">
        <is>
          <t>D08-D01</t>
        </is>
      </c>
      <c r="C2" s="2" t="inlineStr">
        <is>
          <t>Representative institutional data supporting Digital Environment Readiness</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D08</t>
        </is>
      </c>
      <c r="B3" s="2" t="inlineStr">
        <is>
          <t>D08-D02</t>
        </is>
      </c>
      <c r="C3" s="2" t="inlineStr">
        <is>
          <t>Representative institutional data supporting Institutional Data Architecture</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D08</t>
        </is>
      </c>
      <c r="B4" s="2" t="inlineStr">
        <is>
          <t>D08-D03</t>
        </is>
      </c>
      <c r="C4" s="2" t="inlineStr">
        <is>
          <t>Representative institutional data supporting Data Quality &amp; Integrity</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D08</t>
        </is>
      </c>
      <c r="B5" s="2" t="inlineStr">
        <is>
          <t>D08-D04</t>
        </is>
      </c>
      <c r="C5" s="2" t="inlineStr">
        <is>
          <t>Representative institutional data supporting System Interoperability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D08</t>
        </is>
      </c>
      <c r="B6" s="2" t="inlineStr">
        <is>
          <t>D08-D05</t>
        </is>
      </c>
      <c r="C6" s="2" t="inlineStr">
        <is>
          <t>Representative institutional data supporting Decision Intelligence</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D08</t>
        </is>
      </c>
      <c r="B7" s="2" t="inlineStr">
        <is>
          <t>D08-D06</t>
        </is>
      </c>
      <c r="C7" s="2" t="inlineStr">
        <is>
          <t>Representative institutional data supporting AI Enablement Readiness</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D08</t>
        </is>
      </c>
      <c r="B8" s="2" t="inlineStr">
        <is>
          <t>D08-D07</t>
        </is>
      </c>
      <c r="C8" s="2" t="inlineStr">
        <is>
          <t>Representative institutional data supporting Cyber &amp; Information Security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D08</t>
        </is>
      </c>
      <c r="B9" s="2" t="inlineStr">
        <is>
          <t>D08-D08</t>
        </is>
      </c>
      <c r="C9" s="2" t="inlineStr">
        <is>
          <t>Representative institutional data supporting Data Privacy Readiness</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D08</t>
        </is>
      </c>
      <c r="B10" s="2" t="inlineStr">
        <is>
          <t>D08-D09</t>
        </is>
      </c>
      <c r="C10" s="2" t="inlineStr">
        <is>
          <t>Representative institutional data supporting Digital Equity &amp; Access</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D08</t>
        </is>
      </c>
      <c r="B11" s="2" t="inlineStr">
        <is>
          <t>D08-D10</t>
        </is>
      </c>
      <c r="C11" s="2" t="inlineStr">
        <is>
          <t>Representative institutional data supporting Technology Decision Governance</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D08</t>
        </is>
      </c>
      <c r="B12" s="2" t="inlineStr">
        <is>
          <t>D08-D11</t>
        </is>
      </c>
      <c r="C12" s="2" t="inlineStr">
        <is>
          <t>Representative institutional data supporting Digital Process Maturity</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D08</t>
        </is>
      </c>
      <c r="B13" s="2" t="inlineStr">
        <is>
          <t>D08-D12</t>
        </is>
      </c>
      <c r="C13" s="2" t="inlineStr">
        <is>
          <t>Representative institutional data supporting Institutional Intelligence Capability</t>
        </is>
      </c>
      <c r="D13" s="2" t="inlineStr">
        <is>
          <t>Number / structured input / evidence as applicable</t>
        </is>
      </c>
      <c r="E13" s="2" t="inlineStr">
        <is>
          <t>To be determined by adaptive branch</t>
        </is>
      </c>
      <c r="F13" s="2" t="inlineStr">
        <is>
          <t>I12</t>
        </is>
      </c>
      <c r="G13" s="2" t="inlineStr">
        <is>
          <t>Engine-design input; calibration required</t>
        </is>
      </c>
    </row>
  </sheetData>
  <autoFilter ref="A1:G13"/>
  <pageMargins left="0.7" right="0.7" top="0.75" bottom="0.75" header="0.3" footer="0.3"/>
</worksheet>
</file>

<file path=xl/worksheets/sheet100.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24" t="inlineStr">
        <is>
          <t>Check ID</t>
        </is>
      </c>
      <c r="B1" s="24" t="inlineStr">
        <is>
          <t>Check</t>
        </is>
      </c>
      <c r="C1" s="24" t="inlineStr">
        <is>
          <t>Rule</t>
        </is>
      </c>
      <c r="D1" s="24" t="inlineStr">
        <is>
          <t>Type</t>
        </is>
      </c>
    </row>
    <row r="2">
      <c r="A2" s="2" t="inlineStr">
        <is>
          <t>D08-QA01</t>
        </is>
      </c>
      <c r="B2" s="2" t="inlineStr">
        <is>
          <t>Programme counts</t>
        </is>
      </c>
      <c r="C2" s="2" t="inlineStr">
        <is>
          <t>Modified &lt;= reviewed &lt;= active</t>
        </is>
      </c>
      <c r="D2" s="2" t="inlineStr">
        <is>
          <t>Hard validation</t>
        </is>
      </c>
    </row>
    <row r="3">
      <c r="A3" s="2" t="inlineStr">
        <is>
          <t>D08-QA02</t>
        </is>
      </c>
      <c r="B3" s="2" t="inlineStr">
        <is>
          <t>Pilot counts</t>
        </is>
      </c>
      <c r="C3" s="2" t="inlineStr">
        <is>
          <t>Evaluated &lt;= conducted; scaled/stopped &lt;= evaluated</t>
        </is>
      </c>
      <c r="D3" s="2" t="inlineStr">
        <is>
          <t>Hard validation</t>
        </is>
      </c>
    </row>
    <row r="4">
      <c r="A4" s="2" t="inlineStr">
        <is>
          <t>D08-QA03</t>
        </is>
      </c>
      <c r="B4" s="2" t="inlineStr">
        <is>
          <t>Data counts</t>
        </is>
      </c>
      <c r="C4" s="2" t="inlineStr">
        <is>
          <t>Privacy-reviewed &lt;= data-processing &lt;= approved tools</t>
        </is>
      </c>
      <c r="D4" s="2" t="inlineStr">
        <is>
          <t>Hard validation</t>
        </is>
      </c>
    </row>
    <row r="5">
      <c r="A5" s="2" t="inlineStr">
        <is>
          <t>D08-QA04</t>
        </is>
      </c>
      <c r="B5" s="2" t="inlineStr">
        <is>
          <t>No policy inflation</t>
        </is>
      </c>
      <c r="C5" s="2" t="inlineStr">
        <is>
          <t>Policy existence alone cannot create high maturity</t>
        </is>
      </c>
      <c r="D5" s="2" t="inlineStr">
        <is>
          <t>Scoring rule</t>
        </is>
      </c>
    </row>
    <row r="6">
      <c r="A6" s="2" t="inlineStr">
        <is>
          <t>D08-QA05</t>
        </is>
      </c>
      <c r="B6" s="2" t="inlineStr">
        <is>
          <t>Context fairness</t>
        </is>
      </c>
      <c r="C6" s="2" t="inlineStr">
        <is>
          <t>Required maturity reflects mission, scale, resources, exposure</t>
        </is>
      </c>
      <c r="D6" s="2" t="inlineStr">
        <is>
          <t>Scoring rule</t>
        </is>
      </c>
    </row>
    <row r="7">
      <c r="A7" s="2" t="inlineStr">
        <is>
          <t>D08-QA06</t>
        </is>
      </c>
      <c r="B7" s="2" t="inlineStr">
        <is>
          <t>Non-technical fairness</t>
        </is>
      </c>
      <c r="C7" s="2" t="inlineStr">
        <is>
          <t>Assess discipline relevance, not coding/technical AI</t>
        </is>
      </c>
      <c r="D7" s="2" t="inlineStr">
        <is>
          <t>Scoring rule</t>
        </is>
      </c>
    </row>
    <row r="8">
      <c r="A8" s="2" t="inlineStr">
        <is>
          <t>D08-QA07</t>
        </is>
      </c>
      <c r="B8" s="2" t="inlineStr">
        <is>
          <t>No outcome fabrication</t>
        </is>
      </c>
      <c r="C8" s="2" t="inlineStr">
        <is>
          <t>N/A accepted where outcome measurement legitimately unavailable</t>
        </is>
      </c>
      <c r="D8" s="2" t="inlineStr">
        <is>
          <t>Scoring rule</t>
        </is>
      </c>
    </row>
    <row r="9">
      <c r="A9" s="2" t="inlineStr">
        <is>
          <t>D08-QA08</t>
        </is>
      </c>
      <c r="B9" s="2" t="inlineStr">
        <is>
          <t>Representative sampling</t>
        </is>
      </c>
      <c r="C9" s="2" t="inlineStr">
        <is>
          <t>Evidence requests stay limited to high-value samples</t>
        </is>
      </c>
      <c r="D9" s="2" t="inlineStr">
        <is>
          <t>UX rule</t>
        </is>
      </c>
    </row>
    <row r="10">
      <c r="A10" s="2" t="inlineStr">
        <is>
          <t>D08-D03</t>
        </is>
      </c>
      <c r="B10" s="2" t="inlineStr">
        <is>
          <t>Discipline coverage</t>
        </is>
      </c>
      <c r="C10" s="2" t="inlineStr">
        <is>
          <t>Expanded to health, pharmacy, media, humanities, professional, technical and interdisciplinary pathways.</t>
        </is>
      </c>
      <c r="D10" s="2" t="inlineStr">
        <is>
          <t>Pass</t>
        </is>
      </c>
    </row>
    <row r="11">
      <c r="A11" s="2" t="inlineStr">
        <is>
          <t>D08-D04-D06</t>
        </is>
      </c>
      <c r="B11" s="2" t="inlineStr">
        <is>
          <t>Architecture completeness</t>
        </is>
      </c>
      <c r="C11" s="2" t="inlineStr">
        <is>
          <t>Each domain has capabilities, metrics, assessment cards, 5 core questions and maturity anchors.</t>
        </is>
      </c>
      <c r="D11" s="2" t="inlineStr">
        <is>
          <t>Pass</t>
        </is>
      </c>
    </row>
    <row r="12">
      <c r="A12" s="2" t="inlineStr">
        <is>
          <t>D08-All</t>
        </is>
      </c>
      <c r="B12" s="2" t="inlineStr">
        <is>
          <t>Context calibration</t>
        </is>
      </c>
      <c r="C12" s="2" t="inlineStr">
        <is>
          <t>Institution context changes proportionality and branching, not the integrity standard.</t>
        </is>
      </c>
      <c r="D12" s="2" t="inlineStr">
        <is>
          <t>Pass</t>
        </is>
      </c>
    </row>
    <row r="13">
      <c r="A13" s="2" t="inlineStr">
        <is>
          <t>D08-All</t>
        </is>
      </c>
      <c r="B13" s="2" t="inlineStr">
        <is>
          <t>Reality gradient</t>
        </is>
      </c>
      <c r="C13" s="2" t="inlineStr">
        <is>
          <t>Claim→practice→evidence→outcome→adaptation captured separately from maturity.</t>
        </is>
      </c>
      <c r="D13" s="2" t="inlineStr">
        <is>
          <t>Pass</t>
        </is>
      </c>
    </row>
    <row r="14">
      <c r="A14" s="2" t="inlineStr">
        <is>
          <t>D08-QA-DOM01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D08-QA-DOM02</t>
        </is>
      </c>
      <c r="B15" s="2" t="inlineStr">
        <is>
          <t>Question/card coverage</t>
        </is>
      </c>
      <c r="C15" s="2" t="inlineStr">
        <is>
          <t>Every assessment card and question must map to at least one metric.</t>
        </is>
      </c>
      <c r="D15" s="2" t="inlineStr">
        <is>
          <t>Structural</t>
        </is>
      </c>
    </row>
    <row r="16">
      <c r="A16" s="2" t="inlineStr">
        <is>
          <t>D08-QA-DOM03</t>
        </is>
      </c>
      <c r="B16" s="2" t="inlineStr">
        <is>
          <t>Evidence traceability</t>
        </is>
      </c>
      <c r="C16" s="2" t="inlineStr">
        <is>
          <t>High-maturity claims must have an evidence path or an explicit evidence-gap flag.</t>
        </is>
      </c>
      <c r="D16" s="2" t="inlineStr">
        <is>
          <t>Scoring</t>
        </is>
      </c>
    </row>
    <row r="17">
      <c r="A17" s="2" t="inlineStr">
        <is>
          <t>D08-QA-DOM04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101.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24" t="inlineStr">
        <is>
          <t>Domain</t>
        </is>
      </c>
      <c r="B1" s="24" t="inlineStr">
        <is>
          <t>Domain Name</t>
        </is>
      </c>
      <c r="C1" s="24" t="inlineStr">
        <is>
          <t>Capability ID</t>
        </is>
      </c>
      <c r="D1" s="24" t="inlineStr">
        <is>
          <t>Capability Area</t>
        </is>
      </c>
      <c r="E1" s="24" t="inlineStr">
        <is>
          <t>Metric ID</t>
        </is>
      </c>
      <c r="F1" s="24" t="inlineStr">
        <is>
          <t>Metric</t>
        </is>
      </c>
      <c r="G1" s="24" t="inlineStr">
        <is>
          <t>What It Measures</t>
        </is>
      </c>
      <c r="H1" s="24" t="inlineStr">
        <is>
          <t>Measurement Method</t>
        </is>
      </c>
      <c r="I1" s="24" t="inlineStr">
        <is>
          <t>Exposure</t>
        </is>
      </c>
      <c r="J1" s="24" t="inlineStr">
        <is>
          <t>Source / Basis</t>
        </is>
      </c>
    </row>
    <row r="2">
      <c r="A2" s="2" t="inlineStr">
        <is>
          <t>D09</t>
        </is>
      </c>
      <c r="B2" s="2" t="inlineStr">
        <is>
          <t>Employability, Industry &amp; Economic Relevance</t>
        </is>
      </c>
      <c r="C2" s="2" t="inlineStr">
        <is>
          <t>C01</t>
        </is>
      </c>
      <c r="D2" s="2" t="inlineStr">
        <is>
          <t>Employer Intelligence</t>
        </is>
      </c>
      <c r="E2" s="2" t="inlineStr">
        <is>
          <t>I01</t>
        </is>
      </c>
      <c r="F2" s="2" t="inlineStr">
        <is>
          <t>Employer Demand Sensing</t>
        </is>
      </c>
      <c r="G2" s="2" t="inlineStr">
        <is>
          <t>How systematically the institution understands changing employer and sector capability needs.</t>
        </is>
      </c>
      <c r="H2" s="2" t="inlineStr">
        <is>
          <t>Employer/placement/alumni evidence + programme sample</t>
        </is>
      </c>
      <c r="I2" s="2" t="inlineStr">
        <is>
          <t>High</t>
        </is>
      </c>
      <c r="J2" s="2" t="inlineStr">
        <is>
          <t>Integrated master; D01-D03 baseline retained; D04-D11 integrated from domain matrices.</t>
        </is>
      </c>
    </row>
    <row r="3">
      <c r="A3" s="2" t="inlineStr">
        <is>
          <t>D09</t>
        </is>
      </c>
      <c r="B3" s="2" t="inlineStr">
        <is>
          <t>Employability, Industry &amp; Economic Relevance</t>
        </is>
      </c>
      <c r="C3" s="2" t="inlineStr">
        <is>
          <t>C02</t>
        </is>
      </c>
      <c r="D3" s="2" t="inlineStr">
        <is>
          <t>Graduate Capability</t>
        </is>
      </c>
      <c r="E3" s="2" t="inlineStr">
        <is>
          <t>I02</t>
        </is>
      </c>
      <c r="F3" s="2" t="inlineStr">
        <is>
          <t>Employability Capability Architecture</t>
        </is>
      </c>
      <c r="G3" s="2" t="inlineStr">
        <is>
          <t>Clarity of capabilities graduates are expected to possess beyond credentials.</t>
        </is>
      </c>
      <c r="H3" s="2" t="inlineStr">
        <is>
          <t>Employer/placement/alumni evidence + programme sample</t>
        </is>
      </c>
      <c r="I3" s="2" t="inlineStr">
        <is>
          <t>High</t>
        </is>
      </c>
      <c r="J3" s="2" t="inlineStr">
        <is>
          <t>Integrated master; D01-D03 baseline retained; D04-D11 integrated from domain matrices.</t>
        </is>
      </c>
    </row>
    <row r="4">
      <c r="A4" s="2" t="inlineStr">
        <is>
          <t>D09</t>
        </is>
      </c>
      <c r="B4" s="2" t="inlineStr">
        <is>
          <t>Employability, Industry &amp; Economic Relevance</t>
        </is>
      </c>
      <c r="C4" s="2" t="inlineStr">
        <is>
          <t>C03</t>
        </is>
      </c>
      <c r="D4" s="2" t="inlineStr">
        <is>
          <t>Industry Curriculum</t>
        </is>
      </c>
      <c r="E4" s="2" t="inlineStr">
        <is>
          <t>I03</t>
        </is>
      </c>
      <c r="F4" s="2" t="inlineStr">
        <is>
          <t>Industry-Validated Curriculum</t>
        </is>
      </c>
      <c r="G4" s="2" t="inlineStr">
        <is>
          <t>Depth of meaningful industry/professional input into programme design.</t>
        </is>
      </c>
      <c r="H4" s="2" t="inlineStr">
        <is>
          <t>Employer/placement/alumni evidence + programme sample</t>
        </is>
      </c>
      <c r="I4" s="2" t="inlineStr">
        <is>
          <t>High</t>
        </is>
      </c>
      <c r="J4" s="2" t="inlineStr">
        <is>
          <t>Integrated master; D01-D03 baseline retained; D04-D11 integrated from domain matrices.</t>
        </is>
      </c>
    </row>
    <row r="5">
      <c r="A5" s="2" t="inlineStr">
        <is>
          <t>D09</t>
        </is>
      </c>
      <c r="B5" s="2" t="inlineStr">
        <is>
          <t>Employability, Industry &amp; Economic Relevance</t>
        </is>
      </c>
      <c r="C5" s="2" t="inlineStr">
        <is>
          <t>C04</t>
        </is>
      </c>
      <c r="D5" s="2" t="inlineStr">
        <is>
          <t>Practical Exposure</t>
        </is>
      </c>
      <c r="E5" s="2" t="inlineStr">
        <is>
          <t>I04</t>
        </is>
      </c>
      <c r="F5" s="2" t="inlineStr">
        <is>
          <t>Practice-Based Learning</t>
        </is>
      </c>
      <c r="G5" s="2" t="inlineStr">
        <is>
          <t>Extent of authentic projects, internships, field exposure and live problem-solving.</t>
        </is>
      </c>
      <c r="H5" s="2" t="inlineStr">
        <is>
          <t>Employer/placement/alumni evidence + programme sample</t>
        </is>
      </c>
      <c r="I5" s="2" t="inlineStr">
        <is>
          <t>High</t>
        </is>
      </c>
      <c r="J5" s="2" t="inlineStr">
        <is>
          <t>Integrated master; D01-D03 baseline retained; D04-D11 integrated from domain matrices.</t>
        </is>
      </c>
    </row>
    <row r="6">
      <c r="A6" s="2" t="inlineStr">
        <is>
          <t>D09</t>
        </is>
      </c>
      <c r="B6" s="2" t="inlineStr">
        <is>
          <t>Employability, Industry &amp; Economic Relevance</t>
        </is>
      </c>
      <c r="C6" s="2" t="inlineStr">
        <is>
          <t>C05</t>
        </is>
      </c>
      <c r="D6" s="2" t="inlineStr">
        <is>
          <t>Recruiter Ecosystem</t>
        </is>
      </c>
      <c r="E6" s="2" t="inlineStr">
        <is>
          <t>I05</t>
        </is>
      </c>
      <c r="F6" s="2" t="inlineStr">
        <is>
          <t>Recruiter Confidence</t>
        </is>
      </c>
      <c r="G6" s="2" t="inlineStr">
        <is>
          <t>Strength and quality of recurring employer relationships.</t>
        </is>
      </c>
      <c r="H6" s="2" t="inlineStr">
        <is>
          <t>Employer/placement/alumni evidence + programme sample</t>
        </is>
      </c>
      <c r="I6" s="2" t="inlineStr">
        <is>
          <t>High</t>
        </is>
      </c>
      <c r="J6" s="2" t="inlineStr">
        <is>
          <t>Integrated master; D01-D03 baseline retained; D04-D11 integrated from domain matrices.</t>
        </is>
      </c>
    </row>
    <row r="7">
      <c r="A7" s="2" t="inlineStr">
        <is>
          <t>D09</t>
        </is>
      </c>
      <c r="B7" s="2" t="inlineStr">
        <is>
          <t>Employability, Industry &amp; Economic Relevance</t>
        </is>
      </c>
      <c r="C7" s="2" t="inlineStr">
        <is>
          <t>C06</t>
        </is>
      </c>
      <c r="D7" s="2" t="inlineStr">
        <is>
          <t>Placement Quality</t>
        </is>
      </c>
      <c r="E7" s="2" t="inlineStr">
        <is>
          <t>I06</t>
        </is>
      </c>
      <c r="F7" s="2" t="inlineStr">
        <is>
          <t>Placement Outcome Quality</t>
        </is>
      </c>
      <c r="G7" s="2" t="inlineStr">
        <is>
          <t>Quality, relevance and transparency of employment outcomes.</t>
        </is>
      </c>
      <c r="H7" s="2" t="inlineStr">
        <is>
          <t>Employer/placement/alumni evidence + programme sample</t>
        </is>
      </c>
      <c r="I7" s="2" t="inlineStr">
        <is>
          <t>High</t>
        </is>
      </c>
      <c r="J7" s="2" t="inlineStr">
        <is>
          <t>Integrated master; D01-D03 baseline retained; D04-D11 integrated from domain matrices.</t>
        </is>
      </c>
    </row>
    <row r="8">
      <c r="A8" s="2" t="inlineStr">
        <is>
          <t>D09</t>
        </is>
      </c>
      <c r="B8" s="2" t="inlineStr">
        <is>
          <t>Employability, Industry &amp; Economic Relevance</t>
        </is>
      </c>
      <c r="C8" s="2" t="inlineStr">
        <is>
          <t>C07</t>
        </is>
      </c>
      <c r="D8" s="2" t="inlineStr">
        <is>
          <t>Career Resilience</t>
        </is>
      </c>
      <c r="E8" s="2" t="inlineStr">
        <is>
          <t>I07</t>
        </is>
      </c>
      <c r="F8" s="2" t="inlineStr">
        <is>
          <t>Career Adaptability</t>
        </is>
      </c>
      <c r="G8" s="2" t="inlineStr">
        <is>
          <t>Preparation for changing roles, sectors and skill requirements.</t>
        </is>
      </c>
      <c r="H8" s="2" t="inlineStr">
        <is>
          <t>Employer/placement/alumni evidence + programme sample</t>
        </is>
      </c>
      <c r="I8" s="2" t="inlineStr">
        <is>
          <t>High</t>
        </is>
      </c>
      <c r="J8" s="2" t="inlineStr">
        <is>
          <t>Integrated master; D01-D03 baseline retained; D04-D11 integrated from domain matrices.</t>
        </is>
      </c>
    </row>
    <row r="9">
      <c r="A9" s="2" t="inlineStr">
        <is>
          <t>D09</t>
        </is>
      </c>
      <c r="B9" s="2" t="inlineStr">
        <is>
          <t>Employability, Industry &amp; Economic Relevance</t>
        </is>
      </c>
      <c r="C9" s="2" t="inlineStr">
        <is>
          <t>C08</t>
        </is>
      </c>
      <c r="D9" s="2" t="inlineStr">
        <is>
          <t>AI Workforce</t>
        </is>
      </c>
      <c r="E9" s="2" t="inlineStr">
        <is>
          <t>I08</t>
        </is>
      </c>
      <c r="F9" s="2" t="inlineStr">
        <is>
          <t>AI-Era Employability Readiness</t>
        </is>
      </c>
      <c r="G9" s="2" t="inlineStr">
        <is>
          <t>Preparation for AI-augmented and AI-disrupted work.</t>
        </is>
      </c>
      <c r="H9" s="2" t="inlineStr">
        <is>
          <t>Employer/placement/alumni evidence + programme sample</t>
        </is>
      </c>
      <c r="I9" s="2" t="inlineStr">
        <is>
          <t>High</t>
        </is>
      </c>
      <c r="J9" s="2" t="inlineStr">
        <is>
          <t>Integrated master; D01-D03 baseline retained; D04-D11 integrated from domain matrices.</t>
        </is>
      </c>
    </row>
    <row r="10">
      <c r="A10" s="2" t="inlineStr">
        <is>
          <t>D09</t>
        </is>
      </c>
      <c r="B10" s="2" t="inlineStr">
        <is>
          <t>Employability, Industry &amp; Economic Relevance</t>
        </is>
      </c>
      <c r="C10" s="2" t="inlineStr">
        <is>
          <t>C09</t>
        </is>
      </c>
      <c r="D10" s="2" t="inlineStr">
        <is>
          <t>Portfolio Evidence</t>
        </is>
      </c>
      <c r="E10" s="2" t="inlineStr">
        <is>
          <t>I09</t>
        </is>
      </c>
      <c r="F10" s="2" t="inlineStr">
        <is>
          <t>Capability Signalling</t>
        </is>
      </c>
      <c r="G10" s="2" t="inlineStr">
        <is>
          <t>Student ability to demonstrate capability through portfolios, projects and evidence.</t>
        </is>
      </c>
      <c r="H10" s="2" t="inlineStr">
        <is>
          <t>Employer/placement/alumni evidence + programme sample</t>
        </is>
      </c>
      <c r="I10" s="2" t="inlineStr">
        <is>
          <t>High</t>
        </is>
      </c>
      <c r="J10" s="2" t="inlineStr">
        <is>
          <t>Integrated master; D01-D03 baseline retained; D04-D11 integrated from domain matrices.</t>
        </is>
      </c>
    </row>
    <row r="11">
      <c r="A11" s="2" t="inlineStr">
        <is>
          <t>D09</t>
        </is>
      </c>
      <c r="B11" s="2" t="inlineStr">
        <is>
          <t>Employability, Industry &amp; Economic Relevance</t>
        </is>
      </c>
      <c r="C11" s="2" t="inlineStr">
        <is>
          <t>C10</t>
        </is>
      </c>
      <c r="D11" s="2" t="inlineStr">
        <is>
          <t>Industry Co-Creation</t>
        </is>
      </c>
      <c r="E11" s="2" t="inlineStr">
        <is>
          <t>I10</t>
        </is>
      </c>
      <c r="F11" s="2" t="inlineStr">
        <is>
          <t>Industry Co-Creation</t>
        </is>
      </c>
      <c r="G11" s="2" t="inlineStr">
        <is>
          <t>Extent to which industry participates in learning, projects, mentoring and innovation.</t>
        </is>
      </c>
      <c r="H11" s="2" t="inlineStr">
        <is>
          <t>Employer/placement/alumni evidence + programme sample</t>
        </is>
      </c>
      <c r="I11" s="2" t="inlineStr">
        <is>
          <t>High</t>
        </is>
      </c>
      <c r="J11" s="2" t="inlineStr">
        <is>
          <t>Integrated master; D01-D03 baseline retained; D04-D11 integrated from domain matrices.</t>
        </is>
      </c>
    </row>
    <row r="12">
      <c r="A12" s="2" t="inlineStr">
        <is>
          <t>D09</t>
        </is>
      </c>
      <c r="B12" s="2" t="inlineStr">
        <is>
          <t>Employability, Industry &amp; Economic Relevance</t>
        </is>
      </c>
      <c r="C12" s="2" t="inlineStr">
        <is>
          <t>C11</t>
        </is>
      </c>
      <c r="D12" s="2" t="inlineStr">
        <is>
          <t>Economic Relevance</t>
        </is>
      </c>
      <c r="E12" s="2" t="inlineStr">
        <is>
          <t>I11</t>
        </is>
      </c>
      <c r="F12" s="2" t="inlineStr">
        <is>
          <t>Regional/Economic Relevance</t>
        </is>
      </c>
      <c r="G12" s="2" t="inlineStr">
        <is>
          <t>Alignment with the economic and social context in which the institution operates.</t>
        </is>
      </c>
      <c r="H12" s="2" t="inlineStr">
        <is>
          <t>Employer/placement/alumni evidence + programme sample</t>
        </is>
      </c>
      <c r="I12" s="2" t="inlineStr">
        <is>
          <t>High</t>
        </is>
      </c>
      <c r="J12" s="2" t="inlineStr">
        <is>
          <t>Integrated master; D01-D03 baseline retained; D04-D11 integrated from domain matrices.</t>
        </is>
      </c>
    </row>
    <row r="13">
      <c r="A13" s="2" t="inlineStr">
        <is>
          <t>D09</t>
        </is>
      </c>
      <c r="B13" s="2" t="inlineStr">
        <is>
          <t>Employability, Industry &amp; Economic Relevance</t>
        </is>
      </c>
      <c r="C13" s="2" t="inlineStr">
        <is>
          <t>C12</t>
        </is>
      </c>
      <c r="D13" s="2" t="inlineStr">
        <is>
          <t>Alumni Intelligence</t>
        </is>
      </c>
      <c r="E13" s="2" t="inlineStr">
        <is>
          <t>I12</t>
        </is>
      </c>
      <c r="F13" s="2" t="inlineStr">
        <is>
          <t>Alumni Career Intelligence</t>
        </is>
      </c>
      <c r="G13" s="2" t="inlineStr">
        <is>
          <t>Use of alumni trajectories to understand and improve graduate outcomes.</t>
        </is>
      </c>
      <c r="H13" s="2" t="inlineStr">
        <is>
          <t>Employer/placement/alumni evidence + programme sample</t>
        </is>
      </c>
      <c r="I13" s="2" t="inlineStr">
        <is>
          <t>High</t>
        </is>
      </c>
      <c r="J13" s="2" t="inlineStr">
        <is>
          <t>Integrated master; D01-D03 baseline retained; D04-D11 integrated from domain matrices.</t>
        </is>
      </c>
    </row>
  </sheetData>
  <autoFilter ref="A1:J13"/>
  <pageMargins left="0.7" right="0.7" top="0.75" bottom="0.75" header="0.3" footer="0.3"/>
</worksheet>
</file>

<file path=xl/worksheets/sheet102.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24" t="inlineStr">
        <is>
          <t>Domain</t>
        </is>
      </c>
      <c r="B1" s="24" t="inlineStr">
        <is>
          <t>Card ID</t>
        </is>
      </c>
      <c r="C1" s="24" t="inlineStr">
        <is>
          <t>Assessment Card</t>
        </is>
      </c>
      <c r="D1" s="24" t="inlineStr">
        <is>
          <t>Input / Response Format</t>
        </is>
      </c>
      <c r="E1" s="24" t="inlineStr">
        <is>
          <t>Purpose / Respondent Action</t>
        </is>
      </c>
      <c r="F1" s="24" t="inlineStr">
        <is>
          <t>Metric Link</t>
        </is>
      </c>
    </row>
    <row r="2">
      <c r="A2" s="2" t="inlineStr">
        <is>
          <t>D09</t>
        </is>
      </c>
      <c r="B2" s="2" t="inlineStr">
        <is>
          <t>D09.1</t>
        </is>
      </c>
      <c r="C2" s="2" t="inlineStr">
        <is>
          <t>Employer Signal Test</t>
        </is>
      </c>
      <c r="D2" s="2" t="inlineStr">
        <is>
          <t>Structured assessment card</t>
        </is>
      </c>
      <c r="E2" s="2" t="inlineStr">
        <is>
          <t>How does the institution identify what employers and professional sectors will expect from graduates over the next 3–5 years?</t>
        </is>
      </c>
      <c r="F2" s="2" t="inlineStr">
        <is>
          <t>I01</t>
        </is>
      </c>
    </row>
    <row r="3">
      <c r="A3" s="2" t="inlineStr">
        <is>
          <t>D09</t>
        </is>
      </c>
      <c r="B3" s="2" t="inlineStr">
        <is>
          <t>D09.2</t>
        </is>
      </c>
      <c r="C3" s="2" t="inlineStr">
        <is>
          <t>Capability-to-Career Test</t>
        </is>
      </c>
      <c r="D3" s="2" t="inlineStr">
        <is>
          <t>Structured assessment card</t>
        </is>
      </c>
      <c r="E3" s="2" t="inlineStr">
        <is>
          <t>For a representative programme, how clearly can the institution connect intended graduate capabilities to actual occupational or professional requirements?</t>
        </is>
      </c>
      <c r="F3" s="2" t="inlineStr">
        <is>
          <t>I02/I03/I08</t>
        </is>
      </c>
    </row>
    <row r="4">
      <c r="A4" s="2" t="inlineStr">
        <is>
          <t>D09</t>
        </is>
      </c>
      <c r="B4" s="2" t="inlineStr">
        <is>
          <t>D09.3</t>
        </is>
      </c>
      <c r="C4" s="2" t="inlineStr">
        <is>
          <t>AI Work Redesign Test</t>
        </is>
      </c>
      <c r="D4" s="2" t="inlineStr">
        <is>
          <t>Structured assessment card</t>
        </is>
      </c>
      <c r="E4" s="2" t="inlineStr">
        <is>
          <t>Where AI is changing entry-level work in a major sector relevant to the institution, what has the institution changed for students?</t>
        </is>
      </c>
      <c r="F4" s="2" t="inlineStr">
        <is>
          <t>I03/I04/I07/I10</t>
        </is>
      </c>
    </row>
    <row r="5">
      <c r="A5" s="2" t="inlineStr">
        <is>
          <t>D09</t>
        </is>
      </c>
      <c r="B5" s="2" t="inlineStr">
        <is>
          <t>D09.4</t>
        </is>
      </c>
      <c r="C5" s="2" t="inlineStr">
        <is>
          <t>Recruiter Confidence Test</t>
        </is>
      </c>
      <c r="D5" s="2" t="inlineStr">
        <is>
          <t>Structured assessment card</t>
        </is>
      </c>
      <c r="E5" s="2" t="inlineStr">
        <is>
          <t>What evidence does the institution use to determine whether recruiters trust the capabilities of its graduates?</t>
        </is>
      </c>
      <c r="F5" s="2" t="inlineStr">
        <is>
          <t>I05/I06/I12</t>
        </is>
      </c>
    </row>
  </sheetData>
  <autoFilter ref="A1:F5"/>
  <pageMargins left="0.7" right="0.7" top="0.75" bottom="0.75" header="0.3" footer="0.3"/>
</worksheet>
</file>

<file path=xl/worksheets/sheet103.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24" t="inlineStr">
        <is>
          <t>Domain</t>
        </is>
      </c>
      <c r="B1" s="24" t="inlineStr">
        <is>
          <t>Question ID</t>
        </is>
      </c>
      <c r="C1" s="24" t="inlineStr">
        <is>
          <t>Card</t>
        </is>
      </c>
      <c r="D1" s="24" t="inlineStr">
        <is>
          <t>Prompt</t>
        </is>
      </c>
      <c r="E1" s="24" t="inlineStr">
        <is>
          <t>Input Type</t>
        </is>
      </c>
      <c r="F1" s="24" t="inlineStr">
        <is>
          <t>Role</t>
        </is>
      </c>
      <c r="G1" s="24" t="inlineStr">
        <is>
          <t>Metric Link</t>
        </is>
      </c>
    </row>
    <row r="2">
      <c r="A2" s="2" t="inlineStr">
        <is>
          <t>D09</t>
        </is>
      </c>
      <c r="B2" s="2" t="inlineStr">
        <is>
          <t>D09.1</t>
        </is>
      </c>
      <c r="C2" s="2" t="inlineStr">
        <is>
          <t>Employer Signal Test</t>
        </is>
      </c>
      <c r="D2" s="2" t="inlineStr">
        <is>
          <t>How does the institution identify what employers and professional sectors will expect from graduates over the next 3–5 years?</t>
        </is>
      </c>
      <c r="E2" s="2" t="inlineStr">
        <is>
          <t>Structured card response</t>
        </is>
      </c>
      <c r="F2" s="2" t="inlineStr">
        <is>
          <t>Reality/Diagnostic</t>
        </is>
      </c>
      <c r="G2" s="2" t="inlineStr">
        <is>
          <t>I01</t>
        </is>
      </c>
    </row>
    <row r="3">
      <c r="A3" s="2" t="inlineStr">
        <is>
          <t>D09</t>
        </is>
      </c>
      <c r="B3" s="2" t="inlineStr">
        <is>
          <t>D09.2</t>
        </is>
      </c>
      <c r="C3" s="2" t="inlineStr">
        <is>
          <t>Capability-to-Career Test</t>
        </is>
      </c>
      <c r="D3" s="2" t="inlineStr">
        <is>
          <t>For a representative programme, how clearly can the institution connect intended graduate capabilities to actual occupational or professional requirements?</t>
        </is>
      </c>
      <c r="E3" s="2" t="inlineStr">
        <is>
          <t>Structured card response</t>
        </is>
      </c>
      <c r="F3" s="2" t="inlineStr">
        <is>
          <t>Reality/Diagnostic</t>
        </is>
      </c>
      <c r="G3" s="2" t="inlineStr">
        <is>
          <t>I02/I03/I08</t>
        </is>
      </c>
    </row>
    <row r="4">
      <c r="A4" s="2" t="inlineStr">
        <is>
          <t>D09</t>
        </is>
      </c>
      <c r="B4" s="2" t="inlineStr">
        <is>
          <t>D09.3</t>
        </is>
      </c>
      <c r="C4" s="2" t="inlineStr">
        <is>
          <t>AI Work Redesign Test</t>
        </is>
      </c>
      <c r="D4" s="2" t="inlineStr">
        <is>
          <t>Where AI is changing entry-level work in a major sector relevant to the institution, what has the institution changed for students?</t>
        </is>
      </c>
      <c r="E4" s="2" t="inlineStr">
        <is>
          <t>Structured card response</t>
        </is>
      </c>
      <c r="F4" s="2" t="inlineStr">
        <is>
          <t>Reality/Diagnostic</t>
        </is>
      </c>
      <c r="G4" s="2" t="inlineStr">
        <is>
          <t>I03/I04/I07/I10</t>
        </is>
      </c>
    </row>
    <row r="5">
      <c r="A5" s="2" t="inlineStr">
        <is>
          <t>D09</t>
        </is>
      </c>
      <c r="B5" s="2" t="inlineStr">
        <is>
          <t>D09.4</t>
        </is>
      </c>
      <c r="C5" s="2" t="inlineStr">
        <is>
          <t>Recruiter Confidence Test</t>
        </is>
      </c>
      <c r="D5" s="2" t="inlineStr">
        <is>
          <t>What evidence does the institution use to determine whether recruiters trust the capabilities of its graduates?</t>
        </is>
      </c>
      <c r="E5" s="2" t="inlineStr">
        <is>
          <t>Structured card response</t>
        </is>
      </c>
      <c r="F5" s="2" t="inlineStr">
        <is>
          <t>Reality/Diagnostic</t>
        </is>
      </c>
      <c r="G5" s="2" t="inlineStr">
        <is>
          <t>I05/I06/I12</t>
        </is>
      </c>
    </row>
  </sheetData>
  <autoFilter ref="A1:G5"/>
  <pageMargins left="0.7" right="0.7" top="0.75" bottom="0.75" header="0.3" footer="0.3"/>
</worksheet>
</file>

<file path=xl/worksheets/sheet104.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24" t="inlineStr">
        <is>
          <t>Domain</t>
        </is>
      </c>
      <c r="B1" s="24" t="inlineStr">
        <is>
          <t>Evidence ID</t>
        </is>
      </c>
      <c r="C1" s="24" t="inlineStr">
        <is>
          <t>Evidence Item</t>
        </is>
      </c>
      <c r="D1" s="24" t="inlineStr">
        <is>
          <t>Quantity / Sampling</t>
        </is>
      </c>
      <c r="E1" s="24" t="inlineStr">
        <is>
          <t>Requirement</t>
        </is>
      </c>
      <c r="F1" s="24" t="inlineStr">
        <is>
          <t>Metric Link</t>
        </is>
      </c>
      <c r="G1" s="24" t="inlineStr">
        <is>
          <t>Source / Basis</t>
        </is>
      </c>
    </row>
    <row r="2">
      <c r="A2" s="2" t="inlineStr">
        <is>
          <t>D09</t>
        </is>
      </c>
      <c r="B2" s="2" t="inlineStr">
        <is>
          <t>E01</t>
        </is>
      </c>
      <c r="C2" s="2" t="inlineStr">
        <is>
          <t>Representative evidence supporting Employer Signal Test</t>
        </is>
      </c>
      <c r="D2" s="2" t="inlineStr">
        <is>
          <t>As triggered by assessment branch</t>
        </is>
      </c>
      <c r="E2" s="2" t="inlineStr">
        <is>
          <t>Higher maturity / verification claims require supporting evidence; exact quantity determined adaptively</t>
        </is>
      </c>
      <c r="F2" s="2" t="inlineStr">
        <is>
          <t>I01</t>
        </is>
      </c>
      <c r="G2" s="2" t="inlineStr">
        <is>
          <t>Engine-design evidence rule derived from assessment card</t>
        </is>
      </c>
    </row>
    <row r="3">
      <c r="A3" s="2" t="inlineStr">
        <is>
          <t>D09</t>
        </is>
      </c>
      <c r="B3" s="2" t="inlineStr">
        <is>
          <t>E02</t>
        </is>
      </c>
      <c r="C3" s="2" t="inlineStr">
        <is>
          <t>Representative evidence supporting Capability-to-Career Test</t>
        </is>
      </c>
      <c r="D3" s="2" t="inlineStr">
        <is>
          <t>As triggered by assessment branch</t>
        </is>
      </c>
      <c r="E3" s="2" t="inlineStr">
        <is>
          <t>Higher maturity / verification claims require supporting evidence; exact quantity determined adaptively</t>
        </is>
      </c>
      <c r="F3" s="2" t="inlineStr">
        <is>
          <t>I02/I03/I08</t>
        </is>
      </c>
      <c r="G3" s="2" t="inlineStr">
        <is>
          <t>Engine-design evidence rule derived from assessment card</t>
        </is>
      </c>
    </row>
    <row r="4">
      <c r="A4" s="2" t="inlineStr">
        <is>
          <t>D09</t>
        </is>
      </c>
      <c r="B4" s="2" t="inlineStr">
        <is>
          <t>E03</t>
        </is>
      </c>
      <c r="C4" s="2" t="inlineStr">
        <is>
          <t>Representative evidence supporting AI Work Redesign Test</t>
        </is>
      </c>
      <c r="D4" s="2" t="inlineStr">
        <is>
          <t>As triggered by assessment branch</t>
        </is>
      </c>
      <c r="E4" s="2" t="inlineStr">
        <is>
          <t>Higher maturity / verification claims require supporting evidence; exact quantity determined adaptively</t>
        </is>
      </c>
      <c r="F4" s="2" t="inlineStr">
        <is>
          <t>I03/I04/I07/I10</t>
        </is>
      </c>
      <c r="G4" s="2" t="inlineStr">
        <is>
          <t>Engine-design evidence rule derived from assessment card</t>
        </is>
      </c>
    </row>
    <row r="5">
      <c r="A5" s="2" t="inlineStr">
        <is>
          <t>D09</t>
        </is>
      </c>
      <c r="B5" s="2" t="inlineStr">
        <is>
          <t>E04</t>
        </is>
      </c>
      <c r="C5" s="2" t="inlineStr">
        <is>
          <t>Representative evidence supporting Recruiter Confidence Test</t>
        </is>
      </c>
      <c r="D5" s="2" t="inlineStr">
        <is>
          <t>As triggered by assessment branch</t>
        </is>
      </c>
      <c r="E5" s="2" t="inlineStr">
        <is>
          <t>Higher maturity / verification claims require supporting evidence; exact quantity determined adaptively</t>
        </is>
      </c>
      <c r="F5" s="2" t="inlineStr">
        <is>
          <t>I05/I06/I12</t>
        </is>
      </c>
      <c r="G5" s="2" t="inlineStr">
        <is>
          <t>Engine-design evidence rule derived from assessment card</t>
        </is>
      </c>
    </row>
  </sheetData>
  <autoFilter ref="A1:G5"/>
  <pageMargins left="0.7" right="0.7" top="0.75" bottom="0.75" header="0.3" footer="0.3"/>
</worksheet>
</file>

<file path=xl/worksheets/sheet105.xml><?xml version="1.0" encoding="utf-8"?>
<worksheet xmlns="http://schemas.openxmlformats.org/spreadsheetml/2006/main">
  <sheetPr>
    <outlinePr summaryBelow="1" summaryRight="1"/>
    <pageSetUpPr/>
  </sheetPr>
  <dimension ref="A1:G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24" t="inlineStr">
        <is>
          <t>Domain</t>
        </is>
      </c>
      <c r="B1" s="24" t="inlineStr">
        <is>
          <t>Data ID</t>
        </is>
      </c>
      <c r="C1" s="24" t="inlineStr">
        <is>
          <t>Institutional Data Item</t>
        </is>
      </c>
      <c r="D1" s="24" t="inlineStr">
        <is>
          <t>Input Type</t>
        </is>
      </c>
      <c r="E1" s="24" t="inlineStr">
        <is>
          <t>Requirement</t>
        </is>
      </c>
      <c r="F1" s="24" t="inlineStr">
        <is>
          <t>Metric / Use</t>
        </is>
      </c>
      <c r="G1" s="24" t="inlineStr">
        <is>
          <t>Status</t>
        </is>
      </c>
    </row>
    <row r="2">
      <c r="A2" s="2" t="inlineStr">
        <is>
          <t>D09</t>
        </is>
      </c>
      <c r="B2" s="2" t="inlineStr">
        <is>
          <t>D09-D01</t>
        </is>
      </c>
      <c r="C2" s="2" t="inlineStr">
        <is>
          <t>Representative institutional data supporting Employer Demand Sensing</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D09</t>
        </is>
      </c>
      <c r="B3" s="2" t="inlineStr">
        <is>
          <t>D09-D02</t>
        </is>
      </c>
      <c r="C3" s="2" t="inlineStr">
        <is>
          <t>Representative institutional data supporting Employability Capability Architecture</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D09</t>
        </is>
      </c>
      <c r="B4" s="2" t="inlineStr">
        <is>
          <t>D09-D03</t>
        </is>
      </c>
      <c r="C4" s="2" t="inlineStr">
        <is>
          <t>Representative institutional data supporting Industry-Validated Curriculum</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D09</t>
        </is>
      </c>
      <c r="B5" s="2" t="inlineStr">
        <is>
          <t>D09-D04</t>
        </is>
      </c>
      <c r="C5" s="2" t="inlineStr">
        <is>
          <t>Representative institutional data supporting Practice-Based Learning</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D09</t>
        </is>
      </c>
      <c r="B6" s="2" t="inlineStr">
        <is>
          <t>D09-D05</t>
        </is>
      </c>
      <c r="C6" s="2" t="inlineStr">
        <is>
          <t>Representative institutional data supporting Recruiter Confidence</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D09</t>
        </is>
      </c>
      <c r="B7" s="2" t="inlineStr">
        <is>
          <t>D09-D06</t>
        </is>
      </c>
      <c r="C7" s="2" t="inlineStr">
        <is>
          <t>Representative institutional data supporting Placement Outcome Quality</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D09</t>
        </is>
      </c>
      <c r="B8" s="2" t="inlineStr">
        <is>
          <t>D09-D07</t>
        </is>
      </c>
      <c r="C8" s="2" t="inlineStr">
        <is>
          <t>Representative institutional data supporting Career Adaptability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D09</t>
        </is>
      </c>
      <c r="B9" s="2" t="inlineStr">
        <is>
          <t>D09-D08</t>
        </is>
      </c>
      <c r="C9" s="2" t="inlineStr">
        <is>
          <t>Representative institutional data supporting AI-Era Employability Readiness</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D09</t>
        </is>
      </c>
      <c r="B10" s="2" t="inlineStr">
        <is>
          <t>D09-D09</t>
        </is>
      </c>
      <c r="C10" s="2" t="inlineStr">
        <is>
          <t>Representative institutional data supporting Capability Signalling</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D09</t>
        </is>
      </c>
      <c r="B11" s="2" t="inlineStr">
        <is>
          <t>D09-D10</t>
        </is>
      </c>
      <c r="C11" s="2" t="inlineStr">
        <is>
          <t>Representative institutional data supporting Industry Co-Creation</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D09</t>
        </is>
      </c>
      <c r="B12" s="2" t="inlineStr">
        <is>
          <t>D09-D11</t>
        </is>
      </c>
      <c r="C12" s="2" t="inlineStr">
        <is>
          <t>Representative institutional data supporting Regional/Economic Relevance</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D09</t>
        </is>
      </c>
      <c r="B13" s="2" t="inlineStr">
        <is>
          <t>D09-D12</t>
        </is>
      </c>
      <c r="C13" s="2" t="inlineStr">
        <is>
          <t>Representative institutional data supporting Alumni Career Intelligence</t>
        </is>
      </c>
      <c r="D13" s="2" t="inlineStr">
        <is>
          <t>Number / structured input / evidence as applicable</t>
        </is>
      </c>
      <c r="E13" s="2" t="inlineStr">
        <is>
          <t>To be determined by adaptive branch</t>
        </is>
      </c>
      <c r="F13" s="2" t="inlineStr">
        <is>
          <t>I12</t>
        </is>
      </c>
      <c r="G13" s="2" t="inlineStr">
        <is>
          <t>Engine-design input; calibration required</t>
        </is>
      </c>
    </row>
  </sheetData>
  <autoFilter ref="A1:G13"/>
  <pageMargins left="0.7" right="0.7" top="0.75" bottom="0.75" header="0.3" footer="0.3"/>
</worksheet>
</file>

<file path=xl/worksheets/sheet106.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24" t="inlineStr">
        <is>
          <t>Check ID</t>
        </is>
      </c>
      <c r="B1" s="24" t="inlineStr">
        <is>
          <t>Check</t>
        </is>
      </c>
      <c r="C1" s="24" t="inlineStr">
        <is>
          <t>Rule</t>
        </is>
      </c>
      <c r="D1" s="24" t="inlineStr">
        <is>
          <t>Type</t>
        </is>
      </c>
    </row>
    <row r="2">
      <c r="A2" s="2" t="inlineStr">
        <is>
          <t>D09-QA01</t>
        </is>
      </c>
      <c r="B2" s="2" t="inlineStr">
        <is>
          <t>Programme counts</t>
        </is>
      </c>
      <c r="C2" s="2" t="inlineStr">
        <is>
          <t>Modified &lt;= reviewed &lt;= active</t>
        </is>
      </c>
      <c r="D2" s="2" t="inlineStr">
        <is>
          <t>Hard validation</t>
        </is>
      </c>
    </row>
    <row r="3">
      <c r="A3" s="2" t="inlineStr">
        <is>
          <t>D09-QA02</t>
        </is>
      </c>
      <c r="B3" s="2" t="inlineStr">
        <is>
          <t>Pilot counts</t>
        </is>
      </c>
      <c r="C3" s="2" t="inlineStr">
        <is>
          <t>Evaluated &lt;= conducted; scaled/stopped &lt;= evaluated</t>
        </is>
      </c>
      <c r="D3" s="2" t="inlineStr">
        <is>
          <t>Hard validation</t>
        </is>
      </c>
    </row>
    <row r="4">
      <c r="A4" s="2" t="inlineStr">
        <is>
          <t>D09-QA03</t>
        </is>
      </c>
      <c r="B4" s="2" t="inlineStr">
        <is>
          <t>Data counts</t>
        </is>
      </c>
      <c r="C4" s="2" t="inlineStr">
        <is>
          <t>Privacy-reviewed &lt;= data-processing &lt;= approved tools</t>
        </is>
      </c>
      <c r="D4" s="2" t="inlineStr">
        <is>
          <t>Hard validation</t>
        </is>
      </c>
    </row>
    <row r="5">
      <c r="A5" s="2" t="inlineStr">
        <is>
          <t>D09-QA04</t>
        </is>
      </c>
      <c r="B5" s="2" t="inlineStr">
        <is>
          <t>No policy inflation</t>
        </is>
      </c>
      <c r="C5" s="2" t="inlineStr">
        <is>
          <t>Policy existence alone cannot create high maturity</t>
        </is>
      </c>
      <c r="D5" s="2" t="inlineStr">
        <is>
          <t>Scoring rule</t>
        </is>
      </c>
    </row>
    <row r="6">
      <c r="A6" s="2" t="inlineStr">
        <is>
          <t>D09-QA05</t>
        </is>
      </c>
      <c r="B6" s="2" t="inlineStr">
        <is>
          <t>Context fairness</t>
        </is>
      </c>
      <c r="C6" s="2" t="inlineStr">
        <is>
          <t>Required maturity reflects mission, scale, resources, exposure</t>
        </is>
      </c>
      <c r="D6" s="2" t="inlineStr">
        <is>
          <t>Scoring rule</t>
        </is>
      </c>
    </row>
    <row r="7">
      <c r="A7" s="2" t="inlineStr">
        <is>
          <t>D09-QA06</t>
        </is>
      </c>
      <c r="B7" s="2" t="inlineStr">
        <is>
          <t>Non-technical fairness</t>
        </is>
      </c>
      <c r="C7" s="2" t="inlineStr">
        <is>
          <t>Assess discipline relevance, not coding/technical AI</t>
        </is>
      </c>
      <c r="D7" s="2" t="inlineStr">
        <is>
          <t>Scoring rule</t>
        </is>
      </c>
    </row>
    <row r="8">
      <c r="A8" s="2" t="inlineStr">
        <is>
          <t>D09-QA07</t>
        </is>
      </c>
      <c r="B8" s="2" t="inlineStr">
        <is>
          <t>No outcome fabrication</t>
        </is>
      </c>
      <c r="C8" s="2" t="inlineStr">
        <is>
          <t>N/A accepted where outcome measurement legitimately unavailable</t>
        </is>
      </c>
      <c r="D8" s="2" t="inlineStr">
        <is>
          <t>Scoring rule</t>
        </is>
      </c>
    </row>
    <row r="9">
      <c r="A9" s="2" t="inlineStr">
        <is>
          <t>D09-QA08</t>
        </is>
      </c>
      <c r="B9" s="2" t="inlineStr">
        <is>
          <t>Representative sampling</t>
        </is>
      </c>
      <c r="C9" s="2" t="inlineStr">
        <is>
          <t>Evidence requests stay limited to high-value samples</t>
        </is>
      </c>
      <c r="D9" s="2" t="inlineStr">
        <is>
          <t>UX rule</t>
        </is>
      </c>
    </row>
    <row r="10">
      <c r="A10" s="2" t="inlineStr">
        <is>
          <t>D09-D03</t>
        </is>
      </c>
      <c r="B10" s="2" t="inlineStr">
        <is>
          <t>Discipline coverage</t>
        </is>
      </c>
      <c r="C10" s="2" t="inlineStr">
        <is>
          <t>Expanded to health, pharmacy, media, humanities, professional, technical and interdisciplinary pathways.</t>
        </is>
      </c>
      <c r="D10" s="2" t="inlineStr">
        <is>
          <t>Pass</t>
        </is>
      </c>
    </row>
    <row r="11">
      <c r="A11" s="2" t="inlineStr">
        <is>
          <t>D09-D04-D06</t>
        </is>
      </c>
      <c r="B11" s="2" t="inlineStr">
        <is>
          <t>Architecture completeness</t>
        </is>
      </c>
      <c r="C11" s="2" t="inlineStr">
        <is>
          <t>Each domain has capabilities, metrics, assessment cards, 5 core questions and maturity anchors.</t>
        </is>
      </c>
      <c r="D11" s="2" t="inlineStr">
        <is>
          <t>Pass</t>
        </is>
      </c>
    </row>
    <row r="12">
      <c r="A12" s="2" t="inlineStr">
        <is>
          <t>D09-All</t>
        </is>
      </c>
      <c r="B12" s="2" t="inlineStr">
        <is>
          <t>Context calibration</t>
        </is>
      </c>
      <c r="C12" s="2" t="inlineStr">
        <is>
          <t>Institution context changes proportionality and branching, not the integrity standard.</t>
        </is>
      </c>
      <c r="D12" s="2" t="inlineStr">
        <is>
          <t>Pass</t>
        </is>
      </c>
    </row>
    <row r="13">
      <c r="A13" s="2" t="inlineStr">
        <is>
          <t>D09-All</t>
        </is>
      </c>
      <c r="B13" s="2" t="inlineStr">
        <is>
          <t>Reality gradient</t>
        </is>
      </c>
      <c r="C13" s="2" t="inlineStr">
        <is>
          <t>Claim→practice→evidence→outcome→adaptation captured separately from maturity.</t>
        </is>
      </c>
      <c r="D13" s="2" t="inlineStr">
        <is>
          <t>Pass</t>
        </is>
      </c>
    </row>
    <row r="14">
      <c r="A14" s="2" t="inlineStr">
        <is>
          <t>D09-QA-DOM01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D09-QA-DOM02</t>
        </is>
      </c>
      <c r="B15" s="2" t="inlineStr">
        <is>
          <t>Question/card coverage</t>
        </is>
      </c>
      <c r="C15" s="2" t="inlineStr">
        <is>
          <t>Every assessment card and question must map to at least one metric.</t>
        </is>
      </c>
      <c r="D15" s="2" t="inlineStr">
        <is>
          <t>Structural</t>
        </is>
      </c>
    </row>
    <row r="16">
      <c r="A16" s="2" t="inlineStr">
        <is>
          <t>D09-QA-DOM03</t>
        </is>
      </c>
      <c r="B16" s="2" t="inlineStr">
        <is>
          <t>Evidence traceability</t>
        </is>
      </c>
      <c r="C16" s="2" t="inlineStr">
        <is>
          <t>High-maturity claims must have an evidence path or an explicit evidence-gap flag.</t>
        </is>
      </c>
      <c r="D16" s="2" t="inlineStr">
        <is>
          <t>Scoring</t>
        </is>
      </c>
    </row>
    <row r="17">
      <c r="A17" s="2" t="inlineStr">
        <is>
          <t>D09-QA-DOM04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107.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24" t="inlineStr">
        <is>
          <t>Domain</t>
        </is>
      </c>
      <c r="B1" s="24" t="inlineStr">
        <is>
          <t>Domain Name</t>
        </is>
      </c>
      <c r="C1" s="24" t="inlineStr">
        <is>
          <t>Capability ID</t>
        </is>
      </c>
      <c r="D1" s="24" t="inlineStr">
        <is>
          <t>Capability Area</t>
        </is>
      </c>
      <c r="E1" s="24" t="inlineStr">
        <is>
          <t>Metric ID</t>
        </is>
      </c>
      <c r="F1" s="24" t="inlineStr">
        <is>
          <t>Metric</t>
        </is>
      </c>
      <c r="G1" s="24" t="inlineStr">
        <is>
          <t>What It Measures</t>
        </is>
      </c>
      <c r="H1" s="24" t="inlineStr">
        <is>
          <t>Measurement Method</t>
        </is>
      </c>
      <c r="I1" s="24" t="inlineStr">
        <is>
          <t>Exposure</t>
        </is>
      </c>
      <c r="J1" s="24" t="inlineStr">
        <is>
          <t>Source / Basis</t>
        </is>
      </c>
    </row>
    <row r="2">
      <c r="A2" s="2" t="inlineStr">
        <is>
          <t>D10</t>
        </is>
      </c>
      <c r="B2" s="2" t="inlineStr">
        <is>
          <t>Research, Innovation &amp; Knowledge Creation</t>
        </is>
      </c>
      <c r="C2" s="2" t="inlineStr">
        <is>
          <t>C01</t>
        </is>
      </c>
      <c r="D2" s="2" t="inlineStr">
        <is>
          <t>Research Direction</t>
        </is>
      </c>
      <c r="E2" s="2" t="inlineStr">
        <is>
          <t>I01</t>
        </is>
      </c>
      <c r="F2" s="2" t="inlineStr">
        <is>
          <t>Research Strategy Maturity</t>
        </is>
      </c>
      <c r="G2" s="2" t="inlineStr">
        <is>
          <t>Whether research priorities are strategically defined and connected to institutional purpose and emerging needs.</t>
        </is>
      </c>
      <c r="H2" s="2" t="inlineStr">
        <is>
          <t>Research portfolio + pathway evidence + outcome/impact sample</t>
        </is>
      </c>
      <c r="I2" s="2" t="inlineStr">
        <is>
          <t>High</t>
        </is>
      </c>
      <c r="J2" s="2" t="inlineStr">
        <is>
          <t>Integrated master; D01-D03 baseline retained; D04-D11 integrated from domain matrices.</t>
        </is>
      </c>
    </row>
    <row r="3">
      <c r="A3" s="2" t="inlineStr">
        <is>
          <t>D10</t>
        </is>
      </c>
      <c r="B3" s="2" t="inlineStr">
        <is>
          <t>Research, Innovation &amp; Knowledge Creation</t>
        </is>
      </c>
      <c r="C3" s="2" t="inlineStr">
        <is>
          <t>C02</t>
        </is>
      </c>
      <c r="D3" s="2" t="inlineStr">
        <is>
          <t>Research Portfolio</t>
        </is>
      </c>
      <c r="E3" s="2" t="inlineStr">
        <is>
          <t>I02</t>
        </is>
      </c>
      <c r="F3" s="2" t="inlineStr">
        <is>
          <t>Research Portfolio Balance</t>
        </is>
      </c>
      <c r="G3" s="2" t="inlineStr">
        <is>
          <t>Breadth, depth, concentration and strategic coherence of the research portfolio.</t>
        </is>
      </c>
      <c r="H3" s="2" t="inlineStr">
        <is>
          <t>Research portfolio + pathway evidence + outcome/impact sample</t>
        </is>
      </c>
      <c r="I3" s="2" t="inlineStr">
        <is>
          <t>High</t>
        </is>
      </c>
      <c r="J3" s="2" t="inlineStr">
        <is>
          <t>Integrated master; D01-D03 baseline retained; D04-D11 integrated from domain matrices.</t>
        </is>
      </c>
    </row>
    <row r="4">
      <c r="A4" s="2" t="inlineStr">
        <is>
          <t>D10</t>
        </is>
      </c>
      <c r="B4" s="2" t="inlineStr">
        <is>
          <t>Research, Innovation &amp; Knowledge Creation</t>
        </is>
      </c>
      <c r="C4" s="2" t="inlineStr">
        <is>
          <t>C03</t>
        </is>
      </c>
      <c r="D4" s="2" t="inlineStr">
        <is>
          <t>Interdisciplinarity</t>
        </is>
      </c>
      <c r="E4" s="2" t="inlineStr">
        <is>
          <t>I03</t>
        </is>
      </c>
      <c r="F4" s="2" t="inlineStr">
        <is>
          <t>Interdisciplinary Research Capability</t>
        </is>
      </c>
      <c r="G4" s="2" t="inlineStr">
        <is>
          <t>Ability to bring disciplines together around meaningful questions.</t>
        </is>
      </c>
      <c r="H4" s="2" t="inlineStr">
        <is>
          <t>Research portfolio + pathway evidence + outcome/impact sample</t>
        </is>
      </c>
      <c r="I4" s="2" t="inlineStr">
        <is>
          <t>High</t>
        </is>
      </c>
      <c r="J4" s="2" t="inlineStr">
        <is>
          <t>Integrated master; D01-D03 baseline retained; D04-D11 integrated from domain matrices.</t>
        </is>
      </c>
    </row>
    <row r="5">
      <c r="A5" s="2" t="inlineStr">
        <is>
          <t>D10</t>
        </is>
      </c>
      <c r="B5" s="2" t="inlineStr">
        <is>
          <t>Research, Innovation &amp; Knowledge Creation</t>
        </is>
      </c>
      <c r="C5" s="2" t="inlineStr">
        <is>
          <t>C04</t>
        </is>
      </c>
      <c r="D5" s="2" t="inlineStr">
        <is>
          <t>AI in Research</t>
        </is>
      </c>
      <c r="E5" s="2" t="inlineStr">
        <is>
          <t>I04</t>
        </is>
      </c>
      <c r="F5" s="2" t="inlineStr">
        <is>
          <t>AI-Enabled Research Capability</t>
        </is>
      </c>
      <c r="G5" s="2" t="inlineStr">
        <is>
          <t>Responsible use of AI across discovery, analysis, experimentation and knowledge creation.</t>
        </is>
      </c>
      <c r="H5" s="2" t="inlineStr">
        <is>
          <t>Research portfolio + pathway evidence + outcome/impact sample</t>
        </is>
      </c>
      <c r="I5" s="2" t="inlineStr">
        <is>
          <t>High</t>
        </is>
      </c>
      <c r="J5" s="2" t="inlineStr">
        <is>
          <t>Integrated master; D01-D03 baseline retained; D04-D11 integrated from domain matrices.</t>
        </is>
      </c>
    </row>
    <row r="6">
      <c r="A6" s="2" t="inlineStr">
        <is>
          <t>D10</t>
        </is>
      </c>
      <c r="B6" s="2" t="inlineStr">
        <is>
          <t>Research, Innovation &amp; Knowledge Creation</t>
        </is>
      </c>
      <c r="C6" s="2" t="inlineStr">
        <is>
          <t>C05</t>
        </is>
      </c>
      <c r="D6" s="2" t="inlineStr">
        <is>
          <t>Research Infrastructure</t>
        </is>
      </c>
      <c r="E6" s="2" t="inlineStr">
        <is>
          <t>I05</t>
        </is>
      </c>
      <c r="F6" s="2" t="inlineStr">
        <is>
          <t>Research Infrastructure Readiness</t>
        </is>
      </c>
      <c r="G6" s="2" t="inlineStr">
        <is>
          <t>Adequacy and accessibility of research infrastructure, data and tools.</t>
        </is>
      </c>
      <c r="H6" s="2" t="inlineStr">
        <is>
          <t>Research portfolio + pathway evidence + outcome/impact sample</t>
        </is>
      </c>
      <c r="I6" s="2" t="inlineStr">
        <is>
          <t>High</t>
        </is>
      </c>
      <c r="J6" s="2" t="inlineStr">
        <is>
          <t>Integrated master; D01-D03 baseline retained; D04-D11 integrated from domain matrices.</t>
        </is>
      </c>
    </row>
    <row r="7">
      <c r="A7" s="2" t="inlineStr">
        <is>
          <t>D10</t>
        </is>
      </c>
      <c r="B7" s="2" t="inlineStr">
        <is>
          <t>Research, Innovation &amp; Knowledge Creation</t>
        </is>
      </c>
      <c r="C7" s="2" t="inlineStr">
        <is>
          <t>C06</t>
        </is>
      </c>
      <c r="D7" s="2" t="inlineStr">
        <is>
          <t>Research Talent</t>
        </is>
      </c>
      <c r="E7" s="2" t="inlineStr">
        <is>
          <t>I06</t>
        </is>
      </c>
      <c r="F7" s="2" t="inlineStr">
        <is>
          <t>Researcher Capability</t>
        </is>
      </c>
      <c r="G7" s="2" t="inlineStr">
        <is>
          <t>Ability to develop and retain researchers and research-active faculty.</t>
        </is>
      </c>
      <c r="H7" s="2" t="inlineStr">
        <is>
          <t>Research portfolio + pathway evidence + outcome/impact sample</t>
        </is>
      </c>
      <c r="I7" s="2" t="inlineStr">
        <is>
          <t>High</t>
        </is>
      </c>
      <c r="J7" s="2" t="inlineStr">
        <is>
          <t>Integrated master; D01-D03 baseline retained; D04-D11 integrated from domain matrices.</t>
        </is>
      </c>
    </row>
    <row r="8">
      <c r="A8" s="2" t="inlineStr">
        <is>
          <t>D10</t>
        </is>
      </c>
      <c r="B8" s="2" t="inlineStr">
        <is>
          <t>Research, Innovation &amp; Knowledge Creation</t>
        </is>
      </c>
      <c r="C8" s="2" t="inlineStr">
        <is>
          <t>C07</t>
        </is>
      </c>
      <c r="D8" s="2" t="inlineStr">
        <is>
          <t>External Funding</t>
        </is>
      </c>
      <c r="E8" s="2" t="inlineStr">
        <is>
          <t>I07</t>
        </is>
      </c>
      <c r="F8" s="2" t="inlineStr">
        <is>
          <t>Research Funding Capability</t>
        </is>
      </c>
      <c r="G8" s="2" t="inlineStr">
        <is>
          <t>Ability to identify, develop and secure competitive research resources.</t>
        </is>
      </c>
      <c r="H8" s="2" t="inlineStr">
        <is>
          <t>Research portfolio + pathway evidence + outcome/impact sample</t>
        </is>
      </c>
      <c r="I8" s="2" t="inlineStr">
        <is>
          <t>High</t>
        </is>
      </c>
      <c r="J8" s="2" t="inlineStr">
        <is>
          <t>Integrated master; D01-D03 baseline retained; D04-D11 integrated from domain matrices.</t>
        </is>
      </c>
    </row>
    <row r="9">
      <c r="A9" s="2" t="inlineStr">
        <is>
          <t>D10</t>
        </is>
      </c>
      <c r="B9" s="2" t="inlineStr">
        <is>
          <t>Research, Innovation &amp; Knowledge Creation</t>
        </is>
      </c>
      <c r="C9" s="2" t="inlineStr">
        <is>
          <t>C08</t>
        </is>
      </c>
      <c r="D9" s="2" t="inlineStr">
        <is>
          <t>Knowledge Translation</t>
        </is>
      </c>
      <c r="E9" s="2" t="inlineStr">
        <is>
          <t>I08</t>
        </is>
      </c>
      <c r="F9" s="2" t="inlineStr">
        <is>
          <t>Knowledge Translation Capability</t>
        </is>
      </c>
      <c r="G9" s="2" t="inlineStr">
        <is>
          <t>Movement from research findings to application, policy, practice or public value.</t>
        </is>
      </c>
      <c r="H9" s="2" t="inlineStr">
        <is>
          <t>Research portfolio + pathway evidence + outcome/impact sample</t>
        </is>
      </c>
      <c r="I9" s="2" t="inlineStr">
        <is>
          <t>High</t>
        </is>
      </c>
      <c r="J9" s="2" t="inlineStr">
        <is>
          <t>Integrated master; D01-D03 baseline retained; D04-D11 integrated from domain matrices.</t>
        </is>
      </c>
    </row>
    <row r="10">
      <c r="A10" s="2" t="inlineStr">
        <is>
          <t>D10</t>
        </is>
      </c>
      <c r="B10" s="2" t="inlineStr">
        <is>
          <t>Research, Innovation &amp; Knowledge Creation</t>
        </is>
      </c>
      <c r="C10" s="2" t="inlineStr">
        <is>
          <t>C09</t>
        </is>
      </c>
      <c r="D10" s="2" t="inlineStr">
        <is>
          <t>Industry Research</t>
        </is>
      </c>
      <c r="E10" s="2" t="inlineStr">
        <is>
          <t>I09</t>
        </is>
      </c>
      <c r="F10" s="2" t="inlineStr">
        <is>
          <t>Industry-Linked Research</t>
        </is>
      </c>
      <c r="G10" s="2" t="inlineStr">
        <is>
          <t>Depth of meaningful research collaboration with industry and external organisations.</t>
        </is>
      </c>
      <c r="H10" s="2" t="inlineStr">
        <is>
          <t>Research portfolio + pathway evidence + outcome/impact sample</t>
        </is>
      </c>
      <c r="I10" s="2" t="inlineStr">
        <is>
          <t>High</t>
        </is>
      </c>
      <c r="J10" s="2" t="inlineStr">
        <is>
          <t>Integrated master; D01-D03 baseline retained; D04-D11 integrated from domain matrices.</t>
        </is>
      </c>
    </row>
    <row r="11">
      <c r="A11" s="2" t="inlineStr">
        <is>
          <t>D10</t>
        </is>
      </c>
      <c r="B11" s="2" t="inlineStr">
        <is>
          <t>Research, Innovation &amp; Knowledge Creation</t>
        </is>
      </c>
      <c r="C11" s="2" t="inlineStr">
        <is>
          <t>C10</t>
        </is>
      </c>
      <c r="D11" s="2" t="inlineStr">
        <is>
          <t>Innovation Pipeline</t>
        </is>
      </c>
      <c r="E11" s="2" t="inlineStr">
        <is>
          <t>I10</t>
        </is>
      </c>
      <c r="F11" s="2" t="inlineStr">
        <is>
          <t>Research-to-Innovation Pipeline</t>
        </is>
      </c>
      <c r="G11" s="2" t="inlineStr">
        <is>
          <t>Ability to move promising research toward prototypes, ventures, IP or implementation.</t>
        </is>
      </c>
      <c r="H11" s="2" t="inlineStr">
        <is>
          <t>Research portfolio + pathway evidence + outcome/impact sample</t>
        </is>
      </c>
      <c r="I11" s="2" t="inlineStr">
        <is>
          <t>High</t>
        </is>
      </c>
      <c r="J11" s="2" t="inlineStr">
        <is>
          <t>Integrated master; D01-D03 baseline retained; D04-D11 integrated from domain matrices.</t>
        </is>
      </c>
    </row>
    <row r="12">
      <c r="A12" s="2" t="inlineStr">
        <is>
          <t>D10</t>
        </is>
      </c>
      <c r="B12" s="2" t="inlineStr">
        <is>
          <t>Research, Innovation &amp; Knowledge Creation</t>
        </is>
      </c>
      <c r="C12" s="2" t="inlineStr">
        <is>
          <t>C11</t>
        </is>
      </c>
      <c r="D12" s="2" t="inlineStr">
        <is>
          <t>IP</t>
        </is>
      </c>
      <c r="E12" s="2" t="inlineStr">
        <is>
          <t>I11</t>
        </is>
      </c>
      <c r="F12" s="2" t="inlineStr">
        <is>
          <t>IP &amp; Knowledge Assets</t>
        </is>
      </c>
      <c r="G12" s="2" t="inlineStr">
        <is>
          <t>Quality and strategic management of intellectual property and other knowledge assets.</t>
        </is>
      </c>
      <c r="H12" s="2" t="inlineStr">
        <is>
          <t>Research portfolio + pathway evidence + outcome/impact sample</t>
        </is>
      </c>
      <c r="I12" s="2" t="inlineStr">
        <is>
          <t>High</t>
        </is>
      </c>
      <c r="J12" s="2" t="inlineStr">
        <is>
          <t>Integrated master; D01-D03 baseline retained; D04-D11 integrated from domain matrices.</t>
        </is>
      </c>
    </row>
    <row r="13">
      <c r="A13" s="2" t="inlineStr">
        <is>
          <t>D10</t>
        </is>
      </c>
      <c r="B13" s="2" t="inlineStr">
        <is>
          <t>Research, Innovation &amp; Knowledge Creation</t>
        </is>
      </c>
      <c r="C13" s="2" t="inlineStr">
        <is>
          <t>C12</t>
        </is>
      </c>
      <c r="D13" s="2" t="inlineStr">
        <is>
          <t>Research Integrity</t>
        </is>
      </c>
      <c r="E13" s="2" t="inlineStr">
        <is>
          <t>I12</t>
        </is>
      </c>
      <c r="F13" s="2" t="inlineStr">
        <is>
          <t>Research Integrity &amp; Responsible AI</t>
        </is>
      </c>
      <c r="G13" s="2" t="inlineStr">
        <is>
          <t>Integrity, reproducibility, ethics, authorship, data and responsible AI practices.</t>
        </is>
      </c>
      <c r="H13" s="2" t="inlineStr">
        <is>
          <t>Research portfolio + pathway evidence + outcome/impact sample</t>
        </is>
      </c>
      <c r="I13" s="2" t="inlineStr">
        <is>
          <t>High</t>
        </is>
      </c>
      <c r="J13" s="2" t="inlineStr">
        <is>
          <t>Integrated master; D01-D03 baseline retained; D04-D11 integrated from domain matrices.</t>
        </is>
      </c>
    </row>
    <row r="14">
      <c r="A14" s="2" t="inlineStr">
        <is>
          <t>D10</t>
        </is>
      </c>
      <c r="B14" s="2" t="inlineStr">
        <is>
          <t>Research, Innovation &amp; Knowledge Creation</t>
        </is>
      </c>
      <c r="C14" s="2" t="inlineStr">
        <is>
          <t>C13</t>
        </is>
      </c>
      <c r="D14" s="2" t="inlineStr">
        <is>
          <t>Research Outcomes</t>
        </is>
      </c>
      <c r="E14" s="2" t="inlineStr">
        <is>
          <t>I13</t>
        </is>
      </c>
      <c r="F14" s="2" t="inlineStr">
        <is>
          <t>Research Impact Evidence</t>
        </is>
      </c>
      <c r="G14" s="2" t="inlineStr">
        <is>
          <t>Evidence of scholarly, economic, social, technological or policy impact.</t>
        </is>
      </c>
      <c r="H14" s="2" t="inlineStr">
        <is>
          <t>Research portfolio + pathway evidence + outcome/impact sample</t>
        </is>
      </c>
      <c r="I14" s="2" t="inlineStr">
        <is>
          <t>High</t>
        </is>
      </c>
      <c r="J14" s="2" t="inlineStr">
        <is>
          <t>Integrated master; D01-D03 baseline retained; D04-D11 integrated from domain matrices.</t>
        </is>
      </c>
    </row>
    <row r="15">
      <c r="A15" s="2" t="inlineStr">
        <is>
          <t>D10</t>
        </is>
      </c>
      <c r="B15" s="2" t="inlineStr">
        <is>
          <t>Research, Innovation &amp; Knowledge Creation</t>
        </is>
      </c>
      <c r="C15" s="2" t="inlineStr">
        <is>
          <t>C14</t>
        </is>
      </c>
      <c r="D15" s="2" t="inlineStr">
        <is>
          <t>Student Research</t>
        </is>
      </c>
      <c r="E15" s="2" t="inlineStr">
        <is>
          <t>I14</t>
        </is>
      </c>
      <c r="F15" s="2" t="inlineStr">
        <is>
          <t>Student Research Capability</t>
        </is>
      </c>
      <c r="G15" s="2" t="inlineStr">
        <is>
          <t>Extent to which students participate meaningfully in research and knowledge creation.</t>
        </is>
      </c>
      <c r="H15" s="2" t="inlineStr">
        <is>
          <t>Research portfolio + pathway evidence + outcome/impact sample</t>
        </is>
      </c>
      <c r="I15" s="2" t="inlineStr">
        <is>
          <t>High</t>
        </is>
      </c>
      <c r="J15" s="2" t="inlineStr">
        <is>
          <t>Integrated master; D01-D03 baseline retained; D04-D11 integrated from domain matrices.</t>
        </is>
      </c>
    </row>
  </sheetData>
  <autoFilter ref="A1:J15"/>
  <pageMargins left="0.7" right="0.7" top="0.75" bottom="0.75" header="0.3" footer="0.3"/>
</worksheet>
</file>

<file path=xl/worksheets/sheet108.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24" t="inlineStr">
        <is>
          <t>Domain</t>
        </is>
      </c>
      <c r="B1" s="24" t="inlineStr">
        <is>
          <t>Card ID</t>
        </is>
      </c>
      <c r="C1" s="24" t="inlineStr">
        <is>
          <t>Assessment Card</t>
        </is>
      </c>
      <c r="D1" s="24" t="inlineStr">
        <is>
          <t>Input / Response Format</t>
        </is>
      </c>
      <c r="E1" s="24" t="inlineStr">
        <is>
          <t>Purpose / Respondent Action</t>
        </is>
      </c>
      <c r="F1" s="24" t="inlineStr">
        <is>
          <t>Metric Link</t>
        </is>
      </c>
    </row>
    <row r="2">
      <c r="A2" s="2" t="inlineStr">
        <is>
          <t>D10</t>
        </is>
      </c>
      <c r="B2" s="2" t="inlineStr">
        <is>
          <t>D10.1</t>
        </is>
      </c>
      <c r="C2" s="2" t="inlineStr">
        <is>
          <t>Research Direction Test</t>
        </is>
      </c>
      <c r="D2" s="2" t="inlineStr">
        <is>
          <t>Structured assessment card</t>
        </is>
      </c>
      <c r="E2" s="2" t="inlineStr">
        <is>
          <t>What research questions or themes does the institution believe will matter most to its disciplines, region or society over the next 5–10 years?</t>
        </is>
      </c>
      <c r="F2" s="2" t="inlineStr">
        <is>
          <t>I01/I02</t>
        </is>
      </c>
    </row>
    <row r="3">
      <c r="A3" s="2" t="inlineStr">
        <is>
          <t>D10</t>
        </is>
      </c>
      <c r="B3" s="2" t="inlineStr">
        <is>
          <t>D10.2</t>
        </is>
      </c>
      <c r="C3" s="2" t="inlineStr">
        <is>
          <t>Research-to-Value Test</t>
        </is>
      </c>
      <c r="D3" s="2" t="inlineStr">
        <is>
          <t>Structured assessment card</t>
        </is>
      </c>
      <c r="E3" s="2" t="inlineStr">
        <is>
          <t>Take one significant research activity. What happened after the research generated a meaningful finding?</t>
        </is>
      </c>
      <c r="F3" s="2" t="inlineStr">
        <is>
          <t>I08/I10/I13</t>
        </is>
      </c>
    </row>
    <row r="4">
      <c r="A4" s="2" t="inlineStr">
        <is>
          <t>D10</t>
        </is>
      </c>
      <c r="B4" s="2" t="inlineStr">
        <is>
          <t>D10.3</t>
        </is>
      </c>
      <c r="C4" s="2" t="inlineStr">
        <is>
          <t>Interdisciplinary Collision Test</t>
        </is>
      </c>
      <c r="D4" s="2" t="inlineStr">
        <is>
          <t>Structured assessment card</t>
        </is>
      </c>
      <c r="E4" s="2" t="inlineStr">
        <is>
          <t>When a major problem crosses disciplinary boundaries, how does the institution bring the required expertise together?</t>
        </is>
      </c>
      <c r="F4" s="2" t="inlineStr">
        <is>
          <t>I03</t>
        </is>
      </c>
    </row>
    <row r="5">
      <c r="A5" s="2" t="inlineStr">
        <is>
          <t>D10</t>
        </is>
      </c>
      <c r="B5" s="2" t="inlineStr">
        <is>
          <t>D10.4</t>
        </is>
      </c>
      <c r="C5" s="2" t="inlineStr">
        <is>
          <t>AI Research Judgement Test</t>
        </is>
      </c>
      <c r="D5" s="2" t="inlineStr">
        <is>
          <t>Structured assessment card</t>
        </is>
      </c>
      <c r="E5" s="2" t="inlineStr">
        <is>
          <t>Where AI is used in research, how does the institution protect research quality, provenance, integrity and human judgement?</t>
        </is>
      </c>
      <c r="F5" s="2" t="inlineStr">
        <is>
          <t>I04/I12</t>
        </is>
      </c>
    </row>
    <row r="6">
      <c r="A6" s="2" t="inlineStr">
        <is>
          <t>D10</t>
        </is>
      </c>
      <c r="B6" s="2" t="inlineStr">
        <is>
          <t>D10.5</t>
        </is>
      </c>
      <c r="C6" s="2" t="inlineStr">
        <is>
          <t>Student Creator Test</t>
        </is>
      </c>
      <c r="D6" s="2" t="inlineStr">
        <is>
          <t>Structured assessment card</t>
        </is>
      </c>
      <c r="E6" s="2" t="inlineStr">
        <is>
          <t>How are students enabled to move from consuming existing knowledge to creating new knowledge, prototypes, evidence or solutions?</t>
        </is>
      </c>
      <c r="F6" s="2" t="inlineStr">
        <is>
          <t>I14</t>
        </is>
      </c>
    </row>
  </sheetData>
  <autoFilter ref="A1:F6"/>
  <pageMargins left="0.7" right="0.7" top="0.75" bottom="0.75" header="0.3" footer="0.3"/>
</worksheet>
</file>

<file path=xl/worksheets/sheet109.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24" t="inlineStr">
        <is>
          <t>Domain</t>
        </is>
      </c>
      <c r="B1" s="24" t="inlineStr">
        <is>
          <t>Question ID</t>
        </is>
      </c>
      <c r="C1" s="24" t="inlineStr">
        <is>
          <t>Card</t>
        </is>
      </c>
      <c r="D1" s="24" t="inlineStr">
        <is>
          <t>Prompt</t>
        </is>
      </c>
      <c r="E1" s="24" t="inlineStr">
        <is>
          <t>Input Type</t>
        </is>
      </c>
      <c r="F1" s="24" t="inlineStr">
        <is>
          <t>Role</t>
        </is>
      </c>
      <c r="G1" s="24" t="inlineStr">
        <is>
          <t>Metric Link</t>
        </is>
      </c>
    </row>
    <row r="2">
      <c r="A2" s="2" t="inlineStr">
        <is>
          <t>D10</t>
        </is>
      </c>
      <c r="B2" s="2" t="inlineStr">
        <is>
          <t>D10.1</t>
        </is>
      </c>
      <c r="C2" s="2" t="inlineStr">
        <is>
          <t>Research Direction Test</t>
        </is>
      </c>
      <c r="D2" s="2" t="inlineStr">
        <is>
          <t>What research questions or themes does the institution believe will matter most to its disciplines, region or society over the next 5–10 years?</t>
        </is>
      </c>
      <c r="E2" s="2" t="inlineStr">
        <is>
          <t>Structured card response</t>
        </is>
      </c>
      <c r="F2" s="2" t="inlineStr">
        <is>
          <t>Reality/Diagnostic</t>
        </is>
      </c>
      <c r="G2" s="2" t="inlineStr">
        <is>
          <t>I01/I02</t>
        </is>
      </c>
    </row>
    <row r="3">
      <c r="A3" s="2" t="inlineStr">
        <is>
          <t>D10</t>
        </is>
      </c>
      <c r="B3" s="2" t="inlineStr">
        <is>
          <t>D10.2</t>
        </is>
      </c>
      <c r="C3" s="2" t="inlineStr">
        <is>
          <t>Research-to-Value Test</t>
        </is>
      </c>
      <c r="D3" s="2" t="inlineStr">
        <is>
          <t>Take one significant research activity. What happened after the research generated a meaningful finding?</t>
        </is>
      </c>
      <c r="E3" s="2" t="inlineStr">
        <is>
          <t>Structured card response</t>
        </is>
      </c>
      <c r="F3" s="2" t="inlineStr">
        <is>
          <t>Reality/Diagnostic</t>
        </is>
      </c>
      <c r="G3" s="2" t="inlineStr">
        <is>
          <t>I08/I10/I13</t>
        </is>
      </c>
    </row>
    <row r="4">
      <c r="A4" s="2" t="inlineStr">
        <is>
          <t>D10</t>
        </is>
      </c>
      <c r="B4" s="2" t="inlineStr">
        <is>
          <t>D10.3</t>
        </is>
      </c>
      <c r="C4" s="2" t="inlineStr">
        <is>
          <t>Interdisciplinary Collision Test</t>
        </is>
      </c>
      <c r="D4" s="2" t="inlineStr">
        <is>
          <t>When a major problem crosses disciplinary boundaries, how does the institution bring the required expertise together?</t>
        </is>
      </c>
      <c r="E4" s="2" t="inlineStr">
        <is>
          <t>Structured card response</t>
        </is>
      </c>
      <c r="F4" s="2" t="inlineStr">
        <is>
          <t>Reality/Diagnostic</t>
        </is>
      </c>
      <c r="G4" s="2" t="inlineStr">
        <is>
          <t>I03</t>
        </is>
      </c>
    </row>
    <row r="5">
      <c r="A5" s="2" t="inlineStr">
        <is>
          <t>D10</t>
        </is>
      </c>
      <c r="B5" s="2" t="inlineStr">
        <is>
          <t>D10.4</t>
        </is>
      </c>
      <c r="C5" s="2" t="inlineStr">
        <is>
          <t>AI Research Judgement Test</t>
        </is>
      </c>
      <c r="D5" s="2" t="inlineStr">
        <is>
          <t>Where AI is used in research, how does the institution protect research quality, provenance, integrity and human judgement?</t>
        </is>
      </c>
      <c r="E5" s="2" t="inlineStr">
        <is>
          <t>Structured card response</t>
        </is>
      </c>
      <c r="F5" s="2" t="inlineStr">
        <is>
          <t>Reality/Diagnostic</t>
        </is>
      </c>
      <c r="G5" s="2" t="inlineStr">
        <is>
          <t>I04/I12</t>
        </is>
      </c>
    </row>
    <row r="6">
      <c r="A6" s="2" t="inlineStr">
        <is>
          <t>D10</t>
        </is>
      </c>
      <c r="B6" s="2" t="inlineStr">
        <is>
          <t>D10.5</t>
        </is>
      </c>
      <c r="C6" s="2" t="inlineStr">
        <is>
          <t>Student Creator Test</t>
        </is>
      </c>
      <c r="D6" s="2" t="inlineStr">
        <is>
          <t>How are students enabled to move from consuming existing knowledge to creating new knowledge, prototypes, evidence or solutions?</t>
        </is>
      </c>
      <c r="E6" s="2" t="inlineStr">
        <is>
          <t>Structured card response</t>
        </is>
      </c>
      <c r="F6" s="2" t="inlineStr">
        <is>
          <t>Reality/Diagnostic</t>
        </is>
      </c>
      <c r="G6" s="2" t="inlineStr">
        <is>
          <t>I14</t>
        </is>
      </c>
    </row>
  </sheetData>
  <autoFilter ref="A1:G6"/>
  <pageMargins left="0.7" right="0.7" top="0.75" bottom="0.75" header="0.3" footer="0.3"/>
</worksheet>
</file>

<file path=xl/worksheets/sheet110.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24" t="inlineStr">
        <is>
          <t>Domain</t>
        </is>
      </c>
      <c r="B1" s="24" t="inlineStr">
        <is>
          <t>Evidence ID</t>
        </is>
      </c>
      <c r="C1" s="24" t="inlineStr">
        <is>
          <t>Evidence Item</t>
        </is>
      </c>
      <c r="D1" s="24" t="inlineStr">
        <is>
          <t>Quantity / Sampling</t>
        </is>
      </c>
      <c r="E1" s="24" t="inlineStr">
        <is>
          <t>Requirement</t>
        </is>
      </c>
      <c r="F1" s="24" t="inlineStr">
        <is>
          <t>Metric Link</t>
        </is>
      </c>
      <c r="G1" s="24" t="inlineStr">
        <is>
          <t>Source / Basis</t>
        </is>
      </c>
    </row>
    <row r="2">
      <c r="A2" s="2" t="inlineStr">
        <is>
          <t>D10</t>
        </is>
      </c>
      <c r="B2" s="2" t="inlineStr">
        <is>
          <t>E01</t>
        </is>
      </c>
      <c r="C2" s="2" t="inlineStr">
        <is>
          <t>Representative evidence supporting Research Direction Test</t>
        </is>
      </c>
      <c r="D2" s="2" t="inlineStr">
        <is>
          <t>As triggered by assessment branch</t>
        </is>
      </c>
      <c r="E2" s="2" t="inlineStr">
        <is>
          <t>Higher maturity / verification claims require supporting evidence; exact quantity determined adaptively</t>
        </is>
      </c>
      <c r="F2" s="2" t="inlineStr">
        <is>
          <t>I01/I02</t>
        </is>
      </c>
      <c r="G2" s="2" t="inlineStr">
        <is>
          <t>Engine-design evidence rule derived from assessment card</t>
        </is>
      </c>
    </row>
    <row r="3">
      <c r="A3" s="2" t="inlineStr">
        <is>
          <t>D10</t>
        </is>
      </c>
      <c r="B3" s="2" t="inlineStr">
        <is>
          <t>E02</t>
        </is>
      </c>
      <c r="C3" s="2" t="inlineStr">
        <is>
          <t>Representative evidence supporting Research-to-Value Test</t>
        </is>
      </c>
      <c r="D3" s="2" t="inlineStr">
        <is>
          <t>As triggered by assessment branch</t>
        </is>
      </c>
      <c r="E3" s="2" t="inlineStr">
        <is>
          <t>Higher maturity / verification claims require supporting evidence; exact quantity determined adaptively</t>
        </is>
      </c>
      <c r="F3" s="2" t="inlineStr">
        <is>
          <t>I08/I10/I13</t>
        </is>
      </c>
      <c r="G3" s="2" t="inlineStr">
        <is>
          <t>Engine-design evidence rule derived from assessment card</t>
        </is>
      </c>
    </row>
    <row r="4">
      <c r="A4" s="2" t="inlineStr">
        <is>
          <t>D10</t>
        </is>
      </c>
      <c r="B4" s="2" t="inlineStr">
        <is>
          <t>E03</t>
        </is>
      </c>
      <c r="C4" s="2" t="inlineStr">
        <is>
          <t>Representative evidence supporting Interdisciplinary Collision Test</t>
        </is>
      </c>
      <c r="D4" s="2" t="inlineStr">
        <is>
          <t>As triggered by assessment branch</t>
        </is>
      </c>
      <c r="E4" s="2" t="inlineStr">
        <is>
          <t>Higher maturity / verification claims require supporting evidence; exact quantity determined adaptively</t>
        </is>
      </c>
      <c r="F4" s="2" t="inlineStr">
        <is>
          <t>I03</t>
        </is>
      </c>
      <c r="G4" s="2" t="inlineStr">
        <is>
          <t>Engine-design evidence rule derived from assessment card</t>
        </is>
      </c>
    </row>
    <row r="5">
      <c r="A5" s="2" t="inlineStr">
        <is>
          <t>D10</t>
        </is>
      </c>
      <c r="B5" s="2" t="inlineStr">
        <is>
          <t>E04</t>
        </is>
      </c>
      <c r="C5" s="2" t="inlineStr">
        <is>
          <t>Representative evidence supporting AI Research Judgement Test</t>
        </is>
      </c>
      <c r="D5" s="2" t="inlineStr">
        <is>
          <t>As triggered by assessment branch</t>
        </is>
      </c>
      <c r="E5" s="2" t="inlineStr">
        <is>
          <t>Higher maturity / verification claims require supporting evidence; exact quantity determined adaptively</t>
        </is>
      </c>
      <c r="F5" s="2" t="inlineStr">
        <is>
          <t>I04/I12</t>
        </is>
      </c>
      <c r="G5" s="2" t="inlineStr">
        <is>
          <t>Engine-design evidence rule derived from assessment card</t>
        </is>
      </c>
    </row>
    <row r="6">
      <c r="A6" s="2" t="inlineStr">
        <is>
          <t>D10</t>
        </is>
      </c>
      <c r="B6" s="2" t="inlineStr">
        <is>
          <t>E05</t>
        </is>
      </c>
      <c r="C6" s="2" t="inlineStr">
        <is>
          <t>Representative evidence supporting Student Creator Test</t>
        </is>
      </c>
      <c r="D6" s="2" t="inlineStr">
        <is>
          <t>As triggered by assessment branch</t>
        </is>
      </c>
      <c r="E6" s="2" t="inlineStr">
        <is>
          <t>Higher maturity / verification claims require supporting evidence; exact quantity determined adaptively</t>
        </is>
      </c>
      <c r="F6" s="2" t="inlineStr">
        <is>
          <t>I14</t>
        </is>
      </c>
      <c r="G6" s="2" t="inlineStr">
        <is>
          <t>Engine-design evidence rule derived from assessment card</t>
        </is>
      </c>
    </row>
  </sheetData>
  <autoFilter ref="A1:G6"/>
  <pageMargins left="0.7" right="0.7" top="0.75" bottom="0.75" header="0.3" footer="0.3"/>
</worksheet>
</file>

<file path=xl/worksheets/sheet111.xml><?xml version="1.0" encoding="utf-8"?>
<worksheet xmlns="http://schemas.openxmlformats.org/spreadsheetml/2006/main">
  <sheetPr>
    <outlinePr summaryBelow="1" summaryRight="1"/>
    <pageSetUpPr/>
  </sheetPr>
  <dimension ref="A1:G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24" t="inlineStr">
        <is>
          <t>Domain</t>
        </is>
      </c>
      <c r="B1" s="24" t="inlineStr">
        <is>
          <t>Data ID</t>
        </is>
      </c>
      <c r="C1" s="24" t="inlineStr">
        <is>
          <t>Institutional Data Item</t>
        </is>
      </c>
      <c r="D1" s="24" t="inlineStr">
        <is>
          <t>Input Type</t>
        </is>
      </c>
      <c r="E1" s="24" t="inlineStr">
        <is>
          <t>Requirement</t>
        </is>
      </c>
      <c r="F1" s="24" t="inlineStr">
        <is>
          <t>Metric / Use</t>
        </is>
      </c>
      <c r="G1" s="24" t="inlineStr">
        <is>
          <t>Status</t>
        </is>
      </c>
    </row>
    <row r="2">
      <c r="A2" s="2" t="inlineStr">
        <is>
          <t>D10</t>
        </is>
      </c>
      <c r="B2" s="2" t="inlineStr">
        <is>
          <t>D10-D01</t>
        </is>
      </c>
      <c r="C2" s="2" t="inlineStr">
        <is>
          <t>Representative institutional data supporting Research Strategy Maturity</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D10</t>
        </is>
      </c>
      <c r="B3" s="2" t="inlineStr">
        <is>
          <t>D10-D02</t>
        </is>
      </c>
      <c r="C3" s="2" t="inlineStr">
        <is>
          <t>Representative institutional data supporting Research Portfolio Balance</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D10</t>
        </is>
      </c>
      <c r="B4" s="2" t="inlineStr">
        <is>
          <t>D10-D03</t>
        </is>
      </c>
      <c r="C4" s="2" t="inlineStr">
        <is>
          <t>Representative institutional data supporting Interdisciplinary Research Capability</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D10</t>
        </is>
      </c>
      <c r="B5" s="2" t="inlineStr">
        <is>
          <t>D10-D04</t>
        </is>
      </c>
      <c r="C5" s="2" t="inlineStr">
        <is>
          <t>Representative institutional data supporting AI-Enabled Research Capability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D10</t>
        </is>
      </c>
      <c r="B6" s="2" t="inlineStr">
        <is>
          <t>D10-D05</t>
        </is>
      </c>
      <c r="C6" s="2" t="inlineStr">
        <is>
          <t>Representative institutional data supporting Research Infrastructure Readiness</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D10</t>
        </is>
      </c>
      <c r="B7" s="2" t="inlineStr">
        <is>
          <t>D10-D06</t>
        </is>
      </c>
      <c r="C7" s="2" t="inlineStr">
        <is>
          <t>Representative institutional data supporting Researcher Capability</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D10</t>
        </is>
      </c>
      <c r="B8" s="2" t="inlineStr">
        <is>
          <t>D10-D07</t>
        </is>
      </c>
      <c r="C8" s="2" t="inlineStr">
        <is>
          <t>Representative institutional data supporting Research Funding Capability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D10</t>
        </is>
      </c>
      <c r="B9" s="2" t="inlineStr">
        <is>
          <t>D10-D08</t>
        </is>
      </c>
      <c r="C9" s="2" t="inlineStr">
        <is>
          <t>Representative institutional data supporting Knowledge Translation Capability</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D10</t>
        </is>
      </c>
      <c r="B10" s="2" t="inlineStr">
        <is>
          <t>D10-D09</t>
        </is>
      </c>
      <c r="C10" s="2" t="inlineStr">
        <is>
          <t>Representative institutional data supporting Industry-Linked Research</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D10</t>
        </is>
      </c>
      <c r="B11" s="2" t="inlineStr">
        <is>
          <t>D10-D10</t>
        </is>
      </c>
      <c r="C11" s="2" t="inlineStr">
        <is>
          <t>Representative institutional data supporting Research-to-Innovation Pipeline</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D10</t>
        </is>
      </c>
      <c r="B12" s="2" t="inlineStr">
        <is>
          <t>D10-D11</t>
        </is>
      </c>
      <c r="C12" s="2" t="inlineStr">
        <is>
          <t>Representative institutional data supporting IP &amp; Knowledge Assets</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D10</t>
        </is>
      </c>
      <c r="B13" s="2" t="inlineStr">
        <is>
          <t>D10-D12</t>
        </is>
      </c>
      <c r="C13" s="2" t="inlineStr">
        <is>
          <t>Representative institutional data supporting Research Integrity &amp; Responsible AI</t>
        </is>
      </c>
      <c r="D13" s="2" t="inlineStr">
        <is>
          <t>Number / structured input / evidence as applicable</t>
        </is>
      </c>
      <c r="E13" s="2" t="inlineStr">
        <is>
          <t>To be determined by adaptive branch</t>
        </is>
      </c>
      <c r="F13" s="2" t="inlineStr">
        <is>
          <t>I12</t>
        </is>
      </c>
      <c r="G13" s="2" t="inlineStr">
        <is>
          <t>Engine-design input; calibration required</t>
        </is>
      </c>
    </row>
    <row r="14">
      <c r="A14" s="2" t="inlineStr">
        <is>
          <t>D10</t>
        </is>
      </c>
      <c r="B14" s="2" t="inlineStr">
        <is>
          <t>D10-D13</t>
        </is>
      </c>
      <c r="C14" s="2" t="inlineStr">
        <is>
          <t>Representative institutional data supporting Research Impact Evidence</t>
        </is>
      </c>
      <c r="D14" s="2" t="inlineStr">
        <is>
          <t>Number / structured input / evidence as applicable</t>
        </is>
      </c>
      <c r="E14" s="2" t="inlineStr">
        <is>
          <t>To be determined by adaptive branch</t>
        </is>
      </c>
      <c r="F14" s="2" t="inlineStr">
        <is>
          <t>I13</t>
        </is>
      </c>
      <c r="G14" s="2" t="inlineStr">
        <is>
          <t>Engine-design input; calibration required</t>
        </is>
      </c>
    </row>
    <row r="15">
      <c r="A15" s="2" t="inlineStr">
        <is>
          <t>D10</t>
        </is>
      </c>
      <c r="B15" s="2" t="inlineStr">
        <is>
          <t>D10-D14</t>
        </is>
      </c>
      <c r="C15" s="2" t="inlineStr">
        <is>
          <t>Representative institutional data supporting Student Research Capability</t>
        </is>
      </c>
      <c r="D15" s="2" t="inlineStr">
        <is>
          <t>Number / structured input / evidence as applicable</t>
        </is>
      </c>
      <c r="E15" s="2" t="inlineStr">
        <is>
          <t>To be determined by adaptive branch</t>
        </is>
      </c>
      <c r="F15" s="2" t="inlineStr">
        <is>
          <t>I14</t>
        </is>
      </c>
      <c r="G15" s="2" t="inlineStr">
        <is>
          <t>Engine-design input; calibration required</t>
        </is>
      </c>
    </row>
  </sheetData>
  <autoFilter ref="A1:G15"/>
  <pageMargins left="0.7" right="0.7" top="0.75" bottom="0.75" header="0.3" footer="0.3"/>
</worksheet>
</file>

<file path=xl/worksheets/sheet112.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24" t="inlineStr">
        <is>
          <t>Check ID</t>
        </is>
      </c>
      <c r="B1" s="24" t="inlineStr">
        <is>
          <t>Check</t>
        </is>
      </c>
      <c r="C1" s="24" t="inlineStr">
        <is>
          <t>Rule</t>
        </is>
      </c>
      <c r="D1" s="24" t="inlineStr">
        <is>
          <t>Type</t>
        </is>
      </c>
    </row>
    <row r="2">
      <c r="A2" s="2" t="inlineStr">
        <is>
          <t>D10-QA01</t>
        </is>
      </c>
      <c r="B2" s="2" t="inlineStr">
        <is>
          <t>Programme counts</t>
        </is>
      </c>
      <c r="C2" s="2" t="inlineStr">
        <is>
          <t>Modified &lt;= reviewed &lt;= active</t>
        </is>
      </c>
      <c r="D2" s="2" t="inlineStr">
        <is>
          <t>Hard validation</t>
        </is>
      </c>
    </row>
    <row r="3">
      <c r="A3" s="2" t="inlineStr">
        <is>
          <t>D10-QA02</t>
        </is>
      </c>
      <c r="B3" s="2" t="inlineStr">
        <is>
          <t>Pilot counts</t>
        </is>
      </c>
      <c r="C3" s="2" t="inlineStr">
        <is>
          <t>Evaluated &lt;= conducted; scaled/stopped &lt;= evaluated</t>
        </is>
      </c>
      <c r="D3" s="2" t="inlineStr">
        <is>
          <t>Hard validation</t>
        </is>
      </c>
    </row>
    <row r="4">
      <c r="A4" s="2" t="inlineStr">
        <is>
          <t>D10-QA03</t>
        </is>
      </c>
      <c r="B4" s="2" t="inlineStr">
        <is>
          <t>Data counts</t>
        </is>
      </c>
      <c r="C4" s="2" t="inlineStr">
        <is>
          <t>Privacy-reviewed &lt;= data-processing &lt;= approved tools</t>
        </is>
      </c>
      <c r="D4" s="2" t="inlineStr">
        <is>
          <t>Hard validation</t>
        </is>
      </c>
    </row>
    <row r="5">
      <c r="A5" s="2" t="inlineStr">
        <is>
          <t>D10-QA04</t>
        </is>
      </c>
      <c r="B5" s="2" t="inlineStr">
        <is>
          <t>No policy inflation</t>
        </is>
      </c>
      <c r="C5" s="2" t="inlineStr">
        <is>
          <t>Policy existence alone cannot create high maturity</t>
        </is>
      </c>
      <c r="D5" s="2" t="inlineStr">
        <is>
          <t>Scoring rule</t>
        </is>
      </c>
    </row>
    <row r="6">
      <c r="A6" s="2" t="inlineStr">
        <is>
          <t>D10-QA05</t>
        </is>
      </c>
      <c r="B6" s="2" t="inlineStr">
        <is>
          <t>Context fairness</t>
        </is>
      </c>
      <c r="C6" s="2" t="inlineStr">
        <is>
          <t>Required maturity reflects mission, scale, resources, exposure</t>
        </is>
      </c>
      <c r="D6" s="2" t="inlineStr">
        <is>
          <t>Scoring rule</t>
        </is>
      </c>
    </row>
    <row r="7">
      <c r="A7" s="2" t="inlineStr">
        <is>
          <t>D10-QA06</t>
        </is>
      </c>
      <c r="B7" s="2" t="inlineStr">
        <is>
          <t>Non-technical fairness</t>
        </is>
      </c>
      <c r="C7" s="2" t="inlineStr">
        <is>
          <t>Assess discipline relevance, not coding/technical AI</t>
        </is>
      </c>
      <c r="D7" s="2" t="inlineStr">
        <is>
          <t>Scoring rule</t>
        </is>
      </c>
    </row>
    <row r="8">
      <c r="A8" s="2" t="inlineStr">
        <is>
          <t>D10-QA07</t>
        </is>
      </c>
      <c r="B8" s="2" t="inlineStr">
        <is>
          <t>No outcome fabrication</t>
        </is>
      </c>
      <c r="C8" s="2" t="inlineStr">
        <is>
          <t>N/A accepted where outcome measurement legitimately unavailable</t>
        </is>
      </c>
      <c r="D8" s="2" t="inlineStr">
        <is>
          <t>Scoring rule</t>
        </is>
      </c>
    </row>
    <row r="9">
      <c r="A9" s="2" t="inlineStr">
        <is>
          <t>D10-QA08</t>
        </is>
      </c>
      <c r="B9" s="2" t="inlineStr">
        <is>
          <t>Representative sampling</t>
        </is>
      </c>
      <c r="C9" s="2" t="inlineStr">
        <is>
          <t>Evidence requests stay limited to high-value samples</t>
        </is>
      </c>
      <c r="D9" s="2" t="inlineStr">
        <is>
          <t>UX rule</t>
        </is>
      </c>
    </row>
    <row r="10">
      <c r="A10" s="2" t="inlineStr">
        <is>
          <t>D10-D03</t>
        </is>
      </c>
      <c r="B10" s="2" t="inlineStr">
        <is>
          <t>Discipline coverage</t>
        </is>
      </c>
      <c r="C10" s="2" t="inlineStr">
        <is>
          <t>Expanded to health, pharmacy, media, humanities, professional, technical and interdisciplinary pathways.</t>
        </is>
      </c>
      <c r="D10" s="2" t="inlineStr">
        <is>
          <t>Pass</t>
        </is>
      </c>
    </row>
    <row r="11">
      <c r="A11" s="2" t="inlineStr">
        <is>
          <t>D10-D04-D06</t>
        </is>
      </c>
      <c r="B11" s="2" t="inlineStr">
        <is>
          <t>Architecture completeness</t>
        </is>
      </c>
      <c r="C11" s="2" t="inlineStr">
        <is>
          <t>Each domain has capabilities, metrics, assessment cards, 5 core questions and maturity anchors.</t>
        </is>
      </c>
      <c r="D11" s="2" t="inlineStr">
        <is>
          <t>Pass</t>
        </is>
      </c>
    </row>
    <row r="12">
      <c r="A12" s="2" t="inlineStr">
        <is>
          <t>D10-All</t>
        </is>
      </c>
      <c r="B12" s="2" t="inlineStr">
        <is>
          <t>Context calibration</t>
        </is>
      </c>
      <c r="C12" s="2" t="inlineStr">
        <is>
          <t>Institution context changes proportionality and branching, not the integrity standard.</t>
        </is>
      </c>
      <c r="D12" s="2" t="inlineStr">
        <is>
          <t>Pass</t>
        </is>
      </c>
    </row>
    <row r="13">
      <c r="A13" s="2" t="inlineStr">
        <is>
          <t>D10-All</t>
        </is>
      </c>
      <c r="B13" s="2" t="inlineStr">
        <is>
          <t>Reality gradient</t>
        </is>
      </c>
      <c r="C13" s="2" t="inlineStr">
        <is>
          <t>Claim→practice→evidence→outcome→adaptation captured separately from maturity.</t>
        </is>
      </c>
      <c r="D13" s="2" t="inlineStr">
        <is>
          <t>Pass</t>
        </is>
      </c>
    </row>
    <row r="14">
      <c r="A14" s="2" t="inlineStr">
        <is>
          <t>D10-QA-DOM01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D10-QA-DOM02</t>
        </is>
      </c>
      <c r="B15" s="2" t="inlineStr">
        <is>
          <t>Question/card coverage</t>
        </is>
      </c>
      <c r="C15" s="2" t="inlineStr">
        <is>
          <t>Every assessment card and question must map to at least one metric.</t>
        </is>
      </c>
      <c r="D15" s="2" t="inlineStr">
        <is>
          <t>Structural</t>
        </is>
      </c>
    </row>
    <row r="16">
      <c r="A16" s="2" t="inlineStr">
        <is>
          <t>D10-QA-DOM03</t>
        </is>
      </c>
      <c r="B16" s="2" t="inlineStr">
        <is>
          <t>Evidence traceability</t>
        </is>
      </c>
      <c r="C16" s="2" t="inlineStr">
        <is>
          <t>High-maturity claims must have an evidence path or an explicit evidence-gap flag.</t>
        </is>
      </c>
      <c r="D16" s="2" t="inlineStr">
        <is>
          <t>Scoring</t>
        </is>
      </c>
    </row>
    <row r="17">
      <c r="A17" s="2" t="inlineStr">
        <is>
          <t>D10-QA-DOM04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113.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24" t="inlineStr">
        <is>
          <t>Domain</t>
        </is>
      </c>
      <c r="B1" s="24" t="inlineStr">
        <is>
          <t>Domain Name</t>
        </is>
      </c>
      <c r="C1" s="24" t="inlineStr">
        <is>
          <t>Capability ID</t>
        </is>
      </c>
      <c r="D1" s="24" t="inlineStr">
        <is>
          <t>Capability Area</t>
        </is>
      </c>
      <c r="E1" s="24" t="inlineStr">
        <is>
          <t>Metric ID</t>
        </is>
      </c>
      <c r="F1" s="24" t="inlineStr">
        <is>
          <t>Metric</t>
        </is>
      </c>
      <c r="G1" s="24" t="inlineStr">
        <is>
          <t>What It Measures</t>
        </is>
      </c>
      <c r="H1" s="24" t="inlineStr">
        <is>
          <t>Measurement Method</t>
        </is>
      </c>
      <c r="I1" s="24" t="inlineStr">
        <is>
          <t>Exposure</t>
        </is>
      </c>
      <c r="J1" s="24" t="inlineStr">
        <is>
          <t>Source / Basis</t>
        </is>
      </c>
    </row>
    <row r="2">
      <c r="A2" s="2" t="inlineStr">
        <is>
          <t>D11</t>
        </is>
      </c>
      <c r="B2" s="2" t="inlineStr">
        <is>
          <t>Institutional Adaptability &amp; AI Resilience</t>
        </is>
      </c>
      <c r="C2" s="2" t="inlineStr">
        <is>
          <t>C01</t>
        </is>
      </c>
      <c r="D2" s="2" t="inlineStr">
        <is>
          <t>Environmental Sensing</t>
        </is>
      </c>
      <c r="E2" s="2" t="inlineStr">
        <is>
          <t>I01</t>
        </is>
      </c>
      <c r="F2" s="2" t="inlineStr">
        <is>
          <t>External Change Sensing</t>
        </is>
      </c>
      <c r="G2" s="2" t="inlineStr">
        <is>
          <t>Ability to detect technological, economic, demographic, policy and learner changes.</t>
        </is>
      </c>
      <c r="H2" s="2" t="inlineStr">
        <is>
          <t>Recent change cases + scenario + resource/learning evidence</t>
        </is>
      </c>
      <c r="I2" s="2" t="inlineStr">
        <is>
          <t>High</t>
        </is>
      </c>
      <c r="J2" s="2" t="inlineStr">
        <is>
          <t>Integrated master; D01-D03 baseline retained; D04-D11 integrated from domain matrices.</t>
        </is>
      </c>
    </row>
    <row r="3">
      <c r="A3" s="2" t="inlineStr">
        <is>
          <t>D11</t>
        </is>
      </c>
      <c r="B3" s="2" t="inlineStr">
        <is>
          <t>Institutional Adaptability &amp; AI Resilience</t>
        </is>
      </c>
      <c r="C3" s="2" t="inlineStr">
        <is>
          <t>C02</t>
        </is>
      </c>
      <c r="D3" s="2" t="inlineStr">
        <is>
          <t>Strategic Agility</t>
        </is>
      </c>
      <c r="E3" s="2" t="inlineStr">
        <is>
          <t>I02</t>
        </is>
      </c>
      <c r="F3" s="2" t="inlineStr">
        <is>
          <t>Strategic Response Agility</t>
        </is>
      </c>
      <c r="G3" s="2" t="inlineStr">
        <is>
          <t>Speed and quality with which significant changes become institutional decisions.</t>
        </is>
      </c>
      <c r="H3" s="2" t="inlineStr">
        <is>
          <t>Recent change cases + scenario + resource/learning evidence</t>
        </is>
      </c>
      <c r="I3" s="2" t="inlineStr">
        <is>
          <t>High</t>
        </is>
      </c>
      <c r="J3" s="2" t="inlineStr">
        <is>
          <t>Integrated master; D01-D03 baseline retained; D04-D11 integrated from domain matrices.</t>
        </is>
      </c>
    </row>
    <row r="4">
      <c r="A4" s="2" t="inlineStr">
        <is>
          <t>D11</t>
        </is>
      </c>
      <c r="B4" s="2" t="inlineStr">
        <is>
          <t>Institutional Adaptability &amp; AI Resilience</t>
        </is>
      </c>
      <c r="C4" s="2" t="inlineStr">
        <is>
          <t>C03</t>
        </is>
      </c>
      <c r="D4" s="2" t="inlineStr">
        <is>
          <t>Decision Rights</t>
        </is>
      </c>
      <c r="E4" s="2" t="inlineStr">
        <is>
          <t>I03</t>
        </is>
      </c>
      <c r="F4" s="2" t="inlineStr">
        <is>
          <t>Adaptive Decision Architecture</t>
        </is>
      </c>
      <c r="G4" s="2" t="inlineStr">
        <is>
          <t>Clarity of who can act, escalate and allocate resources when circumstances change.</t>
        </is>
      </c>
      <c r="H4" s="2" t="inlineStr">
        <is>
          <t>Recent change cases + scenario + resource/learning evidence</t>
        </is>
      </c>
      <c r="I4" s="2" t="inlineStr">
        <is>
          <t>High</t>
        </is>
      </c>
      <c r="J4" s="2" t="inlineStr">
        <is>
          <t>Integrated master; D01-D03 baseline retained; D04-D11 integrated from domain matrices.</t>
        </is>
      </c>
    </row>
    <row r="5">
      <c r="A5" s="2" t="inlineStr">
        <is>
          <t>D11</t>
        </is>
      </c>
      <c r="B5" s="2" t="inlineStr">
        <is>
          <t>Institutional Adaptability &amp; AI Resilience</t>
        </is>
      </c>
      <c r="C5" s="2" t="inlineStr">
        <is>
          <t>C04</t>
        </is>
      </c>
      <c r="D5" s="2" t="inlineStr">
        <is>
          <t>Resource Reallocation</t>
        </is>
      </c>
      <c r="E5" s="2" t="inlineStr">
        <is>
          <t>I04</t>
        </is>
      </c>
      <c r="F5" s="2" t="inlineStr">
        <is>
          <t>Resource Reallocation Agility</t>
        </is>
      </c>
      <c r="G5" s="2" t="inlineStr">
        <is>
          <t>Ability to redirect people, money, infrastructure and attention toward emerging priorities.</t>
        </is>
      </c>
      <c r="H5" s="2" t="inlineStr">
        <is>
          <t>Recent change cases + scenario + resource/learning evidence</t>
        </is>
      </c>
      <c r="I5" s="2" t="inlineStr">
        <is>
          <t>High</t>
        </is>
      </c>
      <c r="J5" s="2" t="inlineStr">
        <is>
          <t>Integrated master; D01-D03 baseline retained; D04-D11 integrated from domain matrices.</t>
        </is>
      </c>
    </row>
    <row r="6">
      <c r="A6" s="2" t="inlineStr">
        <is>
          <t>D11</t>
        </is>
      </c>
      <c r="B6" s="2" t="inlineStr">
        <is>
          <t>Institutional Adaptability &amp; AI Resilience</t>
        </is>
      </c>
      <c r="C6" s="2" t="inlineStr">
        <is>
          <t>C05</t>
        </is>
      </c>
      <c r="D6" s="2" t="inlineStr">
        <is>
          <t>Experimentation</t>
        </is>
      </c>
      <c r="E6" s="2" t="inlineStr">
        <is>
          <t>I05</t>
        </is>
      </c>
      <c r="F6" s="2" t="inlineStr">
        <is>
          <t>Institutional Experimentation</t>
        </is>
      </c>
      <c r="G6" s="2" t="inlineStr">
        <is>
          <t>Ability to test new approaches without turning every experiment into a large programme.</t>
        </is>
      </c>
      <c r="H6" s="2" t="inlineStr">
        <is>
          <t>Recent change cases + scenario + resource/learning evidence</t>
        </is>
      </c>
      <c r="I6" s="2" t="inlineStr">
        <is>
          <t>High</t>
        </is>
      </c>
      <c r="J6" s="2" t="inlineStr">
        <is>
          <t>Integrated master; D01-D03 baseline retained; D04-D11 integrated from domain matrices.</t>
        </is>
      </c>
    </row>
    <row r="7">
      <c r="A7" s="2" t="inlineStr">
        <is>
          <t>D11</t>
        </is>
      </c>
      <c r="B7" s="2" t="inlineStr">
        <is>
          <t>Institutional Adaptability &amp; AI Resilience</t>
        </is>
      </c>
      <c r="C7" s="2" t="inlineStr">
        <is>
          <t>C06</t>
        </is>
      </c>
      <c r="D7" s="2" t="inlineStr">
        <is>
          <t>Learning from Failure</t>
        </is>
      </c>
      <c r="E7" s="2" t="inlineStr">
        <is>
          <t>I06</t>
        </is>
      </c>
      <c r="F7" s="2" t="inlineStr">
        <is>
          <t>Failure-to-Learning Capability</t>
        </is>
      </c>
      <c r="G7" s="2" t="inlineStr">
        <is>
          <t>Whether unsuccessful initiatives produce institutional learning and changed practice.</t>
        </is>
      </c>
      <c r="H7" s="2" t="inlineStr">
        <is>
          <t>Recent change cases + scenario + resource/learning evidence</t>
        </is>
      </c>
      <c r="I7" s="2" t="inlineStr">
        <is>
          <t>High</t>
        </is>
      </c>
      <c r="J7" s="2" t="inlineStr">
        <is>
          <t>Integrated master; D01-D03 baseline retained; D04-D11 integrated from domain matrices.</t>
        </is>
      </c>
    </row>
    <row r="8">
      <c r="A8" s="2" t="inlineStr">
        <is>
          <t>D11</t>
        </is>
      </c>
      <c r="B8" s="2" t="inlineStr">
        <is>
          <t>Institutional Adaptability &amp; AI Resilience</t>
        </is>
      </c>
      <c r="C8" s="2" t="inlineStr">
        <is>
          <t>C07</t>
        </is>
      </c>
      <c r="D8" s="2" t="inlineStr">
        <is>
          <t>Change Capacity</t>
        </is>
      </c>
      <c r="E8" s="2" t="inlineStr">
        <is>
          <t>I07</t>
        </is>
      </c>
      <c r="F8" s="2" t="inlineStr">
        <is>
          <t>Change Management Capacity</t>
        </is>
      </c>
      <c r="G8" s="2" t="inlineStr">
        <is>
          <t>Ability to move people and systems through meaningful institutional change.</t>
        </is>
      </c>
      <c r="H8" s="2" t="inlineStr">
        <is>
          <t>Recent change cases + scenario + resource/learning evidence</t>
        </is>
      </c>
      <c r="I8" s="2" t="inlineStr">
        <is>
          <t>High</t>
        </is>
      </c>
      <c r="J8" s="2" t="inlineStr">
        <is>
          <t>Integrated master; D01-D03 baseline retained; D04-D11 integrated from domain matrices.</t>
        </is>
      </c>
    </row>
    <row r="9">
      <c r="A9" s="2" t="inlineStr">
        <is>
          <t>D11</t>
        </is>
      </c>
      <c r="B9" s="2" t="inlineStr">
        <is>
          <t>Institutional Adaptability &amp; AI Resilience</t>
        </is>
      </c>
      <c r="C9" s="2" t="inlineStr">
        <is>
          <t>C08</t>
        </is>
      </c>
      <c r="D9" s="2" t="inlineStr">
        <is>
          <t>Leadership Alignment</t>
        </is>
      </c>
      <c r="E9" s="2" t="inlineStr">
        <is>
          <t>I08</t>
        </is>
      </c>
      <c r="F9" s="2" t="inlineStr">
        <is>
          <t>Adaptive Leadership Alignment</t>
        </is>
      </c>
      <c r="G9" s="2" t="inlineStr">
        <is>
          <t>Extent to which leadership can align around changing priorities.</t>
        </is>
      </c>
      <c r="H9" s="2" t="inlineStr">
        <is>
          <t>Recent change cases + scenario + resource/learning evidence</t>
        </is>
      </c>
      <c r="I9" s="2" t="inlineStr">
        <is>
          <t>High</t>
        </is>
      </c>
      <c r="J9" s="2" t="inlineStr">
        <is>
          <t>Integrated master; D01-D03 baseline retained; D04-D11 integrated from domain matrices.</t>
        </is>
      </c>
    </row>
    <row r="10">
      <c r="A10" s="2" t="inlineStr">
        <is>
          <t>D11</t>
        </is>
      </c>
      <c r="B10" s="2" t="inlineStr">
        <is>
          <t>Institutional Adaptability &amp; AI Resilience</t>
        </is>
      </c>
      <c r="C10" s="2" t="inlineStr">
        <is>
          <t>C09</t>
        </is>
      </c>
      <c r="D10" s="2" t="inlineStr">
        <is>
          <t>Student Voice</t>
        </is>
      </c>
      <c r="E10" s="2" t="inlineStr">
        <is>
          <t>I09</t>
        </is>
      </c>
      <c r="F10" s="2" t="inlineStr">
        <is>
          <t>Learner Signal Responsiveness</t>
        </is>
      </c>
      <c r="G10" s="2" t="inlineStr">
        <is>
          <t>Ability to detect and respond to changing student expectations and experience.</t>
        </is>
      </c>
      <c r="H10" s="2" t="inlineStr">
        <is>
          <t>Recent change cases + scenario + resource/learning evidence</t>
        </is>
      </c>
      <c r="I10" s="2" t="inlineStr">
        <is>
          <t>High</t>
        </is>
      </c>
      <c r="J10" s="2" t="inlineStr">
        <is>
          <t>Integrated master; D01-D03 baseline retained; D04-D11 integrated from domain matrices.</t>
        </is>
      </c>
    </row>
    <row r="11">
      <c r="A11" s="2" t="inlineStr">
        <is>
          <t>D11</t>
        </is>
      </c>
      <c r="B11" s="2" t="inlineStr">
        <is>
          <t>Institutional Adaptability &amp; AI Resilience</t>
        </is>
      </c>
      <c r="C11" s="2" t="inlineStr">
        <is>
          <t>C10</t>
        </is>
      </c>
      <c r="D11" s="2" t="inlineStr">
        <is>
          <t>Industry Signals</t>
        </is>
      </c>
      <c r="E11" s="2" t="inlineStr">
        <is>
          <t>I10</t>
        </is>
      </c>
      <c r="F11" s="2" t="inlineStr">
        <is>
          <t>Economic &amp; Workforce Responsiveness</t>
        </is>
      </c>
      <c r="G11" s="2" t="inlineStr">
        <is>
          <t>Ability to respond to changing industry and workforce conditions.</t>
        </is>
      </c>
      <c r="H11" s="2" t="inlineStr">
        <is>
          <t>Recent change cases + scenario + resource/learning evidence</t>
        </is>
      </c>
      <c r="I11" s="2" t="inlineStr">
        <is>
          <t>High</t>
        </is>
      </c>
      <c r="J11" s="2" t="inlineStr">
        <is>
          <t>Integrated master; D01-D03 baseline retained; D04-D11 integrated from domain matrices.</t>
        </is>
      </c>
    </row>
    <row r="12">
      <c r="A12" s="2" t="inlineStr">
        <is>
          <t>D11</t>
        </is>
      </c>
      <c r="B12" s="2" t="inlineStr">
        <is>
          <t>Institutional Adaptability &amp; AI Resilience</t>
        </is>
      </c>
      <c r="C12" s="2" t="inlineStr">
        <is>
          <t>C11</t>
        </is>
      </c>
      <c r="D12" s="2" t="inlineStr">
        <is>
          <t>Scenario Capability</t>
        </is>
      </c>
      <c r="E12" s="2" t="inlineStr">
        <is>
          <t>I11</t>
        </is>
      </c>
      <c r="F12" s="2" t="inlineStr">
        <is>
          <t>Scenario Planning Capability</t>
        </is>
      </c>
      <c r="G12" s="2" t="inlineStr">
        <is>
          <t>Ability to prepare for multiple plausible futures rather than one forecast.</t>
        </is>
      </c>
      <c r="H12" s="2" t="inlineStr">
        <is>
          <t>Recent change cases + scenario + resource/learning evidence</t>
        </is>
      </c>
      <c r="I12" s="2" t="inlineStr">
        <is>
          <t>High</t>
        </is>
      </c>
      <c r="J12" s="2" t="inlineStr">
        <is>
          <t>Integrated master; D01-D03 baseline retained; D04-D11 integrated from domain matrices.</t>
        </is>
      </c>
    </row>
    <row r="13">
      <c r="A13" s="2" t="inlineStr">
        <is>
          <t>D11</t>
        </is>
      </c>
      <c r="B13" s="2" t="inlineStr">
        <is>
          <t>Institutional Adaptability &amp; AI Resilience</t>
        </is>
      </c>
      <c r="C13" s="2" t="inlineStr">
        <is>
          <t>C12</t>
        </is>
      </c>
      <c r="D13" s="2" t="inlineStr">
        <is>
          <t>Continuity</t>
        </is>
      </c>
      <c r="E13" s="2" t="inlineStr">
        <is>
          <t>I12</t>
        </is>
      </c>
      <c r="F13" s="2" t="inlineStr">
        <is>
          <t>Institutional Resilience</t>
        </is>
      </c>
      <c r="G13" s="2" t="inlineStr">
        <is>
          <t>Ability to maintain core educational quality while adapting to disruption.</t>
        </is>
      </c>
      <c r="H13" s="2" t="inlineStr">
        <is>
          <t>Recent change cases + scenario + resource/learning evidence</t>
        </is>
      </c>
      <c r="I13" s="2" t="inlineStr">
        <is>
          <t>High</t>
        </is>
      </c>
      <c r="J13" s="2" t="inlineStr">
        <is>
          <t>Integrated master; D01-D03 baseline retained; D04-D11 integrated from domain matrices.</t>
        </is>
      </c>
    </row>
    <row r="14">
      <c r="A14" s="2" t="inlineStr">
        <is>
          <t>D11</t>
        </is>
      </c>
      <c r="B14" s="2" t="inlineStr">
        <is>
          <t>Institutional Adaptability &amp; AI Resilience</t>
        </is>
      </c>
      <c r="C14" s="2" t="inlineStr">
        <is>
          <t>C13</t>
        </is>
      </c>
      <c r="D14" s="2" t="inlineStr">
        <is>
          <t>Learning Loop</t>
        </is>
      </c>
      <c r="E14" s="2" t="inlineStr">
        <is>
          <t>I13</t>
        </is>
      </c>
      <c r="F14" s="2" t="inlineStr">
        <is>
          <t>Institutional Learning System</t>
        </is>
      </c>
      <c r="G14" s="2" t="inlineStr">
        <is>
          <t>Ability to turn evidence, experience and external signals into repeated improvement.</t>
        </is>
      </c>
      <c r="H14" s="2" t="inlineStr">
        <is>
          <t>Recent change cases + scenario + resource/learning evidence</t>
        </is>
      </c>
      <c r="I14" s="2" t="inlineStr">
        <is>
          <t>High</t>
        </is>
      </c>
      <c r="J14" s="2" t="inlineStr">
        <is>
          <t>Integrated master; D01-D03 baseline retained; D04-D11 integrated from domain matrices.</t>
        </is>
      </c>
    </row>
    <row r="15">
      <c r="A15" s="2" t="inlineStr">
        <is>
          <t>D11</t>
        </is>
      </c>
      <c r="B15" s="2" t="inlineStr">
        <is>
          <t>Institutional Adaptability &amp; AI Resilience</t>
        </is>
      </c>
      <c r="C15" s="2" t="inlineStr">
        <is>
          <t>C14</t>
        </is>
      </c>
      <c r="D15" s="2" t="inlineStr">
        <is>
          <t>Future Transformation</t>
        </is>
      </c>
      <c r="E15" s="2" t="inlineStr">
        <is>
          <t>I14</t>
        </is>
      </c>
      <c r="F15" s="2" t="inlineStr">
        <is>
          <t>Future Transformation Capacity</t>
        </is>
      </c>
      <c r="G15" s="2" t="inlineStr">
        <is>
          <t>Overall ability to redesign the institution before external pressure forces change.</t>
        </is>
      </c>
      <c r="H15" s="2" t="inlineStr">
        <is>
          <t>Recent change cases + scenario + resource/learning evidence</t>
        </is>
      </c>
      <c r="I15" s="2" t="inlineStr">
        <is>
          <t>Very High</t>
        </is>
      </c>
      <c r="J15" s="2" t="inlineStr">
        <is>
          <t>Integrated master; D01-D03 baseline retained; D04-D11 integrated from domain matrices.</t>
        </is>
      </c>
    </row>
  </sheetData>
  <autoFilter ref="A1:J15"/>
  <pageMargins left="0.7" right="0.7" top="0.75" bottom="0.75" header="0.3" footer="0.3"/>
</worksheet>
</file>

<file path=xl/worksheets/sheet114.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24" t="inlineStr">
        <is>
          <t>Domain</t>
        </is>
      </c>
      <c r="B1" s="24" t="inlineStr">
        <is>
          <t>Card ID</t>
        </is>
      </c>
      <c r="C1" s="24" t="inlineStr">
        <is>
          <t>Assessment Card</t>
        </is>
      </c>
      <c r="D1" s="24" t="inlineStr">
        <is>
          <t>Input / Response Format</t>
        </is>
      </c>
      <c r="E1" s="24" t="inlineStr">
        <is>
          <t>Purpose / Respondent Action</t>
        </is>
      </c>
      <c r="F1" s="24" t="inlineStr">
        <is>
          <t>Metric Link</t>
        </is>
      </c>
    </row>
    <row r="2">
      <c r="A2" s="2" t="inlineStr">
        <is>
          <t>D11</t>
        </is>
      </c>
      <c r="B2" s="2" t="inlineStr">
        <is>
          <t>D11.1</t>
        </is>
      </c>
      <c r="C2" s="2" t="inlineStr">
        <is>
          <t>Change-to-Action Test</t>
        </is>
      </c>
      <c r="D2" s="2" t="inlineStr">
        <is>
          <t>Structured assessment card</t>
        </is>
      </c>
      <c r="E2" s="2" t="inlineStr">
        <is>
          <t>When a development could materially affect the institution, what normally happens between first awareness and an institutional response?</t>
        </is>
      </c>
      <c r="F2" s="2" t="inlineStr">
        <is>
          <t>I01/I02/I03</t>
        </is>
      </c>
    </row>
    <row r="3">
      <c r="A3" s="2" t="inlineStr">
        <is>
          <t>D11</t>
        </is>
      </c>
      <c r="B3" s="2" t="inlineStr">
        <is>
          <t>D11.2</t>
        </is>
      </c>
      <c r="C3" s="2" t="inlineStr">
        <is>
          <t>Resource Reallocation Test</t>
        </is>
      </c>
      <c r="D3" s="2" t="inlineStr">
        <is>
          <t>Structured assessment card</t>
        </is>
      </c>
      <c r="E3" s="2" t="inlineStr">
        <is>
          <t>If leadership decides that an emerging capability has become strategically important, how can resources actually be redirected?</t>
        </is>
      </c>
      <c r="F3" s="2" t="inlineStr">
        <is>
          <t>I04</t>
        </is>
      </c>
    </row>
    <row r="4">
      <c r="A4" s="2" t="inlineStr">
        <is>
          <t>D11</t>
        </is>
      </c>
      <c r="B4" s="2" t="inlineStr">
        <is>
          <t>D11.3</t>
        </is>
      </c>
      <c r="C4" s="2" t="inlineStr">
        <is>
          <t>Failure Learning Test</t>
        </is>
      </c>
      <c r="D4" s="2" t="inlineStr">
        <is>
          <t>Structured assessment card</t>
        </is>
      </c>
      <c r="E4" s="2" t="inlineStr">
        <is>
          <t>When an important institutional experiment does not work, what usually happens?</t>
        </is>
      </c>
      <c r="F4" s="2" t="inlineStr">
        <is>
          <t>I06/I13</t>
        </is>
      </c>
    </row>
    <row r="5">
      <c r="A5" s="2" t="inlineStr">
        <is>
          <t>D11</t>
        </is>
      </c>
      <c r="B5" s="2" t="inlineStr">
        <is>
          <t>D11.4</t>
        </is>
      </c>
      <c r="C5" s="2" t="inlineStr">
        <is>
          <t>Future Shock Test</t>
        </is>
      </c>
      <c r="D5" s="2" t="inlineStr">
        <is>
          <t>Structured assessment card</t>
        </is>
      </c>
      <c r="E5" s="2" t="inlineStr">
        <is>
          <t>Imagine that within five years AI materially changes 20–30% of entry-level tasks across several major sectors relevant to your institution. Which five institutional responses would leadership prioritise first?</t>
        </is>
      </c>
      <c r="F5" s="2" t="inlineStr">
        <is>
          <t>I02/I04/I07/I10/I14</t>
        </is>
      </c>
    </row>
    <row r="6">
      <c r="A6" s="2" t="inlineStr">
        <is>
          <t>D11</t>
        </is>
      </c>
      <c r="B6" s="2" t="inlineStr">
        <is>
          <t>D11.5</t>
        </is>
      </c>
      <c r="C6" s="2" t="inlineStr">
        <is>
          <t>Adaptation Reality Test</t>
        </is>
      </c>
      <c r="D6" s="2" t="inlineStr">
        <is>
          <t>Structured assessment card</t>
        </is>
      </c>
      <c r="E6" s="2" t="inlineStr">
        <is>
          <t>Which statement best describes the institution today?</t>
        </is>
      </c>
      <c r="F6" s="2" t="inlineStr">
        <is>
          <t>I12/I14</t>
        </is>
      </c>
    </row>
  </sheetData>
  <autoFilter ref="A1:F6"/>
  <pageMargins left="0.7" right="0.7" top="0.75" bottom="0.75" header="0.3" footer="0.3"/>
</worksheet>
</file>

<file path=xl/worksheets/sheet115.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24" t="inlineStr">
        <is>
          <t>Domain</t>
        </is>
      </c>
      <c r="B1" s="24" t="inlineStr">
        <is>
          <t>Question ID</t>
        </is>
      </c>
      <c r="C1" s="24" t="inlineStr">
        <is>
          <t>Card</t>
        </is>
      </c>
      <c r="D1" s="24" t="inlineStr">
        <is>
          <t>Prompt</t>
        </is>
      </c>
      <c r="E1" s="24" t="inlineStr">
        <is>
          <t>Input Type</t>
        </is>
      </c>
      <c r="F1" s="24" t="inlineStr">
        <is>
          <t>Role</t>
        </is>
      </c>
      <c r="G1" s="24" t="inlineStr">
        <is>
          <t>Metric Link</t>
        </is>
      </c>
    </row>
    <row r="2">
      <c r="A2" s="2" t="inlineStr">
        <is>
          <t>D11</t>
        </is>
      </c>
      <c r="B2" s="2" t="inlineStr">
        <is>
          <t>D11.1</t>
        </is>
      </c>
      <c r="C2" s="2" t="inlineStr">
        <is>
          <t>Change-to-Action Test</t>
        </is>
      </c>
      <c r="D2" s="2" t="inlineStr">
        <is>
          <t>When a development could materially affect the institution, what normally happens between first awareness and an institutional response?</t>
        </is>
      </c>
      <c r="E2" s="2" t="inlineStr">
        <is>
          <t>Structured card response</t>
        </is>
      </c>
      <c r="F2" s="2" t="inlineStr">
        <is>
          <t>Reality/Diagnostic</t>
        </is>
      </c>
      <c r="G2" s="2" t="inlineStr">
        <is>
          <t>I01/I02/I03</t>
        </is>
      </c>
    </row>
    <row r="3">
      <c r="A3" s="2" t="inlineStr">
        <is>
          <t>D11</t>
        </is>
      </c>
      <c r="B3" s="2" t="inlineStr">
        <is>
          <t>D11.2</t>
        </is>
      </c>
      <c r="C3" s="2" t="inlineStr">
        <is>
          <t>Resource Reallocation Test</t>
        </is>
      </c>
      <c r="D3" s="2" t="inlineStr">
        <is>
          <t>If leadership decides that an emerging capability has become strategically important, how can resources actually be redirected?</t>
        </is>
      </c>
      <c r="E3" s="2" t="inlineStr">
        <is>
          <t>Structured card response</t>
        </is>
      </c>
      <c r="F3" s="2" t="inlineStr">
        <is>
          <t>Reality/Diagnostic</t>
        </is>
      </c>
      <c r="G3" s="2" t="inlineStr">
        <is>
          <t>I04</t>
        </is>
      </c>
    </row>
    <row r="4">
      <c r="A4" s="2" t="inlineStr">
        <is>
          <t>D11</t>
        </is>
      </c>
      <c r="B4" s="2" t="inlineStr">
        <is>
          <t>D11.3</t>
        </is>
      </c>
      <c r="C4" s="2" t="inlineStr">
        <is>
          <t>Failure Learning Test</t>
        </is>
      </c>
      <c r="D4" s="2" t="inlineStr">
        <is>
          <t>When an important institutional experiment does not work, what usually happens?</t>
        </is>
      </c>
      <c r="E4" s="2" t="inlineStr">
        <is>
          <t>Structured card response</t>
        </is>
      </c>
      <c r="F4" s="2" t="inlineStr">
        <is>
          <t>Reality/Diagnostic</t>
        </is>
      </c>
      <c r="G4" s="2" t="inlineStr">
        <is>
          <t>I06/I13</t>
        </is>
      </c>
    </row>
    <row r="5">
      <c r="A5" s="2" t="inlineStr">
        <is>
          <t>D11</t>
        </is>
      </c>
      <c r="B5" s="2" t="inlineStr">
        <is>
          <t>D11.4</t>
        </is>
      </c>
      <c r="C5" s="2" t="inlineStr">
        <is>
          <t>Future Shock Test</t>
        </is>
      </c>
      <c r="D5" s="2" t="inlineStr">
        <is>
          <t>Imagine that within five years AI materially changes 20–30% of entry-level tasks across several major sectors relevant to your institution. Which five institutional responses would leadership prioritise first?</t>
        </is>
      </c>
      <c r="E5" s="2" t="inlineStr">
        <is>
          <t>Structured card response</t>
        </is>
      </c>
      <c r="F5" s="2" t="inlineStr">
        <is>
          <t>Scenario</t>
        </is>
      </c>
      <c r="G5" s="2" t="inlineStr">
        <is>
          <t>I02/I04/I07/I10/I14</t>
        </is>
      </c>
    </row>
    <row r="6">
      <c r="A6" s="2" t="inlineStr">
        <is>
          <t>D11</t>
        </is>
      </c>
      <c r="B6" s="2" t="inlineStr">
        <is>
          <t>D11.5</t>
        </is>
      </c>
      <c r="C6" s="2" t="inlineStr">
        <is>
          <t>Adaptation Reality Test</t>
        </is>
      </c>
      <c r="D6" s="2" t="inlineStr">
        <is>
          <t>Which statement best describes the institution today?</t>
        </is>
      </c>
      <c r="E6" s="2" t="inlineStr">
        <is>
          <t>Structured card response</t>
        </is>
      </c>
      <c r="F6" s="2" t="inlineStr">
        <is>
          <t>Reality/Diagnostic</t>
        </is>
      </c>
      <c r="G6" s="2" t="inlineStr">
        <is>
          <t>I12/I14</t>
        </is>
      </c>
    </row>
  </sheetData>
  <autoFilter ref="A1:G6"/>
  <pageMargins left="0.7" right="0.7" top="0.75" bottom="0.75" header="0.3" footer="0.3"/>
</worksheet>
</file>

<file path=xl/worksheets/sheet116.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24" t="inlineStr">
        <is>
          <t>Domain</t>
        </is>
      </c>
      <c r="B1" s="24" t="inlineStr">
        <is>
          <t>Evidence ID</t>
        </is>
      </c>
      <c r="C1" s="24" t="inlineStr">
        <is>
          <t>Evidence Item</t>
        </is>
      </c>
      <c r="D1" s="24" t="inlineStr">
        <is>
          <t>Quantity / Sampling</t>
        </is>
      </c>
      <c r="E1" s="24" t="inlineStr">
        <is>
          <t>Requirement</t>
        </is>
      </c>
      <c r="F1" s="24" t="inlineStr">
        <is>
          <t>Metric Link</t>
        </is>
      </c>
      <c r="G1" s="24" t="inlineStr">
        <is>
          <t>Source / Basis</t>
        </is>
      </c>
    </row>
    <row r="2">
      <c r="A2" s="2" t="inlineStr">
        <is>
          <t>D11</t>
        </is>
      </c>
      <c r="B2" s="2" t="inlineStr">
        <is>
          <t>E01</t>
        </is>
      </c>
      <c r="C2" s="2" t="inlineStr">
        <is>
          <t>Representative evidence supporting Change-to-Action Test</t>
        </is>
      </c>
      <c r="D2" s="2" t="inlineStr">
        <is>
          <t>As triggered by assessment branch</t>
        </is>
      </c>
      <c r="E2" s="2" t="inlineStr">
        <is>
          <t>Higher maturity / verification claims require supporting evidence; exact quantity determined adaptively</t>
        </is>
      </c>
      <c r="F2" s="2" t="inlineStr">
        <is>
          <t>I01/I02/I03</t>
        </is>
      </c>
      <c r="G2" s="2" t="inlineStr">
        <is>
          <t>Engine-design evidence rule derived from assessment card</t>
        </is>
      </c>
    </row>
    <row r="3">
      <c r="A3" s="2" t="inlineStr">
        <is>
          <t>D11</t>
        </is>
      </c>
      <c r="B3" s="2" t="inlineStr">
        <is>
          <t>E02</t>
        </is>
      </c>
      <c r="C3" s="2" t="inlineStr">
        <is>
          <t>Representative evidence supporting Resource Reallocation Test</t>
        </is>
      </c>
      <c r="D3" s="2" t="inlineStr">
        <is>
          <t>As triggered by assessment branch</t>
        </is>
      </c>
      <c r="E3" s="2" t="inlineStr">
        <is>
          <t>Higher maturity / verification claims require supporting evidence; exact quantity determined adaptively</t>
        </is>
      </c>
      <c r="F3" s="2" t="inlineStr">
        <is>
          <t>I04</t>
        </is>
      </c>
      <c r="G3" s="2" t="inlineStr">
        <is>
          <t>Engine-design evidence rule derived from assessment card</t>
        </is>
      </c>
    </row>
    <row r="4">
      <c r="A4" s="2" t="inlineStr">
        <is>
          <t>D11</t>
        </is>
      </c>
      <c r="B4" s="2" t="inlineStr">
        <is>
          <t>E03</t>
        </is>
      </c>
      <c r="C4" s="2" t="inlineStr">
        <is>
          <t>Representative evidence supporting Failure Learning Test</t>
        </is>
      </c>
      <c r="D4" s="2" t="inlineStr">
        <is>
          <t>As triggered by assessment branch</t>
        </is>
      </c>
      <c r="E4" s="2" t="inlineStr">
        <is>
          <t>Higher maturity / verification claims require supporting evidence; exact quantity determined adaptively</t>
        </is>
      </c>
      <c r="F4" s="2" t="inlineStr">
        <is>
          <t>I06/I13</t>
        </is>
      </c>
      <c r="G4" s="2" t="inlineStr">
        <is>
          <t>Engine-design evidence rule derived from assessment card</t>
        </is>
      </c>
    </row>
    <row r="5">
      <c r="A5" s="2" t="inlineStr">
        <is>
          <t>D11</t>
        </is>
      </c>
      <c r="B5" s="2" t="inlineStr">
        <is>
          <t>E04</t>
        </is>
      </c>
      <c r="C5" s="2" t="inlineStr">
        <is>
          <t>Representative evidence supporting Future Shock Test</t>
        </is>
      </c>
      <c r="D5" s="2" t="inlineStr">
        <is>
          <t>As triggered by assessment branch</t>
        </is>
      </c>
      <c r="E5" s="2" t="inlineStr">
        <is>
          <t>Higher maturity / verification claims require supporting evidence; exact quantity determined adaptively</t>
        </is>
      </c>
      <c r="F5" s="2" t="inlineStr">
        <is>
          <t>I02/I04/I07/I10/I14</t>
        </is>
      </c>
      <c r="G5" s="2" t="inlineStr">
        <is>
          <t>Engine-design evidence rule derived from assessment card</t>
        </is>
      </c>
    </row>
    <row r="6">
      <c r="A6" s="2" t="inlineStr">
        <is>
          <t>D11</t>
        </is>
      </c>
      <c r="B6" s="2" t="inlineStr">
        <is>
          <t>E05</t>
        </is>
      </c>
      <c r="C6" s="2" t="inlineStr">
        <is>
          <t>Representative evidence supporting Adaptation Reality Test</t>
        </is>
      </c>
      <c r="D6" s="2" t="inlineStr">
        <is>
          <t>As triggered by assessment branch</t>
        </is>
      </c>
      <c r="E6" s="2" t="inlineStr">
        <is>
          <t>Higher maturity / verification claims require supporting evidence; exact quantity determined adaptively</t>
        </is>
      </c>
      <c r="F6" s="2" t="inlineStr">
        <is>
          <t>I12/I14</t>
        </is>
      </c>
      <c r="G6" s="2" t="inlineStr">
        <is>
          <t>Engine-design evidence rule derived from assessment card</t>
        </is>
      </c>
    </row>
  </sheetData>
  <autoFilter ref="A1:G6"/>
  <pageMargins left="0.7" right="0.7" top="0.75" bottom="0.75" header="0.3" footer="0.3"/>
</worksheet>
</file>

<file path=xl/worksheets/sheet117.xml><?xml version="1.0" encoding="utf-8"?>
<worksheet xmlns="http://schemas.openxmlformats.org/spreadsheetml/2006/main">
  <sheetPr>
    <outlinePr summaryBelow="1" summaryRight="1"/>
    <pageSetUpPr/>
  </sheetPr>
  <dimension ref="A1:G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24" t="inlineStr">
        <is>
          <t>Domain</t>
        </is>
      </c>
      <c r="B1" s="24" t="inlineStr">
        <is>
          <t>Data ID</t>
        </is>
      </c>
      <c r="C1" s="24" t="inlineStr">
        <is>
          <t>Institutional Data Item</t>
        </is>
      </c>
      <c r="D1" s="24" t="inlineStr">
        <is>
          <t>Input Type</t>
        </is>
      </c>
      <c r="E1" s="24" t="inlineStr">
        <is>
          <t>Requirement</t>
        </is>
      </c>
      <c r="F1" s="24" t="inlineStr">
        <is>
          <t>Metric / Use</t>
        </is>
      </c>
      <c r="G1" s="24" t="inlineStr">
        <is>
          <t>Status</t>
        </is>
      </c>
    </row>
    <row r="2">
      <c r="A2" s="2" t="inlineStr">
        <is>
          <t>D11</t>
        </is>
      </c>
      <c r="B2" s="2" t="inlineStr">
        <is>
          <t>D11-D01</t>
        </is>
      </c>
      <c r="C2" s="2" t="inlineStr">
        <is>
          <t>Representative institutional data supporting External Change Sensing</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D11</t>
        </is>
      </c>
      <c r="B3" s="2" t="inlineStr">
        <is>
          <t>D11-D02</t>
        </is>
      </c>
      <c r="C3" s="2" t="inlineStr">
        <is>
          <t>Representative institutional data supporting Strategic Response Agility</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D11</t>
        </is>
      </c>
      <c r="B4" s="2" t="inlineStr">
        <is>
          <t>D11-D03</t>
        </is>
      </c>
      <c r="C4" s="2" t="inlineStr">
        <is>
          <t>Representative institutional data supporting Adaptive Decision Architecture</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D11</t>
        </is>
      </c>
      <c r="B5" s="2" t="inlineStr">
        <is>
          <t>D11-D04</t>
        </is>
      </c>
      <c r="C5" s="2" t="inlineStr">
        <is>
          <t>Representative institutional data supporting Resource Reallocation Agility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D11</t>
        </is>
      </c>
      <c r="B6" s="2" t="inlineStr">
        <is>
          <t>D11-D05</t>
        </is>
      </c>
      <c r="C6" s="2" t="inlineStr">
        <is>
          <t>Representative institutional data supporting Institutional Experimentation</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D11</t>
        </is>
      </c>
      <c r="B7" s="2" t="inlineStr">
        <is>
          <t>D11-D06</t>
        </is>
      </c>
      <c r="C7" s="2" t="inlineStr">
        <is>
          <t>Representative institutional data supporting Failure-to-Learning Capability</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D11</t>
        </is>
      </c>
      <c r="B8" s="2" t="inlineStr">
        <is>
          <t>D11-D07</t>
        </is>
      </c>
      <c r="C8" s="2" t="inlineStr">
        <is>
          <t>Representative institutional data supporting Change Management Capacity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D11</t>
        </is>
      </c>
      <c r="B9" s="2" t="inlineStr">
        <is>
          <t>D11-D08</t>
        </is>
      </c>
      <c r="C9" s="2" t="inlineStr">
        <is>
          <t>Representative institutional data supporting Adaptive Leadership Alignment</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D11</t>
        </is>
      </c>
      <c r="B10" s="2" t="inlineStr">
        <is>
          <t>D11-D09</t>
        </is>
      </c>
      <c r="C10" s="2" t="inlineStr">
        <is>
          <t>Representative institutional data supporting Learner Signal Responsiveness</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D11</t>
        </is>
      </c>
      <c r="B11" s="2" t="inlineStr">
        <is>
          <t>D11-D10</t>
        </is>
      </c>
      <c r="C11" s="2" t="inlineStr">
        <is>
          <t>Representative institutional data supporting Economic &amp; Workforce Responsiveness</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D11</t>
        </is>
      </c>
      <c r="B12" s="2" t="inlineStr">
        <is>
          <t>D11-D11</t>
        </is>
      </c>
      <c r="C12" s="2" t="inlineStr">
        <is>
          <t>Representative institutional data supporting Scenario Planning Capability</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D11</t>
        </is>
      </c>
      <c r="B13" s="2" t="inlineStr">
        <is>
          <t>D11-D12</t>
        </is>
      </c>
      <c r="C13" s="2" t="inlineStr">
        <is>
          <t>Representative institutional data supporting Institutional Resilience</t>
        </is>
      </c>
      <c r="D13" s="2" t="inlineStr">
        <is>
          <t>Number / structured input / evidence as applicable</t>
        </is>
      </c>
      <c r="E13" s="2" t="inlineStr">
        <is>
          <t>To be determined by adaptive branch</t>
        </is>
      </c>
      <c r="F13" s="2" t="inlineStr">
        <is>
          <t>I12</t>
        </is>
      </c>
      <c r="G13" s="2" t="inlineStr">
        <is>
          <t>Engine-design input; calibration required</t>
        </is>
      </c>
    </row>
    <row r="14">
      <c r="A14" s="2" t="inlineStr">
        <is>
          <t>D11</t>
        </is>
      </c>
      <c r="B14" s="2" t="inlineStr">
        <is>
          <t>D11-D13</t>
        </is>
      </c>
      <c r="C14" s="2" t="inlineStr">
        <is>
          <t>Representative institutional data supporting Institutional Learning System</t>
        </is>
      </c>
      <c r="D14" s="2" t="inlineStr">
        <is>
          <t>Number / structured input / evidence as applicable</t>
        </is>
      </c>
      <c r="E14" s="2" t="inlineStr">
        <is>
          <t>To be determined by adaptive branch</t>
        </is>
      </c>
      <c r="F14" s="2" t="inlineStr">
        <is>
          <t>I13</t>
        </is>
      </c>
      <c r="G14" s="2" t="inlineStr">
        <is>
          <t>Engine-design input; calibration required</t>
        </is>
      </c>
    </row>
    <row r="15">
      <c r="A15" s="2" t="inlineStr">
        <is>
          <t>D11</t>
        </is>
      </c>
      <c r="B15" s="2" t="inlineStr">
        <is>
          <t>D11-D14</t>
        </is>
      </c>
      <c r="C15" s="2" t="inlineStr">
        <is>
          <t>Representative institutional data supporting Future Transformation Capacity</t>
        </is>
      </c>
      <c r="D15" s="2" t="inlineStr">
        <is>
          <t>Number / structured input / evidence as applicable</t>
        </is>
      </c>
      <c r="E15" s="2" t="inlineStr">
        <is>
          <t>To be determined by adaptive branch</t>
        </is>
      </c>
      <c r="F15" s="2" t="inlineStr">
        <is>
          <t>I14</t>
        </is>
      </c>
      <c r="G15" s="2" t="inlineStr">
        <is>
          <t>Engine-design input; calibration required</t>
        </is>
      </c>
    </row>
  </sheetData>
  <autoFilter ref="A1:G15"/>
  <pageMargins left="0.7" right="0.7" top="0.75" bottom="0.75" header="0.3" footer="0.3"/>
</worksheet>
</file>

<file path=xl/worksheets/sheet118.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24" t="inlineStr">
        <is>
          <t>Check ID</t>
        </is>
      </c>
      <c r="B1" s="24" t="inlineStr">
        <is>
          <t>Check</t>
        </is>
      </c>
      <c r="C1" s="24" t="inlineStr">
        <is>
          <t>Rule</t>
        </is>
      </c>
      <c r="D1" s="24" t="inlineStr">
        <is>
          <t>Type</t>
        </is>
      </c>
    </row>
    <row r="2">
      <c r="A2" s="2" t="inlineStr">
        <is>
          <t>D11-QA01</t>
        </is>
      </c>
      <c r="B2" s="2" t="inlineStr">
        <is>
          <t>Programme counts</t>
        </is>
      </c>
      <c r="C2" s="2" t="inlineStr">
        <is>
          <t>Modified &lt;= reviewed &lt;= active</t>
        </is>
      </c>
      <c r="D2" s="2" t="inlineStr">
        <is>
          <t>Hard validation</t>
        </is>
      </c>
    </row>
    <row r="3">
      <c r="A3" s="2" t="inlineStr">
        <is>
          <t>D11-QA02</t>
        </is>
      </c>
      <c r="B3" s="2" t="inlineStr">
        <is>
          <t>Pilot counts</t>
        </is>
      </c>
      <c r="C3" s="2" t="inlineStr">
        <is>
          <t>Evaluated &lt;= conducted; scaled/stopped &lt;= evaluated</t>
        </is>
      </c>
      <c r="D3" s="2" t="inlineStr">
        <is>
          <t>Hard validation</t>
        </is>
      </c>
    </row>
    <row r="4">
      <c r="A4" s="2" t="inlineStr">
        <is>
          <t>D11-QA03</t>
        </is>
      </c>
      <c r="B4" s="2" t="inlineStr">
        <is>
          <t>Data counts</t>
        </is>
      </c>
      <c r="C4" s="2" t="inlineStr">
        <is>
          <t>Privacy-reviewed &lt;= data-processing &lt;= approved tools</t>
        </is>
      </c>
      <c r="D4" s="2" t="inlineStr">
        <is>
          <t>Hard validation</t>
        </is>
      </c>
    </row>
    <row r="5">
      <c r="A5" s="2" t="inlineStr">
        <is>
          <t>D11-QA04</t>
        </is>
      </c>
      <c r="B5" s="2" t="inlineStr">
        <is>
          <t>No policy inflation</t>
        </is>
      </c>
      <c r="C5" s="2" t="inlineStr">
        <is>
          <t>Policy existence alone cannot create high maturity</t>
        </is>
      </c>
      <c r="D5" s="2" t="inlineStr">
        <is>
          <t>Scoring rule</t>
        </is>
      </c>
    </row>
    <row r="6">
      <c r="A6" s="2" t="inlineStr">
        <is>
          <t>D11-QA05</t>
        </is>
      </c>
      <c r="B6" s="2" t="inlineStr">
        <is>
          <t>Context fairness</t>
        </is>
      </c>
      <c r="C6" s="2" t="inlineStr">
        <is>
          <t>Required maturity reflects mission, scale, resources, exposure</t>
        </is>
      </c>
      <c r="D6" s="2" t="inlineStr">
        <is>
          <t>Scoring rule</t>
        </is>
      </c>
    </row>
    <row r="7">
      <c r="A7" s="2" t="inlineStr">
        <is>
          <t>D11-QA06</t>
        </is>
      </c>
      <c r="B7" s="2" t="inlineStr">
        <is>
          <t>Non-technical fairness</t>
        </is>
      </c>
      <c r="C7" s="2" t="inlineStr">
        <is>
          <t>Assess discipline relevance, not coding/technical AI</t>
        </is>
      </c>
      <c r="D7" s="2" t="inlineStr">
        <is>
          <t>Scoring rule</t>
        </is>
      </c>
    </row>
    <row r="8">
      <c r="A8" s="2" t="inlineStr">
        <is>
          <t>D11-QA07</t>
        </is>
      </c>
      <c r="B8" s="2" t="inlineStr">
        <is>
          <t>No outcome fabrication</t>
        </is>
      </c>
      <c r="C8" s="2" t="inlineStr">
        <is>
          <t>N/A accepted where outcome measurement legitimately unavailable</t>
        </is>
      </c>
      <c r="D8" s="2" t="inlineStr">
        <is>
          <t>Scoring rule</t>
        </is>
      </c>
    </row>
    <row r="9">
      <c r="A9" s="2" t="inlineStr">
        <is>
          <t>D11-QA08</t>
        </is>
      </c>
      <c r="B9" s="2" t="inlineStr">
        <is>
          <t>Representative sampling</t>
        </is>
      </c>
      <c r="C9" s="2" t="inlineStr">
        <is>
          <t>Evidence requests stay limited to high-value samples</t>
        </is>
      </c>
      <c r="D9" s="2" t="inlineStr">
        <is>
          <t>UX rule</t>
        </is>
      </c>
    </row>
    <row r="10">
      <c r="A10" s="2" t="inlineStr">
        <is>
          <t>D11-D03</t>
        </is>
      </c>
      <c r="B10" s="2" t="inlineStr">
        <is>
          <t>Discipline coverage</t>
        </is>
      </c>
      <c r="C10" s="2" t="inlineStr">
        <is>
          <t>Expanded to health, pharmacy, media, humanities, professional, technical and interdisciplinary pathways.</t>
        </is>
      </c>
      <c r="D10" s="2" t="inlineStr">
        <is>
          <t>Pass</t>
        </is>
      </c>
    </row>
    <row r="11">
      <c r="A11" s="2" t="inlineStr">
        <is>
          <t>D11-D04-D06</t>
        </is>
      </c>
      <c r="B11" s="2" t="inlineStr">
        <is>
          <t>Architecture completeness</t>
        </is>
      </c>
      <c r="C11" s="2" t="inlineStr">
        <is>
          <t>Each domain has capabilities, metrics, assessment cards, 5 core questions and maturity anchors.</t>
        </is>
      </c>
      <c r="D11" s="2" t="inlineStr">
        <is>
          <t>Pass</t>
        </is>
      </c>
    </row>
    <row r="12">
      <c r="A12" s="2" t="inlineStr">
        <is>
          <t>D11-All</t>
        </is>
      </c>
      <c r="B12" s="2" t="inlineStr">
        <is>
          <t>Context calibration</t>
        </is>
      </c>
      <c r="C12" s="2" t="inlineStr">
        <is>
          <t>Institution context changes proportionality and branching, not the integrity standard.</t>
        </is>
      </c>
      <c r="D12" s="2" t="inlineStr">
        <is>
          <t>Pass</t>
        </is>
      </c>
    </row>
    <row r="13">
      <c r="A13" s="2" t="inlineStr">
        <is>
          <t>D11-All</t>
        </is>
      </c>
      <c r="B13" s="2" t="inlineStr">
        <is>
          <t>Reality gradient</t>
        </is>
      </c>
      <c r="C13" s="2" t="inlineStr">
        <is>
          <t>Claim→practice→evidence→outcome→adaptation captured separately from maturity.</t>
        </is>
      </c>
      <c r="D13" s="2" t="inlineStr">
        <is>
          <t>Pass</t>
        </is>
      </c>
    </row>
    <row r="14">
      <c r="A14" s="2" t="inlineStr">
        <is>
          <t>D11-QA-DOM01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D11-QA-DOM02</t>
        </is>
      </c>
      <c r="B15" s="2" t="inlineStr">
        <is>
          <t>Question/card coverage</t>
        </is>
      </c>
      <c r="C15" s="2" t="inlineStr">
        <is>
          <t>Every assessment card and question must map to at least one metric.</t>
        </is>
      </c>
      <c r="D15" s="2" t="inlineStr">
        <is>
          <t>Structural</t>
        </is>
      </c>
    </row>
    <row r="16">
      <c r="A16" s="2" t="inlineStr">
        <is>
          <t>D11-QA-DOM03</t>
        </is>
      </c>
      <c r="B16" s="2" t="inlineStr">
        <is>
          <t>Evidence traceability</t>
        </is>
      </c>
      <c r="C16" s="2" t="inlineStr">
        <is>
          <t>High-maturity claims must have an evidence path or an explicit evidence-gap flag.</t>
        </is>
      </c>
      <c r="D16" s="2" t="inlineStr">
        <is>
          <t>Scoring</t>
        </is>
      </c>
    </row>
    <row r="17">
      <c r="A17" s="2" t="inlineStr">
        <is>
          <t>D11-QA-DOM04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119.xml><?xml version="1.0" encoding="utf-8"?>
<worksheet xmlns="http://schemas.openxmlformats.org/spreadsheetml/2006/main">
  <sheetPr>
    <outlinePr summaryBelow="1" summaryRight="1"/>
    <pageSetUpPr/>
  </sheetPr>
  <dimension ref="A1:F9"/>
  <sheetViews>
    <sheetView showGridLines="0" workbookViewId="0">
      <pane ySplit="1" topLeftCell="A2" activePane="bottomLeft" state="frozen"/>
      <selection pane="bottomLeft" activeCell="A1" sqref="A1"/>
    </sheetView>
  </sheetViews>
  <sheetFormatPr baseColWidth="8" defaultRowHeight="15"/>
  <cols>
    <col width="28.7109375" customWidth="1" min="1" max="1"/>
    <col width="18.7109375" customWidth="1" min="2" max="2"/>
    <col width="55.7109375" customWidth="1" min="3" max="4"/>
    <col width="42.7109375" customWidth="1" min="5" max="6"/>
  </cols>
  <sheetData>
    <row r="1">
      <c r="A1" s="24" t="inlineStr">
        <is>
          <t>Metric Layer</t>
        </is>
      </c>
      <c r="B1" s="24" t="inlineStr">
        <is>
          <t>Scale</t>
        </is>
      </c>
      <c r="C1" s="24" t="inlineStr">
        <is>
          <t>Anchor</t>
        </is>
      </c>
      <c r="D1" s="24" t="inlineStr">
        <is>
          <t>Purpose</t>
        </is>
      </c>
      <c r="E1" s="24" t="inlineStr">
        <is>
          <t>Scoring Role</t>
        </is>
      </c>
      <c r="F1" s="24" t="inlineStr">
        <is>
          <t>Validation Status</t>
        </is>
      </c>
    </row>
    <row r="2">
      <c r="A2" s="2" t="inlineStr">
        <is>
          <t>Capability Maturity</t>
        </is>
      </c>
      <c r="B2" s="2" t="inlineStr">
        <is>
          <t>0–5</t>
        </is>
      </c>
      <c r="C2" s="2" t="inlineStr">
        <is>
          <t>0 Absent; 1 Reactive; 2 Emerging; 3 Structured; 4 Integrated; 5 Adaptive</t>
        </is>
      </c>
      <c r="D2" s="2" t="inlineStr">
        <is>
          <t>What capability exists institutionally?</t>
        </is>
      </c>
      <c r="E2" s="2" t="inlineStr">
        <is>
          <t>Primary maturity signal</t>
        </is>
      </c>
      <c r="F2" s="2" t="inlineStr">
        <is>
          <t>Architecture defined; empirical calibration pending</t>
        </is>
      </c>
    </row>
    <row r="3">
      <c r="A3" s="2" t="inlineStr">
        <is>
          <t>Implementation Depth</t>
        </is>
      </c>
      <c r="B3" s="2" t="inlineStr">
        <is>
          <t>0–5</t>
        </is>
      </c>
      <c r="C3" s="2" t="inlineStr">
        <is>
          <t>0 None; 1 isolated; 2 limited; 3 repeatable; 4 broad; 5 embedded</t>
        </is>
      </c>
      <c r="D3" s="2" t="inlineStr">
        <is>
          <t>How deeply is capability practiced?</t>
        </is>
      </c>
      <c r="E3" s="2" t="inlineStr">
        <is>
          <t>Separates policy from practice</t>
        </is>
      </c>
      <c r="F3" s="2" t="inlineStr">
        <is>
          <t>Architecture defined; empirical calibration pending</t>
        </is>
      </c>
    </row>
    <row r="4">
      <c r="A4" s="2" t="inlineStr">
        <is>
          <t>Outcome Strength</t>
        </is>
      </c>
      <c r="B4" s="2" t="inlineStr">
        <is>
          <t>0–5</t>
        </is>
      </c>
      <c r="C4" s="2" t="inlineStr">
        <is>
          <t>0 unknown; 1 anecdotal; 2 limited; 3 measurable; 4 strong; 5 sustained/validated</t>
        </is>
      </c>
      <c r="D4" s="2" t="inlineStr">
        <is>
          <t>What changed because capability exists?</t>
        </is>
      </c>
      <c r="E4" s="2" t="inlineStr">
        <is>
          <t>Outcome layer</t>
        </is>
      </c>
      <c r="F4" s="2" t="inlineStr">
        <is>
          <t>N/A permitted where legitimate</t>
        </is>
      </c>
    </row>
    <row r="5">
      <c r="A5" s="2" t="inlineStr">
        <is>
          <t>Evidence Confidence</t>
        </is>
      </c>
      <c r="B5" s="2" t="inlineStr">
        <is>
          <t>0–100</t>
        </is>
      </c>
      <c r="C5" s="2" t="inlineStr">
        <is>
          <t>0 none; 25 weak artifact; 50 institutional artifact; 75 operational; 100 triangulated/outcome</t>
        </is>
      </c>
      <c r="D5" s="2" t="inlineStr">
        <is>
          <t>How confidently can the claim be supported?</t>
        </is>
      </c>
      <c r="E5" s="2" t="inlineStr">
        <is>
          <t>Separate confidence signal; not a substitute for capability</t>
        </is>
      </c>
      <c r="F5" s="2" t="inlineStr">
        <is>
          <t>Requires pilot reliability testing</t>
        </is>
      </c>
    </row>
    <row r="6">
      <c r="A6" s="2" t="inlineStr">
        <is>
          <t>Future Exposure</t>
        </is>
      </c>
      <c r="B6" s="2" t="inlineStr">
        <is>
          <t>1–5</t>
        </is>
      </c>
      <c r="C6" s="2" t="inlineStr">
        <is>
          <t>1 low; 2 moderate; 3 material; 4 high; 5 critical</t>
        </is>
      </c>
      <c r="D6" s="2" t="inlineStr">
        <is>
          <t>How exposed is institution if weakness persists?</t>
        </is>
      </c>
      <c r="E6" s="2" t="inlineStr">
        <is>
          <t>Priority/required maturity input</t>
        </is>
      </c>
      <c r="F6" s="2" t="inlineStr">
        <is>
          <t>Context-calibrated</t>
        </is>
      </c>
    </row>
    <row r="7">
      <c r="A7" s="2" t="inlineStr">
        <is>
          <t>Required Future Maturity</t>
        </is>
      </c>
      <c r="B7" s="2" t="inlineStr">
        <is>
          <t>0–5</t>
        </is>
      </c>
      <c r="C7" s="2" t="inlineStr">
        <is>
          <t>Context + mandate + exposure adjusted</t>
        </is>
      </c>
      <c r="D7" s="2" t="inlineStr">
        <is>
          <t>What maturity is appropriate for this institution?</t>
        </is>
      </c>
      <c r="E7" s="2" t="inlineStr">
        <is>
          <t>Target maturity</t>
        </is>
      </c>
      <c r="F7" s="2" t="inlineStr">
        <is>
          <t>Requires validation</t>
        </is>
      </c>
    </row>
    <row r="8">
      <c r="A8" s="2" t="inlineStr">
        <is>
          <t>Transformation Distance</t>
        </is>
      </c>
      <c r="B8" s="2" t="inlineStr">
        <is>
          <t>derived</t>
        </is>
      </c>
      <c r="C8" s="2" t="inlineStr">
        <is>
          <t>Required Future Maturity − Current Maturity</t>
        </is>
      </c>
      <c r="D8" s="2" t="inlineStr">
        <is>
          <t>Where strategically relevant gaps exist</t>
        </is>
      </c>
      <c r="E8" s="2" t="inlineStr">
        <is>
          <t>Prioritisation</t>
        </is>
      </c>
      <c r="F8" s="2" t="inlineStr">
        <is>
          <t>Derived</t>
        </is>
      </c>
    </row>
    <row r="9">
      <c r="A9" s="2" t="inlineStr">
        <is>
          <t>Overall Index</t>
        </is>
      </c>
      <c r="B9" s="2" t="inlineStr">
        <is>
          <t>0–100</t>
        </is>
      </c>
      <c r="C9" s="2" t="inlineStr">
        <is>
          <t>Weighted across D01–D11 after validation</t>
        </is>
      </c>
      <c r="D9" s="2" t="inlineStr">
        <is>
          <t>Composite institutional readiness signal</t>
        </is>
      </c>
      <c r="E9" s="2" t="inlineStr">
        <is>
          <t>Headline diagnostic</t>
        </is>
      </c>
      <c r="F9" s="2" t="inlineStr">
        <is>
          <t>Do not publish as benchmark until validation</t>
        </is>
      </c>
    </row>
  </sheetData>
  <autoFilter ref="A1:F9"/>
  <pageMargins left="0.7" right="0.7" top="0.75" bottom="0.75" header="0.3" footer="0.3"/>
</worksheet>
</file>

<file path=xl/worksheets/sheet120.xml><?xml version="1.0" encoding="utf-8"?>
<worksheet xmlns="http://schemas.openxmlformats.org/spreadsheetml/2006/main">
  <sheetPr>
    <outlinePr summaryBelow="1" summaryRight="1"/>
    <pageSetUpPr/>
  </sheetPr>
  <dimension ref="A1:D21"/>
  <sheetViews>
    <sheetView showGridLines="0" workbookViewId="0">
      <pane ySplit="1" topLeftCell="A2" activePane="bottomLeft" state="frozen"/>
      <selection pane="bottomLeft" activeCell="A1" sqref="A1"/>
    </sheetView>
  </sheetViews>
  <sheetFormatPr baseColWidth="8" defaultRowHeight="15"/>
  <cols>
    <col width="15.7109375" customWidth="1" min="1" max="2"/>
    <col width="60.7109375" customWidth="1" min="3" max="4"/>
  </cols>
  <sheetData>
    <row r="1">
      <c r="A1" s="24" t="inlineStr">
        <is>
          <t>From Domain</t>
        </is>
      </c>
      <c r="B1" s="24" t="inlineStr">
        <is>
          <t>To Domain</t>
        </is>
      </c>
      <c r="C1" s="24" t="inlineStr">
        <is>
          <t>Strategic Relationship</t>
        </is>
      </c>
      <c r="D1" s="24" t="inlineStr">
        <is>
          <t>Engine Action</t>
        </is>
      </c>
    </row>
    <row r="2">
      <c r="A2" s="2" t="inlineStr">
        <is>
          <t>D01</t>
        </is>
      </c>
      <c r="B2" s="2" t="inlineStr">
        <is>
          <t>D03</t>
        </is>
      </c>
      <c r="C2" s="2" t="inlineStr">
        <is>
          <t>Strategy prioritisation of human capability should be visible in capability development and evidence.</t>
        </is>
      </c>
      <c r="D2" s="2" t="inlineStr">
        <is>
          <t>If mismatch, trigger D03 deep-dive.</t>
        </is>
      </c>
    </row>
    <row r="3">
      <c r="A3" s="2" t="inlineStr">
        <is>
          <t>D01</t>
        </is>
      </c>
      <c r="B3" s="2" t="inlineStr">
        <is>
          <t>D02</t>
        </is>
      </c>
      <c r="C3" s="2" t="inlineStr">
        <is>
          <t>Strategic AI activity requires governance ownership and risk architecture.</t>
        </is>
      </c>
      <c r="D3" s="2" t="inlineStr">
        <is>
          <t>If activity exceeds governance, trigger D02 review.</t>
        </is>
      </c>
    </row>
    <row r="4">
      <c r="A4" s="2" t="inlineStr">
        <is>
          <t>D02</t>
        </is>
      </c>
      <c r="B4" s="2" t="inlineStr">
        <is>
          <t>D03</t>
        </is>
      </c>
      <c r="C4" s="2" t="inlineStr">
        <is>
          <t>Governance and academic integrity should translate into meaningful capability and assessment practice.</t>
        </is>
      </c>
      <c r="D4" s="2" t="inlineStr">
        <is>
          <t>Detect policy-to-learning gap.</t>
        </is>
      </c>
    </row>
    <row r="5">
      <c r="A5" s="2" t="inlineStr">
        <is>
          <t>D03</t>
        </is>
      </c>
      <c r="B5" s="2" t="inlineStr">
        <is>
          <t>D04</t>
        </is>
      </c>
      <c r="C5" s="2" t="inlineStr">
        <is>
          <t>Human capability architecture should translate into programme and curriculum design.</t>
        </is>
      </c>
      <c r="D5" s="2" t="inlineStr">
        <is>
          <t>Trace capability to programme outcomes.</t>
        </is>
      </c>
    </row>
    <row r="6">
      <c r="A6" s="2" t="inlineStr">
        <is>
          <t>D03</t>
        </is>
      </c>
      <c r="B6" s="2" t="inlineStr">
        <is>
          <t>D06</t>
        </is>
      </c>
      <c r="C6" s="2" t="inlineStr">
        <is>
          <t>Intended capabilities should be visible in student agency and development.</t>
        </is>
      </c>
      <c r="D6" s="2" t="inlineStr">
        <is>
          <t>Compare intended vs student evidence.</t>
        </is>
      </c>
    </row>
    <row r="7">
      <c r="A7" s="2" t="inlineStr">
        <is>
          <t>D04</t>
        </is>
      </c>
      <c r="B7" s="2" t="inlineStr">
        <is>
          <t>D07</t>
        </is>
      </c>
      <c r="C7" s="2" t="inlineStr">
        <is>
          <t>Future-resilient programmes require assessments that demonstrate future capabilities.</t>
        </is>
      </c>
      <c r="D7" s="2" t="inlineStr">
        <is>
          <t>Trigger assessment alignment review.</t>
        </is>
      </c>
    </row>
    <row r="8">
      <c r="A8" s="2" t="inlineStr">
        <is>
          <t>D05</t>
        </is>
      </c>
      <c r="B8" s="2" t="inlineStr">
        <is>
          <t>D07</t>
        </is>
      </c>
      <c r="C8" s="2" t="inlineStr">
        <is>
          <t>Faculty capability and assessment redesign are interdependent.</t>
        </is>
      </c>
      <c r="D8" s="2" t="inlineStr">
        <is>
          <t>Check training-to-practice and assessment change.</t>
        </is>
      </c>
    </row>
    <row r="9">
      <c r="A9" s="2" t="inlineStr">
        <is>
          <t>D06</t>
        </is>
      </c>
      <c r="B9" s="2" t="inlineStr">
        <is>
          <t>D09</t>
        </is>
      </c>
      <c r="C9" s="2" t="inlineStr">
        <is>
          <t>Student capability should translate into credible employability evidence.</t>
        </is>
      </c>
      <c r="D9" s="2" t="inlineStr">
        <is>
          <t>Check capability signalling and employer outcomes.</t>
        </is>
      </c>
    </row>
    <row r="10">
      <c r="A10" s="2" t="inlineStr">
        <is>
          <t>D07</t>
        </is>
      </c>
      <c r="B10" s="2" t="inlineStr">
        <is>
          <t>D08</t>
        </is>
      </c>
      <c r="C10" s="2" t="inlineStr">
        <is>
          <t>Assessment evidence depends on appropriate institutional data/digital systems.</t>
        </is>
      </c>
      <c r="D10" s="2" t="inlineStr">
        <is>
          <t>Check evidence/data infrastructure.</t>
        </is>
      </c>
    </row>
    <row r="11">
      <c r="A11" s="2" t="inlineStr">
        <is>
          <t>D08</t>
        </is>
      </c>
      <c r="B11" s="2" t="inlineStr">
        <is>
          <t>D09</t>
        </is>
      </c>
      <c r="C11" s="2" t="inlineStr">
        <is>
          <t>Institutional intelligence should connect labour-market signals with programme and career decisions.</t>
        </is>
      </c>
      <c r="D11" s="2" t="inlineStr">
        <is>
          <t>Check signal-to-decision pathway.</t>
        </is>
      </c>
    </row>
    <row r="12">
      <c r="A12" s="2" t="inlineStr">
        <is>
          <t>D09</t>
        </is>
      </c>
      <c r="B12" s="2" t="inlineStr">
        <is>
          <t>D04</t>
        </is>
      </c>
      <c r="C12" s="2" t="inlineStr">
        <is>
          <t>Employer intelligence should influence programme evolution.</t>
        </is>
      </c>
      <c r="D12" s="2" t="inlineStr">
        <is>
          <t>Trace labour-market signal into curriculum change.</t>
        </is>
      </c>
    </row>
    <row r="13">
      <c r="A13" s="2" t="inlineStr">
        <is>
          <t>D09</t>
        </is>
      </c>
      <c r="B13" s="2" t="inlineStr">
        <is>
          <t>D05</t>
        </is>
      </c>
      <c r="C13" s="2" t="inlineStr">
        <is>
          <t>Industry requirements should inform faculty capability development.</t>
        </is>
      </c>
      <c r="D13" s="2" t="inlineStr">
        <is>
          <t>Trace employer signals into faculty development.</t>
        </is>
      </c>
    </row>
    <row r="14">
      <c r="A14" s="2" t="inlineStr">
        <is>
          <t>D09</t>
        </is>
      </c>
      <c r="B14" s="2" t="inlineStr">
        <is>
          <t>D06</t>
        </is>
      </c>
      <c r="C14" s="2" t="inlineStr">
        <is>
          <t>Graduate capability and career resilience should inform student development.</t>
        </is>
      </c>
      <c r="D14" s="2" t="inlineStr">
        <is>
          <t>Trace outcomes into student support.</t>
        </is>
      </c>
    </row>
    <row r="15">
      <c r="A15" s="2" t="inlineStr">
        <is>
          <t>D10</t>
        </is>
      </c>
      <c r="B15" s="2" t="inlineStr">
        <is>
          <t>D03</t>
        </is>
      </c>
      <c r="C15" s="2" t="inlineStr">
        <is>
          <t>Research and knowledge creation should strengthen higher-order student capability.</t>
        </is>
      </c>
      <c r="D15" s="2" t="inlineStr">
        <is>
          <t>Check student research/creator pathways.</t>
        </is>
      </c>
    </row>
    <row r="16">
      <c r="A16" s="2" t="inlineStr">
        <is>
          <t>D10</t>
        </is>
      </c>
      <c r="B16" s="2" t="inlineStr">
        <is>
          <t>D09</t>
        </is>
      </c>
      <c r="C16" s="2" t="inlineStr">
        <is>
          <t>Research/innovation should create economic, social or industry relevance where appropriate.</t>
        </is>
      </c>
      <c r="D16" s="2" t="inlineStr">
        <is>
          <t>Check translation and external value.</t>
        </is>
      </c>
    </row>
    <row r="17">
      <c r="A17" s="2" t="inlineStr">
        <is>
          <t>D10</t>
        </is>
      </c>
      <c r="B17" s="2" t="inlineStr">
        <is>
          <t>D11</t>
        </is>
      </c>
      <c r="C17" s="2" t="inlineStr">
        <is>
          <t>Research/innovation learning can strengthen institutional adaptation and future sensing.</t>
        </is>
      </c>
      <c r="D17" s="2" t="inlineStr">
        <is>
          <t>Check learning loop from research/innovation evidence.</t>
        </is>
      </c>
    </row>
    <row r="18">
      <c r="A18" s="2" t="inlineStr">
        <is>
          <t>D11</t>
        </is>
      </c>
      <c r="B18" s="2" t="inlineStr">
        <is>
          <t>D01</t>
        </is>
      </c>
      <c r="C18" s="2" t="inlineStr">
        <is>
          <t>Adaptability should feed back into strategic foresight and resource decisions.</t>
        </is>
      </c>
      <c r="D18" s="2" t="inlineStr">
        <is>
          <t>Check institutional learning loop.</t>
        </is>
      </c>
    </row>
    <row r="19">
      <c r="A19" s="2" t="inlineStr">
        <is>
          <t>D11</t>
        </is>
      </c>
      <c r="B19" s="2" t="inlineStr">
        <is>
          <t>D04</t>
        </is>
      </c>
      <c r="C19" s="2" t="inlineStr">
        <is>
          <t>Adaptability should enable programme redesign when external conditions change.</t>
        </is>
      </c>
      <c r="D19" s="2" t="inlineStr">
        <is>
          <t>Check change-to-curriculum response.</t>
        </is>
      </c>
    </row>
    <row r="20">
      <c r="A20" s="2" t="inlineStr">
        <is>
          <t>D11</t>
        </is>
      </c>
      <c r="B20" s="2" t="inlineStr">
        <is>
          <t>D05</t>
        </is>
      </c>
      <c r="C20" s="2" t="inlineStr">
        <is>
          <t>Adaptability should support faculty role/workflow transformation.</t>
        </is>
      </c>
      <c r="D20" s="2" t="inlineStr">
        <is>
          <t>Check change management and support.</t>
        </is>
      </c>
    </row>
    <row r="21">
      <c r="A21" s="2" t="inlineStr">
        <is>
          <t>D11</t>
        </is>
      </c>
      <c r="B21" s="2" t="inlineStr">
        <is>
          <t>D06</t>
        </is>
      </c>
      <c r="C21" s="2" t="inlineStr">
        <is>
          <t>Adaptability should respond to learner signals and capability needs.</t>
        </is>
      </c>
      <c r="D21" s="2" t="inlineStr">
        <is>
          <t>Check student voice/action loop.</t>
        </is>
      </c>
    </row>
  </sheetData>
  <autoFilter ref="A1:D21"/>
  <pageMargins left="0.7" right="0.7" top="0.75" bottom="0.75" header="0.3" footer="0.3"/>
</worksheet>
</file>

<file path=xl/worksheets/sheet121.xml><?xml version="1.0" encoding="utf-8"?>
<worksheet xmlns="http://schemas.openxmlformats.org/spreadsheetml/2006/main">
  <sheetPr>
    <outlinePr summaryBelow="1" summaryRight="1"/>
    <pageSetUpPr/>
  </sheetPr>
  <dimension ref="A1:D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8.7109375" customWidth="1" min="2" max="2"/>
    <col width="20.7109375" customWidth="1" min="3" max="3"/>
    <col width="60.7109375" customWidth="1" min="4" max="4"/>
  </cols>
  <sheetData>
    <row r="1">
      <c r="A1" s="24" t="inlineStr">
        <is>
          <t>Domain</t>
        </is>
      </c>
      <c r="B1" s="24" t="inlineStr">
        <is>
          <t>Name</t>
        </is>
      </c>
      <c r="C1" s="24" t="inlineStr">
        <is>
          <t>Proposed Weight %</t>
        </is>
      </c>
      <c r="D1" s="24" t="inlineStr">
        <is>
          <t>Rationale / Caution</t>
        </is>
      </c>
    </row>
    <row r="2">
      <c r="A2" s="2" t="inlineStr">
        <is>
          <t>D01</t>
        </is>
      </c>
      <c r="B2" s="2" t="inlineStr">
        <is>
          <t>Institutional Strategy, Foresight &amp; AI Direction</t>
        </is>
      </c>
      <c r="C2" s="2" t="n">
        <v>10</v>
      </c>
      <c r="D2" s="2" t="inlineStr">
        <is>
          <t>Strategic direction and foresight; high leverage but not sufficient alone.</t>
        </is>
      </c>
    </row>
    <row r="3">
      <c r="A3" s="2" t="inlineStr">
        <is>
          <t>D02</t>
        </is>
      </c>
      <c r="B3" s="2" t="inlineStr">
        <is>
          <t>Governance, Responsible AI &amp; Institutional Risk</t>
        </is>
      </c>
      <c r="C3" s="2" t="n">
        <v>12</v>
      </c>
      <c r="D3" s="2" t="inlineStr">
        <is>
          <t>Governance/risk is foundational for responsible institutional AI.</t>
        </is>
      </c>
    </row>
    <row r="4">
      <c r="A4" s="2" t="inlineStr">
        <is>
          <t>D03</t>
        </is>
      </c>
      <c r="B4" s="2" t="inlineStr">
        <is>
          <t>Human Capability, Cognitive Readiness &amp; AI-Ready Education</t>
        </is>
      </c>
      <c r="C4" s="2" t="n">
        <v>12</v>
      </c>
      <c r="D4" s="2" t="inlineStr">
        <is>
          <t>Human capability is core to AI-era educational value.</t>
        </is>
      </c>
    </row>
    <row r="5">
      <c r="A5" s="2" t="inlineStr">
        <is>
          <t>D04</t>
        </is>
      </c>
      <c r="B5" s="2" t="inlineStr">
        <is>
          <t>Curriculum &amp; Programme Future Resilience</t>
        </is>
      </c>
      <c r="C5" s="2" t="n">
        <v>10</v>
      </c>
      <c r="D5" s="2" t="inlineStr">
        <is>
          <t>Programme future resilience converts strategy into curriculum.</t>
        </is>
      </c>
    </row>
    <row r="6">
      <c r="A6" s="2" t="inlineStr">
        <is>
          <t>D05</t>
        </is>
      </c>
      <c r="B6" s="2" t="inlineStr">
        <is>
          <t>Faculty Capability &amp; Academic Workforce Transformation</t>
        </is>
      </c>
      <c r="C6" s="2" t="n">
        <v>10</v>
      </c>
      <c r="D6" s="2" t="inlineStr">
        <is>
          <t>Faculty capability is a critical execution layer.</t>
        </is>
      </c>
    </row>
    <row r="7">
      <c r="A7" s="2" t="inlineStr">
        <is>
          <t>D06</t>
        </is>
      </c>
      <c r="B7" s="2" t="inlineStr">
        <is>
          <t>Student Capability, Agency &amp; Future Readiness</t>
        </is>
      </c>
      <c r="C7" s="2" t="n">
        <v>10</v>
      </c>
      <c r="D7" s="2" t="inlineStr">
        <is>
          <t>Student capability/agency is a central outcome.</t>
        </is>
      </c>
    </row>
    <row r="8">
      <c r="A8" s="2" t="inlineStr">
        <is>
          <t>D07</t>
        </is>
      </c>
      <c r="B8" s="2" t="inlineStr">
        <is>
          <t>Learning, Assessment &amp; Evidence of Capability</t>
        </is>
      </c>
      <c r="C8" s="2" t="n">
        <v>10</v>
      </c>
      <c r="D8" s="2" t="inlineStr">
        <is>
          <t>Assessment determines whether capability is actually demonstrated.</t>
        </is>
      </c>
    </row>
    <row r="9">
      <c r="A9" s="2" t="inlineStr">
        <is>
          <t>D08</t>
        </is>
      </c>
      <c r="B9" s="2" t="inlineStr">
        <is>
          <t>Digital, Data &amp; Institutional Intelligence</t>
        </is>
      </c>
      <c r="C9" s="2" t="n">
        <v>8</v>
      </c>
      <c r="D9" s="2" t="inlineStr">
        <is>
          <t>Data/digital infrastructure enables intelligence and responsible AI.</t>
        </is>
      </c>
    </row>
    <row r="10">
      <c r="A10" s="2" t="inlineStr">
        <is>
          <t>D09</t>
        </is>
      </c>
      <c r="B10" s="2" t="inlineStr">
        <is>
          <t>Employability, Industry &amp; Economic Relevance</t>
        </is>
      </c>
      <c r="C10" s="2" t="n">
        <v>9</v>
      </c>
      <c r="D10" s="2" t="inlineStr">
        <is>
          <t>Employability and economic relevance test external value.</t>
        </is>
      </c>
    </row>
    <row r="11">
      <c r="A11" s="2" t="inlineStr">
        <is>
          <t>D10</t>
        </is>
      </c>
      <c r="B11" s="2" t="inlineStr">
        <is>
          <t>Research, Innovation &amp; Knowledge Creation</t>
        </is>
      </c>
      <c r="C11" s="2" t="n">
        <v>5</v>
      </c>
      <c r="D11" s="2" t="inlineStr">
        <is>
          <t>Research/innovation is strategically important but not equally central for all institutions.</t>
        </is>
      </c>
    </row>
    <row r="12">
      <c r="A12" s="2" t="inlineStr">
        <is>
          <t>D11</t>
        </is>
      </c>
      <c r="B12" s="2" t="inlineStr">
        <is>
          <t>Institutional Adaptability &amp; AI Resilience</t>
        </is>
      </c>
      <c r="C12" s="2" t="n">
        <v>4</v>
      </c>
      <c r="D12" s="2" t="inlineStr">
        <is>
          <t>Adaptability synthesises and validates institutional resilience; low standalone weight to avoid double-counting.</t>
        </is>
      </c>
    </row>
    <row r="13">
      <c r="A13" s="2" t="inlineStr">
        <is>
          <t>TOTAL</t>
        </is>
      </c>
      <c r="B13" s="2" t="n"/>
      <c r="C13" s="2" t="n">
        <v>100</v>
      </c>
      <c r="D13" s="2" t="inlineStr">
        <is>
          <t>Provisional; weights must be validated through sensitivity analysis and pilot data before public benchmarking.</t>
        </is>
      </c>
    </row>
  </sheetData>
  <autoFilter ref="A1:D13"/>
  <pageMargins left="0.7" right="0.7" top="0.75" bottom="0.75" header="0.3" footer="0.3"/>
</worksheet>
</file>

<file path=xl/worksheets/sheet122.xml><?xml version="1.0" encoding="utf-8"?>
<worksheet xmlns="http://schemas.openxmlformats.org/spreadsheetml/2006/main">
  <sheetPr>
    <outlinePr summaryBelow="1" summaryRight="1"/>
    <pageSetUpPr/>
  </sheetPr>
  <dimension ref="A1:E1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30.7109375" customWidth="1" min="2" max="2"/>
    <col width="35.7109375" customWidth="1" min="3" max="3"/>
    <col width="20.7109375" customWidth="1" min="4" max="4"/>
    <col width="60.7109375" customWidth="1" min="5" max="5"/>
  </cols>
  <sheetData>
    <row r="1">
      <c r="A1" s="24" t="inlineStr">
        <is>
          <t>ID</t>
        </is>
      </c>
      <c r="B1" s="24" t="inlineStr">
        <is>
          <t>Principle</t>
        </is>
      </c>
      <c r="C1" s="24" t="inlineStr">
        <is>
          <t>Scope</t>
        </is>
      </c>
      <c r="D1" s="24" t="inlineStr">
        <is>
          <t>Status</t>
        </is>
      </c>
      <c r="E1" s="24" t="inlineStr">
        <is>
          <t>Design Rule</t>
        </is>
      </c>
    </row>
    <row r="2">
      <c r="A2" s="2" t="inlineStr">
        <is>
          <t>A01</t>
        </is>
      </c>
      <c r="B2" s="2" t="inlineStr">
        <is>
          <t>Context calibration</t>
        </is>
      </c>
      <c r="C2" s="2" t="inlineStr">
        <is>
          <t>All domains</t>
        </is>
      </c>
      <c r="D2" s="2" t="inlineStr">
        <is>
          <t>Required</t>
        </is>
      </c>
      <c r="E2" s="2" t="inlineStr">
        <is>
          <t>Institution mandate, size, geography, disciplines, resource envelope and exposure must shape branching/required maturity—not provide automatic bonus points.</t>
        </is>
      </c>
    </row>
    <row r="3">
      <c r="A3" s="2" t="inlineStr">
        <is>
          <t>A02</t>
        </is>
      </c>
      <c r="B3" s="2" t="inlineStr">
        <is>
          <t>Maturity model</t>
        </is>
      </c>
      <c r="C3" s="2" t="inlineStr">
        <is>
          <t>All domains</t>
        </is>
      </c>
      <c r="D3" s="2" t="inlineStr">
        <is>
          <t>Required</t>
        </is>
      </c>
      <c r="E3" s="2" t="inlineStr">
        <is>
          <t>0 Absent; 1 Reactive; 2 Emerging; 3 Structured; 4 Integrated; 5 Adaptive.</t>
        </is>
      </c>
    </row>
    <row r="4">
      <c r="A4" s="2" t="inlineStr">
        <is>
          <t>A03</t>
        </is>
      </c>
      <c r="B4" s="2" t="inlineStr">
        <is>
          <t>Evidence confidence</t>
        </is>
      </c>
      <c r="C4" s="2" t="inlineStr">
        <is>
          <t>All domains</t>
        </is>
      </c>
      <c r="D4" s="2" t="inlineStr">
        <is>
          <t>Required</t>
        </is>
      </c>
      <c r="E4" s="2" t="inlineStr">
        <is>
          <t>Separate claim strength from capability score; no evidence should not automatically mean zero capability.</t>
        </is>
      </c>
    </row>
    <row r="5">
      <c r="A5" s="2" t="inlineStr">
        <is>
          <t>A04</t>
        </is>
      </c>
      <c r="B5" s="2" t="inlineStr">
        <is>
          <t>Outcome layer</t>
        </is>
      </c>
      <c r="C5" s="2" t="inlineStr">
        <is>
          <t>All domains</t>
        </is>
      </c>
      <c r="D5" s="2" t="inlineStr">
        <is>
          <t>Required</t>
        </is>
      </c>
      <c r="E5" s="2" t="inlineStr">
        <is>
          <t>Where outcomes are measurable, distinguish activity from demonstrated institutional effect.</t>
        </is>
      </c>
    </row>
    <row r="6">
      <c r="A6" s="2" t="inlineStr">
        <is>
          <t>A05</t>
        </is>
      </c>
      <c r="B6" s="2" t="inlineStr">
        <is>
          <t>Future exposure</t>
        </is>
      </c>
      <c r="C6" s="2" t="inlineStr">
        <is>
          <t>All domains</t>
        </is>
      </c>
      <c r="D6" s="2" t="inlineStr">
        <is>
          <t>Required</t>
        </is>
      </c>
      <c r="E6" s="2" t="inlineStr">
        <is>
          <t>Prioritise weaknesses that matter most to the institution's likely future exposure.</t>
        </is>
      </c>
    </row>
    <row r="7">
      <c r="A7" s="2" t="inlineStr">
        <is>
          <t>A06</t>
        </is>
      </c>
      <c r="B7" s="2" t="inlineStr">
        <is>
          <t>Required maturity</t>
        </is>
      </c>
      <c r="C7" s="2" t="inlineStr">
        <is>
          <t>All domains</t>
        </is>
      </c>
      <c r="D7" s="2" t="inlineStr">
        <is>
          <t>Required</t>
        </is>
      </c>
      <c r="E7" s="2" t="inlineStr">
        <is>
          <t>Target maturity must be context- and exposure-adjusted.</t>
        </is>
      </c>
    </row>
    <row r="8">
      <c r="A8" s="2" t="inlineStr">
        <is>
          <t>A07</t>
        </is>
      </c>
      <c r="B8" s="2" t="inlineStr">
        <is>
          <t>Transformation distance</t>
        </is>
      </c>
      <c r="C8" s="2" t="inlineStr">
        <is>
          <t>All domains</t>
        </is>
      </c>
      <c r="D8" s="2" t="inlineStr">
        <is>
          <t>Required</t>
        </is>
      </c>
      <c r="E8" s="2" t="inlineStr">
        <is>
          <t>Required maturity minus current maturity; use for prioritisation.</t>
        </is>
      </c>
    </row>
    <row r="9">
      <c r="A9" s="2" t="inlineStr">
        <is>
          <t>A08</t>
        </is>
      </c>
      <c r="B9" s="2" t="inlineStr">
        <is>
          <t>Cross-domain dependency</t>
        </is>
      </c>
      <c r="C9" s="2" t="inlineStr">
        <is>
          <t>All domains</t>
        </is>
      </c>
      <c r="D9" s="2" t="inlineStr">
        <is>
          <t>Required</t>
        </is>
      </c>
      <c r="E9" s="2" t="inlineStr">
        <is>
          <t>A weak upstream capability should be traceable to downstream effects.</t>
        </is>
      </c>
    </row>
    <row r="10">
      <c r="A10" s="2" t="inlineStr">
        <is>
          <t>A09</t>
        </is>
      </c>
      <c r="B10" s="2" t="inlineStr">
        <is>
          <t>Adaptive questioning</t>
        </is>
      </c>
      <c r="C10" s="2" t="inlineStr">
        <is>
          <t>All domains</t>
        </is>
      </c>
      <c r="D10" s="2" t="inlineStr">
        <is>
          <t>Required</t>
        </is>
      </c>
      <c r="E10" s="2" t="inlineStr">
        <is>
          <t>High/low/ambiguous responses trigger different follow-up depth.</t>
        </is>
      </c>
    </row>
    <row r="11">
      <c r="A11" s="2" t="inlineStr">
        <is>
          <t>A10</t>
        </is>
      </c>
      <c r="B11" s="2" t="inlineStr">
        <is>
          <t>Anti-gaming</t>
        </is>
      </c>
      <c r="C11" s="2" t="inlineStr">
        <is>
          <t>All domains</t>
        </is>
      </c>
      <c r="D11" s="2" t="inlineStr">
        <is>
          <t>Required</t>
        </is>
      </c>
      <c r="E11" s="2" t="inlineStr">
        <is>
          <t>Institution-specific examples, evidence checkpoints, cross-question consistency and hidden weights.</t>
        </is>
      </c>
    </row>
    <row r="12">
      <c r="A12" s="2" t="inlineStr">
        <is>
          <t>A11</t>
        </is>
      </c>
      <c r="B12" s="2" t="inlineStr">
        <is>
          <t>No pay-for-score</t>
        </is>
      </c>
      <c r="C12" s="2" t="inlineStr">
        <is>
          <t>Assessment governance</t>
        </is>
      </c>
      <c r="D12" s="2" t="inlineStr">
        <is>
          <t>Required</t>
        </is>
      </c>
      <c r="E12" s="2" t="inlineStr">
        <is>
          <t>Assessment purchase must never determine score, recognition or verification status.</t>
        </is>
      </c>
    </row>
    <row r="13">
      <c r="A13" s="2" t="inlineStr">
        <is>
          <t>A12</t>
        </is>
      </c>
      <c r="B13" s="2" t="inlineStr">
        <is>
          <t>India contextualisation</t>
        </is>
      </c>
      <c r="C13" s="2" t="inlineStr">
        <is>
          <t>All domains</t>
        </is>
      </c>
      <c r="D13" s="2" t="inlineStr">
        <is>
          <t>Required</t>
        </is>
      </c>
      <c r="E13" s="2" t="inlineStr">
        <is>
          <t>Assess proportionality for rural, semi-urban, urban, state, national and specialist institutions.</t>
        </is>
      </c>
    </row>
    <row r="14">
      <c r="A14" s="2" t="inlineStr">
        <is>
          <t>A13</t>
        </is>
      </c>
      <c r="B14" s="2" t="inlineStr">
        <is>
          <t>External comparability</t>
        </is>
      </c>
      <c r="C14" s="2" t="inlineStr">
        <is>
          <t>Methodology</t>
        </is>
      </c>
      <c r="D14" s="2" t="inlineStr">
        <is>
          <t>Required before public benchmark</t>
        </is>
      </c>
      <c r="E14" s="2" t="inlineStr">
        <is>
          <t>Do not claim equivalence to QS/THE or any agency until independent validation and benchmarking are completed.</t>
        </is>
      </c>
    </row>
    <row r="15">
      <c r="A15" s="2" t="inlineStr">
        <is>
          <t>A14</t>
        </is>
      </c>
      <c r="B15" s="2" t="inlineStr">
        <is>
          <t>Investment readiness separation</t>
        </is>
      </c>
      <c r="C15" s="2" t="inlineStr">
        <is>
          <t>Product architecture</t>
        </is>
      </c>
      <c r="D15" s="2" t="inlineStr">
        <is>
          <t>Required</t>
        </is>
      </c>
      <c r="E15" s="2" t="inlineStr">
        <is>
          <t>Investment Readiness remains a separate future engine and is not part of the AI Resilient University Index.</t>
        </is>
      </c>
    </row>
  </sheetData>
  <autoFilter ref="A1:E15"/>
  <pageMargins left="0.7" right="0.7" top="0.75" bottom="0.75" header="0.3" footer="0.3"/>
</worksheet>
</file>

<file path=xl/worksheets/sheet123.xml><?xml version="1.0" encoding="utf-8"?>
<worksheet xmlns="http://schemas.openxmlformats.org/spreadsheetml/2006/main">
  <sheetPr>
    <outlinePr summaryBelow="1" summaryRight="1"/>
    <pageSetUpPr/>
  </sheetPr>
  <dimension ref="A1:D10"/>
  <sheetViews>
    <sheetView showGridLines="0" workbookViewId="0">
      <pane ySplit="1" topLeftCell="A2" activePane="bottomLeft" state="frozen"/>
      <selection pane="bottomLeft" activeCell="A1" sqref="A1"/>
    </sheetView>
  </sheetViews>
  <sheetFormatPr baseColWidth="8" defaultRowHeight="15"/>
  <cols>
    <col width="32.7109375" customWidth="1" min="1" max="1"/>
    <col width="18.7109375" customWidth="1" min="2" max="2"/>
    <col width="60.7109375" customWidth="1" min="3" max="3"/>
    <col width="55.7109375" customWidth="1" min="4" max="4"/>
  </cols>
  <sheetData>
    <row r="1">
      <c r="A1" s="24" t="inlineStr">
        <is>
          <t>Component</t>
        </is>
      </c>
      <c r="B1" s="24" t="inlineStr">
        <is>
          <t>Scale</t>
        </is>
      </c>
      <c r="C1" s="24" t="inlineStr">
        <is>
          <t>Definition</t>
        </is>
      </c>
      <c r="D1" s="24" t="inlineStr">
        <is>
          <t>Use</t>
        </is>
      </c>
    </row>
    <row r="2">
      <c r="A2" s="2" t="inlineStr">
        <is>
          <t>Domain score</t>
        </is>
      </c>
      <c r="B2" s="2" t="inlineStr">
        <is>
          <t>0–100</t>
        </is>
      </c>
      <c r="C2" s="2" t="inlineStr">
        <is>
          <t>Weighted combination of capability maturity, implementation depth, outcome strength and evidence confidence; exact weights remain proprietary until validation.</t>
        </is>
      </c>
      <c r="D2" s="2" t="inlineStr">
        <is>
          <t>Diagnostic, not official ranking/accreditation.</t>
        </is>
      </c>
    </row>
    <row r="3">
      <c r="A3" s="2" t="inlineStr">
        <is>
          <t>Current capability maturity</t>
        </is>
      </c>
      <c r="B3" s="2" t="inlineStr">
        <is>
          <t>0–5</t>
        </is>
      </c>
      <c r="C3" s="2" t="inlineStr">
        <is>
          <t>Institutional capability today.</t>
        </is>
      </c>
      <c r="D3" s="2" t="inlineStr">
        <is>
          <t>Core maturity signal.</t>
        </is>
      </c>
    </row>
    <row r="4">
      <c r="A4" s="2" t="inlineStr">
        <is>
          <t>Implementation depth</t>
        </is>
      </c>
      <c r="B4" s="2" t="inlineStr">
        <is>
          <t>0–5</t>
        </is>
      </c>
      <c r="C4" s="2" t="inlineStr">
        <is>
          <t>Breadth and embeddedness of practice.</t>
        </is>
      </c>
      <c r="D4" s="2" t="inlineStr">
        <is>
          <t>Separates policy from real practice.</t>
        </is>
      </c>
    </row>
    <row r="5">
      <c r="A5" s="2" t="inlineStr">
        <is>
          <t>Outcome strength</t>
        </is>
      </c>
      <c r="B5" s="2" t="inlineStr">
        <is>
          <t>0–5</t>
        </is>
      </c>
      <c r="C5" s="2" t="inlineStr">
        <is>
          <t>Demonstrated effect where measurable.</t>
        </is>
      </c>
      <c r="D5" s="2" t="inlineStr">
        <is>
          <t>Avoids activity-only scoring.</t>
        </is>
      </c>
    </row>
    <row r="6">
      <c r="A6" s="2" t="inlineStr">
        <is>
          <t>Evidence confidence</t>
        </is>
      </c>
      <c r="B6" s="2" t="inlineStr">
        <is>
          <t>0–100</t>
        </is>
      </c>
      <c r="C6" s="2" t="inlineStr">
        <is>
          <t>Strength and independence of evidence.</t>
        </is>
      </c>
      <c r="D6" s="2" t="inlineStr">
        <is>
          <t>Displayed separately.</t>
        </is>
      </c>
    </row>
    <row r="7">
      <c r="A7" s="2" t="inlineStr">
        <is>
          <t>Future exposure</t>
        </is>
      </c>
      <c r="B7" s="2" t="inlineStr">
        <is>
          <t>1–5</t>
        </is>
      </c>
      <c r="C7" s="2" t="inlineStr">
        <is>
          <t>Materiality of future risk/opportunity if capability remains weak.</t>
        </is>
      </c>
      <c r="D7" s="2" t="inlineStr">
        <is>
          <t>Used to prioritise.</t>
        </is>
      </c>
    </row>
    <row r="8">
      <c r="A8" s="2" t="inlineStr">
        <is>
          <t>Required future maturity</t>
        </is>
      </c>
      <c r="B8" s="2" t="inlineStr">
        <is>
          <t>0–5</t>
        </is>
      </c>
      <c r="C8" s="2" t="inlineStr">
        <is>
          <t>Context-adjusted maturity needed for credible future readiness.</t>
        </is>
      </c>
      <c r="D8" s="2" t="inlineStr">
        <is>
          <t>Not a universal benchmark.</t>
        </is>
      </c>
    </row>
    <row r="9">
      <c r="A9" s="2" t="inlineStr">
        <is>
          <t>Transformation distance</t>
        </is>
      </c>
      <c r="B9" s="2" t="inlineStr">
        <is>
          <t>0–5+</t>
        </is>
      </c>
      <c r="C9" s="2" t="inlineStr">
        <is>
          <t>Required future maturity minus current maturity, bounded for reporting.</t>
        </is>
      </c>
      <c r="D9" s="2" t="inlineStr">
        <is>
          <t>Primary intervention prioritisation.</t>
        </is>
      </c>
    </row>
    <row r="10">
      <c r="A10" s="2" t="inlineStr">
        <is>
          <t>Overall AI Resilient University Index</t>
        </is>
      </c>
      <c r="B10" s="2" t="inlineStr">
        <is>
          <t>0–100</t>
        </is>
      </c>
      <c r="C10" s="2" t="inlineStr">
        <is>
          <t>Composite across 11 domains after methodology validation.</t>
        </is>
      </c>
      <c r="D10" s="2" t="inlineStr">
        <is>
          <t>Proprietary diagnostic indicator; not an official ranking/certification.</t>
        </is>
      </c>
    </row>
  </sheetData>
  <autoFilter ref="A1:D10"/>
  <pageMargins left="0.7" right="0.7" top="0.75" bottom="0.75" header="0.3" footer="0.3"/>
</worksheet>
</file>

<file path=xl/worksheets/sheet124.xml><?xml version="1.0" encoding="utf-8"?>
<worksheet xmlns="http://schemas.openxmlformats.org/spreadsheetml/2006/main">
  <sheetPr>
    <outlinePr summaryBelow="1" summaryRight="1"/>
    <pageSetUpPr/>
  </sheetPr>
  <dimension ref="A1:D11"/>
  <sheetViews>
    <sheetView showGridLines="0" workbookViewId="0">
      <pane ySplit="1" topLeftCell="A2" activePane="bottomLeft" state="frozen"/>
      <selection pane="bottomLeft" activeCell="A1" sqref="A1"/>
    </sheetView>
  </sheetViews>
  <sheetFormatPr baseColWidth="8" defaultRowHeight="15"/>
  <cols>
    <col width="28.7109375" customWidth="1" min="1" max="1"/>
    <col width="60.7109375" customWidth="1" min="2" max="3"/>
    <col width="28.7109375" customWidth="1" min="4" max="4"/>
  </cols>
  <sheetData>
    <row r="1">
      <c r="A1" s="24" t="inlineStr">
        <is>
          <t>Component</t>
        </is>
      </c>
      <c r="B1" s="24" t="inlineStr">
        <is>
          <t>Provisional Specification</t>
        </is>
      </c>
      <c r="C1" s="24" t="inlineStr">
        <is>
          <t>Reason</t>
        </is>
      </c>
      <c r="D1" s="24" t="inlineStr">
        <is>
          <t>Status</t>
        </is>
      </c>
    </row>
    <row r="2">
      <c r="A2" s="2" t="inlineStr">
        <is>
          <t>Metric maturity</t>
        </is>
      </c>
      <c r="B2" s="2" t="inlineStr">
        <is>
          <t>0–5 behavioural anchor scored from diagnostic responses + evidence</t>
        </is>
      </c>
      <c r="C2" s="2" t="inlineStr">
        <is>
          <t>Measures institutional capability rather than stated policy</t>
        </is>
      </c>
      <c r="D2" s="2" t="inlineStr">
        <is>
          <t>To be calibrated</t>
        </is>
      </c>
    </row>
    <row r="3">
      <c r="A3" s="2" t="inlineStr">
        <is>
          <t>Implementation depth</t>
        </is>
      </c>
      <c r="B3" s="2" t="inlineStr">
        <is>
          <t>0–5 separate from maturity</t>
        </is>
      </c>
      <c r="C3" s="2" t="inlineStr">
        <is>
          <t>Prevents policy/attendance inflation</t>
        </is>
      </c>
      <c r="D3" s="2" t="inlineStr">
        <is>
          <t>To be calibrated</t>
        </is>
      </c>
    </row>
    <row r="4">
      <c r="A4" s="2" t="inlineStr">
        <is>
          <t>Outcome strength</t>
        </is>
      </c>
      <c r="B4" s="2" t="inlineStr">
        <is>
          <t>0–5 where measurable; N/A where legitimately unavailable</t>
        </is>
      </c>
      <c r="C4" s="2" t="inlineStr">
        <is>
          <t>Distinguishes activity from effect</t>
        </is>
      </c>
      <c r="D4" s="2" t="inlineStr">
        <is>
          <t>To be calibrated</t>
        </is>
      </c>
    </row>
    <row r="5">
      <c r="A5" s="2" t="inlineStr">
        <is>
          <t>Evidence confidence</t>
        </is>
      </c>
      <c r="B5" s="2" t="inlineStr">
        <is>
          <t>0–100 using E0–E4 evidence ladder</t>
        </is>
      </c>
      <c r="C5" s="2" t="inlineStr">
        <is>
          <t>Separates claim strength from capability</t>
        </is>
      </c>
      <c r="D5" s="2" t="inlineStr">
        <is>
          <t>To be validated</t>
        </is>
      </c>
    </row>
    <row r="6">
      <c r="A6" s="2" t="inlineStr">
        <is>
          <t>Metric score</t>
        </is>
      </c>
      <c r="B6" s="2" t="inlineStr">
        <is>
          <t>Provisional weighted combination of maturity + implementation + outcome; exact coefficients frozen only after pilot</t>
        </is>
      </c>
      <c r="C6" s="2" t="inlineStr">
        <is>
          <t>Avoids false precision before validation</t>
        </is>
      </c>
      <c r="D6" s="2" t="inlineStr">
        <is>
          <t>NOT FINAL</t>
        </is>
      </c>
    </row>
    <row r="7">
      <c r="A7" s="2" t="inlineStr">
        <is>
          <t>Domain score</t>
        </is>
      </c>
      <c r="B7" s="2" t="inlineStr">
        <is>
          <t>Weighted aggregation of validated metric scores, with evidence/confidence reporting separately</t>
        </is>
      </c>
      <c r="C7" s="2" t="inlineStr">
        <is>
          <t>Produces comparable domain profile</t>
        </is>
      </c>
      <c r="D7" s="2" t="inlineStr">
        <is>
          <t>NOT FINAL</t>
        </is>
      </c>
    </row>
    <row r="8">
      <c r="A8" s="2" t="inlineStr">
        <is>
          <t>Required future maturity</t>
        </is>
      </c>
      <c r="B8" s="2" t="inlineStr">
        <is>
          <t>Context + mandate + exposure + trajectory; no automatic bonus for resources</t>
        </is>
      </c>
      <c r="C8" s="2" t="inlineStr">
        <is>
          <t>Preserves India-wide fairness</t>
        </is>
      </c>
      <c r="D8" s="2" t="inlineStr">
        <is>
          <t>To be calibrated</t>
        </is>
      </c>
    </row>
    <row r="9">
      <c r="A9" s="2" t="inlineStr">
        <is>
          <t>Transformation distance</t>
        </is>
      </c>
      <c r="B9" s="2" t="inlineStr">
        <is>
          <t>Required future maturity − current maturity</t>
        </is>
      </c>
      <c r="C9" s="2" t="inlineStr">
        <is>
          <t>Prioritises action</t>
        </is>
      </c>
      <c r="D9" s="2" t="inlineStr">
        <is>
          <t>Derived</t>
        </is>
      </c>
    </row>
    <row r="10">
      <c r="A10" s="2" t="inlineStr">
        <is>
          <t>Overall index</t>
        </is>
      </c>
      <c r="B10" s="2" t="inlineStr">
        <is>
          <t>Σ validated domain score × domain weight; 0–100</t>
        </is>
      </c>
      <c r="C10" s="2" t="inlineStr">
        <is>
          <t>Headline composite</t>
        </is>
      </c>
      <c r="D10" s="2" t="inlineStr">
        <is>
          <t>NOT PUBLIC UNTIL VALIDATED</t>
        </is>
      </c>
    </row>
    <row r="11">
      <c r="A11" s="2" t="inlineStr">
        <is>
          <t>Confidence flag</t>
        </is>
      </c>
      <c r="B11" s="2" t="inlineStr">
        <is>
          <t>Overall evidence confidence shown separately from index</t>
        </is>
      </c>
      <c r="C11" s="2" t="inlineStr">
        <is>
          <t>Prevents false certainty</t>
        </is>
      </c>
      <c r="D11" s="2" t="inlineStr">
        <is>
          <t>Required</t>
        </is>
      </c>
    </row>
  </sheetData>
  <autoFilter ref="A1:D11"/>
  <pageMargins left="0.7" right="0.7" top="0.75" bottom="0.75" header="0.3" footer="0.3"/>
</worksheet>
</file>

<file path=xl/worksheets/sheet125.xml><?xml version="1.0" encoding="utf-8"?>
<worksheet xmlns="http://schemas.openxmlformats.org/spreadsheetml/2006/main">
  <sheetPr>
    <outlinePr summaryBelow="1" summaryRight="1"/>
    <pageSetUpPr/>
  </sheetPr>
  <dimension ref="A1:D8"/>
  <sheetViews>
    <sheetView showGridLines="0" workbookViewId="0">
      <pane ySplit="1" topLeftCell="A2" activePane="bottomLeft" state="frozen"/>
      <selection pane="bottomLeft" activeCell="A1" sqref="A1"/>
    </sheetView>
  </sheetViews>
  <sheetFormatPr baseColWidth="8" defaultRowHeight="15"/>
  <cols>
    <col width="38.7109375" customWidth="1" min="1" max="1"/>
    <col width="60.7109375" customWidth="1" min="2" max="4"/>
  </cols>
  <sheetData>
    <row r="1">
      <c r="A1" s="24" t="inlineStr">
        <is>
          <t>Framework / Source</t>
        </is>
      </c>
      <c r="B1" s="24" t="inlineStr">
        <is>
          <t>Current public scope</t>
        </is>
      </c>
      <c r="C1" s="24" t="inlineStr">
        <is>
          <t>What it contributes to design</t>
        </is>
      </c>
      <c r="D1" s="24" t="inlineStr">
        <is>
          <t>What this engine should NOT claim</t>
        </is>
      </c>
    </row>
    <row r="2">
      <c r="A2" s="2" t="inlineStr">
        <is>
          <t>QS AI Capability Framework</t>
        </is>
      </c>
      <c r="B2" s="2" t="inlineStr">
        <is>
          <t>Higher-education AI capability across governance, operations/infrastructure, teaching/learning, research/innovation.</t>
        </is>
      </c>
      <c r="C2" s="2" t="inlineStr">
        <is>
          <t>Confirms need for institution-wide capability assessment and governance/operations/teaching/research coverage.</t>
        </is>
      </c>
      <c r="D2" s="2" t="inlineStr">
        <is>
          <t>Do not claim equivalence to QS or reproduce proprietary taxonomy/benchmarks.</t>
        </is>
      </c>
    </row>
    <row r="3">
      <c r="A3" s="2" t="inlineStr">
        <is>
          <t>QS AI Capability Assessments</t>
        </is>
      </c>
      <c r="B3" s="2" t="inlineStr">
        <is>
          <t>Self-assessment and analyst-led assessment, including independent validation, benchmarking, heatmaps and recommendations.</t>
        </is>
      </c>
      <c r="C3" s="2" t="inlineStr">
        <is>
          <t>Supports distinction between self-assessment and independently validated assessment.</t>
        </is>
      </c>
      <c r="D3" s="2" t="inlineStr">
        <is>
          <t>Do not claim independent validation until R&amp;R has an actual assessor/verification process and reliability evidence.</t>
        </is>
      </c>
    </row>
    <row r="4">
      <c r="A4" s="2" t="inlineStr">
        <is>
          <t>THE AI &amp; Digital Maturity Index 2026</t>
        </is>
      </c>
      <c r="B4" s="2" t="inlineStr">
        <is>
          <t>Global benchmark using Strategy, People, Utilisation and Technology across Education &amp; Research and Governance &amp; Administration; four maturity levels.</t>
        </is>
      </c>
      <c r="C4" s="2" t="inlineStr">
        <is>
          <t>Supports clear maturity levels and institution-wide AI/digital scope.</t>
        </is>
      </c>
      <c r="D4" s="2" t="inlineStr">
        <is>
          <t>Do not imply comparable benchmark scale/sample size without R&amp;R data.</t>
        </is>
      </c>
    </row>
    <row r="5">
      <c r="A5" s="2" t="inlineStr">
        <is>
          <t>EDUCAUSE Higher Education GenAI Readiness Assessment</t>
        </is>
      </c>
      <c r="B5" s="2" t="inlineStr">
        <is>
          <t>Team-based institutional readiness across Strategy, Governance, Technology, Workforce, Teaching &amp; Learning.</t>
        </is>
      </c>
      <c r="C5" s="2" t="inlineStr">
        <is>
          <t>Supports cross-functional respondents and enterprise-level readiness.</t>
        </is>
      </c>
      <c r="D5" s="2" t="inlineStr">
        <is>
          <t>Do not position this as a direct substitute or claim broader empirical validation.</t>
        </is>
      </c>
    </row>
    <row r="6">
      <c r="A6" s="2" t="inlineStr">
        <is>
          <t>UNESCO AI Competency Framework for Students</t>
        </is>
      </c>
      <c r="B6" s="2" t="inlineStr">
        <is>
          <t>12 competencies across human-centred mindset, ethics, AI techniques/applications and AI system design; Understand/Apply/Create progression.</t>
        </is>
      </c>
      <c r="C6" s="2" t="inlineStr">
        <is>
          <t>Supports student human agency, ethics, AI literacy and co-creation constructs.</t>
        </is>
      </c>
      <c r="D6" s="2" t="inlineStr">
        <is>
          <t>Do not reproduce UNESCO framework as proprietary R&amp;R content; use as external reference.</t>
        </is>
      </c>
    </row>
    <row r="7">
      <c r="A7" s="2" t="inlineStr">
        <is>
          <t>UNESCO AI Competency Framework for Teachers</t>
        </is>
      </c>
      <c r="B7" s="2" t="inlineStr">
        <is>
          <t>15 competencies across human-centred mindset, ethics, AI foundations/applications, AI pedagogy and professional learning; Acquire/Deepen/Create.</t>
        </is>
      </c>
      <c r="C7" s="2" t="inlineStr">
        <is>
          <t>Supports faculty human-centred, ethical, pedagogical and professional-learning dimensions.</t>
        </is>
      </c>
      <c r="D7" s="2" t="inlineStr">
        <is>
          <t>Do not claim endorsement or equivalence.</t>
        </is>
      </c>
    </row>
    <row r="8">
      <c r="A8" s="2" t="inlineStr">
        <is>
          <t>R&amp;R AI Resilient University Index</t>
        </is>
      </c>
      <c r="B8" s="2" t="inlineStr">
        <is>
          <t>D01–D11: strategy, governance, human capability, curriculum, faculty, students, assessment, data/digital, employability, research/innovation, adaptability.</t>
        </is>
      </c>
      <c r="C8" s="2" t="inlineStr">
        <is>
          <t>Differentiates R&amp;R by connecting AI readiness to human capability, educational validity, employability and institutional resilience in an India-contextualised architecture.</t>
        </is>
      </c>
      <c r="D8" s="2" t="inlineStr">
        <is>
          <t>Do not claim “internationally validated”, “official ranking”, or “equivalent to QS/THE/EDUCAUSE” until independent validation, reliability and benchmarking are completed.</t>
        </is>
      </c>
    </row>
  </sheetData>
  <autoFilter ref="A1:D8"/>
  <pageMargins left="0.7" right="0.7" top="0.75" bottom="0.75" header="0.3" footer="0.3"/>
</worksheet>
</file>

<file path=xl/worksheets/sheet126.xml><?xml version="1.0" encoding="utf-8"?>
<worksheet xmlns="http://schemas.openxmlformats.org/spreadsheetml/2006/main">
  <sheetPr>
    <outlinePr summaryBelow="1" summaryRight="1"/>
    <pageSetUpPr/>
  </sheetPr>
  <dimension ref="A1:D6"/>
  <sheetViews>
    <sheetView showGridLines="0" workbookViewId="0">
      <pane ySplit="1" topLeftCell="A2" activePane="bottomLeft" state="frozen"/>
      <selection pane="bottomLeft" activeCell="A1" sqref="A1"/>
    </sheetView>
  </sheetViews>
  <sheetFormatPr baseColWidth="8" defaultRowHeight="15"/>
  <cols>
    <col width="34.7109375" customWidth="1" min="1" max="1"/>
    <col width="60.7109375" customWidth="1" min="2" max="4"/>
  </cols>
  <sheetData>
    <row r="1">
      <c r="A1" s="24" t="inlineStr">
        <is>
          <t>Content Block</t>
        </is>
      </c>
      <c r="B1" s="24" t="inlineStr">
        <is>
          <t>Primary Source File</t>
        </is>
      </c>
      <c r="C1" s="24" t="inlineStr">
        <is>
          <t>Treatment in v3</t>
        </is>
      </c>
      <c r="D1" s="24" t="inlineStr">
        <is>
          <t>Notes</t>
        </is>
      </c>
    </row>
    <row r="2">
      <c r="A2" s="2" t="inlineStr">
        <is>
          <t>D01-D03 core architecture</t>
        </is>
      </c>
      <c r="B2" s="2" t="inlineStr">
        <is>
          <t>AI_Resilient_University_Index_D01-D03_Complete_Assessment_Engine.xlsx</t>
        </is>
      </c>
      <c r="C2" s="2" t="inlineStr">
        <is>
          <t>Retained and expanded into complete master</t>
        </is>
      </c>
      <c r="D2" s="2" t="inlineStr">
        <is>
          <t>This is the strongest baseline for D01-D03.</t>
        </is>
      </c>
    </row>
    <row r="3">
      <c r="A3" s="2" t="inlineStr">
        <is>
          <t>D04-D09 architecture</t>
        </is>
      </c>
      <c r="B3" s="2" t="inlineStr">
        <is>
          <t>AI_Resilient_University_Index_D01-D09_Master_Assessment_Engine.xlsx</t>
        </is>
      </c>
      <c r="C3" s="2" t="inlineStr">
        <is>
          <t>Integrated into core + dedicated domain bundles</t>
        </is>
      </c>
      <c r="D3" s="2" t="inlineStr">
        <is>
          <t>D04-D06 anchors and D07-D09 matrices/cards retained.</t>
        </is>
      </c>
    </row>
    <row r="4">
      <c r="A4" s="2" t="inlineStr">
        <is>
          <t>D10-D11 architecture</t>
        </is>
      </c>
      <c r="B4" s="2" t="inlineStr">
        <is>
          <t>AI_Resilient_University_Index_D01-D11_Master_Assessment_Engine_v2_COMPLETE.xlsx</t>
        </is>
      </c>
      <c r="C4" s="2" t="inlineStr">
        <is>
          <t>Integrated into core + dedicated domain bundles</t>
        </is>
      </c>
      <c r="D4" s="2" t="inlineStr">
        <is>
          <t>D10-D11 matrices/cards retained.</t>
        </is>
      </c>
    </row>
    <row r="5">
      <c r="A5" s="2" t="inlineStr">
        <is>
          <t>D07-D11 maturity anchors</t>
        </is>
      </c>
      <c r="B5" s="2" t="inlineStr">
        <is>
          <t>v2 generic maturity anchors + domain matrices/cards</t>
        </is>
      </c>
      <c r="C5" s="2" t="inlineStr">
        <is>
          <t>Domain-specific interpretations added and explicitly marked synthesis</t>
        </is>
      </c>
      <c r="D5" s="2" t="inlineStr">
        <is>
          <t>Requires methodology validation before scoring.</t>
        </is>
      </c>
    </row>
    <row r="6">
      <c r="A6" s="2" t="inlineStr">
        <is>
          <t>Weights/scoring</t>
        </is>
      </c>
      <c r="B6" s="2" t="inlineStr">
        <is>
          <t>v2 architecture</t>
        </is>
      </c>
      <c r="C6" s="2" t="inlineStr">
        <is>
          <t>Retained as provisional</t>
        </is>
      </c>
      <c r="D6" s="2" t="inlineStr">
        <is>
          <t>Must be audited and calibrated empirically.</t>
        </is>
      </c>
    </row>
  </sheetData>
  <autoFilter ref="A1:D6"/>
  <pageMargins left="0.7" right="0.7" top="0.75" bottom="0.75" header="0.3" footer="0.3"/>
</worksheet>
</file>

<file path=xl/worksheets/sheet127.xml><?xml version="1.0" encoding="utf-8"?>
<worksheet xmlns="http://schemas.openxmlformats.org/spreadsheetml/2006/main">
  <sheetPr>
    <outlinePr summaryBelow="1" summaryRight="1"/>
    <pageSetUpPr/>
  </sheetPr>
  <dimension ref="A1:E18"/>
  <sheetViews>
    <sheetView showGridLines="0" workbookViewId="0">
      <pane ySplit="1" topLeftCell="A2" activePane="bottomLeft" state="frozen"/>
      <selection pane="bottomLeft" activeCell="A1" sqref="A1"/>
    </sheetView>
  </sheetViews>
  <sheetFormatPr baseColWidth="8" defaultRowHeight="15"/>
  <cols>
    <col width="28.7109375" customWidth="1" min="1" max="1"/>
    <col width="55.7109375" customWidth="1" min="2" max="2"/>
    <col width="35.7109375" customWidth="1" min="3" max="3"/>
    <col width="16.7109375" customWidth="1" min="4" max="4"/>
    <col width="60.7109375" customWidth="1" min="5" max="5"/>
  </cols>
  <sheetData>
    <row r="1">
      <c r="A1" s="24" t="inlineStr">
        <is>
          <t>Check</t>
        </is>
      </c>
      <c r="B1" s="24" t="inlineStr">
        <is>
          <t>Expected</t>
        </is>
      </c>
      <c r="C1" s="24" t="inlineStr">
        <is>
          <t>Actual</t>
        </is>
      </c>
      <c r="D1" s="24" t="inlineStr">
        <is>
          <t>Status</t>
        </is>
      </c>
      <c r="E1" s="24" t="inlineStr">
        <is>
          <t>Notes</t>
        </is>
      </c>
    </row>
    <row r="2">
      <c r="A2" s="2" t="inlineStr">
        <is>
          <t>Domains</t>
        </is>
      </c>
      <c r="B2" s="2" t="inlineStr">
        <is>
          <t>11</t>
        </is>
      </c>
      <c r="C2" s="2" t="inlineStr">
        <is>
          <t>11</t>
        </is>
      </c>
      <c r="D2" s="2" t="inlineStr">
        <is>
          <t>PASS</t>
        </is>
      </c>
      <c r="E2" s="2" t="inlineStr">
        <is>
          <t>D01–D11 must all be present.</t>
        </is>
      </c>
    </row>
    <row r="3">
      <c r="A3" s="2" t="inlineStr">
        <is>
          <t>Capability areas</t>
        </is>
      </c>
      <c r="B3" s="2" t="inlineStr">
        <is>
          <t>143</t>
        </is>
      </c>
      <c r="C3" s="2" t="inlineStr">
        <is>
          <t>143</t>
        </is>
      </c>
      <c r="D3" s="2" t="inlineStr">
        <is>
          <t>PASS</t>
        </is>
      </c>
      <c r="E3" s="2" t="inlineStr">
        <is>
          <t>All domain capability areas integrated into core and domain sheets.</t>
        </is>
      </c>
    </row>
    <row r="4">
      <c r="A4" s="2" t="inlineStr">
        <is>
          <t>Metrics</t>
        </is>
      </c>
      <c r="B4" s="2" t="inlineStr">
        <is>
          <t>143</t>
        </is>
      </c>
      <c r="C4" s="2" t="inlineStr">
        <is>
          <t>143</t>
        </is>
      </c>
      <c r="D4" s="2" t="inlineStr">
        <is>
          <t>PASS</t>
        </is>
      </c>
      <c r="E4" s="2" t="inlineStr">
        <is>
          <t>Every capability has primary metric.</t>
        </is>
      </c>
    </row>
    <row r="5">
      <c r="A5" s="2" t="inlineStr">
        <is>
          <t>Assessment cards</t>
        </is>
      </c>
      <c r="B5" s="2" t="inlineStr">
        <is>
          <t>69</t>
        </is>
      </c>
      <c r="C5" s="2" t="inlineStr">
        <is>
          <t>69</t>
        </is>
      </c>
      <c r="D5" s="2" t="inlineStr">
        <is>
          <t>PASS</t>
        </is>
      </c>
      <c r="E5" s="2" t="inlineStr">
        <is>
          <t>D01–D11 card library.</t>
        </is>
      </c>
    </row>
    <row r="6">
      <c r="A6" s="2" t="inlineStr">
        <is>
          <t>Questions</t>
        </is>
      </c>
      <c r="B6" s="2" t="inlineStr">
        <is>
          <t>63</t>
        </is>
      </c>
      <c r="C6" s="2" t="inlineStr">
        <is>
          <t>63</t>
        </is>
      </c>
      <c r="D6" s="2" t="inlineStr">
        <is>
          <t>PASS</t>
        </is>
      </c>
      <c r="E6" s="2" t="inlineStr">
        <is>
          <t>Integrated question bank.</t>
        </is>
      </c>
    </row>
    <row r="7">
      <c r="A7" s="2" t="inlineStr">
        <is>
          <t>D01 domain bundle</t>
        </is>
      </c>
      <c r="B7" s="2" t="inlineStr">
        <is>
          <t>Matrix + Cards + Questions + Maturity + Evidence + Institutional Data + QA</t>
        </is>
      </c>
      <c r="C7" s="2" t="inlineStr">
        <is>
          <t>Present</t>
        </is>
      </c>
      <c r="D7" s="2" t="inlineStr">
        <is>
          <t>PASS</t>
        </is>
      </c>
      <c r="E7" s="2" t="inlineStr">
        <is>
          <t>Dedicated sheets created.</t>
        </is>
      </c>
    </row>
    <row r="8">
      <c r="A8" s="2" t="inlineStr">
        <is>
          <t>D02 domain bundle</t>
        </is>
      </c>
      <c r="B8" s="2" t="inlineStr">
        <is>
          <t>Matrix + Cards + Questions + Maturity + Evidence + Institutional Data + QA</t>
        </is>
      </c>
      <c r="C8" s="2" t="inlineStr">
        <is>
          <t>Present</t>
        </is>
      </c>
      <c r="D8" s="2" t="inlineStr">
        <is>
          <t>PASS</t>
        </is>
      </c>
      <c r="E8" s="2" t="inlineStr">
        <is>
          <t>Dedicated sheets created.</t>
        </is>
      </c>
    </row>
    <row r="9">
      <c r="A9" s="2" t="inlineStr">
        <is>
          <t>D03 domain bundle</t>
        </is>
      </c>
      <c r="B9" s="2" t="inlineStr">
        <is>
          <t>Matrix + Cards + Questions + Maturity + Evidence + Institutional Data + QA</t>
        </is>
      </c>
      <c r="C9" s="2" t="inlineStr">
        <is>
          <t>Present</t>
        </is>
      </c>
      <c r="D9" s="2" t="inlineStr">
        <is>
          <t>PASS</t>
        </is>
      </c>
      <c r="E9" s="2" t="inlineStr">
        <is>
          <t>Dedicated sheets created.</t>
        </is>
      </c>
    </row>
    <row r="10">
      <c r="A10" s="2" t="inlineStr">
        <is>
          <t>D04 domain bundle</t>
        </is>
      </c>
      <c r="B10" s="2" t="inlineStr">
        <is>
          <t>Matrix + Cards + Questions + Maturity + Evidence + Institutional Data + QA</t>
        </is>
      </c>
      <c r="C10" s="2" t="inlineStr">
        <is>
          <t>Present</t>
        </is>
      </c>
      <c r="D10" s="2" t="inlineStr">
        <is>
          <t>PASS</t>
        </is>
      </c>
      <c r="E10" s="2" t="inlineStr">
        <is>
          <t>Dedicated sheets created.</t>
        </is>
      </c>
    </row>
    <row r="11">
      <c r="A11" s="2" t="inlineStr">
        <is>
          <t>D05 domain bundle</t>
        </is>
      </c>
      <c r="B11" s="2" t="inlineStr">
        <is>
          <t>Matrix + Cards + Questions + Maturity + Evidence + Institutional Data + QA</t>
        </is>
      </c>
      <c r="C11" s="2" t="inlineStr">
        <is>
          <t>Present</t>
        </is>
      </c>
      <c r="D11" s="2" t="inlineStr">
        <is>
          <t>PASS</t>
        </is>
      </c>
      <c r="E11" s="2" t="inlineStr">
        <is>
          <t>Dedicated sheets created.</t>
        </is>
      </c>
    </row>
    <row r="12">
      <c r="A12" s="2" t="inlineStr">
        <is>
          <t>D06 domain bundle</t>
        </is>
      </c>
      <c r="B12" s="2" t="inlineStr">
        <is>
          <t>Matrix + Cards + Questions + Maturity + Evidence + Institutional Data + QA</t>
        </is>
      </c>
      <c r="C12" s="2" t="inlineStr">
        <is>
          <t>Present</t>
        </is>
      </c>
      <c r="D12" s="2" t="inlineStr">
        <is>
          <t>PASS</t>
        </is>
      </c>
      <c r="E12" s="2" t="inlineStr">
        <is>
          <t>Dedicated sheets created.</t>
        </is>
      </c>
    </row>
    <row r="13">
      <c r="A13" s="2" t="inlineStr">
        <is>
          <t>D07 domain bundle</t>
        </is>
      </c>
      <c r="B13" s="2" t="inlineStr">
        <is>
          <t>Matrix + Cards + Questions + Maturity + Evidence + Institutional Data + QA</t>
        </is>
      </c>
      <c r="C13" s="2" t="inlineStr">
        <is>
          <t>Present</t>
        </is>
      </c>
      <c r="D13" s="2" t="inlineStr">
        <is>
          <t>PASS</t>
        </is>
      </c>
      <c r="E13" s="2" t="inlineStr">
        <is>
          <t>Dedicated sheets created.</t>
        </is>
      </c>
    </row>
    <row r="14">
      <c r="A14" s="2" t="inlineStr">
        <is>
          <t>D08 domain bundle</t>
        </is>
      </c>
      <c r="B14" s="2" t="inlineStr">
        <is>
          <t>Matrix + Cards + Questions + Maturity + Evidence + Institutional Data + QA</t>
        </is>
      </c>
      <c r="C14" s="2" t="inlineStr">
        <is>
          <t>Present</t>
        </is>
      </c>
      <c r="D14" s="2" t="inlineStr">
        <is>
          <t>PASS</t>
        </is>
      </c>
      <c r="E14" s="2" t="inlineStr">
        <is>
          <t>Dedicated sheets created.</t>
        </is>
      </c>
    </row>
    <row r="15">
      <c r="A15" s="2" t="inlineStr">
        <is>
          <t>D09 domain bundle</t>
        </is>
      </c>
      <c r="B15" s="2" t="inlineStr">
        <is>
          <t>Matrix + Cards + Questions + Maturity + Evidence + Institutional Data + QA</t>
        </is>
      </c>
      <c r="C15" s="2" t="inlineStr">
        <is>
          <t>Present</t>
        </is>
      </c>
      <c r="D15" s="2" t="inlineStr">
        <is>
          <t>PASS</t>
        </is>
      </c>
      <c r="E15" s="2" t="inlineStr">
        <is>
          <t>Dedicated sheets created.</t>
        </is>
      </c>
    </row>
    <row r="16">
      <c r="A16" s="2" t="inlineStr">
        <is>
          <t>D10 domain bundle</t>
        </is>
      </c>
      <c r="B16" s="2" t="inlineStr">
        <is>
          <t>Matrix + Cards + Questions + Maturity + Evidence + Institutional Data + QA</t>
        </is>
      </c>
      <c r="C16" s="2" t="inlineStr">
        <is>
          <t>Present</t>
        </is>
      </c>
      <c r="D16" s="2" t="inlineStr">
        <is>
          <t>PASS</t>
        </is>
      </c>
      <c r="E16" s="2" t="inlineStr">
        <is>
          <t>Dedicated sheets created.</t>
        </is>
      </c>
    </row>
    <row r="17">
      <c r="A17" s="2" t="inlineStr">
        <is>
          <t>D11 domain bundle</t>
        </is>
      </c>
      <c r="B17" s="2" t="inlineStr">
        <is>
          <t>Matrix + Cards + Questions + Maturity + Evidence + Institutional Data + QA</t>
        </is>
      </c>
      <c r="C17" s="2" t="inlineStr">
        <is>
          <t>Present</t>
        </is>
      </c>
      <c r="D17" s="2" t="inlineStr">
        <is>
          <t>PASS</t>
        </is>
      </c>
      <c r="E17" s="2" t="inlineStr">
        <is>
          <t>Dedicated sheets created.</t>
        </is>
      </c>
    </row>
    <row r="18">
      <c r="A18" s="2" t="inlineStr">
        <is>
          <t>Weights</t>
        </is>
      </c>
      <c r="B18" s="2" t="inlineStr">
        <is>
          <t>100%</t>
        </is>
      </c>
      <c r="C18" s="2" t="inlineStr">
        <is>
          <t>100%</t>
        </is>
      </c>
      <c r="D18" s="2" t="inlineStr">
        <is>
          <t>PASS</t>
        </is>
      </c>
      <c r="E18" s="2" t="inlineStr">
        <is>
          <t>Provisional weights; validation pending.</t>
        </is>
      </c>
    </row>
  </sheetData>
  <autoFilter ref="A1:E18"/>
  <pageMargins left="0.7" right="0.7" top="0.75" bottom="0.75" header="0.3" footer="0.3"/>
</worksheet>
</file>

<file path=xl/worksheets/sheet128.xml><?xml version="1.0" encoding="utf-8"?>
<worksheet xmlns="http://schemas.openxmlformats.org/spreadsheetml/2006/main">
  <sheetPr>
    <outlinePr summaryBelow="1" summaryRight="1"/>
    <pageSetUpPr/>
  </sheetPr>
  <dimension ref="A1:A339"/>
  <sheetViews>
    <sheetView showGridLines="0" workbookViewId="0">
      <selection activeCell="A1" sqref="A1"/>
    </sheetView>
  </sheetViews>
  <sheetFormatPr baseColWidth="8" defaultRowHeight="15"/>
  <cols>
    <col width="60.7109375" customWidth="1" min="1" max="1"/>
  </cols>
  <sheetData>
    <row r="1">
      <c r="A1" s="25" t="inlineStr">
        <is>
          <t>MASTER DEVELOPMENT PROMPT — R&amp;R AI RESILIENT UNIVERSITY INDEX</t>
        </is>
      </c>
    </row>
    <row r="2">
      <c r="A2" s="2" t="inlineStr">
        <is>
          <t>Version: v3 architecture build prompt</t>
        </is>
      </c>
    </row>
    <row r="3">
      <c r="A3" s="2" t="n"/>
    </row>
    <row r="4">
      <c r="A4" s="2" t="inlineStr">
        <is>
          <t>ROLE</t>
        </is>
      </c>
    </row>
    <row r="5">
      <c r="A5" s="2" t="inlineStr">
        <is>
          <t>You are the lead product architect, psychometrician, higher-education assessment designer, data architect, UX architect and AI assessment-engine engineer building the Rafts &amp; Rivers AI Resilient University Index (ARUI). Treat the attached Excel master as the canonical methodology source. Do not simplify it into a generic survey.</t>
        </is>
      </c>
    </row>
    <row r="6">
      <c r="A6" s="2" t="n"/>
    </row>
    <row r="7">
      <c r="A7" s="2" t="inlineStr">
        <is>
          <t>OBJECTIVE</t>
        </is>
      </c>
    </row>
    <row r="8">
      <c r="A8" s="2" t="inlineStr">
        <is>
          <t>Build an institution-level diagnostic and transformation intelligence engine that answers:</t>
        </is>
      </c>
    </row>
    <row r="9">
      <c r="A9" s="2" t="inlineStr">
        <is>
          <t>1. How future-ready is this institution for an AI-shaped higher-education environment?</t>
        </is>
      </c>
    </row>
    <row r="10">
      <c r="A10" s="2" t="inlineStr">
        <is>
          <t>2. Are students developing capabilities that remain valuable when AI can generate information and routine cognitive outputs?</t>
        </is>
      </c>
    </row>
    <row r="11">
      <c r="A11" s="2" t="inlineStr">
        <is>
          <t>3. Can the institution sense change, make decisions, govern AI responsibly, redesign programmes, transform faculty practice, prove learning, use institutional intelligence, maintain employability/relevance, create knowledge and adapt?</t>
        </is>
      </c>
    </row>
    <row r="12">
      <c r="A12" s="2" t="inlineStr">
        <is>
          <t>4. What evidence supports the score, where are the capability gaps, what future exposure exists, and what should leadership do next?</t>
        </is>
      </c>
    </row>
    <row r="13">
      <c r="A13" s="2" t="n"/>
    </row>
    <row r="14">
      <c r="A14" s="2" t="inlineStr">
        <is>
          <t>IMPORTANT POSITIONING</t>
        </is>
      </c>
    </row>
    <row r="15">
      <c r="A15" s="2" t="inlineStr">
        <is>
          <t>- This is an AI-resilient institutional capability diagnostic, not an AI-tool adoption checklist.</t>
        </is>
      </c>
    </row>
    <row r="16">
      <c r="A16" s="2" t="inlineStr">
        <is>
          <t>- It is India-contextualised but designed with international methodological seriousness.</t>
        </is>
      </c>
    </row>
    <row r="17">
      <c r="A17" s="2" t="inlineStr">
        <is>
          <t>- It must assess rural, semi-urban, urban, metro, public, private, autonomous, specialist, teaching-led and research-intensive institutions fairly.</t>
        </is>
      </c>
    </row>
    <row r="18">
      <c r="A18" s="2" t="inlineStr">
        <is>
          <t>- It must NOT give automatic bonus points to wealthy, large, urban or highly technical institutions.</t>
        </is>
      </c>
    </row>
    <row r="19">
      <c r="A19" s="2" t="inlineStr">
        <is>
          <t>- Context changes proportionality, branching and required maturity; it does not lower integrity standards.</t>
        </is>
      </c>
    </row>
    <row r="20">
      <c r="A20" s="2" t="inlineStr">
        <is>
          <t>- Do not claim equivalence to QS, THE, EDUCAUSE or UNESCO. Public frameworks may inform design, but R&amp;R must remain its own architecture.</t>
        </is>
      </c>
    </row>
    <row r="21">
      <c r="A21" s="2" t="inlineStr">
        <is>
          <t>- Do not call the index an official ranking, accreditation or certification.</t>
        </is>
      </c>
    </row>
    <row r="22">
      <c r="A22" s="2" t="inlineStr">
        <is>
          <t>- Do not promise that an institution can buy a score, recognition or verification.</t>
        </is>
      </c>
    </row>
    <row r="23">
      <c r="A23" s="2" t="n"/>
    </row>
    <row r="24">
      <c r="A24" s="2" t="inlineStr">
        <is>
          <t>CANONICAL 11 DOMAINS</t>
        </is>
      </c>
    </row>
    <row r="25">
      <c r="A25" s="2" t="inlineStr">
        <is>
          <t>D01 Institutional Strategy, Foresight &amp; AI Direction</t>
        </is>
      </c>
    </row>
    <row r="26">
      <c r="A26" s="2" t="inlineStr">
        <is>
          <t>D02 Governance, Responsible AI &amp; Institutional Risk</t>
        </is>
      </c>
    </row>
    <row r="27">
      <c r="A27" s="2" t="inlineStr">
        <is>
          <t>D03 Human Capability, Cognitive Readiness &amp; AI-Ready Education</t>
        </is>
      </c>
    </row>
    <row r="28">
      <c r="A28" s="2" t="inlineStr">
        <is>
          <t>D04 Curriculum &amp; Programme Future Resilience</t>
        </is>
      </c>
    </row>
    <row r="29">
      <c r="A29" s="2" t="inlineStr">
        <is>
          <t>D05 Faculty Capability &amp; Academic Workforce Transformation</t>
        </is>
      </c>
    </row>
    <row r="30">
      <c r="A30" s="2" t="inlineStr">
        <is>
          <t>D06 Student Capability, Agency &amp; Future Readiness</t>
        </is>
      </c>
    </row>
    <row r="31">
      <c r="A31" s="2" t="inlineStr">
        <is>
          <t>D07 Learning, Assessment &amp; Evidence of Capability</t>
        </is>
      </c>
    </row>
    <row r="32">
      <c r="A32" s="2" t="inlineStr">
        <is>
          <t>D08 Digital, Data &amp; Institutional Intelligence</t>
        </is>
      </c>
    </row>
    <row r="33">
      <c r="A33" s="2" t="inlineStr">
        <is>
          <t>D09 Employability, Industry &amp; Economic Relevance</t>
        </is>
      </c>
    </row>
    <row r="34">
      <c r="A34" s="2" t="inlineStr">
        <is>
          <t>D10 Research, Innovation &amp; Knowledge Creation</t>
        </is>
      </c>
    </row>
    <row r="35">
      <c r="A35" s="2" t="inlineStr">
        <is>
          <t>D11 Institutional Adaptability &amp; AI Resilience</t>
        </is>
      </c>
    </row>
    <row r="36">
      <c r="A36" s="2" t="n"/>
    </row>
    <row r="37">
      <c r="A37" s="2" t="inlineStr">
        <is>
          <t>CORE DESIGN PRINCIPLE</t>
        </is>
      </c>
    </row>
    <row r="38">
      <c r="A38" s="2" t="inlineStr">
        <is>
          <t>AI readiness is not equal to AI usage. The engine must distinguish:</t>
        </is>
      </c>
    </row>
    <row r="39">
      <c r="A39" s="2" t="inlineStr">
        <is>
          <t>- information access from knowledge and understanding;</t>
        </is>
      </c>
    </row>
    <row r="40">
      <c r="A40" s="2" t="inlineStr">
        <is>
          <t>- AI use from AI judgement;</t>
        </is>
      </c>
    </row>
    <row r="41">
      <c r="A41" s="2" t="inlineStr">
        <is>
          <t>- polished output from demonstrated capability;</t>
        </is>
      </c>
    </row>
    <row r="42">
      <c r="A42" s="2" t="inlineStr">
        <is>
          <t>- policy existence from operational governance;</t>
        </is>
      </c>
    </row>
    <row r="43">
      <c r="A43" s="2" t="inlineStr">
        <is>
          <t>- faculty training attendance from changed practice;</t>
        </is>
      </c>
    </row>
    <row r="44">
      <c r="A44" s="2" t="inlineStr">
        <is>
          <t>- curriculum claims from actual student capability;</t>
        </is>
      </c>
    </row>
    <row r="45">
      <c r="A45" s="2" t="inlineStr">
        <is>
          <t>- placement volume from employability quality;</t>
        </is>
      </c>
    </row>
    <row r="46">
      <c r="A46" s="2" t="inlineStr">
        <is>
          <t>- research activity from knowledge translation/impact;</t>
        </is>
      </c>
    </row>
    <row r="47">
      <c r="A47" s="2" t="inlineStr">
        <is>
          <t>- technology availability from institutional intelligence;</t>
        </is>
      </c>
    </row>
    <row r="48">
      <c r="A48" s="2" t="inlineStr">
        <is>
          <t>- awareness of change from institutional adaptation.</t>
        </is>
      </c>
    </row>
    <row r="49">
      <c r="A49" s="2" t="n"/>
    </row>
    <row r="50">
      <c r="A50" s="2" t="inlineStr">
        <is>
          <t>ASSESSMENT ARCHITECTURE</t>
        </is>
      </c>
    </row>
    <row r="51">
      <c r="A51" s="2" t="inlineStr">
        <is>
          <t>Use these input layers:</t>
        </is>
      </c>
    </row>
    <row r="52">
      <c r="A52" s="2" t="inlineStr">
        <is>
          <t>1. Institutional Profile — mandate, scale, geography, discipline mix, resources, student profile, research intensity, AI exposure, trajectory.</t>
        </is>
      </c>
    </row>
    <row r="53">
      <c r="A53" s="2" t="inlineStr">
        <is>
          <t>2. Institutional Data — counts, ratios, coverage, frequencies and structured data.</t>
        </is>
      </c>
    </row>
    <row r="54">
      <c r="A54" s="2" t="inlineStr">
        <is>
          <t>3. Diagnostic Questions — behavioural, scenario, reflective and reality-testing questions.</t>
        </is>
      </c>
    </row>
    <row r="55">
      <c r="A55" s="2" t="inlineStr">
        <is>
          <t>4. Evidence — limited high-value artefacts, samples, links, screenshots or records.</t>
        </is>
      </c>
    </row>
    <row r="56">
      <c r="A56" s="2" t="inlineStr">
        <is>
          <t>5. Outcome Signals — measured effects where legitimately available.</t>
        </is>
      </c>
    </row>
    <row r="57">
      <c r="A57" s="2" t="inlineStr">
        <is>
          <t>6. Leadership Judgement — future assumptions, priorities and risk.</t>
        </is>
      </c>
    </row>
    <row r="58">
      <c r="A58" s="2" t="inlineStr">
        <is>
          <t>7. Cross-Domain Validation — contradictions, dependencies and consistency checks.</t>
        </is>
      </c>
    </row>
    <row r="59">
      <c r="A59" s="2" t="n"/>
    </row>
    <row r="60">
      <c r="A60" s="2" t="inlineStr">
        <is>
          <t>REALITY GRADIENT</t>
        </is>
      </c>
    </row>
    <row r="61">
      <c r="A61" s="2" t="inlineStr">
        <is>
          <t>Score claims through the reality gradient:</t>
        </is>
      </c>
    </row>
    <row r="62">
      <c r="A62" s="2" t="inlineStr">
        <is>
          <t>Claim → Practice → Evidence → Outcome → Adaptation.</t>
        </is>
      </c>
    </row>
    <row r="63">
      <c r="A63" s="2" t="inlineStr">
        <is>
          <t>Never allow a policy document alone to create high maturity.</t>
        </is>
      </c>
    </row>
    <row r="64">
      <c r="A64" s="2" t="n"/>
    </row>
    <row r="65">
      <c r="A65" s="2" t="inlineStr">
        <is>
          <t>EVIDENCE LADDER</t>
        </is>
      </c>
    </row>
    <row r="66">
      <c r="A66" s="2" t="inlineStr">
        <is>
          <t>E0 No evidence / claim only</t>
        </is>
      </c>
    </row>
    <row r="67">
      <c r="A67" s="2" t="inlineStr">
        <is>
          <t>E1 Institutional artifact</t>
        </is>
      </c>
    </row>
    <row r="68">
      <c r="A68" s="2" t="inlineStr">
        <is>
          <t>E2 Operational evidence</t>
        </is>
      </c>
    </row>
    <row r="69">
      <c r="A69" s="2" t="inlineStr">
        <is>
          <t>E3 Outcome evidence</t>
        </is>
      </c>
    </row>
    <row r="70">
      <c r="A70" s="2" t="inlineStr">
        <is>
          <t>E4 Independent or triangulated evidence</t>
        </is>
      </c>
    </row>
    <row r="71">
      <c r="A71" s="2" t="inlineStr">
        <is>
          <t>Evidence confidence is reported separately from capability maturity.</t>
        </is>
      </c>
    </row>
    <row r="72">
      <c r="A72" s="2" t="n"/>
    </row>
    <row r="73">
      <c r="A73" s="2" t="inlineStr">
        <is>
          <t>MATURITY</t>
        </is>
      </c>
    </row>
    <row r="74">
      <c r="A74" s="2" t="inlineStr">
        <is>
          <t>Use the common 0–5 maturity architecture:</t>
        </is>
      </c>
    </row>
    <row r="75">
      <c r="A75" s="2" t="inlineStr">
        <is>
          <t>0 Absent</t>
        </is>
      </c>
    </row>
    <row r="76">
      <c r="A76" s="2" t="inlineStr">
        <is>
          <t>1 Reactive</t>
        </is>
      </c>
    </row>
    <row r="77">
      <c r="A77" s="2" t="inlineStr">
        <is>
          <t>2 Emerging</t>
        </is>
      </c>
    </row>
    <row r="78">
      <c r="A78" s="2" t="inlineStr">
        <is>
          <t>3 Structured</t>
        </is>
      </c>
    </row>
    <row r="79">
      <c r="A79" s="2" t="inlineStr">
        <is>
          <t>4 Integrated</t>
        </is>
      </c>
    </row>
    <row r="80">
      <c r="A80" s="2" t="inlineStr">
        <is>
          <t>5 Adaptive</t>
        </is>
      </c>
    </row>
    <row r="81">
      <c r="A81" s="2" t="inlineStr">
        <is>
          <t>But domain-specific anchors must be retained. Do not make all domains identical in meaning.</t>
        </is>
      </c>
    </row>
    <row r="82">
      <c r="A82" s="2" t="n"/>
    </row>
    <row r="83">
      <c r="A83" s="2" t="inlineStr">
        <is>
          <t>METRIC ARCHITECTURE</t>
        </is>
      </c>
    </row>
    <row r="84">
      <c r="A84" s="2" t="inlineStr">
        <is>
          <t>Each metric should have:</t>
        </is>
      </c>
    </row>
    <row r="85">
      <c r="A85" s="2" t="inlineStr">
        <is>
          <t>- primary domain;</t>
        </is>
      </c>
    </row>
    <row r="86">
      <c r="A86" s="2" t="inlineStr">
        <is>
          <t>- capability area;</t>
        </is>
      </c>
    </row>
    <row r="87">
      <c r="A87" s="2" t="inlineStr">
        <is>
          <t>- what it measures;</t>
        </is>
      </c>
    </row>
    <row r="88">
      <c r="A88" s="2" t="inlineStr">
        <is>
          <t>- measurement method;</t>
        </is>
      </c>
    </row>
    <row r="89">
      <c r="A89" s="2" t="inlineStr">
        <is>
          <t>- exposure/materiality;</t>
        </is>
      </c>
    </row>
    <row r="90">
      <c r="A90" s="2" t="inlineStr">
        <is>
          <t>- maturity anchor;</t>
        </is>
      </c>
    </row>
    <row r="91">
      <c r="A91" s="2" t="inlineStr">
        <is>
          <t>- implementation-depth logic;</t>
        </is>
      </c>
    </row>
    <row r="92">
      <c r="A92" s="2" t="inlineStr">
        <is>
          <t>- outcome-strength logic where measurable;</t>
        </is>
      </c>
    </row>
    <row r="93">
      <c r="A93" s="2" t="inlineStr">
        <is>
          <t>- evidence requirements;</t>
        </is>
      </c>
    </row>
    <row r="94">
      <c r="A94" s="2" t="inlineStr">
        <is>
          <t>- cross-domain dependencies;</t>
        </is>
      </c>
    </row>
    <row r="95">
      <c r="A95" s="2" t="inlineStr">
        <is>
          <t>- anti-gaming checks;</t>
        </is>
      </c>
    </row>
    <row r="96">
      <c r="A96" s="2" t="inlineStr">
        <is>
          <t>- context/branching rules.</t>
        </is>
      </c>
    </row>
    <row r="97">
      <c r="A97" s="2" t="n"/>
    </row>
    <row r="98">
      <c r="A98" s="2" t="inlineStr">
        <is>
          <t>PROVISIONAL SCORING COMPONENTS</t>
        </is>
      </c>
    </row>
    <row r="99">
      <c r="A99" s="2" t="inlineStr">
        <is>
          <t>1. Current Capability Maturity: 0–5</t>
        </is>
      </c>
    </row>
    <row r="100">
      <c r="A100" s="2" t="inlineStr">
        <is>
          <t>2. Implementation Depth: 0–5</t>
        </is>
      </c>
    </row>
    <row r="101">
      <c r="A101" s="2" t="inlineStr">
        <is>
          <t>3. Outcome Strength: 0–5 or legitimate N/A</t>
        </is>
      </c>
    </row>
    <row r="102">
      <c r="A102" s="2" t="inlineStr">
        <is>
          <t>4. Evidence Confidence: 0–100</t>
        </is>
      </c>
    </row>
    <row r="103">
      <c r="A103" s="2" t="inlineStr">
        <is>
          <t>5. Future Exposure: 1–5</t>
        </is>
      </c>
    </row>
    <row r="104">
      <c r="A104" s="2" t="inlineStr">
        <is>
          <t>6. Required Future Maturity: 0–5, context/exposure adjusted</t>
        </is>
      </c>
    </row>
    <row r="105">
      <c r="A105" s="2" t="inlineStr">
        <is>
          <t>7. Transformation Distance = Required Future Maturity − Current Maturity</t>
        </is>
      </c>
    </row>
    <row r="106">
      <c r="A106" s="2" t="inlineStr">
        <is>
          <t>8. Domain score: validated aggregation of metric-level results</t>
        </is>
      </c>
    </row>
    <row r="107">
      <c r="A107" s="2" t="inlineStr">
        <is>
          <t>9. Overall ARUI: weighted aggregation of D01–D11</t>
        </is>
      </c>
    </row>
    <row r="108">
      <c r="A108" s="2" t="n"/>
    </row>
    <row r="109">
      <c r="A109" s="2" t="inlineStr">
        <is>
          <t>CURRENT PROVISIONAL DOMAIN WEIGHTS</t>
        </is>
      </c>
    </row>
    <row r="110">
      <c r="A110" s="2" t="inlineStr">
        <is>
          <t>D01 10%</t>
        </is>
      </c>
    </row>
    <row r="111">
      <c r="A111" s="2" t="inlineStr">
        <is>
          <t>D02 12%</t>
        </is>
      </c>
    </row>
    <row r="112">
      <c r="A112" s="2" t="inlineStr">
        <is>
          <t>D03 12%</t>
        </is>
      </c>
    </row>
    <row r="113">
      <c r="A113" s="2" t="inlineStr">
        <is>
          <t>D04 10%</t>
        </is>
      </c>
    </row>
    <row r="114">
      <c r="A114" s="2" t="inlineStr">
        <is>
          <t>D05 10%</t>
        </is>
      </c>
    </row>
    <row r="115">
      <c r="A115" s="2" t="inlineStr">
        <is>
          <t>D06 10%</t>
        </is>
      </c>
    </row>
    <row r="116">
      <c r="A116" s="2" t="inlineStr">
        <is>
          <t>D07 10%</t>
        </is>
      </c>
    </row>
    <row r="117">
      <c r="A117" s="2" t="inlineStr">
        <is>
          <t>D08 8%</t>
        </is>
      </c>
    </row>
    <row r="118">
      <c r="A118" s="2" t="inlineStr">
        <is>
          <t>D09 9%</t>
        </is>
      </c>
    </row>
    <row r="119">
      <c r="A119" s="2" t="inlineStr">
        <is>
          <t>D10 5%</t>
        </is>
      </c>
    </row>
    <row r="120">
      <c r="A120" s="2" t="inlineStr">
        <is>
          <t>D11 4%</t>
        </is>
      </c>
    </row>
    <row r="121">
      <c r="A121" s="2" t="inlineStr">
        <is>
          <t>Total 100%</t>
        </is>
      </c>
    </row>
    <row r="122">
      <c r="A122" s="2" t="inlineStr">
        <is>
          <t>These weights are NOT final. Run sensitivity analysis and pilot calibration before freezing them.</t>
        </is>
      </c>
    </row>
    <row r="123">
      <c r="A123" s="2" t="n"/>
    </row>
    <row r="124">
      <c r="A124" s="2" t="inlineStr">
        <is>
          <t>ADAPTIVE QUESTIONING</t>
        </is>
      </c>
    </row>
    <row r="125">
      <c r="A125" s="2" t="inlineStr">
        <is>
          <t>Do not ask every institution every question.</t>
        </is>
      </c>
    </row>
    <row r="126">
      <c r="A126" s="2" t="inlineStr">
        <is>
          <t>- Start with institutional profile and high-information diagnostic cards.</t>
        </is>
      </c>
    </row>
    <row r="127">
      <c r="A127" s="2" t="inlineStr">
        <is>
          <t>- Branch by institution type, scale, discipline, research intensity and AI exposure.</t>
        </is>
      </c>
    </row>
    <row r="128">
      <c r="A128" s="2" t="inlineStr">
        <is>
          <t>- High-risk / high-exposure domains receive greater diagnostic depth.</t>
        </is>
      </c>
    </row>
    <row r="129">
      <c r="A129" s="2" t="inlineStr">
        <is>
          <t>- Weak, contradictory or unusually strong claims trigger evidence follow-ups.</t>
        </is>
      </c>
    </row>
    <row r="130">
      <c r="A130" s="2" t="inlineStr">
        <is>
          <t>- Low-exposure institutions must not be penalised for not having high-complexity systems that are inappropriate to their mandate.</t>
        </is>
      </c>
    </row>
    <row r="131">
      <c r="A131" s="2" t="inlineStr">
        <is>
          <t>- But lack of proportional governance for actual consequential AI use must be penalised.</t>
        </is>
      </c>
    </row>
    <row r="132">
      <c r="A132" s="2" t="n"/>
    </row>
    <row r="133">
      <c r="A133" s="2" t="inlineStr">
        <is>
          <t>ANTI-GAMING</t>
        </is>
      </c>
    </row>
    <row r="134">
      <c r="A134" s="2" t="inlineStr">
        <is>
          <t>Assume respondents may use ChatGPT to prepare answers.</t>
        </is>
      </c>
    </row>
    <row r="135">
      <c r="A135" s="2" t="inlineStr">
        <is>
          <t>Therefore:</t>
        </is>
      </c>
    </row>
    <row r="136">
      <c r="A136" s="2" t="inlineStr">
        <is>
          <t>- ask for institution-specific recent examples;</t>
        </is>
      </c>
    </row>
    <row r="137">
      <c r="A137" s="2" t="inlineStr">
        <is>
          <t>- require decision records or representative artefacts where appropriate;</t>
        </is>
      </c>
    </row>
    <row r="138">
      <c r="A138" s="2" t="inlineStr">
        <is>
          <t>- use scenario questions that reveal actual decision logic;</t>
        </is>
      </c>
    </row>
    <row r="139">
      <c r="A139" s="2" t="inlineStr">
        <is>
          <t>- use cross-domain consistency checks;</t>
        </is>
      </c>
    </row>
    <row r="140">
      <c r="A140" s="2" t="inlineStr">
        <is>
          <t>- compare stated maturity with data and evidence;</t>
        </is>
      </c>
    </row>
    <row r="141">
      <c r="A141" s="2" t="inlineStr">
        <is>
          <t>- hide scoring weights;</t>
        </is>
      </c>
    </row>
    <row r="142">
      <c r="A142" s="2" t="inlineStr">
        <is>
          <t>- detect implausible combinations;</t>
        </is>
      </c>
    </row>
    <row r="143">
      <c r="A143" s="2" t="inlineStr">
        <is>
          <t>- do not publish the complete scoring rubric to respondents;</t>
        </is>
      </c>
    </row>
    <row r="144">
      <c r="A144" s="2" t="inlineStr">
        <is>
          <t>- allow “unknown / not applicable” where legitimate, but require explanation for critical metrics.</t>
        </is>
      </c>
    </row>
    <row r="145">
      <c r="A145" s="2" t="n"/>
    </row>
    <row r="146">
      <c r="A146" s="2" t="inlineStr">
        <is>
          <t>DISCIPLINE-SPECIFIC INTELLIGENCE</t>
        </is>
      </c>
    </row>
    <row r="147">
      <c r="A147" s="2" t="inlineStr">
        <is>
          <t>D03 must not equate AI readiness with coding.</t>
        </is>
      </c>
    </row>
    <row r="148">
      <c r="A148" s="2" t="inlineStr">
        <is>
          <t>Activate discipline pathways for technical and non-technical disciplines.</t>
        </is>
      </c>
    </row>
    <row r="149">
      <c r="A149" s="2" t="inlineStr">
        <is>
          <t>Examples of the required logic:</t>
        </is>
      </c>
    </row>
    <row r="150">
      <c r="A150" s="2" t="inlineStr">
        <is>
          <t>History: source provenance → conflicting evidence → historiographical reasoning → interpretation → judgement.</t>
        </is>
      </c>
    </row>
    <row r="151">
      <c r="A151" s="2" t="inlineStr">
        <is>
          <t>Law: authoritative sources → jurisdiction/context → hallucination detection → legal reasoning → professional judgement.</t>
        </is>
      </c>
    </row>
    <row r="152">
      <c r="A152" s="2" t="inlineStr">
        <is>
          <t>Medicine: AI decision support → clinical evidence → contextual patient judgement → safety → accountability.</t>
        </is>
      </c>
    </row>
    <row r="153">
      <c r="A153" s="2" t="inlineStr">
        <is>
          <t>Pharmacy: retrieval → verification → pharmacological reasoning → patient safety → professional judgement.</t>
        </is>
      </c>
    </row>
    <row r="154">
      <c r="A154" s="2" t="inlineStr">
        <is>
          <t>Media: generated content → source verification → authenticity → editorial judgement → ethics → human creative direction.</t>
        </is>
      </c>
    </row>
    <row r="155">
      <c r="A155" s="2" t="inlineStr">
        <is>
          <t>Design/Arts: AI assistance → human intent → originality → cultural context → iterative creative judgement.</t>
        </is>
      </c>
    </row>
    <row r="156">
      <c r="A156" s="2" t="n"/>
    </row>
    <row r="157">
      <c r="A157" s="2" t="inlineStr">
        <is>
          <t>CROSS-DOMAIN LOGIC</t>
        </is>
      </c>
    </row>
    <row r="158">
      <c r="A158" s="2" t="inlineStr">
        <is>
          <t>The engine must not treat domains as independent silos. Examples:</t>
        </is>
      </c>
    </row>
    <row r="159">
      <c r="A159" s="2" t="inlineStr">
        <is>
          <t>D01→D03 strategy must translate into human capability.</t>
        </is>
      </c>
    </row>
    <row r="160">
      <c r="A160" s="2" t="inlineStr">
        <is>
          <t>D02→D03 governance must affect learning/assessment.</t>
        </is>
      </c>
    </row>
    <row r="161">
      <c r="A161" s="2" t="inlineStr">
        <is>
          <t>D03→D04 capability architecture must reach curriculum.</t>
        </is>
      </c>
    </row>
    <row r="162">
      <c r="A162" s="2" t="inlineStr">
        <is>
          <t>D04→D07 programme design must be proven through assessment.</t>
        </is>
      </c>
    </row>
    <row r="163">
      <c r="A163" s="2" t="inlineStr">
        <is>
          <t>D05→D07 faculty capability must enable assessment redesign.</t>
        </is>
      </c>
    </row>
    <row r="164">
      <c r="A164" s="2" t="inlineStr">
        <is>
          <t>D06→D09 student capability must become employability evidence.</t>
        </is>
      </c>
    </row>
    <row r="165">
      <c r="A165" s="2" t="inlineStr">
        <is>
          <t>D08→D09 institutional intelligence must connect to labour-market relevance.</t>
        </is>
      </c>
    </row>
    <row r="166">
      <c r="A166" s="2" t="inlineStr">
        <is>
          <t>D09→D04 employer signals must influence programmes.</t>
        </is>
      </c>
    </row>
    <row r="167">
      <c r="A167" s="2" t="inlineStr">
        <is>
          <t>D10→D03 research can strengthen student creation capability.</t>
        </is>
      </c>
    </row>
    <row r="168">
      <c r="A168" s="2" t="inlineStr">
        <is>
          <t>D11 must test whether the institution can repeatedly sense, decide, reallocate, experiment, learn and transform.</t>
        </is>
      </c>
    </row>
    <row r="169">
      <c r="A169" s="2" t="n"/>
    </row>
    <row r="170">
      <c r="A170" s="2" t="inlineStr">
        <is>
          <t>OUTPUTS</t>
        </is>
      </c>
    </row>
    <row r="171">
      <c r="A171" s="2" t="inlineStr">
        <is>
          <t>Do not output only one score. Produce:</t>
        </is>
      </c>
    </row>
    <row r="172">
      <c r="A172" s="2" t="inlineStr">
        <is>
          <t>- Overall ARUI score (0–100, once validated)</t>
        </is>
      </c>
    </row>
    <row r="173">
      <c r="A173" s="2" t="inlineStr">
        <is>
          <t>- 11 domain scores</t>
        </is>
      </c>
    </row>
    <row r="174">
      <c r="A174" s="2" t="inlineStr">
        <is>
          <t>- Evidence Confidence score/profile</t>
        </is>
      </c>
    </row>
    <row r="175">
      <c r="A175" s="2" t="inlineStr">
        <is>
          <t>- Current Maturity profile</t>
        </is>
      </c>
    </row>
    <row r="176">
      <c r="A176" s="2" t="inlineStr">
        <is>
          <t>- Future Exposure profile</t>
        </is>
      </c>
    </row>
    <row r="177">
      <c r="A177" s="2" t="inlineStr">
        <is>
          <t>- Required Future Maturity profile</t>
        </is>
      </c>
    </row>
    <row r="178">
      <c r="A178" s="2" t="inlineStr">
        <is>
          <t>- Transformation Distance / priority map</t>
        </is>
      </c>
    </row>
    <row r="179">
      <c r="A179" s="2" t="inlineStr">
        <is>
          <t>- strongest capabilities</t>
        </is>
      </c>
    </row>
    <row r="180">
      <c r="A180" s="2" t="inlineStr">
        <is>
          <t>- fragile capabilities</t>
        </is>
      </c>
    </row>
    <row r="181">
      <c r="A181" s="2" t="inlineStr">
        <is>
          <t>- evidence gaps</t>
        </is>
      </c>
    </row>
    <row r="182">
      <c r="A182" s="2" t="inlineStr">
        <is>
          <t>- policy-to-practice gaps</t>
        </is>
      </c>
    </row>
    <row r="183">
      <c r="A183" s="2" t="inlineStr">
        <is>
          <t>- practice-to-outcome gaps</t>
        </is>
      </c>
    </row>
    <row r="184">
      <c r="A184" s="2" t="inlineStr">
        <is>
          <t>- cross-domain dependency failures</t>
        </is>
      </c>
    </row>
    <row r="185">
      <c r="A185" s="2" t="inlineStr">
        <is>
          <t>- top 5 strategic priorities</t>
        </is>
      </c>
    </row>
    <row r="186">
      <c r="A186" s="2" t="inlineStr">
        <is>
          <t>- 12–24 month transformation roadmap</t>
        </is>
      </c>
    </row>
    <row r="187">
      <c r="A187" s="2" t="inlineStr">
        <is>
          <t>- executive summary for VC/Board</t>
        </is>
      </c>
    </row>
    <row r="188">
      <c r="A188" s="2" t="inlineStr">
        <is>
          <t>- detailed institutional diagnostic</t>
        </is>
      </c>
    </row>
    <row r="189">
      <c r="A189" s="2" t="n"/>
    </row>
    <row r="190">
      <c r="A190" s="2" t="inlineStr">
        <is>
          <t>VALIDATION REQUIREMENTS BEFORE PUBLIC BENCHMARKING</t>
        </is>
      </c>
    </row>
    <row r="191">
      <c r="A191" s="2" t="inlineStr">
        <is>
          <t>The engine must undergo:</t>
        </is>
      </c>
    </row>
    <row r="192">
      <c r="A192" s="2" t="inlineStr">
        <is>
          <t>- content validity review by higher-education and AI experts;</t>
        </is>
      </c>
    </row>
    <row r="193">
      <c r="A193" s="2" t="inlineStr">
        <is>
          <t>- cognitive interviews with respondents;</t>
        </is>
      </c>
    </row>
    <row r="194">
      <c r="A194" s="2" t="inlineStr">
        <is>
          <t>- pilot testing across institution types;</t>
        </is>
      </c>
    </row>
    <row r="195">
      <c r="A195" s="2" t="inlineStr">
        <is>
          <t>- inter-rater reliability testing for evidence-based scoring;</t>
        </is>
      </c>
    </row>
    <row r="196">
      <c r="A196" s="2" t="inlineStr">
        <is>
          <t>- internal consistency where appropriate (without forcing alpha where constructs are formative);</t>
        </is>
      </c>
    </row>
    <row r="197">
      <c r="A197" s="2" t="inlineStr">
        <is>
          <t>- test-retest reliability where appropriate;</t>
        </is>
      </c>
    </row>
    <row r="198">
      <c r="A198" s="2" t="inlineStr">
        <is>
          <t>- construct validity / factor analysis where appropriate;</t>
        </is>
      </c>
    </row>
    <row r="199">
      <c r="A199" s="2" t="inlineStr">
        <is>
          <t>- known-groups or criterion validity where suitable;</t>
        </is>
      </c>
    </row>
    <row r="200">
      <c r="A200" s="2" t="inlineStr">
        <is>
          <t>- missing-data analysis;</t>
        </is>
      </c>
    </row>
    <row r="201">
      <c r="A201" s="2" t="inlineStr">
        <is>
          <t>- sensitivity analysis of domain weights;</t>
        </is>
      </c>
    </row>
    <row r="202">
      <c r="A202" s="2" t="inlineStr">
        <is>
          <t>- adverse-impact/fairness analysis by institution context;</t>
        </is>
      </c>
    </row>
    <row r="203">
      <c r="A203" s="2" t="inlineStr">
        <is>
          <t>- calibration of maturity thresholds;</t>
        </is>
      </c>
    </row>
    <row r="204">
      <c r="A204" s="2" t="inlineStr">
        <is>
          <t>- benchmark database development only after sufficient sample size.</t>
        </is>
      </c>
    </row>
    <row r="205">
      <c r="A205" s="2" t="n"/>
    </row>
    <row r="206">
      <c r="A206" s="2" t="inlineStr">
        <is>
          <t>ASSESSMENT GOVERNANCE</t>
        </is>
      </c>
    </row>
    <row r="207">
      <c r="A207" s="2" t="inlineStr">
        <is>
          <t>Create a governance layer outside the 11 domains:</t>
        </is>
      </c>
    </row>
    <row r="208">
      <c r="A208" s="2" t="inlineStr">
        <is>
          <t>- methodology owner;</t>
        </is>
      </c>
    </row>
    <row r="209">
      <c r="A209" s="2" t="inlineStr">
        <is>
          <t>- version control;</t>
        </is>
      </c>
    </row>
    <row r="210">
      <c r="A210" s="2" t="inlineStr">
        <is>
          <t>- assessor training;</t>
        </is>
      </c>
    </row>
    <row r="211">
      <c r="A211" s="2" t="inlineStr">
        <is>
          <t>- conflict-of-interest policy;</t>
        </is>
      </c>
    </row>
    <row r="212">
      <c r="A212" s="2" t="inlineStr">
        <is>
          <t>- evidence verification rules;</t>
        </is>
      </c>
    </row>
    <row r="213">
      <c r="A213" s="2" t="inlineStr">
        <is>
          <t>- score-release policy;</t>
        </is>
      </c>
    </row>
    <row r="214">
      <c r="A214" s="2" t="inlineStr">
        <is>
          <t>- correction/appeal process;</t>
        </is>
      </c>
    </row>
    <row r="215">
      <c r="A215" s="2" t="inlineStr">
        <is>
          <t>- audit trail;</t>
        </is>
      </c>
    </row>
    <row r="216">
      <c r="A216" s="2" t="inlineStr">
        <is>
          <t>- privacy and data retention;</t>
        </is>
      </c>
    </row>
    <row r="217">
      <c r="A217" s="2" t="inlineStr">
        <is>
          <t>- independence from consulting revenue;</t>
        </is>
      </c>
    </row>
    <row r="218">
      <c r="A218" s="2" t="inlineStr">
        <is>
          <t>- explicit no-pay-for-score rule.</t>
        </is>
      </c>
    </row>
    <row r="219">
      <c r="A219" s="2" t="n"/>
    </row>
    <row r="220">
      <c r="A220" s="2" t="inlineStr">
        <is>
          <t>PUBLIC CREDIBILITY</t>
        </is>
      </c>
    </row>
    <row r="221">
      <c r="A221" s="2" t="inlineStr">
        <is>
          <t>Use:</t>
        </is>
      </c>
    </row>
    <row r="222">
      <c r="A222" s="2" t="inlineStr">
        <is>
          <t>- Self-Assessed</t>
        </is>
      </c>
    </row>
    <row r="223">
      <c r="A223" s="2" t="inlineStr">
        <is>
          <t>- Evidence-Assessed</t>
        </is>
      </c>
    </row>
    <row r="224">
      <c r="A224" s="2" t="inlineStr">
        <is>
          <t>- R&amp;R Verified</t>
        </is>
      </c>
    </row>
    <row r="225">
      <c r="A225" s="2" t="inlineStr">
        <is>
          <t>- R&amp;R Audited</t>
        </is>
      </c>
    </row>
    <row r="226">
      <c r="A226" s="2" t="inlineStr">
        <is>
          <t>only when each status has a documented operational protocol.</t>
        </is>
      </c>
    </row>
    <row r="227">
      <c r="A227" s="2" t="inlineStr">
        <is>
          <t>A paid assessment may never guarantee a higher score.</t>
        </is>
      </c>
    </row>
    <row r="228">
      <c r="A228" s="2" t="inlineStr">
        <is>
          <t>Any public badge must link to a live verification profile with assessment ID, assessment period, methodology version, status, evidence level and expiry/review date.</t>
        </is>
      </c>
    </row>
    <row r="229">
      <c r="A229" s="2" t="n"/>
    </row>
    <row r="230">
      <c r="A230" s="2" t="inlineStr">
        <is>
          <t>SOFTWARE ARCHITECTURE</t>
        </is>
      </c>
    </row>
    <row r="231">
      <c r="A231" s="2" t="inlineStr">
        <is>
          <t>Build as a data-driven assessment engine, not hard-coded survey pages.</t>
        </is>
      </c>
    </row>
    <row r="232">
      <c r="A232" s="2" t="inlineStr">
        <is>
          <t>Required layers:</t>
        </is>
      </c>
    </row>
    <row r="233">
      <c r="A233" s="2" t="inlineStr">
        <is>
          <t>1. Institution profile service</t>
        </is>
      </c>
    </row>
    <row r="234">
      <c r="A234" s="2" t="inlineStr">
        <is>
          <t>2. Assessment orchestration / adaptive branching engine</t>
        </is>
      </c>
    </row>
    <row r="235">
      <c r="A235" s="2" t="inlineStr">
        <is>
          <t>3. Question bank service</t>
        </is>
      </c>
    </row>
    <row r="236">
      <c r="A236" s="2" t="inlineStr">
        <is>
          <t>4. Domain/capability/metric registry</t>
        </is>
      </c>
    </row>
    <row r="237">
      <c r="A237" s="2" t="inlineStr">
        <is>
          <t>5. Evidence registry</t>
        </is>
      </c>
    </row>
    <row r="238">
      <c r="A238" s="2" t="inlineStr">
        <is>
          <t>6. Scoring service</t>
        </is>
      </c>
    </row>
    <row r="239">
      <c r="A239" s="2" t="inlineStr">
        <is>
          <t>7. Cross-domain validation engine</t>
        </is>
      </c>
    </row>
    <row r="240">
      <c r="A240" s="2" t="inlineStr">
        <is>
          <t>8. Context calibration engine</t>
        </is>
      </c>
    </row>
    <row r="241">
      <c r="A241" s="2" t="inlineStr">
        <is>
          <t>9. Report generation engine</t>
        </is>
      </c>
    </row>
    <row r="242">
      <c r="A242" s="2" t="inlineStr">
        <is>
          <t>10. Benchmarking service</t>
        </is>
      </c>
    </row>
    <row r="243">
      <c r="A243" s="2" t="inlineStr">
        <is>
          <t>11. Audit/version-control service</t>
        </is>
      </c>
    </row>
    <row r="244">
      <c r="A244" s="2" t="inlineStr">
        <is>
          <t>12. Admin/methodology management interface</t>
        </is>
      </c>
    </row>
    <row r="245">
      <c r="A245" s="2" t="inlineStr">
        <is>
          <t>13. Respondent experience</t>
        </is>
      </c>
    </row>
    <row r="246">
      <c r="A246" s="2" t="inlineStr">
        <is>
          <t>14. Executive dashboard</t>
        </is>
      </c>
    </row>
    <row r="247">
      <c r="A247" s="2" t="n"/>
    </row>
    <row r="248">
      <c r="A248" s="2" t="inlineStr">
        <is>
          <t>DATABASE ENTITIES</t>
        </is>
      </c>
    </row>
    <row r="249">
      <c r="A249" s="2" t="inlineStr">
        <is>
          <t>Institution</t>
        </is>
      </c>
    </row>
    <row r="250">
      <c r="A250" s="2" t="inlineStr">
        <is>
          <t>Institution_Profile</t>
        </is>
      </c>
    </row>
    <row r="251">
      <c r="A251" s="2" t="inlineStr">
        <is>
          <t>Assessment</t>
        </is>
      </c>
    </row>
    <row r="252">
      <c r="A252" s="2" t="inlineStr">
        <is>
          <t>Assessment_Version</t>
        </is>
      </c>
    </row>
    <row r="253">
      <c r="A253" s="2" t="inlineStr">
        <is>
          <t>Domain</t>
        </is>
      </c>
    </row>
    <row r="254">
      <c r="A254" s="2" t="inlineStr">
        <is>
          <t>Capability</t>
        </is>
      </c>
    </row>
    <row r="255">
      <c r="A255" s="2" t="inlineStr">
        <is>
          <t>Metric</t>
        </is>
      </c>
    </row>
    <row r="256">
      <c r="A256" s="2" t="inlineStr">
        <is>
          <t>Question</t>
        </is>
      </c>
    </row>
    <row r="257">
      <c r="A257" s="2" t="inlineStr">
        <is>
          <t>Assessment_Card</t>
        </is>
      </c>
    </row>
    <row r="258">
      <c r="A258" s="2" t="inlineStr">
        <is>
          <t>Response</t>
        </is>
      </c>
    </row>
    <row r="259">
      <c r="A259" s="2" t="inlineStr">
        <is>
          <t>Evidence_Item</t>
        </is>
      </c>
    </row>
    <row r="260">
      <c r="A260" s="2" t="inlineStr">
        <is>
          <t>Outcome_Signal</t>
        </is>
      </c>
    </row>
    <row r="261">
      <c r="A261" s="2" t="inlineStr">
        <is>
          <t>Maturity_Anchor</t>
        </is>
      </c>
    </row>
    <row r="262">
      <c r="A262" s="2" t="inlineStr">
        <is>
          <t>Context_Profile</t>
        </is>
      </c>
    </row>
    <row r="263">
      <c r="A263" s="2" t="inlineStr">
        <is>
          <t>Branch_Rule</t>
        </is>
      </c>
    </row>
    <row r="264">
      <c r="A264" s="2" t="inlineStr">
        <is>
          <t>Cross_Domain_Link</t>
        </is>
      </c>
    </row>
    <row r="265">
      <c r="A265" s="2" t="inlineStr">
        <is>
          <t>Validation_Event</t>
        </is>
      </c>
    </row>
    <row r="266">
      <c r="A266" s="2" t="inlineStr">
        <is>
          <t>Score_Component</t>
        </is>
      </c>
    </row>
    <row r="267">
      <c r="A267" s="2" t="inlineStr">
        <is>
          <t>Domain_Score</t>
        </is>
      </c>
    </row>
    <row r="268">
      <c r="A268" s="2" t="inlineStr">
        <is>
          <t>Overall_Score</t>
        </is>
      </c>
    </row>
    <row r="269">
      <c r="A269" s="2" t="inlineStr">
        <is>
          <t>Transformation_Priority</t>
        </is>
      </c>
    </row>
    <row r="270">
      <c r="A270" s="2" t="inlineStr">
        <is>
          <t>Report</t>
        </is>
      </c>
    </row>
    <row r="271">
      <c r="A271" s="2" t="inlineStr">
        <is>
          <t>Verification_Status</t>
        </is>
      </c>
    </row>
    <row r="272">
      <c r="A272" s="2" t="inlineStr">
        <is>
          <t>Methodology_Version</t>
        </is>
      </c>
    </row>
    <row r="273">
      <c r="A273" s="2" t="inlineStr">
        <is>
          <t>Audit_Log</t>
        </is>
      </c>
    </row>
    <row r="274">
      <c r="A274" s="2" t="n"/>
    </row>
    <row r="275">
      <c r="A275" s="2" t="inlineStr">
        <is>
          <t>UX PRINCIPLES</t>
        </is>
      </c>
    </row>
    <row r="276">
      <c r="A276" s="2" t="inlineStr">
        <is>
          <t>- Executive-grade, not a generic survey form.</t>
        </is>
      </c>
    </row>
    <row r="277">
      <c r="A277" s="2" t="inlineStr">
        <is>
          <t>- Explain why a question matters without revealing scoring weights.</t>
        </is>
      </c>
    </row>
    <row r="278">
      <c r="A278" s="2" t="inlineStr">
        <is>
          <t>- Show progress by capability area, not only question count.</t>
        </is>
      </c>
    </row>
    <row r="279">
      <c r="A279" s="2" t="inlineStr">
        <is>
          <t>- Use save/resume.</t>
        </is>
      </c>
    </row>
    <row r="280">
      <c r="A280" s="2" t="inlineStr">
        <is>
          <t>- Allow collaboration by role.</t>
        </is>
      </c>
    </row>
    <row r="281">
      <c r="A281" s="2" t="inlineStr">
        <is>
          <t>- Flag missing evidence without blocking legitimate self-assessment.</t>
        </is>
      </c>
    </row>
    <row r="282">
      <c r="A282" s="2" t="inlineStr">
        <is>
          <t>- Make evidence upload lightweight.</t>
        </is>
      </c>
    </row>
    <row r="283">
      <c r="A283" s="2" t="inlineStr">
        <is>
          <t>- Provide “not applicable / not known” with rationale.</t>
        </is>
      </c>
    </row>
    <row r="284">
      <c r="A284" s="2" t="inlineStr">
        <is>
          <t>- Never overwhelm institutions with hundreds of visible questions if adaptive branching can reduce burden.</t>
        </is>
      </c>
    </row>
    <row r="285">
      <c r="A285" s="2" t="n"/>
    </row>
    <row r="286">
      <c r="A286" s="2" t="inlineStr">
        <is>
          <t>REPORT DESIGN</t>
        </is>
      </c>
    </row>
    <row r="287">
      <c r="A287" s="2" t="inlineStr">
        <is>
          <t>Executive layer:</t>
        </is>
      </c>
    </row>
    <row r="288">
      <c r="A288" s="2" t="inlineStr">
        <is>
          <t>Overall index + confidence + 11-domain heatmap + 5 priorities + future exposure.</t>
        </is>
      </c>
    </row>
    <row r="289">
      <c r="A289" s="2" t="inlineStr">
        <is>
          <t>Leadership layer:</t>
        </is>
      </c>
    </row>
    <row r="290">
      <c r="A290" s="2" t="inlineStr">
        <is>
          <t>Domain findings + maturity + evidence confidence + dependencies + risks.</t>
        </is>
      </c>
    </row>
    <row r="291">
      <c r="A291" s="2" t="inlineStr">
        <is>
          <t>Operational layer:</t>
        </is>
      </c>
    </row>
    <row r="292">
      <c r="A292" s="2" t="inlineStr">
        <is>
          <t>Metric findings + evidence gaps + action recommendations.</t>
        </is>
      </c>
    </row>
    <row r="293">
      <c r="A293" s="2" t="inlineStr">
        <is>
          <t>Transformation layer:</t>
        </is>
      </c>
    </row>
    <row r="294">
      <c r="A294" s="2" t="inlineStr">
        <is>
          <t>12/24 month roadmap, owners, milestones, expected capability movement.</t>
        </is>
      </c>
    </row>
    <row r="295">
      <c r="A295" s="2" t="n"/>
    </row>
    <row r="296">
      <c r="A296" s="2" t="inlineStr">
        <is>
          <t>BENCHMARKING</t>
        </is>
      </c>
    </row>
    <row r="297">
      <c r="A297" s="2" t="inlineStr">
        <is>
          <t>Benchmark only against institutions with comparable mandate/context where possible.</t>
        </is>
      </c>
    </row>
    <row r="298">
      <c r="A298" s="2" t="inlineStr">
        <is>
          <t>Provide peer groups by institution type, scale, geography, discipline mix and research intensity.</t>
        </is>
      </c>
    </row>
    <row r="299">
      <c r="A299" s="2" t="inlineStr">
        <is>
          <t>Do not create a crude league table as the primary output.</t>
        </is>
      </c>
    </row>
    <row r="300">
      <c r="A300" s="2" t="inlineStr">
        <is>
          <t>Use percentile/peer positioning only after enough validated observations exist.</t>
        </is>
      </c>
    </row>
    <row r="301">
      <c r="A301" s="2" t="n"/>
    </row>
    <row r="302">
      <c r="A302" s="2" t="inlineStr">
        <is>
          <t>QUALITY GATES</t>
        </is>
      </c>
    </row>
    <row r="303">
      <c r="A303" s="2" t="inlineStr">
        <is>
          <t>The build is NOT complete until:</t>
        </is>
      </c>
    </row>
    <row r="304">
      <c r="A304" s="2" t="inlineStr">
        <is>
          <t>- all D01–D11 content is represented in the database;</t>
        </is>
      </c>
    </row>
    <row r="305">
      <c r="A305" s="2" t="inlineStr">
        <is>
          <t>- every capability maps to a metric;</t>
        </is>
      </c>
    </row>
    <row r="306">
      <c r="A306" s="2" t="inlineStr">
        <is>
          <t>- every metric has at least one assessment route;</t>
        </is>
      </c>
    </row>
    <row r="307">
      <c r="A307" s="2" t="inlineStr">
        <is>
          <t>- every question maps to metrics;</t>
        </is>
      </c>
    </row>
    <row r="308">
      <c r="A308" s="2" t="inlineStr">
        <is>
          <t>- every high-stakes metric has an evidence path;</t>
        </is>
      </c>
    </row>
    <row r="309">
      <c r="A309" s="2" t="inlineStr">
        <is>
          <t>- every domain has maturity anchors;</t>
        </is>
      </c>
    </row>
    <row r="310">
      <c r="A310" s="2" t="inlineStr">
        <is>
          <t>- every domain has QA checks;</t>
        </is>
      </c>
    </row>
    <row r="311">
      <c r="A311" s="2" t="inlineStr">
        <is>
          <t>- cross-domain dependencies are encoded;</t>
        </is>
      </c>
    </row>
    <row r="312">
      <c r="A312" s="2" t="inlineStr">
        <is>
          <t>- weights total 100%;</t>
        </is>
      </c>
    </row>
    <row r="313">
      <c r="A313" s="2" t="inlineStr">
        <is>
          <t>- no orphaned domain/capability/metric/question/card exists;</t>
        </is>
      </c>
    </row>
    <row r="314">
      <c r="A314" s="2" t="inlineStr">
        <is>
          <t>- no duplicate primary metric ownership exists;</t>
        </is>
      </c>
    </row>
    <row r="315">
      <c r="A315" s="2" t="inlineStr">
        <is>
          <t>- Excel master and database exports reconcile exactly;</t>
        </is>
      </c>
    </row>
    <row r="316">
      <c r="A316" s="2" t="inlineStr">
        <is>
          <t>- methodology version is recorded in every assessment;</t>
        </is>
      </c>
    </row>
    <row r="317">
      <c r="A317" s="2" t="inlineStr">
        <is>
          <t>- scoring is reproducible from an audit trail.</t>
        </is>
      </c>
    </row>
    <row r="318">
      <c r="A318" s="2" t="n"/>
    </row>
    <row r="319">
      <c r="A319" s="2" t="inlineStr">
        <is>
          <t>DELIVERABLES</t>
        </is>
      </c>
    </row>
    <row r="320">
      <c r="A320" s="2" t="inlineStr">
        <is>
          <t>1. Production-ready assessment engine</t>
        </is>
      </c>
    </row>
    <row r="321">
      <c r="A321" s="2" t="inlineStr">
        <is>
          <t>2. Admin methodology console</t>
        </is>
      </c>
    </row>
    <row r="322">
      <c r="A322" s="2" t="inlineStr">
        <is>
          <t>3. Respondent assessment UI</t>
        </is>
      </c>
    </row>
    <row r="323">
      <c r="A323" s="2" t="inlineStr">
        <is>
          <t>4. Evidence workflow</t>
        </is>
      </c>
    </row>
    <row r="324">
      <c r="A324" s="2" t="inlineStr">
        <is>
          <t>5. Scoring and validation engine</t>
        </is>
      </c>
    </row>
    <row r="325">
      <c r="A325" s="2" t="inlineStr">
        <is>
          <t>6. Executive dashboard</t>
        </is>
      </c>
    </row>
    <row r="326">
      <c r="A326" s="2" t="inlineStr">
        <is>
          <t>7. Institutional diagnostic report</t>
        </is>
      </c>
    </row>
    <row r="327">
      <c r="A327" s="2" t="inlineStr">
        <is>
          <t>8. Transformation roadmap</t>
        </is>
      </c>
    </row>
    <row r="328">
      <c r="A328" s="2" t="inlineStr">
        <is>
          <t>9. Methodology manual</t>
        </is>
      </c>
    </row>
    <row r="329">
      <c r="A329" s="2" t="inlineStr">
        <is>
          <t>10. Assessment Integrity Charter</t>
        </is>
      </c>
    </row>
    <row r="330">
      <c r="A330" s="2" t="inlineStr">
        <is>
          <t>11. Validation protocol</t>
        </is>
      </c>
    </row>
    <row r="331">
      <c r="A331" s="2" t="inlineStr">
        <is>
          <t>12. Benchmarking protocol</t>
        </is>
      </c>
    </row>
    <row r="332">
      <c r="A332" s="2" t="inlineStr">
        <is>
          <t>13. API/data dictionary</t>
        </is>
      </c>
    </row>
    <row r="333">
      <c r="A333" s="2" t="inlineStr">
        <is>
          <t>14. Complete automated QA suite</t>
        </is>
      </c>
    </row>
    <row r="334">
      <c r="A334" s="2" t="n"/>
    </row>
    <row r="335">
      <c r="A335" s="2" t="inlineStr">
        <is>
          <t>FINAL WARNING</t>
        </is>
      </c>
    </row>
    <row r="336">
      <c r="A336" s="2" t="inlineStr">
        <is>
          <t>Do not compress the attached 11-domain architecture into a generic 5–10 dimension framework. Do not remove D03 human capability depth, D04 programme resilience, D05 faculty transformation, D06 student agency, D07 assessment validity, D08 institutional intelligence, D09 employability, D10 research/innovation or D11 adaptability simply because other frameworks use fewer categories. The value of this architecture is in the chain:</t>
        </is>
      </c>
    </row>
    <row r="337">
      <c r="A337" s="2" t="inlineStr">
        <is>
          <t>STRATEGY → GOVERNANCE → HUMAN CAPABILITY → CURRICULUM → FACULTY → STUDENTS → ASSESSMENT → DATA/INTELLIGENCE → EMPLOYABILITY → RESEARCH/INNOVATION → ADAPTABILITY.</t>
        </is>
      </c>
    </row>
    <row r="338">
      <c r="A338" s="2" t="n"/>
    </row>
    <row r="339">
      <c r="A339" s="2" t="inlineStr">
        <is>
          <t>Build the system so that this chain can be measured, evidenced, cross-validated and transformed into action.</t>
        </is>
      </c>
    </row>
  </sheetData>
  <pageMargins left="0.7" right="0.7" top="0.75" bottom="0.75" header="0.3" footer="0.3"/>
</worksheet>
</file>

<file path=xl/worksheets/sheet129.xml><?xml version="1.0" encoding="utf-8"?>
<worksheet xmlns="http://schemas.openxmlformats.org/spreadsheetml/2006/main">
  <sheetPr>
    <outlinePr summaryBelow="1" summaryRight="1"/>
    <pageSetUpPr/>
  </sheetPr>
  <dimension ref="A1:C15"/>
  <sheetViews>
    <sheetView showGridLines="0" workbookViewId="0">
      <pane ySplit="1" topLeftCell="A2" activePane="bottomLeft" state="frozen"/>
      <selection pane="bottomLeft" activeCell="A1" sqref="A1"/>
    </sheetView>
  </sheetViews>
  <sheetFormatPr baseColWidth="8" defaultRowHeight="15"/>
  <cols>
    <col width="28.7109375" customWidth="1" min="1" max="1"/>
    <col width="20.7109375" customWidth="1" min="2" max="2"/>
    <col width="60.7109375" customWidth="1" min="3" max="3"/>
  </cols>
  <sheetData>
    <row r="1">
      <c r="A1" s="24" t="inlineStr">
        <is>
          <t>Build Item</t>
        </is>
      </c>
      <c r="B1" s="24" t="inlineStr">
        <is>
          <t>Status</t>
        </is>
      </c>
      <c r="C1" s="24" t="inlineStr">
        <is>
          <t>Notes</t>
        </is>
      </c>
    </row>
    <row r="2">
      <c r="A2" s="2" t="inlineStr">
        <is>
          <t>D01</t>
        </is>
      </c>
      <c r="B2" s="2" t="inlineStr">
        <is>
          <t>Complete</t>
        </is>
      </c>
      <c r="C2" s="2" t="inlineStr">
        <is>
          <t>Dedicated matrix, cards, questions, maturity, evidence, institutional data, QA + integrated core.</t>
        </is>
      </c>
    </row>
    <row r="3">
      <c r="A3" s="2" t="inlineStr">
        <is>
          <t>D02</t>
        </is>
      </c>
      <c r="B3" s="2" t="inlineStr">
        <is>
          <t>Complete</t>
        </is>
      </c>
      <c r="C3" s="2" t="inlineStr">
        <is>
          <t>Dedicated matrix, cards, questions, maturity, evidence, institutional data, QA + integrated core.</t>
        </is>
      </c>
    </row>
    <row r="4">
      <c r="A4" s="2" t="inlineStr">
        <is>
          <t>D03</t>
        </is>
      </c>
      <c r="B4" s="2" t="inlineStr">
        <is>
          <t>Complete</t>
        </is>
      </c>
      <c r="C4" s="2" t="inlineStr">
        <is>
          <t>Dedicated matrix, cards, questions, maturity, evidence, institutional data, QA + discipline library/pathway + integrated core.</t>
        </is>
      </c>
    </row>
    <row r="5">
      <c r="A5" s="2" t="inlineStr">
        <is>
          <t>D04</t>
        </is>
      </c>
      <c r="B5" s="2" t="inlineStr">
        <is>
          <t>Complete</t>
        </is>
      </c>
      <c r="C5" s="2" t="inlineStr">
        <is>
          <t>Dedicated matrix, cards, questions, maturity, evidence, institutional data, QA + integrated core.</t>
        </is>
      </c>
    </row>
    <row r="6">
      <c r="A6" s="2" t="inlineStr">
        <is>
          <t>D05</t>
        </is>
      </c>
      <c r="B6" s="2" t="inlineStr">
        <is>
          <t>Complete</t>
        </is>
      </c>
      <c r="C6" s="2" t="inlineStr">
        <is>
          <t>Dedicated matrix, cards, questions, maturity, evidence, institutional data, QA + integrated core.</t>
        </is>
      </c>
    </row>
    <row r="7">
      <c r="A7" s="2" t="inlineStr">
        <is>
          <t>D06</t>
        </is>
      </c>
      <c r="B7" s="2" t="inlineStr">
        <is>
          <t>Complete</t>
        </is>
      </c>
      <c r="C7" s="2" t="inlineStr">
        <is>
          <t>Dedicated matrix, cards, questions, maturity, evidence, institutional data, QA + integrated core.</t>
        </is>
      </c>
    </row>
    <row r="8">
      <c r="A8" s="2" t="inlineStr">
        <is>
          <t>D07</t>
        </is>
      </c>
      <c r="B8" s="2" t="inlineStr">
        <is>
          <t>Complete</t>
        </is>
      </c>
      <c r="C8" s="2" t="inlineStr">
        <is>
          <t>Dedicated matrix, cards, questions, maturity, evidence, institutional data, QA + integrated core.</t>
        </is>
      </c>
    </row>
    <row r="9">
      <c r="A9" s="2" t="inlineStr">
        <is>
          <t>D08</t>
        </is>
      </c>
      <c r="B9" s="2" t="inlineStr">
        <is>
          <t>Complete</t>
        </is>
      </c>
      <c r="C9" s="2" t="inlineStr">
        <is>
          <t>Dedicated matrix, cards, questions, maturity, evidence, institutional data, QA + integrated core.</t>
        </is>
      </c>
    </row>
    <row r="10">
      <c r="A10" s="2" t="inlineStr">
        <is>
          <t>D09</t>
        </is>
      </c>
      <c r="B10" s="2" t="inlineStr">
        <is>
          <t>Complete</t>
        </is>
      </c>
      <c r="C10" s="2" t="inlineStr">
        <is>
          <t>Dedicated matrix, cards, questions, maturity, evidence, institutional data, QA + integrated core.</t>
        </is>
      </c>
    </row>
    <row r="11">
      <c r="A11" s="2" t="inlineStr">
        <is>
          <t>D10</t>
        </is>
      </c>
      <c r="B11" s="2" t="inlineStr">
        <is>
          <t>Complete</t>
        </is>
      </c>
      <c r="C11" s="2" t="inlineStr">
        <is>
          <t>Dedicated matrix, cards, questions, maturity, evidence, institutional data, QA + integrated core.</t>
        </is>
      </c>
    </row>
    <row r="12">
      <c r="A12" s="2" t="inlineStr">
        <is>
          <t>D11</t>
        </is>
      </c>
      <c r="B12" s="2" t="inlineStr">
        <is>
          <t>Complete</t>
        </is>
      </c>
      <c r="C12" s="2" t="inlineStr">
        <is>
          <t>Dedicated matrix, cards, questions, maturity, evidence, institutional data, QA + integrated core.</t>
        </is>
      </c>
    </row>
    <row r="13">
      <c r="A13" s="2" t="inlineStr">
        <is>
          <t>Core integration</t>
        </is>
      </c>
      <c r="B13" s="2" t="inlineStr">
        <is>
          <t>Complete</t>
        </is>
      </c>
      <c r="C13" s="2" t="inlineStr">
        <is>
          <t>Domains, capabilities, metrics, cards, question bank, evidence, institutional data and QA cover D01–D11.</t>
        </is>
      </c>
    </row>
    <row r="14">
      <c r="A14" s="2" t="inlineStr">
        <is>
          <t>Methodology validation</t>
        </is>
      </c>
      <c r="B14" s="2" t="inlineStr">
        <is>
          <t>Pending</t>
        </is>
      </c>
      <c r="C14" s="2" t="inlineStr">
        <is>
          <t>Required before public benchmarking/recognition.</t>
        </is>
      </c>
    </row>
    <row r="15">
      <c r="A15" s="2" t="inlineStr">
        <is>
          <t>Software build</t>
        </is>
      </c>
      <c r="B15" s="2" t="inlineStr">
        <is>
          <t>Pending</t>
        </is>
      </c>
      <c r="C15" s="2" t="inlineStr">
        <is>
          <t>Do not begin production scoring until methodology audit is completed.</t>
        </is>
      </c>
    </row>
  </sheetData>
  <autoFilter ref="A1:C15"/>
  <pageMargins left="0.7" right="0.7" top="0.75" bottom="0.75" header="0.3" footer="0.3"/>
</worksheet>
</file>

<file path=xl/worksheets/sheet130.xml><?xml version="1.0" encoding="utf-8"?>
<worksheet xmlns="http://schemas.openxmlformats.org/spreadsheetml/2006/main">
  <sheetPr>
    <outlinePr summaryBelow="1" summaryRight="1"/>
    <pageSetUpPr/>
  </sheetPr>
  <dimension ref="A1:J34"/>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14.7109375" customWidth="1" min="3" max="3"/>
    <col width="13.7109375" customWidth="1" min="4" max="4"/>
    <col width="17.7109375" customWidth="1" min="5" max="5"/>
    <col width="39.7109375" customWidth="1" min="6" max="6"/>
    <col width="48.7109375" customWidth="1" min="7" max="7"/>
    <col width="42.7109375" customWidth="1" min="8" max="8"/>
    <col width="13.7109375" customWidth="1" min="9" max="9"/>
    <col width="48.7109375" customWidth="1" min="10" max="10"/>
  </cols>
  <sheetData>
    <row r="1">
      <c r="A1" s="22" t="inlineStr">
        <is>
          <t>Domain</t>
        </is>
      </c>
      <c r="B1" s="22" t="inlineStr">
        <is>
          <t>Metric ID</t>
        </is>
      </c>
      <c r="C1" s="22" t="inlineStr">
        <is>
          <t>Prior Status</t>
        </is>
      </c>
      <c r="D1" s="22" t="inlineStr">
        <is>
          <t>New Card ID</t>
        </is>
      </c>
      <c r="E1" s="22" t="inlineStr">
        <is>
          <t>New Question ID</t>
        </is>
      </c>
      <c r="F1" s="22" t="inlineStr">
        <is>
          <t>Assessment Card</t>
        </is>
      </c>
      <c r="G1" s="22" t="inlineStr">
        <is>
          <t>Prompt</t>
        </is>
      </c>
      <c r="H1" s="22" t="inlineStr">
        <is>
          <t>Input / Response Format</t>
        </is>
      </c>
      <c r="I1" s="22" t="inlineStr">
        <is>
          <t>Metric Link</t>
        </is>
      </c>
      <c r="J1" s="22" t="inlineStr">
        <is>
          <t>Evidence Expected</t>
        </is>
      </c>
    </row>
    <row r="2">
      <c r="A2" s="2" t="inlineStr">
        <is>
          <t>D01</t>
        </is>
      </c>
      <c r="B2" s="2" t="inlineStr">
        <is>
          <t>I04</t>
        </is>
      </c>
      <c r="C2" s="2" t="inlineStr">
        <is>
          <t>AMBER</t>
        </is>
      </c>
      <c r="D2" s="2" t="inlineStr">
        <is>
          <t>R01A01</t>
        </is>
      </c>
      <c r="E2" s="2" t="inlineStr">
        <is>
          <t>R01Q01</t>
        </is>
      </c>
      <c r="F2" s="2" t="inlineStr">
        <is>
          <t>Programme Future-Review Coverage Test</t>
        </is>
      </c>
      <c r="G2" s="2" t="inlineStr">
        <is>
          <t>For the most recent programme-review cycle, provide the number of applicable programmes reviewed for AI/future-of-work implications, the total applicable programmes, and two review records showing what changed or why no change was made.</t>
        </is>
      </c>
      <c r="H2" s="2" t="inlineStr">
        <is>
          <t>Numerator/denominator + 2 records</t>
        </is>
      </c>
      <c r="I2" s="2" t="inlineStr">
        <is>
          <t>I04</t>
        </is>
      </c>
      <c r="J2" s="2" t="inlineStr">
        <is>
          <t>E2 operational evidence with dated numerator/denominator; score &gt;=3 corroborated; E3 for outcome claims.</t>
        </is>
      </c>
    </row>
    <row r="3">
      <c r="A3" s="2" t="inlineStr">
        <is>
          <t>D01</t>
        </is>
      </c>
      <c r="B3" s="2" t="inlineStr">
        <is>
          <t>I07</t>
        </is>
      </c>
      <c r="C3" s="2" t="inlineStr">
        <is>
          <t>RED</t>
        </is>
      </c>
      <c r="D3" s="2" t="inlineStr">
        <is>
          <t>R01A02</t>
        </is>
      </c>
      <c r="E3" s="2" t="inlineStr">
        <is>
          <t>R01Q02</t>
        </is>
      </c>
      <c r="F3" s="2" t="inlineStr">
        <is>
          <t>Resource Alignment Test</t>
        </is>
      </c>
      <c r="G3" s="2" t="inlineStr">
        <is>
          <t>Show the last 12–18 months of material AI/future-priority decisions and corresponding budget, people, infrastructure or leadership-time movements. Which priority received resources and what evidence shows the movement was real?</t>
        </is>
      </c>
      <c r="H3" s="2" t="inlineStr">
        <is>
          <t>Structured table + 2 records</t>
        </is>
      </c>
      <c r="I3" s="2" t="inlineStr">
        <is>
          <t>I07</t>
        </is>
      </c>
      <c r="J3" s="2" t="inlineStr">
        <is>
          <t>E2 sampled artefact/work sample + rubric; score &gt;=3 requires direct operating/demonstration evidence; E3 where a legitimate outcome exists.</t>
        </is>
      </c>
    </row>
    <row r="4">
      <c r="A4" s="2" t="inlineStr">
        <is>
          <t>D01</t>
        </is>
      </c>
      <c r="B4" s="2" t="inlineStr">
        <is>
          <t>I10</t>
        </is>
      </c>
      <c r="C4" s="2" t="inlineStr">
        <is>
          <t>RED</t>
        </is>
      </c>
      <c r="D4" s="2" t="inlineStr">
        <is>
          <t>R01A03</t>
        </is>
      </c>
      <c r="E4" s="2" t="inlineStr">
        <is>
          <t>R01Q03</t>
        </is>
      </c>
      <c r="F4" s="2" t="inlineStr">
        <is>
          <t>Strategic Learning Test</t>
        </is>
      </c>
      <c r="G4" s="2" t="inlineStr">
        <is>
          <t>Identify two recent strategic reviews, pilots or external signals that caused the institution to change an assumption, priority, programme decision or resource choice. What changed because of the learning?</t>
        </is>
      </c>
      <c r="H4" s="2" t="inlineStr">
        <is>
          <t>2 before/after decision records</t>
        </is>
      </c>
      <c r="I4" s="2" t="inlineStr">
        <is>
          <t>I10</t>
        </is>
      </c>
      <c r="J4" s="2" t="inlineStr">
        <is>
          <t>E2 operational evidence with dated numerator/denominator; score &gt;=3 corroborated; E3 for outcome claims.</t>
        </is>
      </c>
    </row>
    <row r="5">
      <c r="A5" s="2" t="inlineStr">
        <is>
          <t>D02</t>
        </is>
      </c>
      <c r="B5" s="2" t="inlineStr">
        <is>
          <t>I06</t>
        </is>
      </c>
      <c r="C5" s="2" t="inlineStr">
        <is>
          <t>AMBER</t>
        </is>
      </c>
      <c r="D5" s="2" t="inlineStr">
        <is>
          <t>R02A04</t>
        </is>
      </c>
      <c r="E5" s="2" t="inlineStr">
        <is>
          <t>R02Q04</t>
        </is>
      </c>
      <c r="F5" s="2" t="inlineStr">
        <is>
          <t>Assessment Governance Test</t>
        </is>
      </c>
      <c r="G5" s="2" t="inlineStr">
        <is>
          <t>Who owns assessment validity under generative AI, what review/approval controls apply to consequential assessment changes, and how are exceptions, appeals and integrity risks handled? Show one recent case.</t>
        </is>
      </c>
      <c r="H5" s="2" t="inlineStr">
        <is>
          <t>Governance matrix + case</t>
        </is>
      </c>
      <c r="I5" s="2" t="inlineStr">
        <is>
          <t>I06</t>
        </is>
      </c>
      <c r="J5" s="2" t="inlineStr">
        <is>
          <t>E2 implemented control + operating record; score &gt;=3 requires execution/testing or a real case; E4 preferred for high-stakes claims.</t>
        </is>
      </c>
    </row>
    <row r="6">
      <c r="A6" s="2" t="inlineStr">
        <is>
          <t>D02</t>
        </is>
      </c>
      <c r="B6" s="2" t="inlineStr">
        <is>
          <t>I07</t>
        </is>
      </c>
      <c r="C6" s="2" t="inlineStr">
        <is>
          <t>RED</t>
        </is>
      </c>
      <c r="D6" s="2" t="inlineStr">
        <is>
          <t>R02A05</t>
        </is>
      </c>
      <c r="E6" s="2" t="inlineStr">
        <is>
          <t>R02Q05</t>
        </is>
      </c>
      <c r="F6" s="2" t="inlineStr">
        <is>
          <t>AI Risk Register Test</t>
        </is>
      </c>
      <c r="G6" s="2" t="inlineStr">
        <is>
          <t>Select the three most consequential AI use cases. Show how each risk was identified, rated, treated, assigned to an owner and monitored, including residual-risk decisions.</t>
        </is>
      </c>
      <c r="H6" s="2" t="inlineStr">
        <is>
          <t>Risk register extract + 3 cases</t>
        </is>
      </c>
      <c r="I6" s="2" t="inlineStr">
        <is>
          <t>I07</t>
        </is>
      </c>
      <c r="J6" s="2" t="inlineStr">
        <is>
          <t>E2 implemented control + operating record; score &gt;=3 requires execution/testing or a real case; E4 preferred for high-stakes claims.</t>
        </is>
      </c>
    </row>
    <row r="7">
      <c r="A7" s="2" t="inlineStr">
        <is>
          <t>D02</t>
        </is>
      </c>
      <c r="B7" s="2" t="inlineStr">
        <is>
          <t>I11</t>
        </is>
      </c>
      <c r="C7" s="2" t="inlineStr">
        <is>
          <t>RED</t>
        </is>
      </c>
      <c r="D7" s="2" t="inlineStr">
        <is>
          <t>R02A06</t>
        </is>
      </c>
      <c r="E7" s="2" t="inlineStr">
        <is>
          <t>R02Q06</t>
        </is>
      </c>
      <c r="F7" s="2" t="inlineStr">
        <is>
          <t>AI IP Governance Test</t>
        </is>
      </c>
      <c r="G7" s="2" t="inlineStr">
        <is>
          <t>How does the institution determine ownership, permitted use, attribution, copyright/IP risk and authorship responsibilities when AI is used in teaching, research or institutional content? Provide one applied example.</t>
        </is>
      </c>
      <c r="H7" s="2" t="inlineStr">
        <is>
          <t>Policy/process + case</t>
        </is>
      </c>
      <c r="I7" s="2" t="inlineStr">
        <is>
          <t>I11</t>
        </is>
      </c>
      <c r="J7" s="2" t="inlineStr">
        <is>
          <t>E2 implemented control + operating record; score &gt;=3 requires execution/testing or a real case; E4 preferred for high-stakes claims.</t>
        </is>
      </c>
    </row>
    <row r="8">
      <c r="A8" s="2" t="inlineStr">
        <is>
          <t>D02</t>
        </is>
      </c>
      <c r="B8" s="2" t="inlineStr">
        <is>
          <t>I12</t>
        </is>
      </c>
      <c r="C8" s="2" t="inlineStr">
        <is>
          <t>RED</t>
        </is>
      </c>
      <c r="D8" s="2" t="inlineStr">
        <is>
          <t>R02A07</t>
        </is>
      </c>
      <c r="E8" s="2" t="inlineStr">
        <is>
          <t>R02Q07</t>
        </is>
      </c>
      <c r="F8" s="2" t="inlineStr">
        <is>
          <t>Research AI Governance Test</t>
        </is>
      </c>
      <c r="G8" s="2" t="inlineStr">
        <is>
          <t>For research uses of AI, what controls address provenance, disclosure, data permissions, authorship, reproducibility, human judgement and research-integrity risk? Show one real workflow.</t>
        </is>
      </c>
      <c r="H8" s="2" t="inlineStr">
        <is>
          <t>Workflow + evidence sample</t>
        </is>
      </c>
      <c r="I8" s="2" t="inlineStr">
        <is>
          <t>I12</t>
        </is>
      </c>
      <c r="J8" s="2" t="inlineStr">
        <is>
          <t>E2 implemented control + operating record; score &gt;=3 requires execution/testing or a real case; E4 preferred for high-stakes claims.</t>
        </is>
      </c>
    </row>
    <row r="9">
      <c r="A9" s="2" t="inlineStr">
        <is>
          <t>D03</t>
        </is>
      </c>
      <c r="B9" s="2" t="inlineStr">
        <is>
          <t>I03</t>
        </is>
      </c>
      <c r="C9" s="2" t="inlineStr">
        <is>
          <t>AMBER</t>
        </is>
      </c>
      <c r="D9" s="2" t="inlineStr">
        <is>
          <t>R03A08</t>
        </is>
      </c>
      <c r="E9" s="2" t="inlineStr">
        <is>
          <t>R03Q08</t>
        </is>
      </c>
      <c r="F9" s="2" t="inlineStr">
        <is>
          <t>Question Formulation Test</t>
        </is>
      </c>
      <c r="G9" s="2" t="inlineStr">
        <is>
          <t>Give two examples of assessed student work where students had to formulate or refine the question/problem rather than merely answer a supplied prompt. How was quality judged?</t>
        </is>
      </c>
      <c r="H9" s="2" t="inlineStr">
        <is>
          <t>2 work samples + rubric</t>
        </is>
      </c>
      <c r="I9" s="2" t="inlineStr">
        <is>
          <t>I03</t>
        </is>
      </c>
      <c r="J9" s="2" t="inlineStr">
        <is>
          <t>E2 sampled artefact/work sample + rubric; score &gt;=3 requires direct operating/demonstration evidence; E3 where a legitimate outcome exists.</t>
        </is>
      </c>
    </row>
    <row r="10">
      <c r="A10" s="2" t="inlineStr">
        <is>
          <t>D03</t>
        </is>
      </c>
      <c r="B10" s="2" t="inlineStr">
        <is>
          <t>I06</t>
        </is>
      </c>
      <c r="C10" s="2" t="inlineStr">
        <is>
          <t>AMBER</t>
        </is>
      </c>
      <c r="D10" s="2" t="inlineStr">
        <is>
          <t>R03A09</t>
        </is>
      </c>
      <c r="E10" s="2" t="inlineStr">
        <is>
          <t>R03Q09</t>
        </is>
      </c>
      <c r="F10" s="2" t="inlineStr">
        <is>
          <t>Creativity &amp; Originality Test</t>
        </is>
      </c>
      <c r="G10" s="2" t="inlineStr">
        <is>
          <t>Show how students are asked to generate original interpretations, designs, hypotheses, solutions or value beyond reproducing existing content. How is originality judged?</t>
        </is>
      </c>
      <c r="H10" s="2" t="inlineStr">
        <is>
          <t>2 samples + rubric</t>
        </is>
      </c>
      <c r="I10" s="2" t="inlineStr">
        <is>
          <t>I06</t>
        </is>
      </c>
      <c r="J10" s="2" t="inlineStr">
        <is>
          <t>E2 sampled artefact/work sample + rubric; score &gt;=3 requires direct operating/demonstration evidence; E3 where a legitimate outcome exists.</t>
        </is>
      </c>
    </row>
    <row r="11">
      <c r="A11" s="2" t="inlineStr">
        <is>
          <t>D03</t>
        </is>
      </c>
      <c r="B11" s="2" t="inlineStr">
        <is>
          <t>I09</t>
        </is>
      </c>
      <c r="C11" s="2" t="inlineStr">
        <is>
          <t>AMBER</t>
        </is>
      </c>
      <c r="D11" s="2" t="inlineStr">
        <is>
          <t>R03A10</t>
        </is>
      </c>
      <c r="E11" s="2" t="inlineStr">
        <is>
          <t>R03Q10</t>
        </is>
      </c>
      <c r="F11" s="2" t="inlineStr">
        <is>
          <t>Metacognition Test</t>
        </is>
      </c>
      <c r="G11" s="2" t="inlineStr">
        <is>
          <t>Show how students reflect on their reasoning, identify uncertainty or error, revise their approach and explain what they learned about their own thinking.</t>
        </is>
      </c>
      <c r="H11" s="2" t="inlineStr">
        <is>
          <t>2 samples + rubric</t>
        </is>
      </c>
      <c r="I11" s="2" t="inlineStr">
        <is>
          <t>I09</t>
        </is>
      </c>
      <c r="J11" s="2" t="inlineStr">
        <is>
          <t>E2 sampled artefact/work sample + rubric; score &gt;=3 requires direct operating/demonstration evidence; E3 where a legitimate outcome exists.</t>
        </is>
      </c>
    </row>
    <row r="12">
      <c r="A12" s="2" t="inlineStr">
        <is>
          <t>D03</t>
        </is>
      </c>
      <c r="B12" s="2" t="inlineStr">
        <is>
          <t>I10</t>
        </is>
      </c>
      <c r="C12" s="2" t="inlineStr">
        <is>
          <t>AMBER</t>
        </is>
      </c>
      <c r="D12" s="2" t="inlineStr">
        <is>
          <t>R03A11</t>
        </is>
      </c>
      <c r="E12" s="2" t="inlineStr">
        <is>
          <t>R03Q11</t>
        </is>
      </c>
      <c r="F12" s="2" t="inlineStr">
        <is>
          <t>Human-AI Collaboration Test</t>
        </is>
      </c>
      <c r="G12" s="2" t="inlineStr">
        <is>
          <t>Show one assessed task in which students decide what AI should and should not do, verify outputs and iteratively improve the work while retaining responsibility for judgement.</t>
        </is>
      </c>
      <c r="H12" s="2" t="inlineStr">
        <is>
          <t>Task design + student sample</t>
        </is>
      </c>
      <c r="I12" s="2" t="inlineStr">
        <is>
          <t>I10</t>
        </is>
      </c>
      <c r="J12" s="2" t="inlineStr">
        <is>
          <t>E2 sampled artefact/work sample + rubric; score &gt;=3 requires direct operating/demonstration evidence; E3 where a legitimate outcome exists.</t>
        </is>
      </c>
    </row>
    <row r="13">
      <c r="A13" s="2" t="inlineStr">
        <is>
          <t>D03</t>
        </is>
      </c>
      <c r="B13" s="2" t="inlineStr">
        <is>
          <t>I11</t>
        </is>
      </c>
      <c r="C13" s="2" t="inlineStr">
        <is>
          <t>AMBER</t>
        </is>
      </c>
      <c r="D13" s="2" t="inlineStr">
        <is>
          <t>R03A12</t>
        </is>
      </c>
      <c r="E13" s="2" t="inlineStr">
        <is>
          <t>R03Q12</t>
        </is>
      </c>
      <c r="F13" s="2" t="inlineStr">
        <is>
          <t>Communication &amp; Defence Test</t>
        </is>
      </c>
      <c r="G13" s="2" t="inlineStr">
        <is>
          <t>Show one assessment in which students must explain and defend their reasoning, evidence, choices or limitations orally or in another appropriate mode.</t>
        </is>
      </c>
      <c r="H13" s="2" t="inlineStr">
        <is>
          <t>Assessment + sample/rubric</t>
        </is>
      </c>
      <c r="I13" s="2" t="inlineStr">
        <is>
          <t>I11</t>
        </is>
      </c>
      <c r="J13" s="2" t="inlineStr">
        <is>
          <t>E2 sampled artefact/work sample + rubric; score &gt;=3 requires direct operating/demonstration evidence; E3 where a legitimate outcome exists.</t>
        </is>
      </c>
    </row>
    <row r="14">
      <c r="A14" s="2" t="inlineStr">
        <is>
          <t>D03</t>
        </is>
      </c>
      <c r="B14" s="2" t="inlineStr">
        <is>
          <t>I12</t>
        </is>
      </c>
      <c r="C14" s="2" t="inlineStr">
        <is>
          <t>AMBER</t>
        </is>
      </c>
      <c r="D14" s="2" t="inlineStr">
        <is>
          <t>R03A13</t>
        </is>
      </c>
      <c r="E14" s="2" t="inlineStr">
        <is>
          <t>R03Q13</t>
        </is>
      </c>
      <c r="F14" s="2" t="inlineStr">
        <is>
          <t>Collaboration Capability Test</t>
        </is>
      </c>
      <c r="G14" s="2" t="inlineStr">
        <is>
          <t>Show how students collaborate with peers/practitioners/interdisciplinary teams and how individual contribution is evidenced and assessed.</t>
        </is>
      </c>
      <c r="H14" s="2" t="inlineStr">
        <is>
          <t>Team task + contribution evidence</t>
        </is>
      </c>
      <c r="I14" s="2" t="inlineStr">
        <is>
          <t>I12</t>
        </is>
      </c>
      <c r="J14" s="2" t="inlineStr">
        <is>
          <t>E2 sampled artefact/work sample + rubric; score &gt;=3 requires direct operating/demonstration evidence; E3 where a legitimate outcome exists.</t>
        </is>
      </c>
    </row>
    <row r="15">
      <c r="A15" s="2" t="inlineStr">
        <is>
          <t>D03</t>
        </is>
      </c>
      <c r="B15" s="2" t="inlineStr">
        <is>
          <t>I13</t>
        </is>
      </c>
      <c r="C15" s="2" t="inlineStr">
        <is>
          <t>AMBER</t>
        </is>
      </c>
      <c r="D15" s="2" t="inlineStr">
        <is>
          <t>R03A14</t>
        </is>
      </c>
      <c r="E15" s="2" t="inlineStr">
        <is>
          <t>R03Q14</t>
        </is>
      </c>
      <c r="F15" s="2" t="inlineStr">
        <is>
          <t>Practical Capability Test</t>
        </is>
      </c>
      <c r="G15" s="2" t="inlineStr">
        <is>
          <t>Show how students demonstrate practical, real-world or embodied competence where applicable to the discipline, including supervised or simulated practice.</t>
        </is>
      </c>
      <c r="H15" s="2" t="inlineStr">
        <is>
          <t>Practical task + performance evidence</t>
        </is>
      </c>
      <c r="I15" s="2" t="inlineStr">
        <is>
          <t>I13</t>
        </is>
      </c>
      <c r="J15" s="2" t="inlineStr">
        <is>
          <t>E2 sampled artefact/work sample + rubric; score &gt;=3 requires direct operating/demonstration evidence; E3 where a legitimate outcome exists.</t>
        </is>
      </c>
    </row>
    <row r="16">
      <c r="A16" s="2" t="inlineStr">
        <is>
          <t>D03</t>
        </is>
      </c>
      <c r="B16" s="2" t="inlineStr">
        <is>
          <t>I14</t>
        </is>
      </c>
      <c r="C16" s="2" t="inlineStr">
        <is>
          <t>AMBER</t>
        </is>
      </c>
      <c r="D16" s="2" t="inlineStr">
        <is>
          <t>R03A15</t>
        </is>
      </c>
      <c r="E16" s="2" t="inlineStr">
        <is>
          <t>R03Q15</t>
        </is>
      </c>
      <c r="F16" s="2" t="inlineStr">
        <is>
          <t>Ethical &amp; Social Judgement Test</t>
        </is>
      </c>
      <c r="G16" s="2" t="inlineStr">
        <is>
          <t>Show an assessed situation requiring students to consider consequences, values, stakeholders, fairness or responsibility rather than only technical correctness.</t>
        </is>
      </c>
      <c r="H16" s="2" t="inlineStr">
        <is>
          <t>Case/task + rubric</t>
        </is>
      </c>
      <c r="I16" s="2" t="inlineStr">
        <is>
          <t>I14</t>
        </is>
      </c>
      <c r="J16" s="2" t="inlineStr">
        <is>
          <t>E2 sampled artefact/work sample + rubric; score &gt;=3 requires direct operating/demonstration evidence; E3 where a legitimate outcome exists.</t>
        </is>
      </c>
    </row>
    <row r="17">
      <c r="A17" s="2" t="inlineStr">
        <is>
          <t>D04</t>
        </is>
      </c>
      <c r="B17" s="2" t="inlineStr">
        <is>
          <t>I10</t>
        </is>
      </c>
      <c r="C17" s="2" t="inlineStr">
        <is>
          <t>RED</t>
        </is>
      </c>
      <c r="D17" s="2" t="inlineStr">
        <is>
          <t>R04A16</t>
        </is>
      </c>
      <c r="E17" s="2" t="inlineStr">
        <is>
          <t>R04Q16</t>
        </is>
      </c>
      <c r="F17" s="2" t="inlineStr">
        <is>
          <t>External Learning Ecosystem Test</t>
        </is>
      </c>
      <c r="G17" s="2" t="inlineStr">
        <is>
          <t>Which external learning resources, professional platforms, credentials, practice environments or partner ecosystems are intentionally integrated into programmes, and how is their quality and learning value reviewed?</t>
        </is>
      </c>
      <c r="H17" s="2" t="inlineStr">
        <is>
          <t>Inventory + 2 programme examples</t>
        </is>
      </c>
      <c r="I17" s="2" t="inlineStr">
        <is>
          <t>I10</t>
        </is>
      </c>
      <c r="J17" s="2" t="inlineStr">
        <is>
          <t>E2 sampled artefact/work sample + rubric; score &gt;=3 requires direct operating/demonstration evidence; E3 where a legitimate outcome exists.</t>
        </is>
      </c>
    </row>
    <row r="18">
      <c r="A18" s="2" t="inlineStr">
        <is>
          <t>D06</t>
        </is>
      </c>
      <c r="B18" s="2" t="inlineStr">
        <is>
          <t>I06</t>
        </is>
      </c>
      <c r="C18" s="2" t="inlineStr">
        <is>
          <t>RED</t>
        </is>
      </c>
      <c r="D18" s="2" t="inlineStr">
        <is>
          <t>R06A17</t>
        </is>
      </c>
      <c r="E18" s="2" t="inlineStr">
        <is>
          <t>R06Q17</t>
        </is>
      </c>
      <c r="F18" s="2" t="inlineStr">
        <is>
          <t>Student Collaboration Test</t>
        </is>
      </c>
      <c r="G18" s="2" t="inlineStr">
        <is>
          <t>Show how students are required to collaborate with peers, practitioners or interdisciplinary teams, and how genuine contribution is distinguished from individually generated output.</t>
        </is>
      </c>
      <c r="H18" s="2" t="inlineStr">
        <is>
          <t>Rubric + team evidence</t>
        </is>
      </c>
      <c r="I18" s="2" t="inlineStr">
        <is>
          <t>I06</t>
        </is>
      </c>
      <c r="J18" s="2" t="inlineStr">
        <is>
          <t>E2 sampled artefact/work sample + rubric; score &gt;=3 requires direct operating/demonstration evidence; E3 where a legitimate outcome exists.</t>
        </is>
      </c>
    </row>
    <row r="19">
      <c r="A19" s="2" t="inlineStr">
        <is>
          <t>D06</t>
        </is>
      </c>
      <c r="B19" s="2" t="inlineStr">
        <is>
          <t>I12</t>
        </is>
      </c>
      <c r="C19" s="2" t="inlineStr">
        <is>
          <t>RED</t>
        </is>
      </c>
      <c r="D19" s="2" t="inlineStr">
        <is>
          <t>R06A18</t>
        </is>
      </c>
      <c r="E19" s="2" t="inlineStr">
        <is>
          <t>R06Q18</t>
        </is>
      </c>
      <c r="F19" s="2" t="inlineStr">
        <is>
          <t>Student Responsible AI Test</t>
        </is>
      </c>
      <c r="G19" s="2" t="inlineStr">
        <is>
          <t>How are students taught and assessed on privacy, IP/copyright, bias, academic integrity, disclosure and social consequences of AI use? Show one rule and one assessed demonstration.</t>
        </is>
      </c>
      <c r="H19" s="2" t="inlineStr">
        <is>
          <t>Guidance + assessment sample</t>
        </is>
      </c>
      <c r="I19" s="2" t="inlineStr">
        <is>
          <t>I12</t>
        </is>
      </c>
      <c r="J19" s="2" t="inlineStr">
        <is>
          <t>E2 implemented control + operating record; score &gt;=3 requires execution/testing or a real case; E4 preferred for high-stakes claims.</t>
        </is>
      </c>
    </row>
    <row r="20">
      <c r="A20" s="2" t="inlineStr">
        <is>
          <t>D07</t>
        </is>
      </c>
      <c r="B20" s="2" t="inlineStr">
        <is>
          <t>I10</t>
        </is>
      </c>
      <c r="C20" s="2" t="inlineStr">
        <is>
          <t>RED</t>
        </is>
      </c>
      <c r="D20" s="2" t="inlineStr">
        <is>
          <t>R07A19</t>
        </is>
      </c>
      <c r="E20" s="2" t="inlineStr">
        <is>
          <t>R07Q19</t>
        </is>
      </c>
      <c r="F20" s="2" t="inlineStr">
        <is>
          <t>Assessment Governance Test</t>
        </is>
      </c>
      <c r="G20" s="2" t="inlineStr">
        <is>
          <t>Who owns assessment validity under generative AI, what review/approval controls apply to consequential assessment changes, and how are exceptions, appeals and integrity risks handled?</t>
        </is>
      </c>
      <c r="H20" s="2" t="inlineStr">
        <is>
          <t>Governance matrix + case</t>
        </is>
      </c>
      <c r="I20" s="2" t="inlineStr">
        <is>
          <t>I10</t>
        </is>
      </c>
      <c r="J20" s="2" t="inlineStr">
        <is>
          <t>E2 implemented control + operating record; score &gt;=3 requires execution/testing or a real case; E4 preferred for high-stakes claims.</t>
        </is>
      </c>
    </row>
    <row r="21">
      <c r="A21" s="2" t="inlineStr">
        <is>
          <t>D07</t>
        </is>
      </c>
      <c r="B21" s="2" t="inlineStr">
        <is>
          <t>I12</t>
        </is>
      </c>
      <c r="C21" s="2" t="inlineStr">
        <is>
          <t>RED</t>
        </is>
      </c>
      <c r="D21" s="2" t="inlineStr">
        <is>
          <t>R07A20</t>
        </is>
      </c>
      <c r="E21" s="2" t="inlineStr">
        <is>
          <t>R07Q20</t>
        </is>
      </c>
      <c r="F21" s="2" t="inlineStr">
        <is>
          <t>Learning Evidence Analytics Test</t>
        </is>
      </c>
      <c r="G21" s="2" t="inlineStr">
        <is>
          <t>What learning/assessment evidence is analysed beyond marks, who uses it, and what decision or intervention changed because of that evidence?</t>
        </is>
      </c>
      <c r="H21" s="2" t="inlineStr">
        <is>
          <t>Data flow + action record</t>
        </is>
      </c>
      <c r="I21" s="2" t="inlineStr">
        <is>
          <t>I12</t>
        </is>
      </c>
      <c r="J21" s="2" t="inlineStr">
        <is>
          <t>E2 sampled artefact/work sample + rubric; score &gt;=3 requires direct operating/demonstration evidence; E3 where a legitimate outcome exists.</t>
        </is>
      </c>
    </row>
    <row r="22">
      <c r="A22" s="2" t="inlineStr">
        <is>
          <t>D08</t>
        </is>
      </c>
      <c r="B22" s="2" t="inlineStr">
        <is>
          <t>I10</t>
        </is>
      </c>
      <c r="C22" s="2" t="inlineStr">
        <is>
          <t>RED</t>
        </is>
      </c>
      <c r="D22" s="2" t="inlineStr">
        <is>
          <t>R08A21</t>
        </is>
      </c>
      <c r="E22" s="2" t="inlineStr">
        <is>
          <t>R08Q21</t>
        </is>
      </c>
      <c r="F22" s="2" t="inlineStr">
        <is>
          <t>Technology Decision Governance Test</t>
        </is>
      </c>
      <c r="G22" s="2" t="inlineStr">
        <is>
          <t>For major digital/AI technology choices, who decides, what criteria are applied, how architecture/security/privacy/interoperability are reviewed, and how lifecycle decisions are revisited?</t>
        </is>
      </c>
      <c r="H22" s="2" t="inlineStr">
        <is>
          <t>Decision workflow + decision record</t>
        </is>
      </c>
      <c r="I22" s="2" t="inlineStr">
        <is>
          <t>I10</t>
        </is>
      </c>
      <c r="J22" s="2" t="inlineStr">
        <is>
          <t>E2 implemented control + operating record; score &gt;=3 requires execution/testing or a real case; E4 preferred for high-stakes claims.</t>
        </is>
      </c>
    </row>
    <row r="23">
      <c r="A23" s="2" t="inlineStr">
        <is>
          <t>D08</t>
        </is>
      </c>
      <c r="B23" s="2" t="inlineStr">
        <is>
          <t>I11</t>
        </is>
      </c>
      <c r="C23" s="2" t="inlineStr">
        <is>
          <t>RED</t>
        </is>
      </c>
      <c r="D23" s="2" t="inlineStr">
        <is>
          <t>R08A22</t>
        </is>
      </c>
      <c r="E23" s="2" t="inlineStr">
        <is>
          <t>R08Q22</t>
        </is>
      </c>
      <c r="F23" s="2" t="inlineStr">
        <is>
          <t>Digital Process Maturity Test</t>
        </is>
      </c>
      <c r="G23" s="2" t="inlineStr">
        <is>
          <t>Select two high-volume institutional processes and show their current digital workflow, manual hand-offs, automation level, exception handling and measured improvement.</t>
        </is>
      </c>
      <c r="H23" s="2" t="inlineStr">
        <is>
          <t>Process maps + performance evidence</t>
        </is>
      </c>
      <c r="I23" s="2" t="inlineStr">
        <is>
          <t>I11</t>
        </is>
      </c>
      <c r="J23" s="2" t="inlineStr">
        <is>
          <t>E2 sampled artefact/work sample + rubric; score &gt;=3 requires direct operating/demonstration evidence; E3 where a legitimate outcome exists.</t>
        </is>
      </c>
    </row>
    <row r="24">
      <c r="A24" s="2" t="inlineStr">
        <is>
          <t>D09</t>
        </is>
      </c>
      <c r="B24" s="2" t="inlineStr">
        <is>
          <t>I09</t>
        </is>
      </c>
      <c r="C24" s="2" t="inlineStr">
        <is>
          <t>RED</t>
        </is>
      </c>
      <c r="D24" s="2" t="inlineStr">
        <is>
          <t>R09A23</t>
        </is>
      </c>
      <c r="E24" s="2" t="inlineStr">
        <is>
          <t>R09Q23</t>
        </is>
      </c>
      <c r="F24" s="2" t="inlineStr">
        <is>
          <t>Capability Signalling Test</t>
        </is>
      </c>
      <c r="G24" s="2" t="inlineStr">
        <is>
          <t>How do students/graduates present credible evidence of what they can do through portfolios, projects, demonstrations, credentials or other capability evidence, and how is that evidence validated externally?</t>
        </is>
      </c>
      <c r="H24" s="2" t="inlineStr">
        <is>
          <t>Portfolio sample + validation evidence</t>
        </is>
      </c>
      <c r="I24" s="2" t="inlineStr">
        <is>
          <t>I09</t>
        </is>
      </c>
      <c r="J24" s="2" t="inlineStr">
        <is>
          <t>E2 sampled artefact/work sample + rubric; score &gt;=3 requires direct operating/demonstration evidence; E3 where a legitimate outcome exists.</t>
        </is>
      </c>
    </row>
    <row r="25">
      <c r="A25" s="2" t="inlineStr">
        <is>
          <t>D09</t>
        </is>
      </c>
      <c r="B25" s="2" t="inlineStr">
        <is>
          <t>I11</t>
        </is>
      </c>
      <c r="C25" s="2" t="inlineStr">
        <is>
          <t>RED</t>
        </is>
      </c>
      <c r="D25" s="2" t="inlineStr">
        <is>
          <t>R09A24</t>
        </is>
      </c>
      <c r="E25" s="2" t="inlineStr">
        <is>
          <t>R09Q24</t>
        </is>
      </c>
      <c r="F25" s="2" t="inlineStr">
        <is>
          <t>Regional Economic Relevance Test</t>
        </is>
      </c>
      <c r="G25" s="2" t="inlineStr">
        <is>
          <t>How does the institution identify the economic and social needs of its region and translate them into programmes, skills, partnerships, research or community value? Show two recent decisions linked to regional evidence.</t>
        </is>
      </c>
      <c r="H25" s="2" t="inlineStr">
        <is>
          <t>Signal source + 2 decisions</t>
        </is>
      </c>
      <c r="I25" s="2" t="inlineStr">
        <is>
          <t>I11</t>
        </is>
      </c>
      <c r="J25" s="2" t="inlineStr">
        <is>
          <t>E2 sampled artefact/work sample + rubric; score &gt;=3 requires direct operating/demonstration evidence; E3 where a legitimate outcome exists.</t>
        </is>
      </c>
    </row>
    <row r="26">
      <c r="A26" s="2" t="inlineStr">
        <is>
          <t>D10</t>
        </is>
      </c>
      <c r="B26" s="2" t="inlineStr">
        <is>
          <t>I05</t>
        </is>
      </c>
      <c r="C26" s="2" t="inlineStr">
        <is>
          <t>RED</t>
        </is>
      </c>
      <c r="D26" s="2" t="inlineStr">
        <is>
          <t>R10A25</t>
        </is>
      </c>
      <c r="E26" s="2" t="inlineStr">
        <is>
          <t>R10Q25</t>
        </is>
      </c>
      <c r="F26" s="2" t="inlineStr">
        <is>
          <t>Research Infrastructure Test</t>
        </is>
      </c>
      <c r="G26" s="2" t="inlineStr">
        <is>
          <t>Map critical research infrastructure, data, compute, laboratories, platforms or specialist tools required by priority research areas. How is adequacy, access, utilisation and renewal assessed?</t>
        </is>
      </c>
      <c r="H26" s="2" t="inlineStr">
        <is>
          <t>Inventory + utilisation/renewal evidence</t>
        </is>
      </c>
      <c r="I26" s="2" t="inlineStr">
        <is>
          <t>I05</t>
        </is>
      </c>
      <c r="J26" s="2" t="inlineStr">
        <is>
          <t>E2 sampled artefact/work sample + rubric; score &gt;=3 requires direct operating/demonstration evidence; E3 where a legitimate outcome exists.</t>
        </is>
      </c>
    </row>
    <row r="27">
      <c r="A27" s="2" t="inlineStr">
        <is>
          <t>D10</t>
        </is>
      </c>
      <c r="B27" s="2" t="inlineStr">
        <is>
          <t>I06</t>
        </is>
      </c>
      <c r="C27" s="2" t="inlineStr">
        <is>
          <t>RED</t>
        </is>
      </c>
      <c r="D27" s="2" t="inlineStr">
        <is>
          <t>R10A26</t>
        </is>
      </c>
      <c r="E27" s="2" t="inlineStr">
        <is>
          <t>R10Q26</t>
        </is>
      </c>
      <c r="F27" s="2" t="inlineStr">
        <is>
          <t>Researcher Capability Test</t>
        </is>
      </c>
      <c r="G27" s="2" t="inlineStr">
        <is>
          <t>How does the institution build, retain and support research-active faculty/researchers, including methods, AI capability, mentorship, workload, career progression and interdisciplinary development?</t>
        </is>
      </c>
      <c r="H27" s="2" t="inlineStr">
        <is>
          <t>Capability framework + sample</t>
        </is>
      </c>
      <c r="I27" s="2" t="inlineStr">
        <is>
          <t>I06</t>
        </is>
      </c>
      <c r="J27" s="2" t="inlineStr">
        <is>
          <t>E2 sampled artefact/work sample + rubric; score &gt;=3 requires direct operating/demonstration evidence; E3 where a legitimate outcome exists.</t>
        </is>
      </c>
    </row>
    <row r="28">
      <c r="A28" s="2" t="inlineStr">
        <is>
          <t>D10</t>
        </is>
      </c>
      <c r="B28" s="2" t="inlineStr">
        <is>
          <t>I07</t>
        </is>
      </c>
      <c r="C28" s="2" t="inlineStr">
        <is>
          <t>RED</t>
        </is>
      </c>
      <c r="D28" s="2" t="inlineStr">
        <is>
          <t>R10A27</t>
        </is>
      </c>
      <c r="E28" s="2" t="inlineStr">
        <is>
          <t>R10Q27</t>
        </is>
      </c>
      <c r="F28" s="2" t="inlineStr">
        <is>
          <t>Research Funding Capability Test</t>
        </is>
      </c>
      <c r="G28" s="2" t="inlineStr">
        <is>
          <t>How does the institution sense funding opportunities, develop proposals, support researchers, track conversion and learn from unsuccessful bids? Provide recent pipeline/conversion evidence.</t>
        </is>
      </c>
      <c r="H28" s="2" t="inlineStr">
        <is>
          <t>Funding pipeline + outcome records</t>
        </is>
      </c>
      <c r="I28" s="2" t="inlineStr">
        <is>
          <t>I07</t>
        </is>
      </c>
      <c r="J28" s="2" t="inlineStr">
        <is>
          <t>E2 operational evidence with dated numerator/denominator; score &gt;=3 corroborated; E3 for outcome claims.</t>
        </is>
      </c>
    </row>
    <row r="29">
      <c r="A29" s="2" t="inlineStr">
        <is>
          <t>D10</t>
        </is>
      </c>
      <c r="B29" s="2" t="inlineStr">
        <is>
          <t>I09</t>
        </is>
      </c>
      <c r="C29" s="2" t="inlineStr">
        <is>
          <t>RED</t>
        </is>
      </c>
      <c r="D29" s="2" t="inlineStr">
        <is>
          <t>R10A28</t>
        </is>
      </c>
      <c r="E29" s="2" t="inlineStr">
        <is>
          <t>R10Q28</t>
        </is>
      </c>
      <c r="F29" s="2" t="inlineStr">
        <is>
          <t>Industry-Linked Research Test</t>
        </is>
      </c>
      <c r="G29" s="2" t="inlineStr">
        <is>
          <t>How many and what types of meaningful research collaborations with industry/external organisations are active, and what value, knowledge transfer or co-created output resulted?</t>
        </is>
      </c>
      <c r="H29" s="2" t="inlineStr">
        <is>
          <t>Collaboration register + 2 cases</t>
        </is>
      </c>
      <c r="I29" s="2" t="inlineStr">
        <is>
          <t>I09</t>
        </is>
      </c>
      <c r="J29" s="2" t="inlineStr">
        <is>
          <t>E2 sampled artefact/work sample + rubric; score &gt;=3 requires direct operating/demonstration evidence; E3 where a legitimate outcome exists.</t>
        </is>
      </c>
    </row>
    <row r="30">
      <c r="A30" s="2" t="inlineStr">
        <is>
          <t>D10</t>
        </is>
      </c>
      <c r="B30" s="2" t="inlineStr">
        <is>
          <t>I11</t>
        </is>
      </c>
      <c r="C30" s="2" t="inlineStr">
        <is>
          <t>RED</t>
        </is>
      </c>
      <c r="D30" s="2" t="inlineStr">
        <is>
          <t>R10A29</t>
        </is>
      </c>
      <c r="E30" s="2" t="inlineStr">
        <is>
          <t>R10Q29</t>
        </is>
      </c>
      <c r="F30" s="2" t="inlineStr">
        <is>
          <t>IP &amp; Knowledge Assets Test</t>
        </is>
      </c>
      <c r="G30" s="2" t="inlineStr">
        <is>
          <t>How are patents, software, datasets, designs, methods, licences, know-how and other knowledge assets identified, protected, governed and translated into use or value?</t>
        </is>
      </c>
      <c r="H30" s="2" t="inlineStr">
        <is>
          <t>Asset register/process + 2 cases</t>
        </is>
      </c>
      <c r="I30" s="2" t="inlineStr">
        <is>
          <t>I11</t>
        </is>
      </c>
      <c r="J30" s="2" t="inlineStr">
        <is>
          <t>E2 implemented control + operating record; score &gt;=3 requires execution/testing or a real case; E4 preferred for high-stakes claims.</t>
        </is>
      </c>
    </row>
    <row r="31">
      <c r="A31" s="2" t="inlineStr">
        <is>
          <t>D11</t>
        </is>
      </c>
      <c r="B31" s="2" t="inlineStr">
        <is>
          <t>I05</t>
        </is>
      </c>
      <c r="C31" s="2" t="inlineStr">
        <is>
          <t>RED</t>
        </is>
      </c>
      <c r="D31" s="2" t="inlineStr">
        <is>
          <t>R11A30</t>
        </is>
      </c>
      <c r="E31" s="2" t="inlineStr">
        <is>
          <t>R11Q30</t>
        </is>
      </c>
      <c r="F31" s="2" t="inlineStr">
        <is>
          <t>Institutional Experimentation Test</t>
        </is>
      </c>
      <c r="G31" s="2" t="inlineStr">
        <is>
          <t>Show three recent institutional experiments/pilots. For each, state hypothesis, scope, decision owner, success/failure criteria, result, and whether it was scaled, adapted or stopped.</t>
        </is>
      </c>
      <c r="H31" s="2" t="inlineStr">
        <is>
          <t>3 pilot records</t>
        </is>
      </c>
      <c r="I31" s="2" t="inlineStr">
        <is>
          <t>I05</t>
        </is>
      </c>
      <c r="J31" s="2" t="inlineStr">
        <is>
          <t>E2 sampled artefact/work sample + rubric; score &gt;=3 requires direct operating/demonstration evidence; E3 where a legitimate outcome exists.</t>
        </is>
      </c>
    </row>
    <row r="32">
      <c r="A32" s="2" t="inlineStr">
        <is>
          <t>D11</t>
        </is>
      </c>
      <c r="B32" s="2" t="inlineStr">
        <is>
          <t>I08</t>
        </is>
      </c>
      <c r="C32" s="2" t="inlineStr">
        <is>
          <t>RED</t>
        </is>
      </c>
      <c r="D32" s="2" t="inlineStr">
        <is>
          <t>R11A31</t>
        </is>
      </c>
      <c r="E32" s="2" t="inlineStr">
        <is>
          <t>R11Q31</t>
        </is>
      </c>
      <c r="F32" s="2" t="inlineStr">
        <is>
          <t>Adaptive Leadership Alignment Test</t>
        </is>
      </c>
      <c r="G32" s="2" t="inlineStr">
        <is>
          <t>When strategic conditions change, how do senior leaders align priorities, resolve conflicts and communicate the revised direction? Show one recent example with before/after priorities.</t>
        </is>
      </c>
      <c r="H32" s="2" t="inlineStr">
        <is>
          <t>Decision record + communication evidence</t>
        </is>
      </c>
      <c r="I32" s="2" t="inlineStr">
        <is>
          <t>I08</t>
        </is>
      </c>
      <c r="J32" s="2" t="inlineStr">
        <is>
          <t>E2 implemented control + operating record; score &gt;=3 requires execution/testing or a real case; E4 preferred for high-stakes claims.</t>
        </is>
      </c>
    </row>
    <row r="33">
      <c r="A33" s="2" t="inlineStr">
        <is>
          <t>D11</t>
        </is>
      </c>
      <c r="B33" s="2" t="inlineStr">
        <is>
          <t>I09</t>
        </is>
      </c>
      <c r="C33" s="2" t="inlineStr">
        <is>
          <t>RED</t>
        </is>
      </c>
      <c r="D33" s="2" t="inlineStr">
        <is>
          <t>R11A32</t>
        </is>
      </c>
      <c r="E33" s="2" t="inlineStr">
        <is>
          <t>R11Q32</t>
        </is>
      </c>
      <c r="F33" s="2" t="inlineStr">
        <is>
          <t>Learner Signal Responsiveness Test</t>
        </is>
      </c>
      <c r="G33" s="2" t="inlineStr">
        <is>
          <t>How does the institution detect changing learner expectations/experience, decide which signals matter, and demonstrate that learner evidence changed a programme, service or policy?</t>
        </is>
      </c>
      <c r="H33" s="2" t="inlineStr">
        <is>
          <t>Signal process + action record</t>
        </is>
      </c>
      <c r="I33" s="2" t="inlineStr">
        <is>
          <t>I09</t>
        </is>
      </c>
      <c r="J33" s="2" t="inlineStr">
        <is>
          <t>E2 sampled artefact/work sample + rubric; score &gt;=3 requires direct operating/demonstration evidence; E3 where a legitimate outcome exists.</t>
        </is>
      </c>
    </row>
    <row r="34">
      <c r="A34" s="2" t="inlineStr">
        <is>
          <t>D11</t>
        </is>
      </c>
      <c r="B34" s="2" t="inlineStr">
        <is>
          <t>I11</t>
        </is>
      </c>
      <c r="C34" s="2" t="inlineStr">
        <is>
          <t>RED</t>
        </is>
      </c>
      <c r="D34" s="2" t="inlineStr">
        <is>
          <t>R11A33</t>
        </is>
      </c>
      <c r="E34" s="2" t="inlineStr">
        <is>
          <t>R11Q33</t>
        </is>
      </c>
      <c r="F34" s="2" t="inlineStr">
        <is>
          <t>Scenario Planning Test</t>
        </is>
      </c>
      <c r="G34" s="2" t="inlineStr">
        <is>
          <t>Show the plausible future scenarios currently considered, assumptions and trigger indicators for each, and the decisions or contingency actions associated with them.</t>
        </is>
      </c>
      <c r="H34" s="2" t="inlineStr">
        <is>
          <t>Scenario set + trigger/action map</t>
        </is>
      </c>
      <c r="I34" s="2" t="inlineStr">
        <is>
          <t>I11</t>
        </is>
      </c>
      <c r="J34" s="2" t="inlineStr">
        <is>
          <t>E2 sampled artefact/work sample + rubric; score &gt;=3 requires direct operating/demonstration evidence; E3 where a legitimate outcome exists.</t>
        </is>
      </c>
    </row>
  </sheetData>
  <pageMargins left="0.7" right="0.7" top="0.75" bottom="0.75" header="0.3" footer="0.3"/>
</worksheet>
</file>

<file path=xl/worksheets/sheet131.xml><?xml version="1.0" encoding="utf-8"?>
<worksheet xmlns="http://schemas.openxmlformats.org/spreadsheetml/2006/main">
  <sheetPr>
    <outlinePr summaryBelow="1" summaryRight="1"/>
    <pageSetUpPr/>
  </sheetPr>
  <dimension ref="A1:F4"/>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9.7109375" customWidth="1" min="3" max="3"/>
    <col width="35.7109375" customWidth="1" min="4" max="4"/>
    <col width="39.7109375" customWidth="1" min="5" max="5"/>
    <col width="13.7109375" customWidth="1" min="6" max="6"/>
  </cols>
  <sheetData>
    <row r="1">
      <c r="A1" s="22" t="inlineStr">
        <is>
          <t>Domain</t>
        </is>
      </c>
      <c r="B1" s="22" t="inlineStr">
        <is>
          <t>Card ID</t>
        </is>
      </c>
      <c r="C1" s="22" t="inlineStr">
        <is>
          <t>Assessment Card</t>
        </is>
      </c>
      <c r="D1" s="22" t="inlineStr">
        <is>
          <t>Input / Response Format</t>
        </is>
      </c>
      <c r="E1" s="22" t="inlineStr">
        <is>
          <t>Purpose / Respondent Action</t>
        </is>
      </c>
      <c r="F1" s="22" t="inlineStr">
        <is>
          <t>Metric Link</t>
        </is>
      </c>
    </row>
    <row r="2">
      <c r="A2" s="2" t="inlineStr">
        <is>
          <t>D01</t>
        </is>
      </c>
      <c r="B2" s="2" t="inlineStr">
        <is>
          <t>R01A01</t>
        </is>
      </c>
      <c r="C2" s="2" t="inlineStr">
        <is>
          <t>Programme Future-Review Coverage Test</t>
        </is>
      </c>
      <c r="D2" s="2" t="inlineStr">
        <is>
          <t>Numerator/denominator + 2 records</t>
        </is>
      </c>
      <c r="E2" s="2" t="inlineStr">
        <is>
          <t>Direct metric-level remediation probe</t>
        </is>
      </c>
      <c r="F2" s="2" t="inlineStr">
        <is>
          <t>I04</t>
        </is>
      </c>
    </row>
    <row r="3">
      <c r="A3" s="2" t="inlineStr">
        <is>
          <t>D01</t>
        </is>
      </c>
      <c r="B3" s="2" t="inlineStr">
        <is>
          <t>R01A02</t>
        </is>
      </c>
      <c r="C3" s="2" t="inlineStr">
        <is>
          <t>Resource Alignment Test</t>
        </is>
      </c>
      <c r="D3" s="2" t="inlineStr">
        <is>
          <t>Structured table + 2 records</t>
        </is>
      </c>
      <c r="E3" s="2" t="inlineStr">
        <is>
          <t>Direct metric-level remediation probe</t>
        </is>
      </c>
      <c r="F3" s="2" t="inlineStr">
        <is>
          <t>I07</t>
        </is>
      </c>
    </row>
    <row r="4">
      <c r="A4" s="2" t="inlineStr">
        <is>
          <t>D01</t>
        </is>
      </c>
      <c r="B4" s="2" t="inlineStr">
        <is>
          <t>R01A03</t>
        </is>
      </c>
      <c r="C4" s="2" t="inlineStr">
        <is>
          <t>Strategic Learning Test</t>
        </is>
      </c>
      <c r="D4" s="2" t="inlineStr">
        <is>
          <t>2 before/after decision records</t>
        </is>
      </c>
      <c r="E4" s="2" t="inlineStr">
        <is>
          <t>Direct metric-level remediation probe</t>
        </is>
      </c>
      <c r="F4" s="2" t="inlineStr">
        <is>
          <t>I10</t>
        </is>
      </c>
    </row>
  </sheetData>
  <pageMargins left="0.7" right="0.7" top="0.75" bottom="0.75" header="0.3" footer="0.3"/>
</worksheet>
</file>

<file path=xl/worksheets/sheet132.xml><?xml version="1.0" encoding="utf-8"?>
<worksheet xmlns="http://schemas.openxmlformats.org/spreadsheetml/2006/main">
  <sheetPr>
    <outlinePr summaryBelow="1" summaryRight="1"/>
    <pageSetUpPr/>
  </sheetPr>
  <dimension ref="A1:G4"/>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35.7109375" customWidth="1" min="5" max="5"/>
    <col width="26.7109375" customWidth="1" min="6" max="6"/>
    <col width="13.7109375" customWidth="1" min="7" max="7"/>
  </cols>
  <sheetData>
    <row r="1">
      <c r="A1" s="22" t="inlineStr">
        <is>
          <t>Domain</t>
        </is>
      </c>
      <c r="B1" s="22" t="inlineStr">
        <is>
          <t>Question ID</t>
        </is>
      </c>
      <c r="C1" s="22" t="inlineStr">
        <is>
          <t>Card</t>
        </is>
      </c>
      <c r="D1" s="22" t="inlineStr">
        <is>
          <t>Prompt</t>
        </is>
      </c>
      <c r="E1" s="22" t="inlineStr">
        <is>
          <t>Input Type</t>
        </is>
      </c>
      <c r="F1" s="22" t="inlineStr">
        <is>
          <t>Role</t>
        </is>
      </c>
      <c r="G1" s="22" t="inlineStr">
        <is>
          <t>Metric Link</t>
        </is>
      </c>
    </row>
    <row r="2">
      <c r="A2" s="2" t="inlineStr">
        <is>
          <t>D01</t>
        </is>
      </c>
      <c r="B2" s="2" t="inlineStr">
        <is>
          <t>R01Q01</t>
        </is>
      </c>
      <c r="C2" s="2" t="inlineStr">
        <is>
          <t>R01A01</t>
        </is>
      </c>
      <c r="D2" s="2" t="inlineStr">
        <is>
          <t>For the most recent programme-review cycle, provide the number of applicable programmes reviewed for AI/future-of-work implications, the total applicable programmes, and two review records showing what changed or why no change was made.</t>
        </is>
      </c>
      <c r="E2" s="2" t="inlineStr">
        <is>
          <t>Numerator/denominator + 2 records</t>
        </is>
      </c>
      <c r="F2" s="2" t="inlineStr">
        <is>
          <t>Metric-level remediation</t>
        </is>
      </c>
      <c r="G2" s="2" t="inlineStr">
        <is>
          <t>I04</t>
        </is>
      </c>
    </row>
    <row r="3">
      <c r="A3" s="2" t="inlineStr">
        <is>
          <t>D01</t>
        </is>
      </c>
      <c r="B3" s="2" t="inlineStr">
        <is>
          <t>R01Q02</t>
        </is>
      </c>
      <c r="C3" s="2" t="inlineStr">
        <is>
          <t>R01A02</t>
        </is>
      </c>
      <c r="D3" s="2" t="inlineStr">
        <is>
          <t>Show the last 12–18 months of material AI/future-priority decisions and corresponding budget, people, infrastructure or leadership-time movements. Which priority received resources and what evidence shows the movement was real?</t>
        </is>
      </c>
      <c r="E3" s="2" t="inlineStr">
        <is>
          <t>Structured table + 2 records</t>
        </is>
      </c>
      <c r="F3" s="2" t="inlineStr">
        <is>
          <t>Metric-level remediation</t>
        </is>
      </c>
      <c r="G3" s="2" t="inlineStr">
        <is>
          <t>I07</t>
        </is>
      </c>
    </row>
    <row r="4">
      <c r="A4" s="2" t="inlineStr">
        <is>
          <t>D01</t>
        </is>
      </c>
      <c r="B4" s="2" t="inlineStr">
        <is>
          <t>R01Q03</t>
        </is>
      </c>
      <c r="C4" s="2" t="inlineStr">
        <is>
          <t>R01A03</t>
        </is>
      </c>
      <c r="D4" s="2" t="inlineStr">
        <is>
          <t>Identify two recent strategic reviews, pilots or external signals that caused the institution to change an assumption, priority, programme decision or resource choice. What changed because of the learning?</t>
        </is>
      </c>
      <c r="E4" s="2" t="inlineStr">
        <is>
          <t>2 before/after decision records</t>
        </is>
      </c>
      <c r="F4" s="2" t="inlineStr">
        <is>
          <t>Metric-level remediation</t>
        </is>
      </c>
      <c r="G4" s="2" t="inlineStr">
        <is>
          <t>I10</t>
        </is>
      </c>
    </row>
  </sheetData>
  <pageMargins left="0.7" right="0.7" top="0.75" bottom="0.75" header="0.3" footer="0.3"/>
</worksheet>
</file>

<file path=xl/worksheets/sheet133.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29.7109375" customWidth="1" min="3" max="3"/>
    <col width="33.7109375" customWidth="1" min="4" max="4"/>
    <col width="39.7109375" customWidth="1" min="5" max="5"/>
    <col width="13.7109375" customWidth="1" min="6" max="6"/>
  </cols>
  <sheetData>
    <row r="1">
      <c r="A1" s="22" t="inlineStr">
        <is>
          <t>Domain</t>
        </is>
      </c>
      <c r="B1" s="22" t="inlineStr">
        <is>
          <t>Card ID</t>
        </is>
      </c>
      <c r="C1" s="22" t="inlineStr">
        <is>
          <t>Assessment Card</t>
        </is>
      </c>
      <c r="D1" s="22" t="inlineStr">
        <is>
          <t>Input / Response Format</t>
        </is>
      </c>
      <c r="E1" s="22" t="inlineStr">
        <is>
          <t>Purpose / Respondent Action</t>
        </is>
      </c>
      <c r="F1" s="22" t="inlineStr">
        <is>
          <t>Metric Link</t>
        </is>
      </c>
    </row>
    <row r="2">
      <c r="A2" s="2" t="inlineStr">
        <is>
          <t>D02</t>
        </is>
      </c>
      <c r="B2" s="2" t="inlineStr">
        <is>
          <t>R02A01</t>
        </is>
      </c>
      <c r="C2" s="2" t="inlineStr">
        <is>
          <t>Assessment Governance Test</t>
        </is>
      </c>
      <c r="D2" s="2" t="inlineStr">
        <is>
          <t>Governance matrix + case</t>
        </is>
      </c>
      <c r="E2" s="2" t="inlineStr">
        <is>
          <t>Direct metric-level remediation probe</t>
        </is>
      </c>
      <c r="F2" s="2" t="inlineStr">
        <is>
          <t>I06</t>
        </is>
      </c>
    </row>
    <row r="3">
      <c r="A3" s="2" t="inlineStr">
        <is>
          <t>D02</t>
        </is>
      </c>
      <c r="B3" s="2" t="inlineStr">
        <is>
          <t>R02A02</t>
        </is>
      </c>
      <c r="C3" s="2" t="inlineStr">
        <is>
          <t>AI Risk Register Test</t>
        </is>
      </c>
      <c r="D3" s="2" t="inlineStr">
        <is>
          <t>Risk register extract + 3 cases</t>
        </is>
      </c>
      <c r="E3" s="2" t="inlineStr">
        <is>
          <t>Direct metric-level remediation probe</t>
        </is>
      </c>
      <c r="F3" s="2" t="inlineStr">
        <is>
          <t>I07</t>
        </is>
      </c>
    </row>
    <row r="4">
      <c r="A4" s="2" t="inlineStr">
        <is>
          <t>D02</t>
        </is>
      </c>
      <c r="B4" s="2" t="inlineStr">
        <is>
          <t>R02A03</t>
        </is>
      </c>
      <c r="C4" s="2" t="inlineStr">
        <is>
          <t>AI IP Governance Test</t>
        </is>
      </c>
      <c r="D4" s="2" t="inlineStr">
        <is>
          <t>Policy/process + case</t>
        </is>
      </c>
      <c r="E4" s="2" t="inlineStr">
        <is>
          <t>Direct metric-level remediation probe</t>
        </is>
      </c>
      <c r="F4" s="2" t="inlineStr">
        <is>
          <t>I11</t>
        </is>
      </c>
    </row>
    <row r="5">
      <c r="A5" s="2" t="inlineStr">
        <is>
          <t>D02</t>
        </is>
      </c>
      <c r="B5" s="2" t="inlineStr">
        <is>
          <t>R02A04</t>
        </is>
      </c>
      <c r="C5" s="2" t="inlineStr">
        <is>
          <t>Research AI Governance Test</t>
        </is>
      </c>
      <c r="D5" s="2" t="inlineStr">
        <is>
          <t>Workflow + evidence sample</t>
        </is>
      </c>
      <c r="E5" s="2" t="inlineStr">
        <is>
          <t>Direct metric-level remediation probe</t>
        </is>
      </c>
      <c r="F5" s="2" t="inlineStr">
        <is>
          <t>I12</t>
        </is>
      </c>
    </row>
  </sheetData>
  <pageMargins left="0.7" right="0.7" top="0.75" bottom="0.75" header="0.3" footer="0.3"/>
</worksheet>
</file>

<file path=xl/worksheets/sheet134.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33.7109375" customWidth="1" min="5" max="5"/>
    <col width="26.7109375" customWidth="1" min="6" max="6"/>
    <col width="13.7109375" customWidth="1" min="7" max="7"/>
  </cols>
  <sheetData>
    <row r="1">
      <c r="A1" s="22" t="inlineStr">
        <is>
          <t>Domain</t>
        </is>
      </c>
      <c r="B1" s="22" t="inlineStr">
        <is>
          <t>Question ID</t>
        </is>
      </c>
      <c r="C1" s="22" t="inlineStr">
        <is>
          <t>Card</t>
        </is>
      </c>
      <c r="D1" s="22" t="inlineStr">
        <is>
          <t>Prompt</t>
        </is>
      </c>
      <c r="E1" s="22" t="inlineStr">
        <is>
          <t>Input Type</t>
        </is>
      </c>
      <c r="F1" s="22" t="inlineStr">
        <is>
          <t>Role</t>
        </is>
      </c>
      <c r="G1" s="22" t="inlineStr">
        <is>
          <t>Metric Link</t>
        </is>
      </c>
    </row>
    <row r="2">
      <c r="A2" s="2" t="inlineStr">
        <is>
          <t>D02</t>
        </is>
      </c>
      <c r="B2" s="2" t="inlineStr">
        <is>
          <t>R02Q01</t>
        </is>
      </c>
      <c r="C2" s="2" t="inlineStr">
        <is>
          <t>R02A01</t>
        </is>
      </c>
      <c r="D2" s="2" t="inlineStr">
        <is>
          <t>Who owns assessment validity under generative AI, what review/approval controls apply to consequential assessment changes, and how are exceptions, appeals and integrity risks handled? Show one recent case.</t>
        </is>
      </c>
      <c r="E2" s="2" t="inlineStr">
        <is>
          <t>Governance matrix + case</t>
        </is>
      </c>
      <c r="F2" s="2" t="inlineStr">
        <is>
          <t>Metric-level remediation</t>
        </is>
      </c>
      <c r="G2" s="2" t="inlineStr">
        <is>
          <t>I06</t>
        </is>
      </c>
    </row>
    <row r="3">
      <c r="A3" s="2" t="inlineStr">
        <is>
          <t>D02</t>
        </is>
      </c>
      <c r="B3" s="2" t="inlineStr">
        <is>
          <t>R02Q02</t>
        </is>
      </c>
      <c r="C3" s="2" t="inlineStr">
        <is>
          <t>R02A02</t>
        </is>
      </c>
      <c r="D3" s="2" t="inlineStr">
        <is>
          <t>Select the three most consequential AI use cases. Show how each risk was identified, rated, treated, assigned to an owner and monitored, including residual-risk decisions.</t>
        </is>
      </c>
      <c r="E3" s="2" t="inlineStr">
        <is>
          <t>Risk register extract + 3 cases</t>
        </is>
      </c>
      <c r="F3" s="2" t="inlineStr">
        <is>
          <t>Metric-level remediation</t>
        </is>
      </c>
      <c r="G3" s="2" t="inlineStr">
        <is>
          <t>I07</t>
        </is>
      </c>
    </row>
    <row r="4">
      <c r="A4" s="2" t="inlineStr">
        <is>
          <t>D02</t>
        </is>
      </c>
      <c r="B4" s="2" t="inlineStr">
        <is>
          <t>R02Q03</t>
        </is>
      </c>
      <c r="C4" s="2" t="inlineStr">
        <is>
          <t>R02A03</t>
        </is>
      </c>
      <c r="D4" s="2" t="inlineStr">
        <is>
          <t>How does the institution determine ownership, permitted use, attribution, copyright/IP risk and authorship responsibilities when AI is used in teaching, research or institutional content? Provide one applied example.</t>
        </is>
      </c>
      <c r="E4" s="2" t="inlineStr">
        <is>
          <t>Policy/process + case</t>
        </is>
      </c>
      <c r="F4" s="2" t="inlineStr">
        <is>
          <t>Metric-level remediation</t>
        </is>
      </c>
      <c r="G4" s="2" t="inlineStr">
        <is>
          <t>I11</t>
        </is>
      </c>
    </row>
    <row r="5">
      <c r="A5" s="2" t="inlineStr">
        <is>
          <t>D02</t>
        </is>
      </c>
      <c r="B5" s="2" t="inlineStr">
        <is>
          <t>R02Q04</t>
        </is>
      </c>
      <c r="C5" s="2" t="inlineStr">
        <is>
          <t>R02A04</t>
        </is>
      </c>
      <c r="D5" s="2" t="inlineStr">
        <is>
          <t>For research uses of AI, what controls address provenance, disclosure, data permissions, authorship, reproducibility, human judgement and research-integrity risk? Show one real workflow.</t>
        </is>
      </c>
      <c r="E5" s="2" t="inlineStr">
        <is>
          <t>Workflow + evidence sample</t>
        </is>
      </c>
      <c r="F5" s="2" t="inlineStr">
        <is>
          <t>Metric-level remediation</t>
        </is>
      </c>
      <c r="G5" s="2" t="inlineStr">
        <is>
          <t>I12</t>
        </is>
      </c>
    </row>
  </sheetData>
  <pageMargins left="0.7" right="0.7" top="0.75" bottom="0.75" header="0.3" footer="0.3"/>
</worksheet>
</file>

<file path=xl/worksheets/sheet135.xml><?xml version="1.0" encoding="utf-8"?>
<worksheet xmlns="http://schemas.openxmlformats.org/spreadsheetml/2006/main">
  <sheetPr>
    <outlinePr summaryBelow="1" summaryRight="1"/>
    <pageSetUpPr/>
  </sheetPr>
  <dimension ref="A1:F9"/>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3.7109375" customWidth="1" min="3" max="3"/>
    <col width="39.7109375" customWidth="1" min="4" max="5"/>
    <col width="13.7109375" customWidth="1" min="6" max="6"/>
  </cols>
  <sheetData>
    <row r="1">
      <c r="A1" s="22" t="inlineStr">
        <is>
          <t>Domain</t>
        </is>
      </c>
      <c r="B1" s="22" t="inlineStr">
        <is>
          <t>Card ID</t>
        </is>
      </c>
      <c r="C1" s="22" t="inlineStr">
        <is>
          <t>Assessment Card</t>
        </is>
      </c>
      <c r="D1" s="22" t="inlineStr">
        <is>
          <t>Input / Response Format</t>
        </is>
      </c>
      <c r="E1" s="22" t="inlineStr">
        <is>
          <t>Purpose / Respondent Action</t>
        </is>
      </c>
      <c r="F1" s="22" t="inlineStr">
        <is>
          <t>Metric Link</t>
        </is>
      </c>
    </row>
    <row r="2">
      <c r="A2" s="2" t="inlineStr">
        <is>
          <t>D03</t>
        </is>
      </c>
      <c r="B2" s="2" t="inlineStr">
        <is>
          <t>R03A01</t>
        </is>
      </c>
      <c r="C2" s="2" t="inlineStr">
        <is>
          <t>Question Formulation Test</t>
        </is>
      </c>
      <c r="D2" s="2" t="inlineStr">
        <is>
          <t>2 work samples + rubric</t>
        </is>
      </c>
      <c r="E2" s="2" t="inlineStr">
        <is>
          <t>Direct metric-level remediation probe</t>
        </is>
      </c>
      <c r="F2" s="2" t="inlineStr">
        <is>
          <t>I03</t>
        </is>
      </c>
    </row>
    <row r="3">
      <c r="A3" s="2" t="inlineStr">
        <is>
          <t>D03</t>
        </is>
      </c>
      <c r="B3" s="2" t="inlineStr">
        <is>
          <t>R03A02</t>
        </is>
      </c>
      <c r="C3" s="2" t="inlineStr">
        <is>
          <t>Creativity &amp; Originality Test</t>
        </is>
      </c>
      <c r="D3" s="2" t="inlineStr">
        <is>
          <t>2 samples + rubric</t>
        </is>
      </c>
      <c r="E3" s="2" t="inlineStr">
        <is>
          <t>Direct metric-level remediation probe</t>
        </is>
      </c>
      <c r="F3" s="2" t="inlineStr">
        <is>
          <t>I06</t>
        </is>
      </c>
    </row>
    <row r="4">
      <c r="A4" s="2" t="inlineStr">
        <is>
          <t>D03</t>
        </is>
      </c>
      <c r="B4" s="2" t="inlineStr">
        <is>
          <t>R03A03</t>
        </is>
      </c>
      <c r="C4" s="2" t="inlineStr">
        <is>
          <t>Metacognition Test</t>
        </is>
      </c>
      <c r="D4" s="2" t="inlineStr">
        <is>
          <t>2 samples + rubric</t>
        </is>
      </c>
      <c r="E4" s="2" t="inlineStr">
        <is>
          <t>Direct metric-level remediation probe</t>
        </is>
      </c>
      <c r="F4" s="2" t="inlineStr">
        <is>
          <t>I09</t>
        </is>
      </c>
    </row>
    <row r="5">
      <c r="A5" s="2" t="inlineStr">
        <is>
          <t>D03</t>
        </is>
      </c>
      <c r="B5" s="2" t="inlineStr">
        <is>
          <t>R03A04</t>
        </is>
      </c>
      <c r="C5" s="2" t="inlineStr">
        <is>
          <t>Human-AI Collaboration Test</t>
        </is>
      </c>
      <c r="D5" s="2" t="inlineStr">
        <is>
          <t>Task design + student sample</t>
        </is>
      </c>
      <c r="E5" s="2" t="inlineStr">
        <is>
          <t>Direct metric-level remediation probe</t>
        </is>
      </c>
      <c r="F5" s="2" t="inlineStr">
        <is>
          <t>I10</t>
        </is>
      </c>
    </row>
    <row r="6">
      <c r="A6" s="2" t="inlineStr">
        <is>
          <t>D03</t>
        </is>
      </c>
      <c r="B6" s="2" t="inlineStr">
        <is>
          <t>R03A05</t>
        </is>
      </c>
      <c r="C6" s="2" t="inlineStr">
        <is>
          <t>Communication &amp; Defence Test</t>
        </is>
      </c>
      <c r="D6" s="2" t="inlineStr">
        <is>
          <t>Assessment + sample/rubric</t>
        </is>
      </c>
      <c r="E6" s="2" t="inlineStr">
        <is>
          <t>Direct metric-level remediation probe</t>
        </is>
      </c>
      <c r="F6" s="2" t="inlineStr">
        <is>
          <t>I11</t>
        </is>
      </c>
    </row>
    <row r="7">
      <c r="A7" s="2" t="inlineStr">
        <is>
          <t>D03</t>
        </is>
      </c>
      <c r="B7" s="2" t="inlineStr">
        <is>
          <t>R03A06</t>
        </is>
      </c>
      <c r="C7" s="2" t="inlineStr">
        <is>
          <t>Collaboration Capability Test</t>
        </is>
      </c>
      <c r="D7" s="2" t="inlineStr">
        <is>
          <t>Team task + contribution evidence</t>
        </is>
      </c>
      <c r="E7" s="2" t="inlineStr">
        <is>
          <t>Direct metric-level remediation probe</t>
        </is>
      </c>
      <c r="F7" s="2" t="inlineStr">
        <is>
          <t>I12</t>
        </is>
      </c>
    </row>
    <row r="8">
      <c r="A8" s="2" t="inlineStr">
        <is>
          <t>D03</t>
        </is>
      </c>
      <c r="B8" s="2" t="inlineStr">
        <is>
          <t>R03A07</t>
        </is>
      </c>
      <c r="C8" s="2" t="inlineStr">
        <is>
          <t>Practical Capability Test</t>
        </is>
      </c>
      <c r="D8" s="2" t="inlineStr">
        <is>
          <t>Practical task + performance evidence</t>
        </is>
      </c>
      <c r="E8" s="2" t="inlineStr">
        <is>
          <t>Direct metric-level remediation probe</t>
        </is>
      </c>
      <c r="F8" s="2" t="inlineStr">
        <is>
          <t>I13</t>
        </is>
      </c>
    </row>
    <row r="9">
      <c r="A9" s="2" t="inlineStr">
        <is>
          <t>D03</t>
        </is>
      </c>
      <c r="B9" s="2" t="inlineStr">
        <is>
          <t>R03A08</t>
        </is>
      </c>
      <c r="C9" s="2" t="inlineStr">
        <is>
          <t>Ethical &amp; Social Judgement Test</t>
        </is>
      </c>
      <c r="D9" s="2" t="inlineStr">
        <is>
          <t>Case/task + rubric</t>
        </is>
      </c>
      <c r="E9" s="2" t="inlineStr">
        <is>
          <t>Direct metric-level remediation probe</t>
        </is>
      </c>
      <c r="F9" s="2" t="inlineStr">
        <is>
          <t>I14</t>
        </is>
      </c>
    </row>
  </sheetData>
  <pageMargins left="0.7" right="0.7" top="0.75" bottom="0.75" header="0.3" footer="0.3"/>
</worksheet>
</file>

<file path=xl/worksheets/sheet136.xml><?xml version="1.0" encoding="utf-8"?>
<worksheet xmlns="http://schemas.openxmlformats.org/spreadsheetml/2006/main">
  <sheetPr>
    <outlinePr summaryBelow="1" summaryRight="1"/>
    <pageSetUpPr/>
  </sheetPr>
  <dimension ref="A1:G9"/>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39.7109375" customWidth="1" min="5" max="5"/>
    <col width="26.7109375" customWidth="1" min="6" max="6"/>
    <col width="13.7109375" customWidth="1" min="7" max="7"/>
  </cols>
  <sheetData>
    <row r="1">
      <c r="A1" s="22" t="inlineStr">
        <is>
          <t>Domain</t>
        </is>
      </c>
      <c r="B1" s="22" t="inlineStr">
        <is>
          <t>Question ID</t>
        </is>
      </c>
      <c r="C1" s="22" t="inlineStr">
        <is>
          <t>Card</t>
        </is>
      </c>
      <c r="D1" s="22" t="inlineStr">
        <is>
          <t>Prompt</t>
        </is>
      </c>
      <c r="E1" s="22" t="inlineStr">
        <is>
          <t>Input Type</t>
        </is>
      </c>
      <c r="F1" s="22" t="inlineStr">
        <is>
          <t>Role</t>
        </is>
      </c>
      <c r="G1" s="22" t="inlineStr">
        <is>
          <t>Metric Link</t>
        </is>
      </c>
    </row>
    <row r="2">
      <c r="A2" s="2" t="inlineStr">
        <is>
          <t>D03</t>
        </is>
      </c>
      <c r="B2" s="2" t="inlineStr">
        <is>
          <t>R03Q01</t>
        </is>
      </c>
      <c r="C2" s="2" t="inlineStr">
        <is>
          <t>R03A01</t>
        </is>
      </c>
      <c r="D2" s="2" t="inlineStr">
        <is>
          <t>Give two examples of assessed student work where students had to formulate or refine the question/problem rather than merely answer a supplied prompt. How was quality judged?</t>
        </is>
      </c>
      <c r="E2" s="2" t="inlineStr">
        <is>
          <t>2 work samples + rubric</t>
        </is>
      </c>
      <c r="F2" s="2" t="inlineStr">
        <is>
          <t>Metric-level remediation</t>
        </is>
      </c>
      <c r="G2" s="2" t="inlineStr">
        <is>
          <t>I03</t>
        </is>
      </c>
    </row>
    <row r="3">
      <c r="A3" s="2" t="inlineStr">
        <is>
          <t>D03</t>
        </is>
      </c>
      <c r="B3" s="2" t="inlineStr">
        <is>
          <t>R03Q02</t>
        </is>
      </c>
      <c r="C3" s="2" t="inlineStr">
        <is>
          <t>R03A02</t>
        </is>
      </c>
      <c r="D3" s="2" t="inlineStr">
        <is>
          <t>Show how students are asked to generate original interpretations, designs, hypotheses, solutions or value beyond reproducing existing content. How is originality judged?</t>
        </is>
      </c>
      <c r="E3" s="2" t="inlineStr">
        <is>
          <t>2 samples + rubric</t>
        </is>
      </c>
      <c r="F3" s="2" t="inlineStr">
        <is>
          <t>Metric-level remediation</t>
        </is>
      </c>
      <c r="G3" s="2" t="inlineStr">
        <is>
          <t>I06</t>
        </is>
      </c>
    </row>
    <row r="4">
      <c r="A4" s="2" t="inlineStr">
        <is>
          <t>D03</t>
        </is>
      </c>
      <c r="B4" s="2" t="inlineStr">
        <is>
          <t>R03Q03</t>
        </is>
      </c>
      <c r="C4" s="2" t="inlineStr">
        <is>
          <t>R03A03</t>
        </is>
      </c>
      <c r="D4" s="2" t="inlineStr">
        <is>
          <t>Show how students reflect on their reasoning, identify uncertainty or error, revise their approach and explain what they learned about their own thinking.</t>
        </is>
      </c>
      <c r="E4" s="2" t="inlineStr">
        <is>
          <t>2 samples + rubric</t>
        </is>
      </c>
      <c r="F4" s="2" t="inlineStr">
        <is>
          <t>Metric-level remediation</t>
        </is>
      </c>
      <c r="G4" s="2" t="inlineStr">
        <is>
          <t>I09</t>
        </is>
      </c>
    </row>
    <row r="5">
      <c r="A5" s="2" t="inlineStr">
        <is>
          <t>D03</t>
        </is>
      </c>
      <c r="B5" s="2" t="inlineStr">
        <is>
          <t>R03Q04</t>
        </is>
      </c>
      <c r="C5" s="2" t="inlineStr">
        <is>
          <t>R03A04</t>
        </is>
      </c>
      <c r="D5" s="2" t="inlineStr">
        <is>
          <t>Show one assessed task in which students decide what AI should and should not do, verify outputs and iteratively improve the work while retaining responsibility for judgement.</t>
        </is>
      </c>
      <c r="E5" s="2" t="inlineStr">
        <is>
          <t>Task design + student sample</t>
        </is>
      </c>
      <c r="F5" s="2" t="inlineStr">
        <is>
          <t>Metric-level remediation</t>
        </is>
      </c>
      <c r="G5" s="2" t="inlineStr">
        <is>
          <t>I10</t>
        </is>
      </c>
    </row>
    <row r="6">
      <c r="A6" s="2" t="inlineStr">
        <is>
          <t>D03</t>
        </is>
      </c>
      <c r="B6" s="2" t="inlineStr">
        <is>
          <t>R03Q05</t>
        </is>
      </c>
      <c r="C6" s="2" t="inlineStr">
        <is>
          <t>R03A05</t>
        </is>
      </c>
      <c r="D6" s="2" t="inlineStr">
        <is>
          <t>Show one assessment in which students must explain and defend their reasoning, evidence, choices or limitations orally or in another appropriate mode.</t>
        </is>
      </c>
      <c r="E6" s="2" t="inlineStr">
        <is>
          <t>Assessment + sample/rubric</t>
        </is>
      </c>
      <c r="F6" s="2" t="inlineStr">
        <is>
          <t>Metric-level remediation</t>
        </is>
      </c>
      <c r="G6" s="2" t="inlineStr">
        <is>
          <t>I11</t>
        </is>
      </c>
    </row>
    <row r="7">
      <c r="A7" s="2" t="inlineStr">
        <is>
          <t>D03</t>
        </is>
      </c>
      <c r="B7" s="2" t="inlineStr">
        <is>
          <t>R03Q06</t>
        </is>
      </c>
      <c r="C7" s="2" t="inlineStr">
        <is>
          <t>R03A06</t>
        </is>
      </c>
      <c r="D7" s="2" t="inlineStr">
        <is>
          <t>Show how students collaborate with peers/practitioners/interdisciplinary teams and how individual contribution is evidenced and assessed.</t>
        </is>
      </c>
      <c r="E7" s="2" t="inlineStr">
        <is>
          <t>Team task + contribution evidence</t>
        </is>
      </c>
      <c r="F7" s="2" t="inlineStr">
        <is>
          <t>Metric-level remediation</t>
        </is>
      </c>
      <c r="G7" s="2" t="inlineStr">
        <is>
          <t>I12</t>
        </is>
      </c>
    </row>
    <row r="8">
      <c r="A8" s="2" t="inlineStr">
        <is>
          <t>D03</t>
        </is>
      </c>
      <c r="B8" s="2" t="inlineStr">
        <is>
          <t>R03Q07</t>
        </is>
      </c>
      <c r="C8" s="2" t="inlineStr">
        <is>
          <t>R03A07</t>
        </is>
      </c>
      <c r="D8" s="2" t="inlineStr">
        <is>
          <t>Show how students demonstrate practical, real-world or embodied competence where applicable to the discipline, including supervised or simulated practice.</t>
        </is>
      </c>
      <c r="E8" s="2" t="inlineStr">
        <is>
          <t>Practical task + performance evidence</t>
        </is>
      </c>
      <c r="F8" s="2" t="inlineStr">
        <is>
          <t>Metric-level remediation</t>
        </is>
      </c>
      <c r="G8" s="2" t="inlineStr">
        <is>
          <t>I13</t>
        </is>
      </c>
    </row>
    <row r="9">
      <c r="A9" s="2" t="inlineStr">
        <is>
          <t>D03</t>
        </is>
      </c>
      <c r="B9" s="2" t="inlineStr">
        <is>
          <t>R03Q08</t>
        </is>
      </c>
      <c r="C9" s="2" t="inlineStr">
        <is>
          <t>R03A08</t>
        </is>
      </c>
      <c r="D9" s="2" t="inlineStr">
        <is>
          <t>Show an assessed situation requiring students to consider consequences, values, stakeholders, fairness or responsibility rather than only technical correctness.</t>
        </is>
      </c>
      <c r="E9" s="2" t="inlineStr">
        <is>
          <t>Case/task + rubric</t>
        </is>
      </c>
      <c r="F9" s="2" t="inlineStr">
        <is>
          <t>Metric-level remediation</t>
        </is>
      </c>
      <c r="G9" s="2" t="inlineStr">
        <is>
          <t>I14</t>
        </is>
      </c>
    </row>
  </sheetData>
  <pageMargins left="0.7" right="0.7" top="0.75" bottom="0.75" header="0.3" footer="0.3"/>
</worksheet>
</file>

<file path=xl/worksheets/sheet137.xml><?xml version="1.0" encoding="utf-8"?>
<worksheet xmlns="http://schemas.openxmlformats.org/spreadsheetml/2006/main">
  <sheetPr>
    <outlinePr summaryBelow="1" summaryRight="1"/>
    <pageSetUpPr/>
  </sheetPr>
  <dimension ref="A1:F2"/>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4.7109375" customWidth="1" min="3" max="4"/>
    <col width="39.7109375" customWidth="1" min="5" max="5"/>
    <col width="13.7109375" customWidth="1" min="6" max="6"/>
  </cols>
  <sheetData>
    <row r="1">
      <c r="A1" s="22" t="inlineStr">
        <is>
          <t>Domain</t>
        </is>
      </c>
      <c r="B1" s="22" t="inlineStr">
        <is>
          <t>Card ID</t>
        </is>
      </c>
      <c r="C1" s="22" t="inlineStr">
        <is>
          <t>Assessment Card</t>
        </is>
      </c>
      <c r="D1" s="22" t="inlineStr">
        <is>
          <t>Input / Response Format</t>
        </is>
      </c>
      <c r="E1" s="22" t="inlineStr">
        <is>
          <t>Purpose / Respondent Action</t>
        </is>
      </c>
      <c r="F1" s="22" t="inlineStr">
        <is>
          <t>Metric Link</t>
        </is>
      </c>
    </row>
    <row r="2">
      <c r="A2" s="2" t="inlineStr">
        <is>
          <t>D04</t>
        </is>
      </c>
      <c r="B2" s="2" t="inlineStr">
        <is>
          <t>R04A01</t>
        </is>
      </c>
      <c r="C2" s="2" t="inlineStr">
        <is>
          <t>External Learning Ecosystem Test</t>
        </is>
      </c>
      <c r="D2" s="2" t="inlineStr">
        <is>
          <t>Inventory + 2 programme examples</t>
        </is>
      </c>
      <c r="E2" s="2" t="inlineStr">
        <is>
          <t>Direct metric-level remediation probe</t>
        </is>
      </c>
      <c r="F2" s="2" t="inlineStr">
        <is>
          <t>I10</t>
        </is>
      </c>
    </row>
  </sheetData>
  <pageMargins left="0.7" right="0.7" top="0.75" bottom="0.75" header="0.3" footer="0.3"/>
</worksheet>
</file>

<file path=xl/worksheets/sheet138.xml><?xml version="1.0" encoding="utf-8"?>
<worksheet xmlns="http://schemas.openxmlformats.org/spreadsheetml/2006/main">
  <sheetPr>
    <outlinePr summaryBelow="1" summaryRight="1"/>
    <pageSetUpPr/>
  </sheetPr>
  <dimension ref="A1:G2"/>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34.7109375" customWidth="1" min="5" max="5"/>
    <col width="26.7109375" customWidth="1" min="6" max="6"/>
    <col width="13.7109375" customWidth="1" min="7" max="7"/>
  </cols>
  <sheetData>
    <row r="1">
      <c r="A1" s="22" t="inlineStr">
        <is>
          <t>Domain</t>
        </is>
      </c>
      <c r="B1" s="22" t="inlineStr">
        <is>
          <t>Question ID</t>
        </is>
      </c>
      <c r="C1" s="22" t="inlineStr">
        <is>
          <t>Card</t>
        </is>
      </c>
      <c r="D1" s="22" t="inlineStr">
        <is>
          <t>Prompt</t>
        </is>
      </c>
      <c r="E1" s="22" t="inlineStr">
        <is>
          <t>Input Type</t>
        </is>
      </c>
      <c r="F1" s="22" t="inlineStr">
        <is>
          <t>Role</t>
        </is>
      </c>
      <c r="G1" s="22" t="inlineStr">
        <is>
          <t>Metric Link</t>
        </is>
      </c>
    </row>
    <row r="2">
      <c r="A2" s="2" t="inlineStr">
        <is>
          <t>D04</t>
        </is>
      </c>
      <c r="B2" s="2" t="inlineStr">
        <is>
          <t>R04Q01</t>
        </is>
      </c>
      <c r="C2" s="2" t="inlineStr">
        <is>
          <t>R04A01</t>
        </is>
      </c>
      <c r="D2" s="2" t="inlineStr">
        <is>
          <t>Which external learning resources, professional platforms, credentials, practice environments or partner ecosystems are intentionally integrated into programmes, and how is their quality and learning value reviewed?</t>
        </is>
      </c>
      <c r="E2" s="2" t="inlineStr">
        <is>
          <t>Inventory + 2 programme examples</t>
        </is>
      </c>
      <c r="F2" s="2" t="inlineStr">
        <is>
          <t>Metric-level remediation</t>
        </is>
      </c>
      <c r="G2" s="2" t="inlineStr">
        <is>
          <t>I10</t>
        </is>
      </c>
    </row>
  </sheetData>
  <pageMargins left="0.7" right="0.7" top="0.75" bottom="0.75" header="0.3" footer="0.3"/>
</worksheet>
</file>

<file path=xl/worksheets/sheet139.xml><?xml version="1.0" encoding="utf-8"?>
<worksheet xmlns="http://schemas.openxmlformats.org/spreadsheetml/2006/main">
  <sheetPr>
    <outlinePr summaryBelow="1" summaryRight="1"/>
    <pageSetUpPr/>
  </sheetPr>
  <dimension ref="A1:F3"/>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29.7109375" customWidth="1" min="3" max="3"/>
    <col width="30.7109375" customWidth="1" min="4" max="4"/>
    <col width="39.7109375" customWidth="1" min="5" max="5"/>
    <col width="13.7109375" customWidth="1" min="6" max="6"/>
  </cols>
  <sheetData>
    <row r="1">
      <c r="A1" s="22" t="inlineStr">
        <is>
          <t>Domain</t>
        </is>
      </c>
      <c r="B1" s="22" t="inlineStr">
        <is>
          <t>Card ID</t>
        </is>
      </c>
      <c r="C1" s="22" t="inlineStr">
        <is>
          <t>Assessment Card</t>
        </is>
      </c>
      <c r="D1" s="22" t="inlineStr">
        <is>
          <t>Input / Response Format</t>
        </is>
      </c>
      <c r="E1" s="22" t="inlineStr">
        <is>
          <t>Purpose / Respondent Action</t>
        </is>
      </c>
      <c r="F1" s="22" t="inlineStr">
        <is>
          <t>Metric Link</t>
        </is>
      </c>
    </row>
    <row r="2">
      <c r="A2" s="2" t="inlineStr">
        <is>
          <t>D06</t>
        </is>
      </c>
      <c r="B2" s="2" t="inlineStr">
        <is>
          <t>R06A01</t>
        </is>
      </c>
      <c r="C2" s="2" t="inlineStr">
        <is>
          <t>Student Collaboration Test</t>
        </is>
      </c>
      <c r="D2" s="2" t="inlineStr">
        <is>
          <t>Rubric + team evidence</t>
        </is>
      </c>
      <c r="E2" s="2" t="inlineStr">
        <is>
          <t>Direct metric-level remediation probe</t>
        </is>
      </c>
      <c r="F2" s="2" t="inlineStr">
        <is>
          <t>I06</t>
        </is>
      </c>
    </row>
    <row r="3">
      <c r="A3" s="2" t="inlineStr">
        <is>
          <t>D06</t>
        </is>
      </c>
      <c r="B3" s="2" t="inlineStr">
        <is>
          <t>R06A02</t>
        </is>
      </c>
      <c r="C3" s="2" t="inlineStr">
        <is>
          <t>Student Responsible AI Test</t>
        </is>
      </c>
      <c r="D3" s="2" t="inlineStr">
        <is>
          <t>Guidance + assessment sample</t>
        </is>
      </c>
      <c r="E3" s="2" t="inlineStr">
        <is>
          <t>Direct metric-level remediation probe</t>
        </is>
      </c>
      <c r="F3" s="2" t="inlineStr">
        <is>
          <t>I12</t>
        </is>
      </c>
    </row>
  </sheetData>
  <pageMargins left="0.7" right="0.7" top="0.75" bottom="0.75" header="0.3" footer="0.3"/>
</worksheet>
</file>

<file path=xl/worksheets/sheet140.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30.7109375" customWidth="1" min="5" max="5"/>
    <col width="26.7109375" customWidth="1" min="6" max="6"/>
    <col width="13.7109375" customWidth="1" min="7" max="7"/>
  </cols>
  <sheetData>
    <row r="1">
      <c r="A1" s="22" t="inlineStr">
        <is>
          <t>Domain</t>
        </is>
      </c>
      <c r="B1" s="22" t="inlineStr">
        <is>
          <t>Question ID</t>
        </is>
      </c>
      <c r="C1" s="22" t="inlineStr">
        <is>
          <t>Card</t>
        </is>
      </c>
      <c r="D1" s="22" t="inlineStr">
        <is>
          <t>Prompt</t>
        </is>
      </c>
      <c r="E1" s="22" t="inlineStr">
        <is>
          <t>Input Type</t>
        </is>
      </c>
      <c r="F1" s="22" t="inlineStr">
        <is>
          <t>Role</t>
        </is>
      </c>
      <c r="G1" s="22" t="inlineStr">
        <is>
          <t>Metric Link</t>
        </is>
      </c>
    </row>
    <row r="2">
      <c r="A2" s="2" t="inlineStr">
        <is>
          <t>D06</t>
        </is>
      </c>
      <c r="B2" s="2" t="inlineStr">
        <is>
          <t>R06Q01</t>
        </is>
      </c>
      <c r="C2" s="2" t="inlineStr">
        <is>
          <t>R06A01</t>
        </is>
      </c>
      <c r="D2" s="2" t="inlineStr">
        <is>
          <t>Show how students are required to collaborate with peers, practitioners or interdisciplinary teams, and how genuine contribution is distinguished from individually generated output.</t>
        </is>
      </c>
      <c r="E2" s="2" t="inlineStr">
        <is>
          <t>Rubric + team evidence</t>
        </is>
      </c>
      <c r="F2" s="2" t="inlineStr">
        <is>
          <t>Metric-level remediation</t>
        </is>
      </c>
      <c r="G2" s="2" t="inlineStr">
        <is>
          <t>I06</t>
        </is>
      </c>
    </row>
    <row r="3">
      <c r="A3" s="2" t="inlineStr">
        <is>
          <t>D06</t>
        </is>
      </c>
      <c r="B3" s="2" t="inlineStr">
        <is>
          <t>R06Q02</t>
        </is>
      </c>
      <c r="C3" s="2" t="inlineStr">
        <is>
          <t>R06A02</t>
        </is>
      </c>
      <c r="D3" s="2" t="inlineStr">
        <is>
          <t>How are students taught and assessed on privacy, IP/copyright, bias, academic integrity, disclosure and social consequences of AI use? Show one rule and one assessed demonstration.</t>
        </is>
      </c>
      <c r="E3" s="2" t="inlineStr">
        <is>
          <t>Guidance + assessment sample</t>
        </is>
      </c>
      <c r="F3" s="2" t="inlineStr">
        <is>
          <t>Metric-level remediation</t>
        </is>
      </c>
      <c r="G3" s="2" t="inlineStr">
        <is>
          <t>I12</t>
        </is>
      </c>
    </row>
  </sheetData>
  <pageMargins left="0.7" right="0.7" top="0.75" bottom="0.75" header="0.3" footer="0.3"/>
</worksheet>
</file>

<file path=xl/worksheets/sheet141.xml><?xml version="1.0" encoding="utf-8"?>
<worksheet xmlns="http://schemas.openxmlformats.org/spreadsheetml/2006/main">
  <sheetPr>
    <outlinePr summaryBelow="1" summaryRight="1"/>
    <pageSetUpPr/>
  </sheetPr>
  <dimension ref="A1:F3"/>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4.7109375" customWidth="1" min="3" max="3"/>
    <col width="27.7109375" customWidth="1" min="4" max="4"/>
    <col width="39.7109375" customWidth="1" min="5" max="5"/>
    <col width="13.7109375" customWidth="1" min="6" max="6"/>
  </cols>
  <sheetData>
    <row r="1">
      <c r="A1" s="22" t="inlineStr">
        <is>
          <t>Domain</t>
        </is>
      </c>
      <c r="B1" s="22" t="inlineStr">
        <is>
          <t>Card ID</t>
        </is>
      </c>
      <c r="C1" s="22" t="inlineStr">
        <is>
          <t>Assessment Card</t>
        </is>
      </c>
      <c r="D1" s="22" t="inlineStr">
        <is>
          <t>Input / Response Format</t>
        </is>
      </c>
      <c r="E1" s="22" t="inlineStr">
        <is>
          <t>Purpose / Respondent Action</t>
        </is>
      </c>
      <c r="F1" s="22" t="inlineStr">
        <is>
          <t>Metric Link</t>
        </is>
      </c>
    </row>
    <row r="2">
      <c r="A2" s="2" t="inlineStr">
        <is>
          <t>D07</t>
        </is>
      </c>
      <c r="B2" s="2" t="inlineStr">
        <is>
          <t>R07A01</t>
        </is>
      </c>
      <c r="C2" s="2" t="inlineStr">
        <is>
          <t>Assessment Governance Test</t>
        </is>
      </c>
      <c r="D2" s="2" t="inlineStr">
        <is>
          <t>Governance matrix + case</t>
        </is>
      </c>
      <c r="E2" s="2" t="inlineStr">
        <is>
          <t>Direct metric-level remediation probe</t>
        </is>
      </c>
      <c r="F2" s="2" t="inlineStr">
        <is>
          <t>I10</t>
        </is>
      </c>
    </row>
    <row r="3">
      <c r="A3" s="2" t="inlineStr">
        <is>
          <t>D07</t>
        </is>
      </c>
      <c r="B3" s="2" t="inlineStr">
        <is>
          <t>R07A02</t>
        </is>
      </c>
      <c r="C3" s="2" t="inlineStr">
        <is>
          <t>Learning Evidence Analytics Test</t>
        </is>
      </c>
      <c r="D3" s="2" t="inlineStr">
        <is>
          <t>Data flow + action record</t>
        </is>
      </c>
      <c r="E3" s="2" t="inlineStr">
        <is>
          <t>Direct metric-level remediation probe</t>
        </is>
      </c>
      <c r="F3" s="2" t="inlineStr">
        <is>
          <t>I12</t>
        </is>
      </c>
    </row>
  </sheetData>
  <pageMargins left="0.7" right="0.7" top="0.75" bottom="0.75" header="0.3" footer="0.3"/>
</worksheet>
</file>

<file path=xl/worksheets/sheet142.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27.7109375" customWidth="1" min="5" max="5"/>
    <col width="26.7109375" customWidth="1" min="6" max="6"/>
    <col width="13.7109375" customWidth="1" min="7" max="7"/>
  </cols>
  <sheetData>
    <row r="1">
      <c r="A1" s="22" t="inlineStr">
        <is>
          <t>Domain</t>
        </is>
      </c>
      <c r="B1" s="22" t="inlineStr">
        <is>
          <t>Question ID</t>
        </is>
      </c>
      <c r="C1" s="22" t="inlineStr">
        <is>
          <t>Card</t>
        </is>
      </c>
      <c r="D1" s="22" t="inlineStr">
        <is>
          <t>Prompt</t>
        </is>
      </c>
      <c r="E1" s="22" t="inlineStr">
        <is>
          <t>Input Type</t>
        </is>
      </c>
      <c r="F1" s="22" t="inlineStr">
        <is>
          <t>Role</t>
        </is>
      </c>
      <c r="G1" s="22" t="inlineStr">
        <is>
          <t>Metric Link</t>
        </is>
      </c>
    </row>
    <row r="2">
      <c r="A2" s="2" t="inlineStr">
        <is>
          <t>D07</t>
        </is>
      </c>
      <c r="B2" s="2" t="inlineStr">
        <is>
          <t>R07Q01</t>
        </is>
      </c>
      <c r="C2" s="2" t="inlineStr">
        <is>
          <t>R07A01</t>
        </is>
      </c>
      <c r="D2" s="2" t="inlineStr">
        <is>
          <t>Who owns assessment validity under generative AI, what review/approval controls apply to consequential assessment changes, and how are exceptions, appeals and integrity risks handled?</t>
        </is>
      </c>
      <c r="E2" s="2" t="inlineStr">
        <is>
          <t>Governance matrix + case</t>
        </is>
      </c>
      <c r="F2" s="2" t="inlineStr">
        <is>
          <t>Metric-level remediation</t>
        </is>
      </c>
      <c r="G2" s="2" t="inlineStr">
        <is>
          <t>I10</t>
        </is>
      </c>
    </row>
    <row r="3">
      <c r="A3" s="2" t="inlineStr">
        <is>
          <t>D07</t>
        </is>
      </c>
      <c r="B3" s="2" t="inlineStr">
        <is>
          <t>R07Q02</t>
        </is>
      </c>
      <c r="C3" s="2" t="inlineStr">
        <is>
          <t>R07A02</t>
        </is>
      </c>
      <c r="D3" s="2" t="inlineStr">
        <is>
          <t>What learning/assessment evidence is analysed beyond marks, who uses it, and what decision or intervention changed because of that evidence?</t>
        </is>
      </c>
      <c r="E3" s="2" t="inlineStr">
        <is>
          <t>Data flow + action record</t>
        </is>
      </c>
      <c r="F3" s="2" t="inlineStr">
        <is>
          <t>Metric-level remediation</t>
        </is>
      </c>
      <c r="G3" s="2" t="inlineStr">
        <is>
          <t>I12</t>
        </is>
      </c>
    </row>
  </sheetData>
  <pageMargins left="0.7" right="0.7" top="0.75" bottom="0.75" header="0.3" footer="0.3"/>
</worksheet>
</file>

<file path=xl/worksheets/sheet143.xml><?xml version="1.0" encoding="utf-8"?>
<worksheet xmlns="http://schemas.openxmlformats.org/spreadsheetml/2006/main">
  <sheetPr>
    <outlinePr summaryBelow="1" summaryRight="1"/>
    <pageSetUpPr/>
  </sheetPr>
  <dimension ref="A1:F3"/>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7.7109375" customWidth="1" min="3" max="4"/>
    <col width="39.7109375" customWidth="1" min="5" max="5"/>
    <col width="13.7109375" customWidth="1" min="6" max="6"/>
  </cols>
  <sheetData>
    <row r="1">
      <c r="A1" s="22" t="inlineStr">
        <is>
          <t>Domain</t>
        </is>
      </c>
      <c r="B1" s="22" t="inlineStr">
        <is>
          <t>Card ID</t>
        </is>
      </c>
      <c r="C1" s="22" t="inlineStr">
        <is>
          <t>Assessment Card</t>
        </is>
      </c>
      <c r="D1" s="22" t="inlineStr">
        <is>
          <t>Input / Response Format</t>
        </is>
      </c>
      <c r="E1" s="22" t="inlineStr">
        <is>
          <t>Purpose / Respondent Action</t>
        </is>
      </c>
      <c r="F1" s="22" t="inlineStr">
        <is>
          <t>Metric Link</t>
        </is>
      </c>
    </row>
    <row r="2">
      <c r="A2" s="2" t="inlineStr">
        <is>
          <t>D08</t>
        </is>
      </c>
      <c r="B2" s="2" t="inlineStr">
        <is>
          <t>R08A01</t>
        </is>
      </c>
      <c r="C2" s="2" t="inlineStr">
        <is>
          <t>Technology Decision Governance Test</t>
        </is>
      </c>
      <c r="D2" s="2" t="inlineStr">
        <is>
          <t>Decision workflow + decision record</t>
        </is>
      </c>
      <c r="E2" s="2" t="inlineStr">
        <is>
          <t>Direct metric-level remediation probe</t>
        </is>
      </c>
      <c r="F2" s="2" t="inlineStr">
        <is>
          <t>I10</t>
        </is>
      </c>
    </row>
    <row r="3">
      <c r="A3" s="2" t="inlineStr">
        <is>
          <t>D08</t>
        </is>
      </c>
      <c r="B3" s="2" t="inlineStr">
        <is>
          <t>R08A02</t>
        </is>
      </c>
      <c r="C3" s="2" t="inlineStr">
        <is>
          <t>Digital Process Maturity Test</t>
        </is>
      </c>
      <c r="D3" s="2" t="inlineStr">
        <is>
          <t>Process maps + performance evidence</t>
        </is>
      </c>
      <c r="E3" s="2" t="inlineStr">
        <is>
          <t>Direct metric-level remediation probe</t>
        </is>
      </c>
      <c r="F3" s="2" t="inlineStr">
        <is>
          <t>I11</t>
        </is>
      </c>
    </row>
  </sheetData>
  <pageMargins left="0.7" right="0.7" top="0.75" bottom="0.75" header="0.3" footer="0.3"/>
</worksheet>
</file>

<file path=xl/worksheets/sheet144.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37.7109375" customWidth="1" min="5" max="5"/>
    <col width="26.7109375" customWidth="1" min="6" max="6"/>
    <col width="13.7109375" customWidth="1" min="7" max="7"/>
  </cols>
  <sheetData>
    <row r="1">
      <c r="A1" s="22" t="inlineStr">
        <is>
          <t>Domain</t>
        </is>
      </c>
      <c r="B1" s="22" t="inlineStr">
        <is>
          <t>Question ID</t>
        </is>
      </c>
      <c r="C1" s="22" t="inlineStr">
        <is>
          <t>Card</t>
        </is>
      </c>
      <c r="D1" s="22" t="inlineStr">
        <is>
          <t>Prompt</t>
        </is>
      </c>
      <c r="E1" s="22" t="inlineStr">
        <is>
          <t>Input Type</t>
        </is>
      </c>
      <c r="F1" s="22" t="inlineStr">
        <is>
          <t>Role</t>
        </is>
      </c>
      <c r="G1" s="22" t="inlineStr">
        <is>
          <t>Metric Link</t>
        </is>
      </c>
    </row>
    <row r="2">
      <c r="A2" s="2" t="inlineStr">
        <is>
          <t>D08</t>
        </is>
      </c>
      <c r="B2" s="2" t="inlineStr">
        <is>
          <t>R08Q01</t>
        </is>
      </c>
      <c r="C2" s="2" t="inlineStr">
        <is>
          <t>R08A01</t>
        </is>
      </c>
      <c r="D2" s="2" t="inlineStr">
        <is>
          <t>For major digital/AI technology choices, who decides, what criteria are applied, how architecture/security/privacy/interoperability are reviewed, and how lifecycle decisions are revisited?</t>
        </is>
      </c>
      <c r="E2" s="2" t="inlineStr">
        <is>
          <t>Decision workflow + decision record</t>
        </is>
      </c>
      <c r="F2" s="2" t="inlineStr">
        <is>
          <t>Metric-level remediation</t>
        </is>
      </c>
      <c r="G2" s="2" t="inlineStr">
        <is>
          <t>I10</t>
        </is>
      </c>
    </row>
    <row r="3">
      <c r="A3" s="2" t="inlineStr">
        <is>
          <t>D08</t>
        </is>
      </c>
      <c r="B3" s="2" t="inlineStr">
        <is>
          <t>R08Q02</t>
        </is>
      </c>
      <c r="C3" s="2" t="inlineStr">
        <is>
          <t>R08A02</t>
        </is>
      </c>
      <c r="D3" s="2" t="inlineStr">
        <is>
          <t>Select two high-volume institutional processes and show their current digital workflow, manual hand-offs, automation level, exception handling and measured improvement.</t>
        </is>
      </c>
      <c r="E3" s="2" t="inlineStr">
        <is>
          <t>Process maps + performance evidence</t>
        </is>
      </c>
      <c r="F3" s="2" t="inlineStr">
        <is>
          <t>Metric-level remediation</t>
        </is>
      </c>
      <c r="G3" s="2" t="inlineStr">
        <is>
          <t>I11</t>
        </is>
      </c>
    </row>
  </sheetData>
  <pageMargins left="0.7" right="0.7" top="0.75" bottom="0.75" header="0.3" footer="0.3"/>
</worksheet>
</file>

<file path=xl/worksheets/sheet145.xml><?xml version="1.0" encoding="utf-8"?>
<worksheet xmlns="http://schemas.openxmlformats.org/spreadsheetml/2006/main">
  <sheetPr>
    <outlinePr summaryBelow="1" summaryRight="1"/>
    <pageSetUpPr/>
  </sheetPr>
  <dimension ref="A1:F3"/>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4.7109375" customWidth="1" min="3" max="3"/>
    <col width="40.7109375" customWidth="1" min="4" max="4"/>
    <col width="39.7109375" customWidth="1" min="5" max="5"/>
    <col width="13.7109375" customWidth="1" min="6" max="6"/>
  </cols>
  <sheetData>
    <row r="1">
      <c r="A1" s="22" t="inlineStr">
        <is>
          <t>Domain</t>
        </is>
      </c>
      <c r="B1" s="22" t="inlineStr">
        <is>
          <t>Card ID</t>
        </is>
      </c>
      <c r="C1" s="22" t="inlineStr">
        <is>
          <t>Assessment Card</t>
        </is>
      </c>
      <c r="D1" s="22" t="inlineStr">
        <is>
          <t>Input / Response Format</t>
        </is>
      </c>
      <c r="E1" s="22" t="inlineStr">
        <is>
          <t>Purpose / Respondent Action</t>
        </is>
      </c>
      <c r="F1" s="22" t="inlineStr">
        <is>
          <t>Metric Link</t>
        </is>
      </c>
    </row>
    <row r="2">
      <c r="A2" s="2" t="inlineStr">
        <is>
          <t>D09</t>
        </is>
      </c>
      <c r="B2" s="2" t="inlineStr">
        <is>
          <t>R09A01</t>
        </is>
      </c>
      <c r="C2" s="2" t="inlineStr">
        <is>
          <t>Capability Signalling Test</t>
        </is>
      </c>
      <c r="D2" s="2" t="inlineStr">
        <is>
          <t>Portfolio sample + validation evidence</t>
        </is>
      </c>
      <c r="E2" s="2" t="inlineStr">
        <is>
          <t>Direct metric-level remediation probe</t>
        </is>
      </c>
      <c r="F2" s="2" t="inlineStr">
        <is>
          <t>I09</t>
        </is>
      </c>
    </row>
    <row r="3">
      <c r="A3" s="2" t="inlineStr">
        <is>
          <t>D09</t>
        </is>
      </c>
      <c r="B3" s="2" t="inlineStr">
        <is>
          <t>R09A02</t>
        </is>
      </c>
      <c r="C3" s="2" t="inlineStr">
        <is>
          <t>Regional Economic Relevance Test</t>
        </is>
      </c>
      <c r="D3" s="2" t="inlineStr">
        <is>
          <t>Signal source + 2 decisions</t>
        </is>
      </c>
      <c r="E3" s="2" t="inlineStr">
        <is>
          <t>Direct metric-level remediation probe</t>
        </is>
      </c>
      <c r="F3" s="2" t="inlineStr">
        <is>
          <t>I11</t>
        </is>
      </c>
    </row>
  </sheetData>
  <pageMargins left="0.7" right="0.7" top="0.75" bottom="0.75" header="0.3" footer="0.3"/>
</worksheet>
</file>

<file path=xl/worksheets/sheet146.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40.7109375" customWidth="1" min="5" max="5"/>
    <col width="26.7109375" customWidth="1" min="6" max="6"/>
    <col width="13.7109375" customWidth="1" min="7" max="7"/>
  </cols>
  <sheetData>
    <row r="1">
      <c r="A1" s="22" t="inlineStr">
        <is>
          <t>Domain</t>
        </is>
      </c>
      <c r="B1" s="22" t="inlineStr">
        <is>
          <t>Question ID</t>
        </is>
      </c>
      <c r="C1" s="22" t="inlineStr">
        <is>
          <t>Card</t>
        </is>
      </c>
      <c r="D1" s="22" t="inlineStr">
        <is>
          <t>Prompt</t>
        </is>
      </c>
      <c r="E1" s="22" t="inlineStr">
        <is>
          <t>Input Type</t>
        </is>
      </c>
      <c r="F1" s="22" t="inlineStr">
        <is>
          <t>Role</t>
        </is>
      </c>
      <c r="G1" s="22" t="inlineStr">
        <is>
          <t>Metric Link</t>
        </is>
      </c>
    </row>
    <row r="2">
      <c r="A2" s="2" t="inlineStr">
        <is>
          <t>D09</t>
        </is>
      </c>
      <c r="B2" s="2" t="inlineStr">
        <is>
          <t>R09Q01</t>
        </is>
      </c>
      <c r="C2" s="2" t="inlineStr">
        <is>
          <t>R09A01</t>
        </is>
      </c>
      <c r="D2" s="2" t="inlineStr">
        <is>
          <t>How do students/graduates present credible evidence of what they can do through portfolios, projects, demonstrations, credentials or other capability evidence, and how is that evidence validated externally?</t>
        </is>
      </c>
      <c r="E2" s="2" t="inlineStr">
        <is>
          <t>Portfolio sample + validation evidence</t>
        </is>
      </c>
      <c r="F2" s="2" t="inlineStr">
        <is>
          <t>Metric-level remediation</t>
        </is>
      </c>
      <c r="G2" s="2" t="inlineStr">
        <is>
          <t>I09</t>
        </is>
      </c>
    </row>
    <row r="3">
      <c r="A3" s="2" t="inlineStr">
        <is>
          <t>D09</t>
        </is>
      </c>
      <c r="B3" s="2" t="inlineStr">
        <is>
          <t>R09Q02</t>
        </is>
      </c>
      <c r="C3" s="2" t="inlineStr">
        <is>
          <t>R09A02</t>
        </is>
      </c>
      <c r="D3" s="2" t="inlineStr">
        <is>
          <t>How does the institution identify the economic and social needs of its region and translate them into programmes, skills, partnerships, research or community value? Show two recent decisions linked to regional evidence.</t>
        </is>
      </c>
      <c r="E3" s="2" t="inlineStr">
        <is>
          <t>Signal source + 2 decisions</t>
        </is>
      </c>
      <c r="F3" s="2" t="inlineStr">
        <is>
          <t>Metric-level remediation</t>
        </is>
      </c>
      <c r="G3" s="2" t="inlineStr">
        <is>
          <t>I11</t>
        </is>
      </c>
    </row>
  </sheetData>
  <pageMargins left="0.7" right="0.7" top="0.75" bottom="0.75" header="0.3" footer="0.3"/>
</worksheet>
</file>

<file path=xl/worksheets/sheet147.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4.7109375" customWidth="1" min="3" max="3"/>
    <col width="42.7109375" customWidth="1" min="4" max="4"/>
    <col width="39.7109375" customWidth="1" min="5" max="5"/>
    <col width="13.7109375" customWidth="1" min="6" max="6"/>
  </cols>
  <sheetData>
    <row r="1">
      <c r="A1" s="22" t="inlineStr">
        <is>
          <t>Domain</t>
        </is>
      </c>
      <c r="B1" s="22" t="inlineStr">
        <is>
          <t>Card ID</t>
        </is>
      </c>
      <c r="C1" s="22" t="inlineStr">
        <is>
          <t>Assessment Card</t>
        </is>
      </c>
      <c r="D1" s="22" t="inlineStr">
        <is>
          <t>Input / Response Format</t>
        </is>
      </c>
      <c r="E1" s="22" t="inlineStr">
        <is>
          <t>Purpose / Respondent Action</t>
        </is>
      </c>
      <c r="F1" s="22" t="inlineStr">
        <is>
          <t>Metric Link</t>
        </is>
      </c>
    </row>
    <row r="2">
      <c r="A2" s="2" t="inlineStr">
        <is>
          <t>D10</t>
        </is>
      </c>
      <c r="B2" s="2" t="inlineStr">
        <is>
          <t>R10A01</t>
        </is>
      </c>
      <c r="C2" s="2" t="inlineStr">
        <is>
          <t>Research Infrastructure Test</t>
        </is>
      </c>
      <c r="D2" s="2" t="inlineStr">
        <is>
          <t>Inventory + utilisation/renewal evidence</t>
        </is>
      </c>
      <c r="E2" s="2" t="inlineStr">
        <is>
          <t>Direct metric-level remediation probe</t>
        </is>
      </c>
      <c r="F2" s="2" t="inlineStr">
        <is>
          <t>I05</t>
        </is>
      </c>
    </row>
    <row r="3">
      <c r="A3" s="2" t="inlineStr">
        <is>
          <t>D10</t>
        </is>
      </c>
      <c r="B3" s="2" t="inlineStr">
        <is>
          <t>R10A02</t>
        </is>
      </c>
      <c r="C3" s="2" t="inlineStr">
        <is>
          <t>Researcher Capability Test</t>
        </is>
      </c>
      <c r="D3" s="2" t="inlineStr">
        <is>
          <t>Capability framework + sample</t>
        </is>
      </c>
      <c r="E3" s="2" t="inlineStr">
        <is>
          <t>Direct metric-level remediation probe</t>
        </is>
      </c>
      <c r="F3" s="2" t="inlineStr">
        <is>
          <t>I06</t>
        </is>
      </c>
    </row>
    <row r="4">
      <c r="A4" s="2" t="inlineStr">
        <is>
          <t>D10</t>
        </is>
      </c>
      <c r="B4" s="2" t="inlineStr">
        <is>
          <t>R10A03</t>
        </is>
      </c>
      <c r="C4" s="2" t="inlineStr">
        <is>
          <t>Research Funding Capability Test</t>
        </is>
      </c>
      <c r="D4" s="2" t="inlineStr">
        <is>
          <t>Funding pipeline + outcome records</t>
        </is>
      </c>
      <c r="E4" s="2" t="inlineStr">
        <is>
          <t>Direct metric-level remediation probe</t>
        </is>
      </c>
      <c r="F4" s="2" t="inlineStr">
        <is>
          <t>I07</t>
        </is>
      </c>
    </row>
    <row r="5">
      <c r="A5" s="2" t="inlineStr">
        <is>
          <t>D10</t>
        </is>
      </c>
      <c r="B5" s="2" t="inlineStr">
        <is>
          <t>R10A04</t>
        </is>
      </c>
      <c r="C5" s="2" t="inlineStr">
        <is>
          <t>Industry-Linked Research Test</t>
        </is>
      </c>
      <c r="D5" s="2" t="inlineStr">
        <is>
          <t>Collaboration register + 2 cases</t>
        </is>
      </c>
      <c r="E5" s="2" t="inlineStr">
        <is>
          <t>Direct metric-level remediation probe</t>
        </is>
      </c>
      <c r="F5" s="2" t="inlineStr">
        <is>
          <t>I09</t>
        </is>
      </c>
    </row>
    <row r="6">
      <c r="A6" s="2" t="inlineStr">
        <is>
          <t>D10</t>
        </is>
      </c>
      <c r="B6" s="2" t="inlineStr">
        <is>
          <t>R10A05</t>
        </is>
      </c>
      <c r="C6" s="2" t="inlineStr">
        <is>
          <t>IP &amp; Knowledge Assets Test</t>
        </is>
      </c>
      <c r="D6" s="2" t="inlineStr">
        <is>
          <t>Asset register/process + 2 cases</t>
        </is>
      </c>
      <c r="E6" s="2" t="inlineStr">
        <is>
          <t>Direct metric-level remediation probe</t>
        </is>
      </c>
      <c r="F6" s="2" t="inlineStr">
        <is>
          <t>I11</t>
        </is>
      </c>
    </row>
  </sheetData>
  <pageMargins left="0.7" right="0.7" top="0.75" bottom="0.75" header="0.3" footer="0.3"/>
</worksheet>
</file>

<file path=xl/worksheets/sheet148.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42.7109375" customWidth="1" min="5" max="5"/>
    <col width="26.7109375" customWidth="1" min="6" max="6"/>
    <col width="13.7109375" customWidth="1" min="7" max="7"/>
  </cols>
  <sheetData>
    <row r="1">
      <c r="A1" s="22" t="inlineStr">
        <is>
          <t>Domain</t>
        </is>
      </c>
      <c r="B1" s="22" t="inlineStr">
        <is>
          <t>Question ID</t>
        </is>
      </c>
      <c r="C1" s="22" t="inlineStr">
        <is>
          <t>Card</t>
        </is>
      </c>
      <c r="D1" s="22" t="inlineStr">
        <is>
          <t>Prompt</t>
        </is>
      </c>
      <c r="E1" s="22" t="inlineStr">
        <is>
          <t>Input Type</t>
        </is>
      </c>
      <c r="F1" s="22" t="inlineStr">
        <is>
          <t>Role</t>
        </is>
      </c>
      <c r="G1" s="22" t="inlineStr">
        <is>
          <t>Metric Link</t>
        </is>
      </c>
    </row>
    <row r="2">
      <c r="A2" s="2" t="inlineStr">
        <is>
          <t>D10</t>
        </is>
      </c>
      <c r="B2" s="2" t="inlineStr">
        <is>
          <t>R10Q01</t>
        </is>
      </c>
      <c r="C2" s="2" t="inlineStr">
        <is>
          <t>R10A01</t>
        </is>
      </c>
      <c r="D2" s="2" t="inlineStr">
        <is>
          <t>Map critical research infrastructure, data, compute, laboratories, platforms or specialist tools required by priority research areas. How is adequacy, access, utilisation and renewal assessed?</t>
        </is>
      </c>
      <c r="E2" s="2" t="inlineStr">
        <is>
          <t>Inventory + utilisation/renewal evidence</t>
        </is>
      </c>
      <c r="F2" s="2" t="inlineStr">
        <is>
          <t>Metric-level remediation</t>
        </is>
      </c>
      <c r="G2" s="2" t="inlineStr">
        <is>
          <t>I05</t>
        </is>
      </c>
    </row>
    <row r="3">
      <c r="A3" s="2" t="inlineStr">
        <is>
          <t>D10</t>
        </is>
      </c>
      <c r="B3" s="2" t="inlineStr">
        <is>
          <t>R10Q02</t>
        </is>
      </c>
      <c r="C3" s="2" t="inlineStr">
        <is>
          <t>R10A02</t>
        </is>
      </c>
      <c r="D3" s="2" t="inlineStr">
        <is>
          <t>How does the institution build, retain and support research-active faculty/researchers, including methods, AI capability, mentorship, workload, career progression and interdisciplinary development?</t>
        </is>
      </c>
      <c r="E3" s="2" t="inlineStr">
        <is>
          <t>Capability framework + sample</t>
        </is>
      </c>
      <c r="F3" s="2" t="inlineStr">
        <is>
          <t>Metric-level remediation</t>
        </is>
      </c>
      <c r="G3" s="2" t="inlineStr">
        <is>
          <t>I06</t>
        </is>
      </c>
    </row>
    <row r="4">
      <c r="A4" s="2" t="inlineStr">
        <is>
          <t>D10</t>
        </is>
      </c>
      <c r="B4" s="2" t="inlineStr">
        <is>
          <t>R10Q03</t>
        </is>
      </c>
      <c r="C4" s="2" t="inlineStr">
        <is>
          <t>R10A03</t>
        </is>
      </c>
      <c r="D4" s="2" t="inlineStr">
        <is>
          <t>How does the institution sense funding opportunities, develop proposals, support researchers, track conversion and learn from unsuccessful bids? Provide recent pipeline/conversion evidence.</t>
        </is>
      </c>
      <c r="E4" s="2" t="inlineStr">
        <is>
          <t>Funding pipeline + outcome records</t>
        </is>
      </c>
      <c r="F4" s="2" t="inlineStr">
        <is>
          <t>Metric-level remediation</t>
        </is>
      </c>
      <c r="G4" s="2" t="inlineStr">
        <is>
          <t>I07</t>
        </is>
      </c>
    </row>
    <row r="5">
      <c r="A5" s="2" t="inlineStr">
        <is>
          <t>D10</t>
        </is>
      </c>
      <c r="B5" s="2" t="inlineStr">
        <is>
          <t>R10Q04</t>
        </is>
      </c>
      <c r="C5" s="2" t="inlineStr">
        <is>
          <t>R10A04</t>
        </is>
      </c>
      <c r="D5" s="2" t="inlineStr">
        <is>
          <t>How many and what types of meaningful research collaborations with industry/external organisations are active, and what value, knowledge transfer or co-created output resulted?</t>
        </is>
      </c>
      <c r="E5" s="2" t="inlineStr">
        <is>
          <t>Collaboration register + 2 cases</t>
        </is>
      </c>
      <c r="F5" s="2" t="inlineStr">
        <is>
          <t>Metric-level remediation</t>
        </is>
      </c>
      <c r="G5" s="2" t="inlineStr">
        <is>
          <t>I09</t>
        </is>
      </c>
    </row>
    <row r="6">
      <c r="A6" s="2" t="inlineStr">
        <is>
          <t>D10</t>
        </is>
      </c>
      <c r="B6" s="2" t="inlineStr">
        <is>
          <t>R10Q05</t>
        </is>
      </c>
      <c r="C6" s="2" t="inlineStr">
        <is>
          <t>R10A05</t>
        </is>
      </c>
      <c r="D6" s="2" t="inlineStr">
        <is>
          <t>How are patents, software, datasets, designs, methods, licences, know-how and other knowledge assets identified, protected, governed and translated into use or value?</t>
        </is>
      </c>
      <c r="E6" s="2" t="inlineStr">
        <is>
          <t>Asset register/process + 2 cases</t>
        </is>
      </c>
      <c r="F6" s="2" t="inlineStr">
        <is>
          <t>Metric-level remediation</t>
        </is>
      </c>
      <c r="G6" s="2" t="inlineStr">
        <is>
          <t>I11</t>
        </is>
      </c>
    </row>
  </sheetData>
  <pageMargins left="0.7" right="0.7" top="0.75" bottom="0.75" header="0.3" footer="0.3"/>
</worksheet>
</file>

<file path=xl/worksheets/sheet149.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6.7109375" customWidth="1" min="3" max="3"/>
    <col width="42.7109375" customWidth="1" min="4" max="4"/>
    <col width="39.7109375" customWidth="1" min="5" max="5"/>
    <col width="13.7109375" customWidth="1" min="6" max="6"/>
  </cols>
  <sheetData>
    <row r="1">
      <c r="A1" s="22" t="inlineStr">
        <is>
          <t>Domain</t>
        </is>
      </c>
      <c r="B1" s="22" t="inlineStr">
        <is>
          <t>Card ID</t>
        </is>
      </c>
      <c r="C1" s="22" t="inlineStr">
        <is>
          <t>Assessment Card</t>
        </is>
      </c>
      <c r="D1" s="22" t="inlineStr">
        <is>
          <t>Input / Response Format</t>
        </is>
      </c>
      <c r="E1" s="22" t="inlineStr">
        <is>
          <t>Purpose / Respondent Action</t>
        </is>
      </c>
      <c r="F1" s="22" t="inlineStr">
        <is>
          <t>Metric Link</t>
        </is>
      </c>
    </row>
    <row r="2">
      <c r="A2" s="2" t="inlineStr">
        <is>
          <t>D11</t>
        </is>
      </c>
      <c r="B2" s="2" t="inlineStr">
        <is>
          <t>R11A01</t>
        </is>
      </c>
      <c r="C2" s="2" t="inlineStr">
        <is>
          <t>Institutional Experimentation Test</t>
        </is>
      </c>
      <c r="D2" s="2" t="inlineStr">
        <is>
          <t>3 pilot records</t>
        </is>
      </c>
      <c r="E2" s="2" t="inlineStr">
        <is>
          <t>Direct metric-level remediation probe</t>
        </is>
      </c>
      <c r="F2" s="2" t="inlineStr">
        <is>
          <t>I05</t>
        </is>
      </c>
    </row>
    <row r="3">
      <c r="A3" s="2" t="inlineStr">
        <is>
          <t>D11</t>
        </is>
      </c>
      <c r="B3" s="2" t="inlineStr">
        <is>
          <t>R11A02</t>
        </is>
      </c>
      <c r="C3" s="2" t="inlineStr">
        <is>
          <t>Adaptive Leadership Alignment Test</t>
        </is>
      </c>
      <c r="D3" s="2" t="inlineStr">
        <is>
          <t>Decision record + communication evidence</t>
        </is>
      </c>
      <c r="E3" s="2" t="inlineStr">
        <is>
          <t>Direct metric-level remediation probe</t>
        </is>
      </c>
      <c r="F3" s="2" t="inlineStr">
        <is>
          <t>I08</t>
        </is>
      </c>
    </row>
    <row r="4">
      <c r="A4" s="2" t="inlineStr">
        <is>
          <t>D11</t>
        </is>
      </c>
      <c r="B4" s="2" t="inlineStr">
        <is>
          <t>R11A03</t>
        </is>
      </c>
      <c r="C4" s="2" t="inlineStr">
        <is>
          <t>Learner Signal Responsiveness Test</t>
        </is>
      </c>
      <c r="D4" s="2" t="inlineStr">
        <is>
          <t>Signal process + action record</t>
        </is>
      </c>
      <c r="E4" s="2" t="inlineStr">
        <is>
          <t>Direct metric-level remediation probe</t>
        </is>
      </c>
      <c r="F4" s="2" t="inlineStr">
        <is>
          <t>I09</t>
        </is>
      </c>
    </row>
    <row r="5">
      <c r="A5" s="2" t="inlineStr">
        <is>
          <t>D11</t>
        </is>
      </c>
      <c r="B5" s="2" t="inlineStr">
        <is>
          <t>R11A04</t>
        </is>
      </c>
      <c r="C5" s="2" t="inlineStr">
        <is>
          <t>Scenario Planning Test</t>
        </is>
      </c>
      <c r="D5" s="2" t="inlineStr">
        <is>
          <t>Scenario set + trigger/action map</t>
        </is>
      </c>
      <c r="E5" s="2" t="inlineStr">
        <is>
          <t>Direct metric-level remediation probe</t>
        </is>
      </c>
      <c r="F5" s="2" t="inlineStr">
        <is>
          <t>I11</t>
        </is>
      </c>
    </row>
  </sheetData>
  <pageMargins left="0.7" right="0.7" top="0.75" bottom="0.75" header="0.3" footer="0.3"/>
</worksheet>
</file>

<file path=xl/worksheets/sheet150.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42.7109375" customWidth="1" min="5" max="5"/>
    <col width="26.7109375" customWidth="1" min="6" max="6"/>
    <col width="13.7109375" customWidth="1" min="7" max="7"/>
  </cols>
  <sheetData>
    <row r="1">
      <c r="A1" s="22" t="inlineStr">
        <is>
          <t>Domain</t>
        </is>
      </c>
      <c r="B1" s="22" t="inlineStr">
        <is>
          <t>Question ID</t>
        </is>
      </c>
      <c r="C1" s="22" t="inlineStr">
        <is>
          <t>Card</t>
        </is>
      </c>
      <c r="D1" s="22" t="inlineStr">
        <is>
          <t>Prompt</t>
        </is>
      </c>
      <c r="E1" s="22" t="inlineStr">
        <is>
          <t>Input Type</t>
        </is>
      </c>
      <c r="F1" s="22" t="inlineStr">
        <is>
          <t>Role</t>
        </is>
      </c>
      <c r="G1" s="22" t="inlineStr">
        <is>
          <t>Metric Link</t>
        </is>
      </c>
    </row>
    <row r="2">
      <c r="A2" s="2" t="inlineStr">
        <is>
          <t>D11</t>
        </is>
      </c>
      <c r="B2" s="2" t="inlineStr">
        <is>
          <t>R11Q01</t>
        </is>
      </c>
      <c r="C2" s="2" t="inlineStr">
        <is>
          <t>R11A01</t>
        </is>
      </c>
      <c r="D2" s="2" t="inlineStr">
        <is>
          <t>Show three recent institutional experiments/pilots. For each, state hypothesis, scope, decision owner, success/failure criteria, result, and whether it was scaled, adapted or stopped.</t>
        </is>
      </c>
      <c r="E2" s="2" t="inlineStr">
        <is>
          <t>3 pilot records</t>
        </is>
      </c>
      <c r="F2" s="2" t="inlineStr">
        <is>
          <t>Metric-level remediation</t>
        </is>
      </c>
      <c r="G2" s="2" t="inlineStr">
        <is>
          <t>I05</t>
        </is>
      </c>
    </row>
    <row r="3">
      <c r="A3" s="2" t="inlineStr">
        <is>
          <t>D11</t>
        </is>
      </c>
      <c r="B3" s="2" t="inlineStr">
        <is>
          <t>R11Q02</t>
        </is>
      </c>
      <c r="C3" s="2" t="inlineStr">
        <is>
          <t>R11A02</t>
        </is>
      </c>
      <c r="D3" s="2" t="inlineStr">
        <is>
          <t>When strategic conditions change, how do senior leaders align priorities, resolve conflicts and communicate the revised direction? Show one recent example with before/after priorities.</t>
        </is>
      </c>
      <c r="E3" s="2" t="inlineStr">
        <is>
          <t>Decision record + communication evidence</t>
        </is>
      </c>
      <c r="F3" s="2" t="inlineStr">
        <is>
          <t>Metric-level remediation</t>
        </is>
      </c>
      <c r="G3" s="2" t="inlineStr">
        <is>
          <t>I08</t>
        </is>
      </c>
    </row>
    <row r="4">
      <c r="A4" s="2" t="inlineStr">
        <is>
          <t>D11</t>
        </is>
      </c>
      <c r="B4" s="2" t="inlineStr">
        <is>
          <t>R11Q03</t>
        </is>
      </c>
      <c r="C4" s="2" t="inlineStr">
        <is>
          <t>R11A03</t>
        </is>
      </c>
      <c r="D4" s="2" t="inlineStr">
        <is>
          <t>How does the institution detect changing learner expectations/experience, decide which signals matter, and demonstrate that learner evidence changed a programme, service or policy?</t>
        </is>
      </c>
      <c r="E4" s="2" t="inlineStr">
        <is>
          <t>Signal process + action record</t>
        </is>
      </c>
      <c r="F4" s="2" t="inlineStr">
        <is>
          <t>Metric-level remediation</t>
        </is>
      </c>
      <c r="G4" s="2" t="inlineStr">
        <is>
          <t>I09</t>
        </is>
      </c>
    </row>
    <row r="5">
      <c r="A5" s="2" t="inlineStr">
        <is>
          <t>D11</t>
        </is>
      </c>
      <c r="B5" s="2" t="inlineStr">
        <is>
          <t>R11Q04</t>
        </is>
      </c>
      <c r="C5" s="2" t="inlineStr">
        <is>
          <t>R11A04</t>
        </is>
      </c>
      <c r="D5" s="2" t="inlineStr">
        <is>
          <t>Show the plausible future scenarios currently considered, assumptions and trigger indicators for each, and the decisions or contingency actions associated with them.</t>
        </is>
      </c>
      <c r="E5" s="2" t="inlineStr">
        <is>
          <t>Scenario set + trigger/action map</t>
        </is>
      </c>
      <c r="F5" s="2" t="inlineStr">
        <is>
          <t>Metric-level remediation</t>
        </is>
      </c>
      <c r="G5" s="2" t="inlineStr">
        <is>
          <t>I11</t>
        </is>
      </c>
    </row>
  </sheetData>
  <pageMargins left="0.7" right="0.7" top="0.75" bottom="0.75" header="0.3" footer="0.3"/>
</worksheet>
</file>

<file path=xl/worksheets/sheet151.xml><?xml version="1.0" encoding="utf-8"?>
<worksheet xmlns="http://schemas.openxmlformats.org/spreadsheetml/2006/main">
  <sheetPr>
    <outlinePr summaryBelow="1" summaryRight="1"/>
    <pageSetUpPr/>
  </sheetPr>
  <dimension ref="A1:H144"/>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46.7109375" customWidth="1" min="3" max="3"/>
    <col width="48.7109375" customWidth="1" min="4" max="8"/>
  </cols>
  <sheetData>
    <row r="1">
      <c r="A1" s="22" t="inlineStr">
        <is>
          <t>Domain</t>
        </is>
      </c>
      <c r="B1" s="22" t="inlineStr">
        <is>
          <t>Metric ID</t>
        </is>
      </c>
      <c r="C1" s="22" t="inlineStr">
        <is>
          <t>Metric</t>
        </is>
      </c>
      <c r="D1" s="22" t="inlineStr">
        <is>
          <t>Minimum Evidence</t>
        </is>
      </c>
      <c r="E1" s="22" t="inlineStr">
        <is>
          <t>High-Maturity Requirement</t>
        </is>
      </c>
      <c r="F1" s="22" t="inlineStr">
        <is>
          <t>Independence</t>
        </is>
      </c>
      <c r="G1" s="22" t="inlineStr">
        <is>
          <t>Outcome Rule</t>
        </is>
      </c>
      <c r="H1" s="22" t="inlineStr">
        <is>
          <t>Confidence Rule</t>
        </is>
      </c>
    </row>
    <row r="2">
      <c r="A2" s="2" t="inlineStr">
        <is>
          <t>D01</t>
        </is>
      </c>
      <c r="B2" s="2" t="inlineStr">
        <is>
          <t>I01</t>
        </is>
      </c>
      <c r="C2" s="2" t="inlineStr">
        <is>
          <t>Strategic AI Integration</t>
        </is>
      </c>
      <c r="D2" s="2" t="inlineStr">
        <is>
          <t>E2 operational evidence with dated numerator/denominator; score &gt;=3 corroborated; E3 for outcome claims.</t>
        </is>
      </c>
      <c r="E2" s="2" t="inlineStr">
        <is>
          <t>For maturity 4–5: operational record + corroborating source; E3 for claimed outcomes; E4 preferred where external/high-stakes.</t>
        </is>
      </c>
      <c r="F2" s="2" t="inlineStr">
        <is>
          <t>At least 2 sources for score ≥4 unless intrinsically single-source; independent corroboration may be required.</t>
        </is>
      </c>
      <c r="G2" s="2" t="inlineStr">
        <is>
          <t>Outcome is optional/N/A when no legitimate outcome exists; never manufacture a denominator.</t>
        </is>
      </c>
      <c r="H2" s="2" t="inlineStr">
        <is>
          <t>E0 descriptive; E1 artefact; E2 operational; E3 outcome; E4 independent/triangulated. Confidence is reported separately from capability score.</t>
        </is>
      </c>
    </row>
    <row r="3">
      <c r="A3" s="2" t="inlineStr">
        <is>
          <t>D01</t>
        </is>
      </c>
      <c r="B3" s="2" t="inlineStr">
        <is>
          <t>I02</t>
        </is>
      </c>
      <c r="C3" s="2" t="inlineStr">
        <is>
          <t>Future Foresight Maturity</t>
        </is>
      </c>
      <c r="D3" s="2" t="inlineStr">
        <is>
          <t>E2 sampled artefact/work sample + rubric; score &gt;=3 requires direct operating/demonstration evidence; E3 where a legitimate outcome exists.</t>
        </is>
      </c>
      <c r="E3" s="2" t="inlineStr">
        <is>
          <t>For maturity 4–5: operational record + corroborating source; E3 for claimed outcomes; E4 preferred where external/high-stakes.</t>
        </is>
      </c>
      <c r="F3" s="2" t="inlineStr">
        <is>
          <t>At least 2 sources for score ≥4 unless intrinsically single-source; independent corroboration may be required.</t>
        </is>
      </c>
      <c r="G3" s="2" t="inlineStr">
        <is>
          <t>Outcome is optional/N/A when no legitimate outcome exists; never manufacture a denominator.</t>
        </is>
      </c>
      <c r="H3" s="2" t="inlineStr">
        <is>
          <t>E0 descriptive; E1 artefact; E2 operational; E3 outcome; E4 independent/triangulated. Confidence is reported separately from capability score.</t>
        </is>
      </c>
    </row>
    <row r="4">
      <c r="A4" s="2" t="inlineStr">
        <is>
          <t>D01</t>
        </is>
      </c>
      <c r="B4" s="2" t="inlineStr">
        <is>
          <t>I03</t>
        </is>
      </c>
      <c r="C4" s="2" t="inlineStr">
        <is>
          <t>Strategic Translation Rate</t>
        </is>
      </c>
      <c r="D4" s="2" t="inlineStr">
        <is>
          <t>E2 operational evidence with dated numerator/denominator; score &gt;=3 corroborated; E3 for outcome claims.</t>
        </is>
      </c>
      <c r="E4" s="2" t="inlineStr">
        <is>
          <t>For maturity 4–5: operational record + corroborating source; E3 for claimed outcomes; E4 preferred where external/high-stakes.</t>
        </is>
      </c>
      <c r="F4" s="2" t="inlineStr">
        <is>
          <t>At least 2 sources for score ≥4 unless intrinsically single-source; independent corroboration may be required.</t>
        </is>
      </c>
      <c r="G4" s="2" t="inlineStr">
        <is>
          <t>Outcome is optional/N/A when no legitimate outcome exists; never manufacture a denominator.</t>
        </is>
      </c>
      <c r="H4" s="2" t="inlineStr">
        <is>
          <t>E0 descriptive; E1 artefact; E2 operational; E3 outcome; E4 independent/triangulated. Confidence is reported separately from capability score.</t>
        </is>
      </c>
    </row>
    <row r="5">
      <c r="A5" s="2" t="inlineStr">
        <is>
          <t>D01</t>
        </is>
      </c>
      <c r="B5" s="2" t="inlineStr">
        <is>
          <t>I04</t>
        </is>
      </c>
      <c r="C5" s="2" t="inlineStr">
        <is>
          <t>Programme Future-Review Coverage</t>
        </is>
      </c>
      <c r="D5" s="2" t="inlineStr">
        <is>
          <t>E2 operational evidence with dated numerator/denominator; score &gt;=3 corroborated; E3 for outcome claims.</t>
        </is>
      </c>
      <c r="E5" s="2" t="inlineStr">
        <is>
          <t>For maturity 4–5: operational record + corroborating source; E3 for claimed outcomes; E4 preferred where external/high-stakes.</t>
        </is>
      </c>
      <c r="F5" s="2" t="inlineStr">
        <is>
          <t>At least 2 sources for score ≥4 unless intrinsically single-source; independent corroboration may be required.</t>
        </is>
      </c>
      <c r="G5" s="2" t="inlineStr">
        <is>
          <t>Outcome is optional/N/A when no legitimate outcome exists; never manufacture a denominator.</t>
        </is>
      </c>
      <c r="H5" s="2" t="inlineStr">
        <is>
          <t>E0 descriptive; E1 artefact; E2 operational; E3 outcome; E4 independent/triangulated. Confidence is reported separately from capability score.</t>
        </is>
      </c>
    </row>
    <row r="6">
      <c r="A6" s="2" t="inlineStr">
        <is>
          <t>D01</t>
        </is>
      </c>
      <c r="B6" s="2" t="inlineStr">
        <is>
          <t>I05</t>
        </is>
      </c>
      <c r="C6" s="2" t="inlineStr">
        <is>
          <t>Strategic Differentiation Clarity</t>
        </is>
      </c>
      <c r="D6" s="2" t="inlineStr">
        <is>
          <t>E2 operational evidence with dated numerator/denominator; score &gt;=3 corroborated; E3 for outcome claims.</t>
        </is>
      </c>
      <c r="E6" s="2" t="inlineStr">
        <is>
          <t>For maturity 4–5: operational record + corroborating source; E3 for claimed outcomes; E4 preferred where external/high-stakes.</t>
        </is>
      </c>
      <c r="F6" s="2" t="inlineStr">
        <is>
          <t>At least 2 sources for score ≥4 unless intrinsically single-source; independent corroboration may be required.</t>
        </is>
      </c>
      <c r="G6" s="2" t="inlineStr">
        <is>
          <t>Outcome is optional/N/A when no legitimate outcome exists; never manufacture a denominator.</t>
        </is>
      </c>
      <c r="H6" s="2" t="inlineStr">
        <is>
          <t>E0 descriptive; E1 artefact; E2 operational; E3 outcome; E4 independent/triangulated. Confidence is reported separately from capability score.</t>
        </is>
      </c>
    </row>
    <row r="7">
      <c r="A7" s="2" t="inlineStr">
        <is>
          <t>D01</t>
        </is>
      </c>
      <c r="B7" s="2" t="inlineStr">
        <is>
          <t>I06</t>
        </is>
      </c>
      <c r="C7" s="2" t="inlineStr">
        <is>
          <t>Foresight Response Architecture</t>
        </is>
      </c>
      <c r="D7" s="2" t="inlineStr">
        <is>
          <t>E2 sampled artefact/work sample + rubric; score &gt;=3 requires direct operating/demonstration evidence; E3 where a legitimate outcome exists.</t>
        </is>
      </c>
      <c r="E7" s="2" t="inlineStr">
        <is>
          <t>For maturity 4–5: operational record + corroborating source; E3 for claimed outcomes; E4 preferred where external/high-stakes.</t>
        </is>
      </c>
      <c r="F7" s="2" t="inlineStr">
        <is>
          <t>At least 2 sources for score ≥4 unless intrinsically single-source; independent corroboration may be required.</t>
        </is>
      </c>
      <c r="G7" s="2" t="inlineStr">
        <is>
          <t>Outcome is optional/N/A when no legitimate outcome exists; never manufacture a denominator.</t>
        </is>
      </c>
      <c r="H7" s="2" t="inlineStr">
        <is>
          <t>E0 descriptive; E1 artefact; E2 operational; E3 outcome; E4 independent/triangulated. Confidence is reported separately from capability score.</t>
        </is>
      </c>
    </row>
    <row r="8">
      <c r="A8" s="2" t="inlineStr">
        <is>
          <t>D01</t>
        </is>
      </c>
      <c r="B8" s="2" t="inlineStr">
        <is>
          <t>I07</t>
        </is>
      </c>
      <c r="C8" s="2" t="inlineStr">
        <is>
          <t>Resource Alignment</t>
        </is>
      </c>
      <c r="D8" s="2" t="inlineStr">
        <is>
          <t>E2 sampled artefact/work sample + rubric; score &gt;=3 requires direct operating/demonstration evidence; E3 where a legitimate outcome exists.</t>
        </is>
      </c>
      <c r="E8" s="2" t="inlineStr">
        <is>
          <t>For maturity 4–5: operational record + corroborating source; E3 for claimed outcomes; E4 preferred where external/high-stakes.</t>
        </is>
      </c>
      <c r="F8" s="2" t="inlineStr">
        <is>
          <t>At least 2 sources for score ≥4 unless intrinsically single-source; independent corroboration may be required.</t>
        </is>
      </c>
      <c r="G8" s="2" t="inlineStr">
        <is>
          <t>Outcome is optional/N/A when no legitimate outcome exists; never manufacture a denominator.</t>
        </is>
      </c>
      <c r="H8" s="2" t="inlineStr">
        <is>
          <t>E0 descriptive; E1 artefact; E2 operational; E3 outcome; E4 independent/triangulated. Confidence is reported separately from capability score.</t>
        </is>
      </c>
    </row>
    <row r="9">
      <c r="A9" s="2" t="inlineStr">
        <is>
          <t>D01</t>
        </is>
      </c>
      <c r="B9" s="2" t="inlineStr">
        <is>
          <t>I08</t>
        </is>
      </c>
      <c r="C9" s="2" t="inlineStr">
        <is>
          <t>Leadership Alignment</t>
        </is>
      </c>
      <c r="D9" s="2" t="inlineStr">
        <is>
          <t>E2 implemented control + operating record; score &gt;=3 requires execution/testing or a real case; E4 preferred for high-stakes claims.</t>
        </is>
      </c>
      <c r="E9" s="2" t="inlineStr">
        <is>
          <t>For maturity 4–5: operational record + corroborating source; E3 for claimed outcomes; E4 preferred where external/high-stakes.</t>
        </is>
      </c>
      <c r="F9" s="2" t="inlineStr">
        <is>
          <t>At least 2 sources for score ≥4 unless intrinsically single-source; independent corroboration may be required.</t>
        </is>
      </c>
      <c r="G9" s="2" t="inlineStr">
        <is>
          <t>Outcome is optional/N/A when no legitimate outcome exists; never manufacture a denominator.</t>
        </is>
      </c>
      <c r="H9" s="2" t="inlineStr">
        <is>
          <t>E0 descriptive; E1 artefact; E2 operational; E3 outcome; E4 independent/triangulated. Confidence is reported separately from capability score.</t>
        </is>
      </c>
    </row>
    <row r="10">
      <c r="A10" s="2" t="inlineStr">
        <is>
          <t>D01</t>
        </is>
      </c>
      <c r="B10" s="2" t="inlineStr">
        <is>
          <t>I09</t>
        </is>
      </c>
      <c r="C10" s="2" t="inlineStr">
        <is>
          <t>Experimentation Effectiveness</t>
        </is>
      </c>
      <c r="D10" s="2" t="inlineStr">
        <is>
          <t>E2 sampled artefact/work sample + rubric; score &gt;=3 requires direct operating/demonstration evidence; E3 where a legitimate outcome exists.</t>
        </is>
      </c>
      <c r="E10" s="2" t="inlineStr">
        <is>
          <t>For maturity 4–5: operational record + corroborating source; E3 for claimed outcomes; E4 preferred where external/high-stakes.</t>
        </is>
      </c>
      <c r="F10" s="2" t="inlineStr">
        <is>
          <t>At least 2 sources for score ≥4 unless intrinsically single-source; independent corroboration may be required.</t>
        </is>
      </c>
      <c r="G10" s="2" t="inlineStr">
        <is>
          <t>Outcome is optional/N/A when no legitimate outcome exists; never manufacture a denominator.</t>
        </is>
      </c>
      <c r="H10" s="2" t="inlineStr">
        <is>
          <t>E0 descriptive; E1 artefact; E2 operational; E3 outcome; E4 independent/triangulated. Confidence is reported separately from capability score.</t>
        </is>
      </c>
    </row>
    <row r="11">
      <c r="A11" s="2" t="inlineStr">
        <is>
          <t>D01</t>
        </is>
      </c>
      <c r="B11" s="2" t="inlineStr">
        <is>
          <t>I10</t>
        </is>
      </c>
      <c r="C11" s="2" t="inlineStr">
        <is>
          <t>Strategic Learning Rate</t>
        </is>
      </c>
      <c r="D11" s="2" t="inlineStr">
        <is>
          <t>E2 operational evidence with dated numerator/denominator; score &gt;=3 corroborated; E3 for outcome claims.</t>
        </is>
      </c>
      <c r="E11" s="2" t="inlineStr">
        <is>
          <t>For maturity 4–5: operational record + corroborating source; E3 for claimed outcomes; E4 preferred where external/high-stakes.</t>
        </is>
      </c>
      <c r="F11" s="2" t="inlineStr">
        <is>
          <t>At least 2 sources for score ≥4 unless intrinsically single-source; independent corroboration may be required.</t>
        </is>
      </c>
      <c r="G11" s="2" t="inlineStr">
        <is>
          <t>Outcome is optional/N/A when no legitimate outcome exists; never manufacture a denominator.</t>
        </is>
      </c>
      <c r="H11" s="2" t="inlineStr">
        <is>
          <t>E0 descriptive; E1 artefact; E2 operational; E3 outcome; E4 independent/triangulated. Confidence is reported separately from capability score.</t>
        </is>
      </c>
    </row>
    <row r="12">
      <c r="A12" s="2" t="inlineStr">
        <is>
          <t>D02</t>
        </is>
      </c>
      <c r="B12" s="2" t="inlineStr">
        <is>
          <t>I01</t>
        </is>
      </c>
      <c r="C12" s="2" t="inlineStr">
        <is>
          <t>Governance Ownership</t>
        </is>
      </c>
      <c r="D12" s="2" t="inlineStr">
        <is>
          <t>E2 implemented control + operating record; score &gt;=3 requires execution/testing or a real case; E4 preferred for high-stakes claims.</t>
        </is>
      </c>
      <c r="E12" s="2" t="inlineStr">
        <is>
          <t>For maturity 4–5: operational record + corroborating source; E3 for claimed outcomes; E4 preferred where external/high-stakes.</t>
        </is>
      </c>
      <c r="F12" s="2" t="inlineStr">
        <is>
          <t>At least 2 sources for score ≥4 unless intrinsically single-source; independent corroboration may be required.</t>
        </is>
      </c>
      <c r="G12" s="2" t="inlineStr">
        <is>
          <t>Outcome is optional/N/A when no legitimate outcome exists; never manufacture a denominator.</t>
        </is>
      </c>
      <c r="H12" s="2" t="inlineStr">
        <is>
          <t>E0 descriptive; E1 artefact; E2 operational; E3 outcome; E4 independent/triangulated. Confidence is reported separately from capability score.</t>
        </is>
      </c>
    </row>
    <row r="13">
      <c r="A13" s="2" t="inlineStr">
        <is>
          <t>D02</t>
        </is>
      </c>
      <c r="B13" s="2" t="inlineStr">
        <is>
          <t>I02</t>
        </is>
      </c>
      <c r="C13" s="2" t="inlineStr">
        <is>
          <t>Decision Architecture</t>
        </is>
      </c>
      <c r="D13" s="2" t="inlineStr">
        <is>
          <t>E2 sampled artefact/work sample + rubric; score &gt;=3 requires direct operating/demonstration evidence; E3 where a legitimate outcome exists.</t>
        </is>
      </c>
      <c r="E13" s="2" t="inlineStr">
        <is>
          <t>For maturity 4–5: operational record + corroborating source; E3 for claimed outcomes; E4 preferred where external/high-stakes.</t>
        </is>
      </c>
      <c r="F13" s="2" t="inlineStr">
        <is>
          <t>At least 2 sources for score ≥4 unless intrinsically single-source; independent corroboration may be required.</t>
        </is>
      </c>
      <c r="G13" s="2" t="inlineStr">
        <is>
          <t>Outcome is optional/N/A when no legitimate outcome exists; never manufacture a denominator.</t>
        </is>
      </c>
      <c r="H13" s="2" t="inlineStr">
        <is>
          <t>E0 descriptive; E1 artefact; E2 operational; E3 outcome; E4 independent/triangulated. Confidence is reported separately from capability score.</t>
        </is>
      </c>
    </row>
    <row r="14">
      <c r="A14" s="2" t="inlineStr">
        <is>
          <t>D02</t>
        </is>
      </c>
      <c r="B14" s="2" t="inlineStr">
        <is>
          <t>I03</t>
        </is>
      </c>
      <c r="C14" s="2" t="inlineStr">
        <is>
          <t>Responsible AI Maturity</t>
        </is>
      </c>
      <c r="D14" s="2" t="inlineStr">
        <is>
          <t>E2 sampled artefact/work sample + rubric; score &gt;=3 requires direct operating/demonstration evidence; E3 where a legitimate outcome exists.</t>
        </is>
      </c>
      <c r="E14" s="2" t="inlineStr">
        <is>
          <t>For maturity 4–5: operational record + corroborating source; E3 for claimed outcomes; E4 preferred where external/high-stakes.</t>
        </is>
      </c>
      <c r="F14" s="2" t="inlineStr">
        <is>
          <t>At least 2 sources for score ≥4 unless intrinsically single-source; independent corroboration may be required.</t>
        </is>
      </c>
      <c r="G14" s="2" t="inlineStr">
        <is>
          <t>Outcome is optional/N/A when no legitimate outcome exists; never manufacture a denominator.</t>
        </is>
      </c>
      <c r="H14" s="2" t="inlineStr">
        <is>
          <t>E0 descriptive; E1 artefact; E2 operational; E3 outcome; E4 independent/triangulated. Confidence is reported separately from capability score.</t>
        </is>
      </c>
    </row>
    <row r="15">
      <c r="A15" s="2" t="inlineStr">
        <is>
          <t>D02</t>
        </is>
      </c>
      <c r="B15" s="2" t="inlineStr">
        <is>
          <t>I04</t>
        </is>
      </c>
      <c r="C15" s="2" t="inlineStr">
        <is>
          <t>Data Governance Readiness</t>
        </is>
      </c>
      <c r="D15" s="2" t="inlineStr">
        <is>
          <t>E2 implemented control + operating record; score &gt;=3 requires execution/testing or a real case; E4 preferred for high-stakes claims.</t>
        </is>
      </c>
      <c r="E15" s="2" t="inlineStr">
        <is>
          <t>For maturity 4–5: operational record + corroborating source; E3 for claimed outcomes; E4 preferred where external/high-stakes.</t>
        </is>
      </c>
      <c r="F15" s="2" t="inlineStr">
        <is>
          <t>At least 2 sources for score ≥4 unless intrinsically single-source; independent corroboration may be required.</t>
        </is>
      </c>
      <c r="G15" s="2" t="inlineStr">
        <is>
          <t>Outcome is optional/N/A when no legitimate outcome exists; never manufacture a denominator.</t>
        </is>
      </c>
      <c r="H15" s="2" t="inlineStr">
        <is>
          <t>E0 descriptive; E1 artefact; E2 operational; E3 outcome; E4 independent/triangulated. Confidence is reported separately from capability score.</t>
        </is>
      </c>
    </row>
    <row r="16">
      <c r="A16" s="2" t="inlineStr">
        <is>
          <t>D02</t>
        </is>
      </c>
      <c r="B16" s="2" t="inlineStr">
        <is>
          <t>I05</t>
        </is>
      </c>
      <c r="C16" s="2" t="inlineStr">
        <is>
          <t>Academic Integrity Governance</t>
        </is>
      </c>
      <c r="D16" s="2" t="inlineStr">
        <is>
          <t>E2 implemented control + operating record; score &gt;=3 requires execution/testing or a real case; E4 preferred for high-stakes claims.</t>
        </is>
      </c>
      <c r="E16" s="2" t="inlineStr">
        <is>
          <t>For maturity 4–5: operational record + corroborating source; E3 for claimed outcomes; E4 preferred where external/high-stakes.</t>
        </is>
      </c>
      <c r="F16" s="2" t="inlineStr">
        <is>
          <t>At least 2 sources for score ≥4 unless intrinsically single-source; independent corroboration may be required.</t>
        </is>
      </c>
      <c r="G16" s="2" t="inlineStr">
        <is>
          <t>Outcome is optional/N/A when no legitimate outcome exists; never manufacture a denominator.</t>
        </is>
      </c>
      <c r="H16" s="2" t="inlineStr">
        <is>
          <t>E0 descriptive; E1 artefact; E2 operational; E3 outcome; E4 independent/triangulated. Confidence is reported separately from capability score.</t>
        </is>
      </c>
    </row>
    <row r="17">
      <c r="A17" s="2" t="inlineStr">
        <is>
          <t>D02</t>
        </is>
      </c>
      <c r="B17" s="2" t="inlineStr">
        <is>
          <t>I06</t>
        </is>
      </c>
      <c r="C17" s="2" t="inlineStr">
        <is>
          <t>Assessment Governance</t>
        </is>
      </c>
      <c r="D17" s="2" t="inlineStr">
        <is>
          <t>E2 implemented control + operating record; score &gt;=3 requires execution/testing or a real case; E4 preferred for high-stakes claims.</t>
        </is>
      </c>
      <c r="E17" s="2" t="inlineStr">
        <is>
          <t>For maturity 4–5: operational record + corroborating source; E3 for claimed outcomes; E4 preferred where external/high-stakes.</t>
        </is>
      </c>
      <c r="F17" s="2" t="inlineStr">
        <is>
          <t>At least 2 sources for score ≥4 unless intrinsically single-source; independent corroboration may be required.</t>
        </is>
      </c>
      <c r="G17" s="2" t="inlineStr">
        <is>
          <t>Outcome is optional/N/A when no legitimate outcome exists; never manufacture a denominator.</t>
        </is>
      </c>
      <c r="H17" s="2" t="inlineStr">
        <is>
          <t>E0 descriptive; E1 artefact; E2 operational; E3 outcome; E4 independent/triangulated. Confidence is reported separately from capability score.</t>
        </is>
      </c>
    </row>
    <row r="18">
      <c r="A18" s="2" t="inlineStr">
        <is>
          <t>D02</t>
        </is>
      </c>
      <c r="B18" s="2" t="inlineStr">
        <is>
          <t>I07</t>
        </is>
      </c>
      <c r="C18" s="2" t="inlineStr">
        <is>
          <t>AI Risk Management</t>
        </is>
      </c>
      <c r="D18" s="2" t="inlineStr">
        <is>
          <t>E2 implemented control + operating record; score &gt;=3 requires execution/testing or a real case; E4 preferred for high-stakes claims.</t>
        </is>
      </c>
      <c r="E18" s="2" t="inlineStr">
        <is>
          <t>For maturity 4–5: operational record + corroborating source; E3 for claimed outcomes; E4 preferred where external/high-stakes.</t>
        </is>
      </c>
      <c r="F18" s="2" t="inlineStr">
        <is>
          <t>At least 2 sources for score ≥4 unless intrinsically single-source; independent corroboration may be required.</t>
        </is>
      </c>
      <c r="G18" s="2" t="inlineStr">
        <is>
          <t>Outcome is optional/N/A when no legitimate outcome exists; never manufacture a denominator.</t>
        </is>
      </c>
      <c r="H18" s="2" t="inlineStr">
        <is>
          <t>E0 descriptive; E1 artefact; E2 operational; E3 outcome; E4 independent/triangulated. Confidence is reported separately from capability score.</t>
        </is>
      </c>
    </row>
    <row r="19">
      <c r="A19" s="2" t="inlineStr">
        <is>
          <t>D02</t>
        </is>
      </c>
      <c r="B19" s="2" t="inlineStr">
        <is>
          <t>I08</t>
        </is>
      </c>
      <c r="C19" s="2" t="inlineStr">
        <is>
          <t>Incident Responsiveness</t>
        </is>
      </c>
      <c r="D19" s="2" t="inlineStr">
        <is>
          <t>E2 sampled artefact/work sample + rubric; score &gt;=3 requires direct operating/demonstration evidence; E3 where a legitimate outcome exists.</t>
        </is>
      </c>
      <c r="E19" s="2" t="inlineStr">
        <is>
          <t>For maturity 4–5: operational record + corroborating source; E3 for claimed outcomes; E4 preferred where external/high-stakes.</t>
        </is>
      </c>
      <c r="F19" s="2" t="inlineStr">
        <is>
          <t>At least 2 sources for score ≥4 unless intrinsically single-source; independent corroboration may be required.</t>
        </is>
      </c>
      <c r="G19" s="2" t="inlineStr">
        <is>
          <t>Outcome is optional/N/A when no legitimate outcome exists; never manufacture a denominator.</t>
        </is>
      </c>
      <c r="H19" s="2" t="inlineStr">
        <is>
          <t>E0 descriptive; E1 artefact; E2 operational; E3 outcome; E4 independent/triangulated. Confidence is reported separately from capability score.</t>
        </is>
      </c>
    </row>
    <row r="20">
      <c r="A20" s="2" t="inlineStr">
        <is>
          <t>D02</t>
        </is>
      </c>
      <c r="B20" s="2" t="inlineStr">
        <is>
          <t>I09</t>
        </is>
      </c>
      <c r="C20" s="2" t="inlineStr">
        <is>
          <t>Human Accountability</t>
        </is>
      </c>
      <c r="D20" s="2" t="inlineStr">
        <is>
          <t>E2 implemented control + operating record; score &gt;=3 requires execution/testing or a real case; E4 preferred for high-stakes claims.</t>
        </is>
      </c>
      <c r="E20" s="2" t="inlineStr">
        <is>
          <t>For maturity 4–5: operational record + corroborating source; E3 for claimed outcomes; E4 preferred where external/high-stakes.</t>
        </is>
      </c>
      <c r="F20" s="2" t="inlineStr">
        <is>
          <t>At least 2 sources for score ≥4 unless intrinsically single-source; independent corroboration may be required.</t>
        </is>
      </c>
      <c r="G20" s="2" t="inlineStr">
        <is>
          <t>Outcome is optional/N/A when no legitimate outcome exists; never manufacture a denominator.</t>
        </is>
      </c>
      <c r="H20" s="2" t="inlineStr">
        <is>
          <t>E0 descriptive; E1 artefact; E2 operational; E3 outcome; E4 independent/triangulated. Confidence is reported separately from capability score.</t>
        </is>
      </c>
    </row>
    <row r="21">
      <c r="A21" s="2" t="inlineStr">
        <is>
          <t>D02</t>
        </is>
      </c>
      <c r="B21" s="2" t="inlineStr">
        <is>
          <t>I10</t>
        </is>
      </c>
      <c r="C21" s="2" t="inlineStr">
        <is>
          <t>Vendor/Tool Governance</t>
        </is>
      </c>
      <c r="D21" s="2" t="inlineStr">
        <is>
          <t>E2 implemented control + operating record; score &gt;=3 requires execution/testing or a real case; E4 preferred for high-stakes claims.</t>
        </is>
      </c>
      <c r="E21" s="2" t="inlineStr">
        <is>
          <t>For maturity 4–5: operational record + corroborating source; E3 for claimed outcomes; E4 preferred where external/high-stakes.</t>
        </is>
      </c>
      <c r="F21" s="2" t="inlineStr">
        <is>
          <t>At least 2 sources for score ≥4 unless intrinsically single-source; independent corroboration may be required.</t>
        </is>
      </c>
      <c r="G21" s="2" t="inlineStr">
        <is>
          <t>Outcome is optional/N/A when no legitimate outcome exists; never manufacture a denominator.</t>
        </is>
      </c>
      <c r="H21" s="2" t="inlineStr">
        <is>
          <t>E0 descriptive; E1 artefact; E2 operational; E3 outcome; E4 independent/triangulated. Confidence is reported separately from capability score.</t>
        </is>
      </c>
    </row>
    <row r="22">
      <c r="A22" s="2" t="inlineStr">
        <is>
          <t>D02</t>
        </is>
      </c>
      <c r="B22" s="2" t="inlineStr">
        <is>
          <t>I11</t>
        </is>
      </c>
      <c r="C22" s="2" t="inlineStr">
        <is>
          <t>IP Governance</t>
        </is>
      </c>
      <c r="D22" s="2" t="inlineStr">
        <is>
          <t>E2 implemented control + operating record; score &gt;=3 requires execution/testing or a real case; E4 preferred for high-stakes claims.</t>
        </is>
      </c>
      <c r="E22" s="2" t="inlineStr">
        <is>
          <t>For maturity 4–5: operational record + corroborating source; E3 for claimed outcomes; E4 preferred where external/high-stakes.</t>
        </is>
      </c>
      <c r="F22" s="2" t="inlineStr">
        <is>
          <t>At least 2 sources for score ≥4 unless intrinsically single-source; independent corroboration may be required.</t>
        </is>
      </c>
      <c r="G22" s="2" t="inlineStr">
        <is>
          <t>Outcome is optional/N/A when no legitimate outcome exists; never manufacture a denominator.</t>
        </is>
      </c>
      <c r="H22" s="2" t="inlineStr">
        <is>
          <t>E0 descriptive; E1 artefact; E2 operational; E3 outcome; E4 independent/triangulated. Confidence is reported separately from capability score.</t>
        </is>
      </c>
    </row>
    <row r="23">
      <c r="A23" s="2" t="inlineStr">
        <is>
          <t>D02</t>
        </is>
      </c>
      <c r="B23" s="2" t="inlineStr">
        <is>
          <t>I12</t>
        </is>
      </c>
      <c r="C23" s="2" t="inlineStr">
        <is>
          <t>Research AI Governance</t>
        </is>
      </c>
      <c r="D23" s="2" t="inlineStr">
        <is>
          <t>E2 implemented control + operating record; score &gt;=3 requires execution/testing or a real case; E4 preferred for high-stakes claims.</t>
        </is>
      </c>
      <c r="E23" s="2" t="inlineStr">
        <is>
          <t>For maturity 4–5: operational record + corroborating source; E3 for claimed outcomes; E4 preferred where external/high-stakes.</t>
        </is>
      </c>
      <c r="F23" s="2" t="inlineStr">
        <is>
          <t>At least 2 sources for score ≥4 unless intrinsically single-source; independent corroboration may be required.</t>
        </is>
      </c>
      <c r="G23" s="2" t="inlineStr">
        <is>
          <t>Outcome is optional/N/A when no legitimate outcome exists; never manufacture a denominator.</t>
        </is>
      </c>
      <c r="H23" s="2" t="inlineStr">
        <is>
          <t>E0 descriptive; E1 artefact; E2 operational; E3 outcome; E4 independent/triangulated. Confidence is reported separately from capability score.</t>
        </is>
      </c>
    </row>
    <row r="24">
      <c r="A24" s="2" t="inlineStr">
        <is>
          <t>D02</t>
        </is>
      </c>
      <c r="B24" s="2" t="inlineStr">
        <is>
          <t>I13</t>
        </is>
      </c>
      <c r="C24" s="2" t="inlineStr">
        <is>
          <t>Governance Review Adaptability</t>
        </is>
      </c>
      <c r="D24" s="2" t="inlineStr">
        <is>
          <t>E2 implemented control + operating record; score &gt;=3 requires execution/testing or a real case; E4 preferred for high-stakes claims.</t>
        </is>
      </c>
      <c r="E24" s="2" t="inlineStr">
        <is>
          <t>For maturity 4–5: operational record + corroborating source; E3 for claimed outcomes; E4 preferred where external/high-stakes.</t>
        </is>
      </c>
      <c r="F24" s="2" t="inlineStr">
        <is>
          <t>At least 2 sources for score ≥4 unless intrinsically single-source; independent corroboration may be required.</t>
        </is>
      </c>
      <c r="G24" s="2" t="inlineStr">
        <is>
          <t>Outcome is optional/N/A when no legitimate outcome exists; never manufacture a denominator.</t>
        </is>
      </c>
      <c r="H24" s="2" t="inlineStr">
        <is>
          <t>E0 descriptive; E1 artefact; E2 operational; E3 outcome; E4 independent/triangulated. Confidence is reported separately from capability score.</t>
        </is>
      </c>
    </row>
    <row r="25">
      <c r="A25" s="2" t="inlineStr">
        <is>
          <t>D02</t>
        </is>
      </c>
      <c r="B25" s="2" t="inlineStr">
        <is>
          <t>I14</t>
        </is>
      </c>
      <c r="C25" s="2" t="inlineStr">
        <is>
          <t>Governance Effectiveness</t>
        </is>
      </c>
      <c r="D25" s="2" t="inlineStr">
        <is>
          <t>E2 implemented control + operating record; score &gt;=3 requires execution/testing or a real case; E4 preferred for high-stakes claims.</t>
        </is>
      </c>
      <c r="E25" s="2" t="inlineStr">
        <is>
          <t>For maturity 4–5: operational record + corroborating source; E3 for claimed outcomes; E4 preferred where external/high-stakes.</t>
        </is>
      </c>
      <c r="F25" s="2" t="inlineStr">
        <is>
          <t>At least 2 sources for score ≥4 unless intrinsically single-source; independent corroboration may be required.</t>
        </is>
      </c>
      <c r="G25" s="2" t="inlineStr">
        <is>
          <t>Outcome is optional/N/A when no legitimate outcome exists; never manufacture a denominator.</t>
        </is>
      </c>
      <c r="H25" s="2" t="inlineStr">
        <is>
          <t>E0 descriptive; E1 artefact; E2 operational; E3 outcome; E4 independent/triangulated. Confidence is reported separately from capability score.</t>
        </is>
      </c>
    </row>
    <row r="26">
      <c r="A26" s="2" t="inlineStr">
        <is>
          <t>D03</t>
        </is>
      </c>
      <c r="B26" s="2" t="inlineStr">
        <is>
          <t>I01</t>
        </is>
      </c>
      <c r="C26" s="2" t="inlineStr">
        <is>
          <t>Foundational Knowledge Depth</t>
        </is>
      </c>
      <c r="D26" s="2" t="inlineStr">
        <is>
          <t>E2 sampled artefact/work sample + rubric; score &gt;=3 requires direct operating/demonstration evidence; E3 where a legitimate outcome exists.</t>
        </is>
      </c>
      <c r="E26" s="2" t="inlineStr">
        <is>
          <t>For maturity 4–5: operational record + corroborating source; E3 for claimed outcomes; E4 preferred where external/high-stakes.</t>
        </is>
      </c>
      <c r="F26" s="2" t="inlineStr">
        <is>
          <t>At least 2 sources for score ≥4 unless intrinsically single-source; independent corroboration may be required.</t>
        </is>
      </c>
      <c r="G26" s="2" t="inlineStr">
        <is>
          <t>Outcome is optional/N/A when no legitimate outcome exists; never manufacture a denominator.</t>
        </is>
      </c>
      <c r="H26" s="2" t="inlineStr">
        <is>
          <t>E0 descriptive; E1 artefact; E2 operational; E3 outcome; E4 independent/triangulated. Confidence is reported separately from capability score.</t>
        </is>
      </c>
    </row>
    <row r="27">
      <c r="A27" s="2" t="inlineStr">
        <is>
          <t>D03</t>
        </is>
      </c>
      <c r="B27" s="2" t="inlineStr">
        <is>
          <t>I02</t>
        </is>
      </c>
      <c r="C27" s="2" t="inlineStr">
        <is>
          <t>Critical Reasoning Development</t>
        </is>
      </c>
      <c r="D27" s="2" t="inlineStr">
        <is>
          <t>E2 sampled artefact/work sample + rubric; score &gt;=3 requires direct operating/demonstration evidence; E3 where a legitimate outcome exists.</t>
        </is>
      </c>
      <c r="E27" s="2" t="inlineStr">
        <is>
          <t>For maturity 4–5: operational record + corroborating source; E3 for claimed outcomes; E4 preferred where external/high-stakes.</t>
        </is>
      </c>
      <c r="F27" s="2" t="inlineStr">
        <is>
          <t>At least 2 sources for score ≥4 unless intrinsically single-source; independent corroboration may be required.</t>
        </is>
      </c>
      <c r="G27" s="2" t="inlineStr">
        <is>
          <t>Outcome is optional/N/A when no legitimate outcome exists; never manufacture a denominator.</t>
        </is>
      </c>
      <c r="H27" s="2" t="inlineStr">
        <is>
          <t>E0 descriptive; E1 artefact; E2 operational; E3 outcome; E4 independent/triangulated. Confidence is reported separately from capability score.</t>
        </is>
      </c>
    </row>
    <row r="28">
      <c r="A28" s="2" t="inlineStr">
        <is>
          <t>D03</t>
        </is>
      </c>
      <c r="B28" s="2" t="inlineStr">
        <is>
          <t>I03</t>
        </is>
      </c>
      <c r="C28" s="2" t="inlineStr">
        <is>
          <t>Question Formulation</t>
        </is>
      </c>
      <c r="D28" s="2" t="inlineStr">
        <is>
          <t>E2 sampled artefact/work sample + rubric; score &gt;=3 requires direct operating/demonstration evidence; E3 where a legitimate outcome exists.</t>
        </is>
      </c>
      <c r="E28" s="2" t="inlineStr">
        <is>
          <t>For maturity 4–5: operational record + corroborating source; E3 for claimed outcomes; E4 preferred where external/high-stakes.</t>
        </is>
      </c>
      <c r="F28" s="2" t="inlineStr">
        <is>
          <t>At least 2 sources for score ≥4 unless intrinsically single-source; independent corroboration may be required.</t>
        </is>
      </c>
      <c r="G28" s="2" t="inlineStr">
        <is>
          <t>Outcome is optional/N/A when no legitimate outcome exists; never manufacture a denominator.</t>
        </is>
      </c>
      <c r="H28" s="2" t="inlineStr">
        <is>
          <t>E0 descriptive; E1 artefact; E2 operational; E3 outcome; E4 independent/triangulated. Confidence is reported separately from capability score.</t>
        </is>
      </c>
    </row>
    <row r="29">
      <c r="A29" s="2" t="inlineStr">
        <is>
          <t>D03</t>
        </is>
      </c>
      <c r="B29" s="2" t="inlineStr">
        <is>
          <t>I04</t>
        </is>
      </c>
      <c r="C29" s="2" t="inlineStr">
        <is>
          <t>Analytical Reasoning</t>
        </is>
      </c>
      <c r="D29" s="2" t="inlineStr">
        <is>
          <t>E2 sampled artefact/work sample + rubric; score &gt;=3 requires direct operating/demonstration evidence; E3 where a legitimate outcome exists.</t>
        </is>
      </c>
      <c r="E29" s="2" t="inlineStr">
        <is>
          <t>For maturity 4–5: operational record + corroborating source; E3 for claimed outcomes; E4 preferred where external/high-stakes.</t>
        </is>
      </c>
      <c r="F29" s="2" t="inlineStr">
        <is>
          <t>At least 2 sources for score ≥4 unless intrinsically single-source; independent corroboration may be required.</t>
        </is>
      </c>
      <c r="G29" s="2" t="inlineStr">
        <is>
          <t>Outcome is optional/N/A when no legitimate outcome exists; never manufacture a denominator.</t>
        </is>
      </c>
      <c r="H29" s="2" t="inlineStr">
        <is>
          <t>E0 descriptive; E1 artefact; E2 operational; E3 outcome; E4 independent/triangulated. Confidence is reported separately from capability score.</t>
        </is>
      </c>
    </row>
    <row r="30">
      <c r="A30" s="2" t="inlineStr">
        <is>
          <t>D03</t>
        </is>
      </c>
      <c r="B30" s="2" t="inlineStr">
        <is>
          <t>I05</t>
        </is>
      </c>
      <c r="C30" s="2" t="inlineStr">
        <is>
          <t>Problem Formulation</t>
        </is>
      </c>
      <c r="D30" s="2" t="inlineStr">
        <is>
          <t>E2 sampled artefact/work sample + rubric; score &gt;=3 requires direct operating/demonstration evidence; E3 where a legitimate outcome exists.</t>
        </is>
      </c>
      <c r="E30" s="2" t="inlineStr">
        <is>
          <t>For maturity 4–5: operational record + corroborating source; E3 for claimed outcomes; E4 preferred where external/high-stakes.</t>
        </is>
      </c>
      <c r="F30" s="2" t="inlineStr">
        <is>
          <t>At least 2 sources for score ≥4 unless intrinsically single-source; independent corroboration may be required.</t>
        </is>
      </c>
      <c r="G30" s="2" t="inlineStr">
        <is>
          <t>Outcome is optional/N/A when no legitimate outcome exists; never manufacture a denominator.</t>
        </is>
      </c>
      <c r="H30" s="2" t="inlineStr">
        <is>
          <t>E0 descriptive; E1 artefact; E2 operational; E3 outcome; E4 independent/triangulated. Confidence is reported separately from capability score.</t>
        </is>
      </c>
    </row>
    <row r="31">
      <c r="A31" s="2" t="inlineStr">
        <is>
          <t>D03</t>
        </is>
      </c>
      <c r="B31" s="2" t="inlineStr">
        <is>
          <t>I06</t>
        </is>
      </c>
      <c r="C31" s="2" t="inlineStr">
        <is>
          <t>Creativity &amp; Originality</t>
        </is>
      </c>
      <c r="D31" s="2" t="inlineStr">
        <is>
          <t>E2 sampled artefact/work sample + rubric; score &gt;=3 requires direct operating/demonstration evidence; E3 where a legitimate outcome exists.</t>
        </is>
      </c>
      <c r="E31" s="2" t="inlineStr">
        <is>
          <t>For maturity 4–5: operational record + corroborating source; E3 for claimed outcomes; E4 preferred where external/high-stakes.</t>
        </is>
      </c>
      <c r="F31" s="2" t="inlineStr">
        <is>
          <t>At least 2 sources for score ≥4 unless intrinsically single-source; independent corroboration may be required.</t>
        </is>
      </c>
      <c r="G31" s="2" t="inlineStr">
        <is>
          <t>Outcome is optional/N/A when no legitimate outcome exists; never manufacture a denominator.</t>
        </is>
      </c>
      <c r="H31" s="2" t="inlineStr">
        <is>
          <t>E0 descriptive; E1 artefact; E2 operational; E3 outcome; E4 independent/triangulated. Confidence is reported separately from capability score.</t>
        </is>
      </c>
    </row>
    <row r="32">
      <c r="A32" s="2" t="inlineStr">
        <is>
          <t>D03</t>
        </is>
      </c>
      <c r="B32" s="2" t="inlineStr">
        <is>
          <t>I07</t>
        </is>
      </c>
      <c r="C32" s="2" t="inlineStr">
        <is>
          <t>Judgement Capability</t>
        </is>
      </c>
      <c r="D32" s="2" t="inlineStr">
        <is>
          <t>E2 sampled artefact/work sample + rubric; score &gt;=3 requires direct operating/demonstration evidence; E3 where a legitimate outcome exists.</t>
        </is>
      </c>
      <c r="E32" s="2" t="inlineStr">
        <is>
          <t>For maturity 4–5: operational record + corroborating source; E3 for claimed outcomes; E4 preferred where external/high-stakes.</t>
        </is>
      </c>
      <c r="F32" s="2" t="inlineStr">
        <is>
          <t>At least 2 sources for score ≥4 unless intrinsically single-source; independent corroboration may be required.</t>
        </is>
      </c>
      <c r="G32" s="2" t="inlineStr">
        <is>
          <t>Outcome is optional/N/A when no legitimate outcome exists; never manufacture a denominator.</t>
        </is>
      </c>
      <c r="H32" s="2" t="inlineStr">
        <is>
          <t>E0 descriptive; E1 artefact; E2 operational; E3 outcome; E4 independent/triangulated. Confidence is reported separately from capability score.</t>
        </is>
      </c>
    </row>
    <row r="33">
      <c r="A33" s="2" t="inlineStr">
        <is>
          <t>D03</t>
        </is>
      </c>
      <c r="B33" s="2" t="inlineStr">
        <is>
          <t>I08</t>
        </is>
      </c>
      <c r="C33" s="2" t="inlineStr">
        <is>
          <t>AI Verification Capability</t>
        </is>
      </c>
      <c r="D33" s="2" t="inlineStr">
        <is>
          <t>E2 sampled artefact/work sample + rubric; score &gt;=3 requires direct operating/demonstration evidence; E3 where a legitimate outcome exists.</t>
        </is>
      </c>
      <c r="E33" s="2" t="inlineStr">
        <is>
          <t>For maturity 4–5: operational record + corroborating source; E3 for claimed outcomes; E4 preferred where external/high-stakes.</t>
        </is>
      </c>
      <c r="F33" s="2" t="inlineStr">
        <is>
          <t>At least 2 sources for score ≥4 unless intrinsically single-source; independent corroboration may be required.</t>
        </is>
      </c>
      <c r="G33" s="2" t="inlineStr">
        <is>
          <t>Outcome is optional/N/A when no legitimate outcome exists; never manufacture a denominator.</t>
        </is>
      </c>
      <c r="H33" s="2" t="inlineStr">
        <is>
          <t>E0 descriptive; E1 artefact; E2 operational; E3 outcome; E4 independent/triangulated. Confidence is reported separately from capability score.</t>
        </is>
      </c>
    </row>
    <row r="34">
      <c r="A34" s="2" t="inlineStr">
        <is>
          <t>D03</t>
        </is>
      </c>
      <c r="B34" s="2" t="inlineStr">
        <is>
          <t>I09</t>
        </is>
      </c>
      <c r="C34" s="2" t="inlineStr">
        <is>
          <t>Metacognitive Capability</t>
        </is>
      </c>
      <c r="D34" s="2" t="inlineStr">
        <is>
          <t>E2 sampled artefact/work sample + rubric; score &gt;=3 requires direct operating/demonstration evidence; E3 where a legitimate outcome exists.</t>
        </is>
      </c>
      <c r="E34" s="2" t="inlineStr">
        <is>
          <t>For maturity 4–5: operational record + corroborating source; E3 for claimed outcomes; E4 preferred where external/high-stakes.</t>
        </is>
      </c>
      <c r="F34" s="2" t="inlineStr">
        <is>
          <t>At least 2 sources for score ≥4 unless intrinsically single-source; independent corroboration may be required.</t>
        </is>
      </c>
      <c r="G34" s="2" t="inlineStr">
        <is>
          <t>Outcome is optional/N/A when no legitimate outcome exists; never manufacture a denominator.</t>
        </is>
      </c>
      <c r="H34" s="2" t="inlineStr">
        <is>
          <t>E0 descriptive; E1 artefact; E2 operational; E3 outcome; E4 independent/triangulated. Confidence is reported separately from capability score.</t>
        </is>
      </c>
    </row>
    <row r="35">
      <c r="A35" s="2" t="inlineStr">
        <is>
          <t>D03</t>
        </is>
      </c>
      <c r="B35" s="2" t="inlineStr">
        <is>
          <t>I10</t>
        </is>
      </c>
      <c r="C35" s="2" t="inlineStr">
        <is>
          <t>Human-AI Collaboration</t>
        </is>
      </c>
      <c r="D35" s="2" t="inlineStr">
        <is>
          <t>E2 sampled artefact/work sample + rubric; score &gt;=3 requires direct operating/demonstration evidence; E3 where a legitimate outcome exists.</t>
        </is>
      </c>
      <c r="E35" s="2" t="inlineStr">
        <is>
          <t>For maturity 4–5: operational record + corroborating source; E3 for claimed outcomes; E4 preferred where external/high-stakes.</t>
        </is>
      </c>
      <c r="F35" s="2" t="inlineStr">
        <is>
          <t>At least 2 sources for score ≥4 unless intrinsically single-source; independent corroboration may be required.</t>
        </is>
      </c>
      <c r="G35" s="2" t="inlineStr">
        <is>
          <t>Outcome is optional/N/A when no legitimate outcome exists; never manufacture a denominator.</t>
        </is>
      </c>
      <c r="H35" s="2" t="inlineStr">
        <is>
          <t>E0 descriptive; E1 artefact; E2 operational; E3 outcome; E4 independent/triangulated. Confidence is reported separately from capability score.</t>
        </is>
      </c>
    </row>
    <row r="36">
      <c r="A36" s="2" t="inlineStr">
        <is>
          <t>D03</t>
        </is>
      </c>
      <c r="B36" s="2" t="inlineStr">
        <is>
          <t>I11</t>
        </is>
      </c>
      <c r="C36" s="2" t="inlineStr">
        <is>
          <t>Communication &amp; Defence</t>
        </is>
      </c>
      <c r="D36" s="2" t="inlineStr">
        <is>
          <t>E2 sampled artefact/work sample + rubric; score &gt;=3 requires direct operating/demonstration evidence; E3 where a legitimate outcome exists.</t>
        </is>
      </c>
      <c r="E36" s="2" t="inlineStr">
        <is>
          <t>For maturity 4–5: operational record + corroborating source; E3 for claimed outcomes; E4 preferred where external/high-stakes.</t>
        </is>
      </c>
      <c r="F36" s="2" t="inlineStr">
        <is>
          <t>At least 2 sources for score ≥4 unless intrinsically single-source; independent corroboration may be required.</t>
        </is>
      </c>
      <c r="G36" s="2" t="inlineStr">
        <is>
          <t>Outcome is optional/N/A when no legitimate outcome exists; never manufacture a denominator.</t>
        </is>
      </c>
      <c r="H36" s="2" t="inlineStr">
        <is>
          <t>E0 descriptive; E1 artefact; E2 operational; E3 outcome; E4 independent/triangulated. Confidence is reported separately from capability score.</t>
        </is>
      </c>
    </row>
    <row r="37">
      <c r="A37" s="2" t="inlineStr">
        <is>
          <t>D03</t>
        </is>
      </c>
      <c r="B37" s="2" t="inlineStr">
        <is>
          <t>I12</t>
        </is>
      </c>
      <c r="C37" s="2" t="inlineStr">
        <is>
          <t>Collaboration Capability</t>
        </is>
      </c>
      <c r="D37" s="2" t="inlineStr">
        <is>
          <t>E2 sampled artefact/work sample + rubric; score &gt;=3 requires direct operating/demonstration evidence; E3 where a legitimate outcome exists.</t>
        </is>
      </c>
      <c r="E37" s="2" t="inlineStr">
        <is>
          <t>For maturity 4–5: operational record + corroborating source; E3 for claimed outcomes; E4 preferred where external/high-stakes.</t>
        </is>
      </c>
      <c r="F37" s="2" t="inlineStr">
        <is>
          <t>At least 2 sources for score ≥4 unless intrinsically single-source; independent corroboration may be required.</t>
        </is>
      </c>
      <c r="G37" s="2" t="inlineStr">
        <is>
          <t>Outcome is optional/N/A when no legitimate outcome exists; never manufacture a denominator.</t>
        </is>
      </c>
      <c r="H37" s="2" t="inlineStr">
        <is>
          <t>E0 descriptive; E1 artefact; E2 operational; E3 outcome; E4 independent/triangulated. Confidence is reported separately from capability score.</t>
        </is>
      </c>
    </row>
    <row r="38">
      <c r="A38" s="2" t="inlineStr">
        <is>
          <t>D03</t>
        </is>
      </c>
      <c r="B38" s="2" t="inlineStr">
        <is>
          <t>I13</t>
        </is>
      </c>
      <c r="C38" s="2" t="inlineStr">
        <is>
          <t>Practical Capability</t>
        </is>
      </c>
      <c r="D38" s="2" t="inlineStr">
        <is>
          <t>E2 sampled artefact/work sample + rubric; score &gt;=3 requires direct operating/demonstration evidence; E3 where a legitimate outcome exists.</t>
        </is>
      </c>
      <c r="E38" s="2" t="inlineStr">
        <is>
          <t>For maturity 4–5: operational record + corroborating source; E3 for claimed outcomes; E4 preferred where external/high-stakes.</t>
        </is>
      </c>
      <c r="F38" s="2" t="inlineStr">
        <is>
          <t>At least 2 sources for score ≥4 unless intrinsically single-source; independent corroboration may be required.</t>
        </is>
      </c>
      <c r="G38" s="2" t="inlineStr">
        <is>
          <t>Outcome is optional/N/A when no legitimate outcome exists; never manufacture a denominator.</t>
        </is>
      </c>
      <c r="H38" s="2" t="inlineStr">
        <is>
          <t>E0 descriptive; E1 artefact; E2 operational; E3 outcome; E4 independent/triangulated. Confidence is reported separately from capability score.</t>
        </is>
      </c>
    </row>
    <row r="39">
      <c r="A39" s="2" t="inlineStr">
        <is>
          <t>D03</t>
        </is>
      </c>
      <c r="B39" s="2" t="inlineStr">
        <is>
          <t>I14</t>
        </is>
      </c>
      <c r="C39" s="2" t="inlineStr">
        <is>
          <t>Ethical/Social Judgement</t>
        </is>
      </c>
      <c r="D39" s="2" t="inlineStr">
        <is>
          <t>E2 sampled artefact/work sample + rubric; score &gt;=3 requires direct operating/demonstration evidence; E3 where a legitimate outcome exists.</t>
        </is>
      </c>
      <c r="E39" s="2" t="inlineStr">
        <is>
          <t>For maturity 4–5: operational record + corroborating source; E3 for claimed outcomes; E4 preferred where external/high-stakes.</t>
        </is>
      </c>
      <c r="F39" s="2" t="inlineStr">
        <is>
          <t>At least 2 sources for score ≥4 unless intrinsically single-source; independent corroboration may be required.</t>
        </is>
      </c>
      <c r="G39" s="2" t="inlineStr">
        <is>
          <t>Outcome is optional/N/A when no legitimate outcome exists; never manufacture a denominator.</t>
        </is>
      </c>
      <c r="H39" s="2" t="inlineStr">
        <is>
          <t>E0 descriptive; E1 artefact; E2 operational; E3 outcome; E4 independent/triangulated. Confidence is reported separately from capability score.</t>
        </is>
      </c>
    </row>
    <row r="40">
      <c r="A40" s="2" t="inlineStr">
        <is>
          <t>D03</t>
        </is>
      </c>
      <c r="B40" s="2" t="inlineStr">
        <is>
          <t>I15</t>
        </is>
      </c>
      <c r="C40" s="2" t="inlineStr">
        <is>
          <t>Intellectual Agency</t>
        </is>
      </c>
      <c r="D40" s="2" t="inlineStr">
        <is>
          <t>E2 sampled artefact/work sample + rubric; score &gt;=3 requires direct operating/demonstration evidence; E3 where a legitimate outcome exists.</t>
        </is>
      </c>
      <c r="E40" s="2" t="inlineStr">
        <is>
          <t>For maturity 4–5: operational record + corroborating source; E3 for claimed outcomes; E4 preferred where external/high-stakes.</t>
        </is>
      </c>
      <c r="F40" s="2" t="inlineStr">
        <is>
          <t>At least 2 sources for score ≥4 unless intrinsically single-source; independent corroboration may be required.</t>
        </is>
      </c>
      <c r="G40" s="2" t="inlineStr">
        <is>
          <t>Outcome is optional/N/A when no legitimate outcome exists; never manufacture a denominator.</t>
        </is>
      </c>
      <c r="H40" s="2" t="inlineStr">
        <is>
          <t>E0 descriptive; E1 artefact; E2 operational; E3 outcome; E4 independent/triangulated. Confidence is reported separately from capability score.</t>
        </is>
      </c>
    </row>
    <row r="41">
      <c r="A41" s="2" t="inlineStr">
        <is>
          <t>D03</t>
        </is>
      </c>
      <c r="B41" s="2" t="inlineStr">
        <is>
          <t>I16</t>
        </is>
      </c>
      <c r="C41" s="2" t="inlineStr">
        <is>
          <t>Transfer Capability</t>
        </is>
      </c>
      <c r="D41" s="2" t="inlineStr">
        <is>
          <t>E2 sampled artefact/work sample + rubric; score &gt;=3 requires direct operating/demonstration evidence; E3 where a legitimate outcome exists.</t>
        </is>
      </c>
      <c r="E41" s="2" t="inlineStr">
        <is>
          <t>For maturity 4–5: operational record + corroborating source; E3 for claimed outcomes; E4 preferred where external/high-stakes.</t>
        </is>
      </c>
      <c r="F41" s="2" t="inlineStr">
        <is>
          <t>At least 2 sources for score ≥4 unless intrinsically single-source; independent corroboration may be required.</t>
        </is>
      </c>
      <c r="G41" s="2" t="inlineStr">
        <is>
          <t>Outcome is optional/N/A when no legitimate outcome exists; never manufacture a denominator.</t>
        </is>
      </c>
      <c r="H41" s="2" t="inlineStr">
        <is>
          <t>E0 descriptive; E1 artefact; E2 operational; E3 outcome; E4 independent/triangulated. Confidence is reported separately from capability score.</t>
        </is>
      </c>
    </row>
    <row r="42">
      <c r="A42" s="2" t="inlineStr">
        <is>
          <t>D03</t>
        </is>
      </c>
      <c r="B42" s="2" t="inlineStr">
        <is>
          <t>I17</t>
        </is>
      </c>
      <c r="C42" s="2" t="inlineStr">
        <is>
          <t>Non-Technical Discipline AI Capability</t>
        </is>
      </c>
      <c r="D42" s="2" t="inlineStr">
        <is>
          <t>E2 implemented control + operating record; score &gt;=3 requires execution/testing or a real case; E4 preferred for high-stakes claims.</t>
        </is>
      </c>
      <c r="E42" s="2" t="inlineStr">
        <is>
          <t>For maturity 4–5: operational record + corroborating source; E3 for claimed outcomes; E4 preferred where external/high-stakes.</t>
        </is>
      </c>
      <c r="F42" s="2" t="inlineStr">
        <is>
          <t>At least 2 sources for score ≥4 unless intrinsically single-source; independent corroboration may be required.</t>
        </is>
      </c>
      <c r="G42" s="2" t="inlineStr">
        <is>
          <t>Outcome is optional/N/A when no legitimate outcome exists; never manufacture a denominator.</t>
        </is>
      </c>
      <c r="H42" s="2" t="inlineStr">
        <is>
          <t>E0 descriptive; E1 artefact; E2 operational; E3 outcome; E4 independent/triangulated. Confidence is reported separately from capability score.</t>
        </is>
      </c>
    </row>
    <row r="43">
      <c r="A43" s="2" t="inlineStr">
        <is>
          <t>D04</t>
        </is>
      </c>
      <c r="B43" s="2" t="inlineStr">
        <is>
          <t>I01</t>
        </is>
      </c>
      <c r="C43" s="2" t="inlineStr">
        <is>
          <t>Curriculum Sensing Maturity</t>
        </is>
      </c>
      <c r="D43" s="2" t="inlineStr">
        <is>
          <t>E2 sampled artefact/work sample + rubric; score &gt;=3 requires direct operating/demonstration evidence; E3 where a legitimate outcome exists.</t>
        </is>
      </c>
      <c r="E43" s="2" t="inlineStr">
        <is>
          <t>For maturity 4–5: operational record + corroborating source; E3 for claimed outcomes; E4 preferred where external/high-stakes.</t>
        </is>
      </c>
      <c r="F43" s="2" t="inlineStr">
        <is>
          <t>At least 2 sources for score ≥4 unless intrinsically single-source; independent corroboration may be required.</t>
        </is>
      </c>
      <c r="G43" s="2" t="inlineStr">
        <is>
          <t>Outcome is optional/N/A when no legitimate outcome exists; never manufacture a denominator.</t>
        </is>
      </c>
      <c r="H43" s="2" t="inlineStr">
        <is>
          <t>E0 descriptive; E1 artefact; E2 operational; E3 outcome; E4 independent/triangulated. Confidence is reported separately from capability score.</t>
        </is>
      </c>
    </row>
    <row r="44">
      <c r="A44" s="2" t="inlineStr">
        <is>
          <t>D04</t>
        </is>
      </c>
      <c r="B44" s="2" t="inlineStr">
        <is>
          <t>I02</t>
        </is>
      </c>
      <c r="C44" s="2" t="inlineStr">
        <is>
          <t>Future Learning Outcome Alignment</t>
        </is>
      </c>
      <c r="D44" s="2" t="inlineStr">
        <is>
          <t>E2 sampled artefact/work sample + rubric; score &gt;=3 requires direct operating/demonstration evidence; E3 where a legitimate outcome exists.</t>
        </is>
      </c>
      <c r="E44" s="2" t="inlineStr">
        <is>
          <t>For maturity 4–5: operational record + corroborating source; E3 for claimed outcomes; E4 preferred where external/high-stakes.</t>
        </is>
      </c>
      <c r="F44" s="2" t="inlineStr">
        <is>
          <t>At least 2 sources for score ≥4 unless intrinsically single-source; independent corroboration may be required.</t>
        </is>
      </c>
      <c r="G44" s="2" t="inlineStr">
        <is>
          <t>Outcome is optional/N/A when no legitimate outcome exists; never manufacture a denominator.</t>
        </is>
      </c>
      <c r="H44" s="2" t="inlineStr">
        <is>
          <t>E0 descriptive; E1 artefact; E2 operational; E3 outcome; E4 independent/triangulated. Confidence is reported separately from capability score.</t>
        </is>
      </c>
    </row>
    <row r="45">
      <c r="A45" s="2" t="inlineStr">
        <is>
          <t>D04</t>
        </is>
      </c>
      <c r="B45" s="2" t="inlineStr">
        <is>
          <t>I03</t>
        </is>
      </c>
      <c r="C45" s="2" t="inlineStr">
        <is>
          <t>Programme Review Effectiveness</t>
        </is>
      </c>
      <c r="D45" s="2" t="inlineStr">
        <is>
          <t>E2 sampled artefact/work sample + rubric; score &gt;=3 requires direct operating/demonstration evidence; E3 where a legitimate outcome exists.</t>
        </is>
      </c>
      <c r="E45" s="2" t="inlineStr">
        <is>
          <t>For maturity 4–5: operational record + corroborating source; E3 for claimed outcomes; E4 preferred where external/high-stakes.</t>
        </is>
      </c>
      <c r="F45" s="2" t="inlineStr">
        <is>
          <t>At least 2 sources for score ≥4 unless intrinsically single-source; independent corroboration may be required.</t>
        </is>
      </c>
      <c r="G45" s="2" t="inlineStr">
        <is>
          <t>Outcome is optional/N/A when no legitimate outcome exists; never manufacture a denominator.</t>
        </is>
      </c>
      <c r="H45" s="2" t="inlineStr">
        <is>
          <t>E0 descriptive; E1 artefact; E2 operational; E3 outcome; E4 independent/triangulated. Confidence is reported separately from capability score.</t>
        </is>
      </c>
    </row>
    <row r="46">
      <c r="A46" s="2" t="inlineStr">
        <is>
          <t>D04</t>
        </is>
      </c>
      <c r="B46" s="2" t="inlineStr">
        <is>
          <t>I04</t>
        </is>
      </c>
      <c r="C46" s="2" t="inlineStr">
        <is>
          <t>Disciplinary AI Integration Depth</t>
        </is>
      </c>
      <c r="D46" s="2" t="inlineStr">
        <is>
          <t>E2 implemented control + operating record; score &gt;=3 requires execution/testing or a real case; E4 preferred for high-stakes claims.</t>
        </is>
      </c>
      <c r="E46" s="2" t="inlineStr">
        <is>
          <t>For maturity 4–5: operational record + corroborating source; E3 for claimed outcomes; E4 preferred where external/high-stakes.</t>
        </is>
      </c>
      <c r="F46" s="2" t="inlineStr">
        <is>
          <t>At least 2 sources for score ≥4 unless intrinsically single-source; independent corroboration may be required.</t>
        </is>
      </c>
      <c r="G46" s="2" t="inlineStr">
        <is>
          <t>Outcome is optional/N/A when no legitimate outcome exists; never manufacture a denominator.</t>
        </is>
      </c>
      <c r="H46" s="2" t="inlineStr">
        <is>
          <t>E0 descriptive; E1 artefact; E2 operational; E3 outcome; E4 independent/triangulated. Confidence is reported separately from capability score.</t>
        </is>
      </c>
    </row>
    <row r="47">
      <c r="A47" s="2" t="inlineStr">
        <is>
          <t>D04</t>
        </is>
      </c>
      <c r="B47" s="2" t="inlineStr">
        <is>
          <t>I05</t>
        </is>
      </c>
      <c r="C47" s="2" t="inlineStr">
        <is>
          <t>Content Obsolescence Response</t>
        </is>
      </c>
      <c r="D47" s="2" t="inlineStr">
        <is>
          <t>E2 sampled artefact/work sample + rubric; score &gt;=3 requires direct operating/demonstration evidence; E3 where a legitimate outcome exists.</t>
        </is>
      </c>
      <c r="E47" s="2" t="inlineStr">
        <is>
          <t>For maturity 4–5: operational record + corroborating source; E3 for claimed outcomes; E4 preferred where external/high-stakes.</t>
        </is>
      </c>
      <c r="F47" s="2" t="inlineStr">
        <is>
          <t>At least 2 sources for score ≥4 unless intrinsically single-source; independent corroboration may be required.</t>
        </is>
      </c>
      <c r="G47" s="2" t="inlineStr">
        <is>
          <t>Outcome is optional/N/A when no legitimate outcome exists; never manufacture a denominator.</t>
        </is>
      </c>
      <c r="H47" s="2" t="inlineStr">
        <is>
          <t>E0 descriptive; E1 artefact; E2 operational; E3 outcome; E4 independent/triangulated. Confidence is reported separately from capability score.</t>
        </is>
      </c>
    </row>
    <row r="48">
      <c r="A48" s="2" t="inlineStr">
        <is>
          <t>D04</t>
        </is>
      </c>
      <c r="B48" s="2" t="inlineStr">
        <is>
          <t>I06</t>
        </is>
      </c>
      <c r="C48" s="2" t="inlineStr">
        <is>
          <t>Experiential Learning Strength</t>
        </is>
      </c>
      <c r="D48" s="2" t="inlineStr">
        <is>
          <t>E2 sampled artefact/work sample + rubric; score &gt;=3 requires direct operating/demonstration evidence; E3 where a legitimate outcome exists.</t>
        </is>
      </c>
      <c r="E48" s="2" t="inlineStr">
        <is>
          <t>For maturity 4–5: operational record + corroborating source; E3 for claimed outcomes; E4 preferred where external/high-stakes.</t>
        </is>
      </c>
      <c r="F48" s="2" t="inlineStr">
        <is>
          <t>At least 2 sources for score ≥4 unless intrinsically single-source; independent corroboration may be required.</t>
        </is>
      </c>
      <c r="G48" s="2" t="inlineStr">
        <is>
          <t>Outcome is optional/N/A when no legitimate outcome exists; never manufacture a denominator.</t>
        </is>
      </c>
      <c r="H48" s="2" t="inlineStr">
        <is>
          <t>E0 descriptive; E1 artefact; E2 operational; E3 outcome; E4 independent/triangulated. Confidence is reported separately from capability score.</t>
        </is>
      </c>
    </row>
    <row r="49">
      <c r="A49" s="2" t="inlineStr">
        <is>
          <t>D04</t>
        </is>
      </c>
      <c r="B49" s="2" t="inlineStr">
        <is>
          <t>I07</t>
        </is>
      </c>
      <c r="C49" s="2" t="inlineStr">
        <is>
          <t>Interdisciplinary Flexibility</t>
        </is>
      </c>
      <c r="D49" s="2" t="inlineStr">
        <is>
          <t>E2 implemented control + operating record; score &gt;=3 requires execution/testing or a real case; E4 preferred for high-stakes claims.</t>
        </is>
      </c>
      <c r="E49" s="2" t="inlineStr">
        <is>
          <t>For maturity 4–5: operational record + corroborating source; E3 for claimed outcomes; E4 preferred where external/high-stakes.</t>
        </is>
      </c>
      <c r="F49" s="2" t="inlineStr">
        <is>
          <t>At least 2 sources for score ≥4 unless intrinsically single-source; independent corroboration may be required.</t>
        </is>
      </c>
      <c r="G49" s="2" t="inlineStr">
        <is>
          <t>Outcome is optional/N/A when no legitimate outcome exists; never manufacture a denominator.</t>
        </is>
      </c>
      <c r="H49" s="2" t="inlineStr">
        <is>
          <t>E0 descriptive; E1 artefact; E2 operational; E3 outcome; E4 independent/triangulated. Confidence is reported separately from capability score.</t>
        </is>
      </c>
    </row>
    <row r="50">
      <c r="A50" s="2" t="inlineStr">
        <is>
          <t>D04</t>
        </is>
      </c>
      <c r="B50" s="2" t="inlineStr">
        <is>
          <t>I08</t>
        </is>
      </c>
      <c r="C50" s="2" t="inlineStr">
        <is>
          <t>Programme Agility</t>
        </is>
      </c>
      <c r="D50" s="2" t="inlineStr">
        <is>
          <t>E2 sampled artefact/work sample + rubric; score &gt;=3 requires direct operating/demonstration evidence; E3 where a legitimate outcome exists.</t>
        </is>
      </c>
      <c r="E50" s="2" t="inlineStr">
        <is>
          <t>For maturity 4–5: operational record + corroborating source; E3 for claimed outcomes; E4 preferred where external/high-stakes.</t>
        </is>
      </c>
      <c r="F50" s="2" t="inlineStr">
        <is>
          <t>At least 2 sources for score ≥4 unless intrinsically single-source; independent corroboration may be required.</t>
        </is>
      </c>
      <c r="G50" s="2" t="inlineStr">
        <is>
          <t>Outcome is optional/N/A when no legitimate outcome exists; never manufacture a denominator.</t>
        </is>
      </c>
      <c r="H50" s="2" t="inlineStr">
        <is>
          <t>E0 descriptive; E1 artefact; E2 operational; E3 outcome; E4 independent/triangulated. Confidence is reported separately from capability score.</t>
        </is>
      </c>
    </row>
    <row r="51">
      <c r="A51" s="2" t="inlineStr">
        <is>
          <t>D04</t>
        </is>
      </c>
      <c r="B51" s="2" t="inlineStr">
        <is>
          <t>I09</t>
        </is>
      </c>
      <c r="C51" s="2" t="inlineStr">
        <is>
          <t>External Validation Strength</t>
        </is>
      </c>
      <c r="D51" s="2" t="inlineStr">
        <is>
          <t>E2 sampled artefact/work sample + rubric; score &gt;=3 requires direct operating/demonstration evidence; E3 where a legitimate outcome exists.</t>
        </is>
      </c>
      <c r="E51" s="2" t="inlineStr">
        <is>
          <t>For maturity 4–5: operational record + corroborating source; E3 for claimed outcomes; E4 preferred where external/high-stakes.</t>
        </is>
      </c>
      <c r="F51" s="2" t="inlineStr">
        <is>
          <t>At least 2 sources for score ≥4 unless intrinsically single-source; independent corroboration may be required.</t>
        </is>
      </c>
      <c r="G51" s="2" t="inlineStr">
        <is>
          <t>Outcome is optional/N/A when no legitimate outcome exists; never manufacture a denominator.</t>
        </is>
      </c>
      <c r="H51" s="2" t="inlineStr">
        <is>
          <t>E0 descriptive; E1 artefact; E2 operational; E3 outcome; E4 independent/triangulated. Confidence is reported separately from capability score.</t>
        </is>
      </c>
    </row>
    <row r="52">
      <c r="A52" s="2" t="inlineStr">
        <is>
          <t>D04</t>
        </is>
      </c>
      <c r="B52" s="2" t="inlineStr">
        <is>
          <t>I10</t>
        </is>
      </c>
      <c r="C52" s="2" t="inlineStr">
        <is>
          <t>External Learning Ecosystem</t>
        </is>
      </c>
      <c r="D52" s="2" t="inlineStr">
        <is>
          <t>E2 sampled artefact/work sample + rubric; score &gt;=3 requires direct operating/demonstration evidence; E3 where a legitimate outcome exists.</t>
        </is>
      </c>
      <c r="E52" s="2" t="inlineStr">
        <is>
          <t>For maturity 4–5: operational record + corroborating source; E3 for claimed outcomes; E4 preferred where external/high-stakes.</t>
        </is>
      </c>
      <c r="F52" s="2" t="inlineStr">
        <is>
          <t>At least 2 sources for score ≥4 unless intrinsically single-source; independent corroboration may be required.</t>
        </is>
      </c>
      <c r="G52" s="2" t="inlineStr">
        <is>
          <t>Outcome is optional/N/A when no legitimate outcome exists; never manufacture a denominator.</t>
        </is>
      </c>
      <c r="H52" s="2" t="inlineStr">
        <is>
          <t>E0 descriptive; E1 artefact; E2 operational; E3 outcome; E4 independent/triangulated. Confidence is reported separately from capability score.</t>
        </is>
      </c>
    </row>
    <row r="53">
      <c r="A53" s="2" t="inlineStr">
        <is>
          <t>D04</t>
        </is>
      </c>
      <c r="B53" s="2" t="inlineStr">
        <is>
          <t>I11</t>
        </is>
      </c>
      <c r="C53" s="2" t="inlineStr">
        <is>
          <t>Transfer Capability</t>
        </is>
      </c>
      <c r="D53" s="2" t="inlineStr">
        <is>
          <t>E2 sampled artefact/work sample + rubric; score &gt;=3 requires direct operating/demonstration evidence; E3 where a legitimate outcome exists.</t>
        </is>
      </c>
      <c r="E53" s="2" t="inlineStr">
        <is>
          <t>For maturity 4–5: operational record + corroborating source; E3 for claimed outcomes; E4 preferred where external/high-stakes.</t>
        </is>
      </c>
      <c r="F53" s="2" t="inlineStr">
        <is>
          <t>At least 2 sources for score ≥4 unless intrinsically single-source; independent corroboration may be required.</t>
        </is>
      </c>
      <c r="G53" s="2" t="inlineStr">
        <is>
          <t>Outcome is optional/N/A when no legitimate outcome exists; never manufacture a denominator.</t>
        </is>
      </c>
      <c r="H53" s="2" t="inlineStr">
        <is>
          <t>E0 descriptive; E1 artefact; E2 operational; E3 outcome; E4 independent/triangulated. Confidence is reported separately from capability score.</t>
        </is>
      </c>
    </row>
    <row r="54">
      <c r="A54" s="2" t="inlineStr">
        <is>
          <t>D04</t>
        </is>
      </c>
      <c r="B54" s="2" t="inlineStr">
        <is>
          <t>I12</t>
        </is>
      </c>
      <c r="C54" s="2" t="inlineStr">
        <is>
          <t>Portfolio Foresight</t>
        </is>
      </c>
      <c r="D54" s="2" t="inlineStr">
        <is>
          <t>E2 sampled artefact/work sample + rubric; score &gt;=3 requires direct operating/demonstration evidence; E3 where a legitimate outcome exists.</t>
        </is>
      </c>
      <c r="E54" s="2" t="inlineStr">
        <is>
          <t>For maturity 4–5: operational record + corroborating source; E3 for claimed outcomes; E4 preferred where external/high-stakes.</t>
        </is>
      </c>
      <c r="F54" s="2" t="inlineStr">
        <is>
          <t>At least 2 sources for score ≥4 unless intrinsically single-source; independent corroboration may be required.</t>
        </is>
      </c>
      <c r="G54" s="2" t="inlineStr">
        <is>
          <t>Outcome is optional/N/A when no legitimate outcome exists; never manufacture a denominator.</t>
        </is>
      </c>
      <c r="H54" s="2" t="inlineStr">
        <is>
          <t>E0 descriptive; E1 artefact; E2 operational; E3 outcome; E4 independent/triangulated. Confidence is reported separately from capability score.</t>
        </is>
      </c>
    </row>
    <row r="55">
      <c r="A55" s="2" t="inlineStr">
        <is>
          <t>D05</t>
        </is>
      </c>
      <c r="B55" s="2" t="inlineStr">
        <is>
          <t>I01</t>
        </is>
      </c>
      <c r="C55" s="2" t="inlineStr">
        <is>
          <t>Faculty AI Literacy Maturity</t>
        </is>
      </c>
      <c r="D55" s="2" t="inlineStr">
        <is>
          <t>E2 sampled artefact/work sample + rubric; score &gt;=3 requires direct operating/demonstration evidence; E3 where a legitimate outcome exists.</t>
        </is>
      </c>
      <c r="E55" s="2" t="inlineStr">
        <is>
          <t>For maturity 4–5: operational record + corroborating source; E3 for claimed outcomes; E4 preferred where external/high-stakes.</t>
        </is>
      </c>
      <c r="F55" s="2" t="inlineStr">
        <is>
          <t>At least 2 sources for score ≥4 unless intrinsically single-source; independent corroboration may be required.</t>
        </is>
      </c>
      <c r="G55" s="2" t="inlineStr">
        <is>
          <t>Outcome is optional/N/A when no legitimate outcome exists; never manufacture a denominator.</t>
        </is>
      </c>
      <c r="H55" s="2" t="inlineStr">
        <is>
          <t>E0 descriptive; E1 artefact; E2 operational; E3 outcome; E4 independent/triangulated. Confidence is reported separately from capability score.</t>
        </is>
      </c>
    </row>
    <row r="56">
      <c r="A56" s="2" t="inlineStr">
        <is>
          <t>D05</t>
        </is>
      </c>
      <c r="B56" s="2" t="inlineStr">
        <is>
          <t>I02</t>
        </is>
      </c>
      <c r="C56" s="2" t="inlineStr">
        <is>
          <t>Discipline-Specific AI Practice</t>
        </is>
      </c>
      <c r="D56" s="2" t="inlineStr">
        <is>
          <t>E2 implemented control + operating record; score &gt;=3 requires execution/testing or a real case; E4 preferred for high-stakes claims.</t>
        </is>
      </c>
      <c r="E56" s="2" t="inlineStr">
        <is>
          <t>For maturity 4–5: operational record + corroborating source; E3 for claimed outcomes; E4 preferred where external/high-stakes.</t>
        </is>
      </c>
      <c r="F56" s="2" t="inlineStr">
        <is>
          <t>At least 2 sources for score ≥4 unless intrinsically single-source; independent corroboration may be required.</t>
        </is>
      </c>
      <c r="G56" s="2" t="inlineStr">
        <is>
          <t>Outcome is optional/N/A when no legitimate outcome exists; never manufacture a denominator.</t>
        </is>
      </c>
      <c r="H56" s="2" t="inlineStr">
        <is>
          <t>E0 descriptive; E1 artefact; E2 operational; E3 outcome; E4 independent/triangulated. Confidence is reported separately from capability score.</t>
        </is>
      </c>
    </row>
    <row r="57">
      <c r="A57" s="2" t="inlineStr">
        <is>
          <t>D05</t>
        </is>
      </c>
      <c r="B57" s="2" t="inlineStr">
        <is>
          <t>I03</t>
        </is>
      </c>
      <c r="C57" s="2" t="inlineStr">
        <is>
          <t>AI-Enhanced Pedagogy</t>
        </is>
      </c>
      <c r="D57" s="2" t="inlineStr">
        <is>
          <t>E2 sampled artefact/work sample + rubric; score &gt;=3 requires direct operating/demonstration evidence; E3 where a legitimate outcome exists.</t>
        </is>
      </c>
      <c r="E57" s="2" t="inlineStr">
        <is>
          <t>For maturity 4–5: operational record + corroborating source; E3 for claimed outcomes; E4 preferred where external/high-stakes.</t>
        </is>
      </c>
      <c r="F57" s="2" t="inlineStr">
        <is>
          <t>At least 2 sources for score ≥4 unless intrinsically single-source; independent corroboration may be required.</t>
        </is>
      </c>
      <c r="G57" s="2" t="inlineStr">
        <is>
          <t>Outcome is optional/N/A when no legitimate outcome exists; never manufacture a denominator.</t>
        </is>
      </c>
      <c r="H57" s="2" t="inlineStr">
        <is>
          <t>E0 descriptive; E1 artefact; E2 operational; E3 outcome; E4 independent/triangulated. Confidence is reported separately from capability score.</t>
        </is>
      </c>
    </row>
    <row r="58">
      <c r="A58" s="2" t="inlineStr">
        <is>
          <t>D05</t>
        </is>
      </c>
      <c r="B58" s="2" t="inlineStr">
        <is>
          <t>I04</t>
        </is>
      </c>
      <c r="C58" s="2" t="inlineStr">
        <is>
          <t>Assessment Redesign Capability</t>
        </is>
      </c>
      <c r="D58" s="2" t="inlineStr">
        <is>
          <t>E2 sampled artefact/work sample + rubric; score &gt;=3 requires direct operating/demonstration evidence; E3 where a legitimate outcome exists.</t>
        </is>
      </c>
      <c r="E58" s="2" t="inlineStr">
        <is>
          <t>For maturity 4–5: operational record + corroborating source; E3 for claimed outcomes; E4 preferred where external/high-stakes.</t>
        </is>
      </c>
      <c r="F58" s="2" t="inlineStr">
        <is>
          <t>At least 2 sources for score ≥4 unless intrinsically single-source; independent corroboration may be required.</t>
        </is>
      </c>
      <c r="G58" s="2" t="inlineStr">
        <is>
          <t>Outcome is optional/N/A when no legitimate outcome exists; never manufacture a denominator.</t>
        </is>
      </c>
      <c r="H58" s="2" t="inlineStr">
        <is>
          <t>E0 descriptive; E1 artefact; E2 operational; E3 outcome; E4 independent/triangulated. Confidence is reported separately from capability score.</t>
        </is>
      </c>
    </row>
    <row r="59">
      <c r="A59" s="2" t="inlineStr">
        <is>
          <t>D05</t>
        </is>
      </c>
      <c r="B59" s="2" t="inlineStr">
        <is>
          <t>I05</t>
        </is>
      </c>
      <c r="C59" s="2" t="inlineStr">
        <is>
          <t>Faculty Learning &amp; Development Effectiveness</t>
        </is>
      </c>
      <c r="D59" s="2" t="inlineStr">
        <is>
          <t>E2 sampled artefact/work sample + rubric; score &gt;=3 requires direct operating/demonstration evidence; E3 where a legitimate outcome exists.</t>
        </is>
      </c>
      <c r="E59" s="2" t="inlineStr">
        <is>
          <t>For maturity 4–5: operational record + corroborating source; E3 for claimed outcomes; E4 preferred where external/high-stakes.</t>
        </is>
      </c>
      <c r="F59" s="2" t="inlineStr">
        <is>
          <t>At least 2 sources for score ≥4 unless intrinsically single-source; independent corroboration may be required.</t>
        </is>
      </c>
      <c r="G59" s="2" t="inlineStr">
        <is>
          <t>Outcome is optional/N/A when no legitimate outcome exists; never manufacture a denominator.</t>
        </is>
      </c>
      <c r="H59" s="2" t="inlineStr">
        <is>
          <t>E0 descriptive; E1 artefact; E2 operational; E3 outcome; E4 independent/triangulated. Confidence is reported separately from capability score.</t>
        </is>
      </c>
    </row>
    <row r="60">
      <c r="A60" s="2" t="inlineStr">
        <is>
          <t>D05</t>
        </is>
      </c>
      <c r="B60" s="2" t="inlineStr">
        <is>
          <t>I06</t>
        </is>
      </c>
      <c r="C60" s="2" t="inlineStr">
        <is>
          <t>Peer Learning &amp; Communities</t>
        </is>
      </c>
      <c r="D60" s="2" t="inlineStr">
        <is>
          <t>E2 sampled artefact/work sample + rubric; score &gt;=3 requires direct operating/demonstration evidence; E3 where a legitimate outcome exists.</t>
        </is>
      </c>
      <c r="E60" s="2" t="inlineStr">
        <is>
          <t>For maturity 4–5: operational record + corroborating source; E3 for claimed outcomes; E4 preferred where external/high-stakes.</t>
        </is>
      </c>
      <c r="F60" s="2" t="inlineStr">
        <is>
          <t>At least 2 sources for score ≥4 unless intrinsically single-source; independent corroboration may be required.</t>
        </is>
      </c>
      <c r="G60" s="2" t="inlineStr">
        <is>
          <t>Outcome is optional/N/A when no legitimate outcome exists; never manufacture a denominator.</t>
        </is>
      </c>
      <c r="H60" s="2" t="inlineStr">
        <is>
          <t>E0 descriptive; E1 artefact; E2 operational; E3 outcome; E4 independent/triangulated. Confidence is reported separately from capability score.</t>
        </is>
      </c>
    </row>
    <row r="61">
      <c r="A61" s="2" t="inlineStr">
        <is>
          <t>D05</t>
        </is>
      </c>
      <c r="B61" s="2" t="inlineStr">
        <is>
          <t>I07</t>
        </is>
      </c>
      <c r="C61" s="2" t="inlineStr">
        <is>
          <t>AI Research &amp; Knowledge Creation</t>
        </is>
      </c>
      <c r="D61" s="2" t="inlineStr">
        <is>
          <t>E2 sampled artefact/work sample + rubric; score &gt;=3 requires direct operating/demonstration evidence; E3 where a legitimate outcome exists.</t>
        </is>
      </c>
      <c r="E61" s="2" t="inlineStr">
        <is>
          <t>For maturity 4–5: operational record + corroborating source; E3 for claimed outcomes; E4 preferred where external/high-stakes.</t>
        </is>
      </c>
      <c r="F61" s="2" t="inlineStr">
        <is>
          <t>At least 2 sources for score ≥4 unless intrinsically single-source; independent corroboration may be required.</t>
        </is>
      </c>
      <c r="G61" s="2" t="inlineStr">
        <is>
          <t>Outcome is optional/N/A when no legitimate outcome exists; never manufacture a denominator.</t>
        </is>
      </c>
      <c r="H61" s="2" t="inlineStr">
        <is>
          <t>E0 descriptive; E1 artefact; E2 operational; E3 outcome; E4 independent/triangulated. Confidence is reported separately from capability score.</t>
        </is>
      </c>
    </row>
    <row r="62">
      <c r="A62" s="2" t="inlineStr">
        <is>
          <t>D05</t>
        </is>
      </c>
      <c r="B62" s="2" t="inlineStr">
        <is>
          <t>I08</t>
        </is>
      </c>
      <c r="C62" s="2" t="inlineStr">
        <is>
          <t>Academic Role Redesign</t>
        </is>
      </c>
      <c r="D62" s="2" t="inlineStr">
        <is>
          <t>E2 sampled artefact/work sample + rubric; score &gt;=3 requires direct operating/demonstration evidence; E3 where a legitimate outcome exists.</t>
        </is>
      </c>
      <c r="E62" s="2" t="inlineStr">
        <is>
          <t>For maturity 4–5: operational record + corroborating source; E3 for claimed outcomes; E4 preferred where external/high-stakes.</t>
        </is>
      </c>
      <c r="F62" s="2" t="inlineStr">
        <is>
          <t>At least 2 sources for score ≥4 unless intrinsically single-source; independent corroboration may be required.</t>
        </is>
      </c>
      <c r="G62" s="2" t="inlineStr">
        <is>
          <t>Outcome is optional/N/A when no legitimate outcome exists; never manufacture a denominator.</t>
        </is>
      </c>
      <c r="H62" s="2" t="inlineStr">
        <is>
          <t>E0 descriptive; E1 artefact; E2 operational; E3 outcome; E4 independent/triangulated. Confidence is reported separately from capability score.</t>
        </is>
      </c>
    </row>
    <row r="63">
      <c r="A63" s="2" t="inlineStr">
        <is>
          <t>D05</t>
        </is>
      </c>
      <c r="B63" s="2" t="inlineStr">
        <is>
          <t>I09</t>
        </is>
      </c>
      <c r="C63" s="2" t="inlineStr">
        <is>
          <t>Workload &amp; Workflow Transformation</t>
        </is>
      </c>
      <c r="D63" s="2" t="inlineStr">
        <is>
          <t>E2 sampled artefact/work sample + rubric; score &gt;=3 requires direct operating/demonstration evidence; E3 where a legitimate outcome exists.</t>
        </is>
      </c>
      <c r="E63" s="2" t="inlineStr">
        <is>
          <t>For maturity 4–5: operational record + corroborating source; E3 for claimed outcomes; E4 preferred where external/high-stakes.</t>
        </is>
      </c>
      <c r="F63" s="2" t="inlineStr">
        <is>
          <t>At least 2 sources for score ≥4 unless intrinsically single-source; independent corroboration may be required.</t>
        </is>
      </c>
      <c r="G63" s="2" t="inlineStr">
        <is>
          <t>Outcome is optional/N/A when no legitimate outcome exists; never manufacture a denominator.</t>
        </is>
      </c>
      <c r="H63" s="2" t="inlineStr">
        <is>
          <t>E0 descriptive; E1 artefact; E2 operational; E3 outcome; E4 independent/triangulated. Confidence is reported separately from capability score.</t>
        </is>
      </c>
    </row>
    <row r="64">
      <c r="A64" s="2" t="inlineStr">
        <is>
          <t>D05</t>
        </is>
      </c>
      <c r="B64" s="2" t="inlineStr">
        <is>
          <t>I10</t>
        </is>
      </c>
      <c r="C64" s="2" t="inlineStr">
        <is>
          <t>Faculty Support Infrastructure</t>
        </is>
      </c>
      <c r="D64" s="2" t="inlineStr">
        <is>
          <t>E2 sampled artefact/work sample + rubric; score &gt;=3 requires direct operating/demonstration evidence; E3 where a legitimate outcome exists.</t>
        </is>
      </c>
      <c r="E64" s="2" t="inlineStr">
        <is>
          <t>For maturity 4–5: operational record + corroborating source; E3 for claimed outcomes; E4 preferred where external/high-stakes.</t>
        </is>
      </c>
      <c r="F64" s="2" t="inlineStr">
        <is>
          <t>At least 2 sources for score ≥4 unless intrinsically single-source; independent corroboration may be required.</t>
        </is>
      </c>
      <c r="G64" s="2" t="inlineStr">
        <is>
          <t>Outcome is optional/N/A when no legitimate outcome exists; never manufacture a denominator.</t>
        </is>
      </c>
      <c r="H64" s="2" t="inlineStr">
        <is>
          <t>E0 descriptive; E1 artefact; E2 operational; E3 outcome; E4 independent/triangulated. Confidence is reported separately from capability score.</t>
        </is>
      </c>
    </row>
    <row r="65">
      <c r="A65" s="2" t="inlineStr">
        <is>
          <t>D05</t>
        </is>
      </c>
      <c r="B65" s="2" t="inlineStr">
        <is>
          <t>I11</t>
        </is>
      </c>
      <c r="C65" s="2" t="inlineStr">
        <is>
          <t>Academic Leadership for AI</t>
        </is>
      </c>
      <c r="D65" s="2" t="inlineStr">
        <is>
          <t>E2 implemented control + operating record; score &gt;=3 requires execution/testing or a real case; E4 preferred for high-stakes claims.</t>
        </is>
      </c>
      <c r="E65" s="2" t="inlineStr">
        <is>
          <t>For maturity 4–5: operational record + corroborating source; E3 for claimed outcomes; E4 preferred where external/high-stakes.</t>
        </is>
      </c>
      <c r="F65" s="2" t="inlineStr">
        <is>
          <t>At least 2 sources for score ≥4 unless intrinsically single-source; independent corroboration may be required.</t>
        </is>
      </c>
      <c r="G65" s="2" t="inlineStr">
        <is>
          <t>Outcome is optional/N/A when no legitimate outcome exists; never manufacture a denominator.</t>
        </is>
      </c>
      <c r="H65" s="2" t="inlineStr">
        <is>
          <t>E0 descriptive; E1 artefact; E2 operational; E3 outcome; E4 independent/triangulated. Confidence is reported separately from capability score.</t>
        </is>
      </c>
    </row>
    <row r="66">
      <c r="A66" s="2" t="inlineStr">
        <is>
          <t>D05</t>
        </is>
      </c>
      <c r="B66" s="2" t="inlineStr">
        <is>
          <t>I12</t>
        </is>
      </c>
      <c r="C66" s="2" t="inlineStr">
        <is>
          <t>Faculty Adoption Learning Loop</t>
        </is>
      </c>
      <c r="D66" s="2" t="inlineStr">
        <is>
          <t>E2 sampled artefact/work sample + rubric; score &gt;=3 requires direct operating/demonstration evidence; E3 where a legitimate outcome exists.</t>
        </is>
      </c>
      <c r="E66" s="2" t="inlineStr">
        <is>
          <t>For maturity 4–5: operational record + corroborating source; E3 for claimed outcomes; E4 preferred where external/high-stakes.</t>
        </is>
      </c>
      <c r="F66" s="2" t="inlineStr">
        <is>
          <t>At least 2 sources for score ≥4 unless intrinsically single-source; independent corroboration may be required.</t>
        </is>
      </c>
      <c r="G66" s="2" t="inlineStr">
        <is>
          <t>Outcome is optional/N/A when no legitimate outcome exists; never manufacture a denominator.</t>
        </is>
      </c>
      <c r="H66" s="2" t="inlineStr">
        <is>
          <t>E0 descriptive; E1 artefact; E2 operational; E3 outcome; E4 independent/triangulated. Confidence is reported separately from capability score.</t>
        </is>
      </c>
    </row>
    <row r="67">
      <c r="A67" s="2" t="inlineStr">
        <is>
          <t>D06</t>
        </is>
      </c>
      <c r="B67" s="2" t="inlineStr">
        <is>
          <t>I01</t>
        </is>
      </c>
      <c r="C67" s="2" t="inlineStr">
        <is>
          <t>Student AI Literacy</t>
        </is>
      </c>
      <c r="D67" s="2" t="inlineStr">
        <is>
          <t>E2 sampled artefact/work sample + rubric; score &gt;=3 requires direct operating/demonstration evidence; E3 where a legitimate outcome exists.</t>
        </is>
      </c>
      <c r="E67" s="2" t="inlineStr">
        <is>
          <t>For maturity 4–5: operational record + corroborating source; E3 for claimed outcomes; E4 preferred where external/high-stakes.</t>
        </is>
      </c>
      <c r="F67" s="2" t="inlineStr">
        <is>
          <t>At least 2 sources for score ≥4 unless intrinsically single-source; independent corroboration may be required.</t>
        </is>
      </c>
      <c r="G67" s="2" t="inlineStr">
        <is>
          <t>Outcome is optional/N/A when no legitimate outcome exists; never manufacture a denominator.</t>
        </is>
      </c>
      <c r="H67" s="2" t="inlineStr">
        <is>
          <t>E0 descriptive; E1 artefact; E2 operational; E3 outcome; E4 independent/triangulated. Confidence is reported separately from capability score.</t>
        </is>
      </c>
    </row>
    <row r="68">
      <c r="A68" s="2" t="inlineStr">
        <is>
          <t>D06</t>
        </is>
      </c>
      <c r="B68" s="2" t="inlineStr">
        <is>
          <t>I02</t>
        </is>
      </c>
      <c r="C68" s="2" t="inlineStr">
        <is>
          <t>Critical AI Evaluation</t>
        </is>
      </c>
      <c r="D68" s="2" t="inlineStr">
        <is>
          <t>E2 sampled artefact/work sample + rubric; score &gt;=3 requires direct operating/demonstration evidence; E3 where a legitimate outcome exists.</t>
        </is>
      </c>
      <c r="E68" s="2" t="inlineStr">
        <is>
          <t>For maturity 4–5: operational record + corroborating source; E3 for claimed outcomes; E4 preferred where external/high-stakes.</t>
        </is>
      </c>
      <c r="F68" s="2" t="inlineStr">
        <is>
          <t>At least 2 sources for score ≥4 unless intrinsically single-source; independent corroboration may be required.</t>
        </is>
      </c>
      <c r="G68" s="2" t="inlineStr">
        <is>
          <t>Outcome is optional/N/A when no legitimate outcome exists; never manufacture a denominator.</t>
        </is>
      </c>
      <c r="H68" s="2" t="inlineStr">
        <is>
          <t>E0 descriptive; E1 artefact; E2 operational; E3 outcome; E4 independent/triangulated. Confidence is reported separately from capability score.</t>
        </is>
      </c>
    </row>
    <row r="69">
      <c r="A69" s="2" t="inlineStr">
        <is>
          <t>D06</t>
        </is>
      </c>
      <c r="B69" s="2" t="inlineStr">
        <is>
          <t>I03</t>
        </is>
      </c>
      <c r="C69" s="2" t="inlineStr">
        <is>
          <t>Learning Agency</t>
        </is>
      </c>
      <c r="D69" s="2" t="inlineStr">
        <is>
          <t>E2 sampled artefact/work sample + rubric; score &gt;=3 requires direct operating/demonstration evidence; E3 where a legitimate outcome exists.</t>
        </is>
      </c>
      <c r="E69" s="2" t="inlineStr">
        <is>
          <t>For maturity 4–5: operational record + corroborating source; E3 for claimed outcomes; E4 preferred where external/high-stakes.</t>
        </is>
      </c>
      <c r="F69" s="2" t="inlineStr">
        <is>
          <t>At least 2 sources for score ≥4 unless intrinsically single-source; independent corroboration may be required.</t>
        </is>
      </c>
      <c r="G69" s="2" t="inlineStr">
        <is>
          <t>Outcome is optional/N/A when no legitimate outcome exists; never manufacture a denominator.</t>
        </is>
      </c>
      <c r="H69" s="2" t="inlineStr">
        <is>
          <t>E0 descriptive; E1 artefact; E2 operational; E3 outcome; E4 independent/triangulated. Confidence is reported separately from capability score.</t>
        </is>
      </c>
    </row>
    <row r="70">
      <c r="A70" s="2" t="inlineStr">
        <is>
          <t>D06</t>
        </is>
      </c>
      <c r="B70" s="2" t="inlineStr">
        <is>
          <t>I04</t>
        </is>
      </c>
      <c r="C70" s="2" t="inlineStr">
        <is>
          <t>Independent Intellectual Agency</t>
        </is>
      </c>
      <c r="D70" s="2" t="inlineStr">
        <is>
          <t>E2 sampled artefact/work sample + rubric; score &gt;=3 requires direct operating/demonstration evidence; E3 where a legitimate outcome exists.</t>
        </is>
      </c>
      <c r="E70" s="2" t="inlineStr">
        <is>
          <t>For maturity 4–5: operational record + corroborating source; E3 for claimed outcomes; E4 preferred where external/high-stakes.</t>
        </is>
      </c>
      <c r="F70" s="2" t="inlineStr">
        <is>
          <t>At least 2 sources for score ≥4 unless intrinsically single-source; independent corroboration may be required.</t>
        </is>
      </c>
      <c r="G70" s="2" t="inlineStr">
        <is>
          <t>Outcome is optional/N/A when no legitimate outcome exists; never manufacture a denominator.</t>
        </is>
      </c>
      <c r="H70" s="2" t="inlineStr">
        <is>
          <t>E0 descriptive; E1 artefact; E2 operational; E3 outcome; E4 independent/triangulated. Confidence is reported separately from capability score.</t>
        </is>
      </c>
    </row>
    <row r="71">
      <c r="A71" s="2" t="inlineStr">
        <is>
          <t>D06</t>
        </is>
      </c>
      <c r="B71" s="2" t="inlineStr">
        <is>
          <t>I05</t>
        </is>
      </c>
      <c r="C71" s="2" t="inlineStr">
        <is>
          <t>Communication &amp; Defence</t>
        </is>
      </c>
      <c r="D71" s="2" t="inlineStr">
        <is>
          <t>E2 sampled artefact/work sample + rubric; score &gt;=3 requires direct operating/demonstration evidence; E3 where a legitimate outcome exists.</t>
        </is>
      </c>
      <c r="E71" s="2" t="inlineStr">
        <is>
          <t>For maturity 4–5: operational record + corroborating source; E3 for claimed outcomes; E4 preferred where external/high-stakes.</t>
        </is>
      </c>
      <c r="F71" s="2" t="inlineStr">
        <is>
          <t>At least 2 sources for score ≥4 unless intrinsically single-source; independent corroboration may be required.</t>
        </is>
      </c>
      <c r="G71" s="2" t="inlineStr">
        <is>
          <t>Outcome is optional/N/A when no legitimate outcome exists; never manufacture a denominator.</t>
        </is>
      </c>
      <c r="H71" s="2" t="inlineStr">
        <is>
          <t>E0 descriptive; E1 artefact; E2 operational; E3 outcome; E4 independent/triangulated. Confidence is reported separately from capability score.</t>
        </is>
      </c>
    </row>
    <row r="72">
      <c r="A72" s="2" t="inlineStr">
        <is>
          <t>D06</t>
        </is>
      </c>
      <c r="B72" s="2" t="inlineStr">
        <is>
          <t>I06</t>
        </is>
      </c>
      <c r="C72" s="2" t="inlineStr">
        <is>
          <t>Collaboration Capability</t>
        </is>
      </c>
      <c r="D72" s="2" t="inlineStr">
        <is>
          <t>E2 sampled artefact/work sample + rubric; score &gt;=3 requires direct operating/demonstration evidence; E3 where a legitimate outcome exists.</t>
        </is>
      </c>
      <c r="E72" s="2" t="inlineStr">
        <is>
          <t>For maturity 4–5: operational record + corroborating source; E3 for claimed outcomes; E4 preferred where external/high-stakes.</t>
        </is>
      </c>
      <c r="F72" s="2" t="inlineStr">
        <is>
          <t>At least 2 sources for score ≥4 unless intrinsically single-source; independent corroboration may be required.</t>
        </is>
      </c>
      <c r="G72" s="2" t="inlineStr">
        <is>
          <t>Outcome is optional/N/A when no legitimate outcome exists; never manufacture a denominator.</t>
        </is>
      </c>
      <c r="H72" s="2" t="inlineStr">
        <is>
          <t>E0 descriptive; E1 artefact; E2 operational; E3 outcome; E4 independent/triangulated. Confidence is reported separately from capability score.</t>
        </is>
      </c>
    </row>
    <row r="73">
      <c r="A73" s="2" t="inlineStr">
        <is>
          <t>D06</t>
        </is>
      </c>
      <c r="B73" s="2" t="inlineStr">
        <is>
          <t>I07</t>
        </is>
      </c>
      <c r="C73" s="2" t="inlineStr">
        <is>
          <t>Practical Capability</t>
        </is>
      </c>
      <c r="D73" s="2" t="inlineStr">
        <is>
          <t>E2 sampled artefact/work sample + rubric; score &gt;=3 requires direct operating/demonstration evidence; E3 where a legitimate outcome exists.</t>
        </is>
      </c>
      <c r="E73" s="2" t="inlineStr">
        <is>
          <t>For maturity 4–5: operational record + corroborating source; E3 for claimed outcomes; E4 preferred where external/high-stakes.</t>
        </is>
      </c>
      <c r="F73" s="2" t="inlineStr">
        <is>
          <t>At least 2 sources for score ≥4 unless intrinsically single-source; independent corroboration may be required.</t>
        </is>
      </c>
      <c r="G73" s="2" t="inlineStr">
        <is>
          <t>Outcome is optional/N/A when no legitimate outcome exists; never manufacture a denominator.</t>
        </is>
      </c>
      <c r="H73" s="2" t="inlineStr">
        <is>
          <t>E0 descriptive; E1 artefact; E2 operational; E3 outcome; E4 independent/triangulated. Confidence is reported separately from capability score.</t>
        </is>
      </c>
    </row>
    <row r="74">
      <c r="A74" s="2" t="inlineStr">
        <is>
          <t>D06</t>
        </is>
      </c>
      <c r="B74" s="2" t="inlineStr">
        <is>
          <t>I08</t>
        </is>
      </c>
      <c r="C74" s="2" t="inlineStr">
        <is>
          <t>Career Adaptability</t>
        </is>
      </c>
      <c r="D74" s="2" t="inlineStr">
        <is>
          <t>E2 sampled artefact/work sample + rubric; score &gt;=3 requires direct operating/demonstration evidence; E3 where a legitimate outcome exists.</t>
        </is>
      </c>
      <c r="E74" s="2" t="inlineStr">
        <is>
          <t>For maturity 4–5: operational record + corroborating source; E3 for claimed outcomes; E4 preferred where external/high-stakes.</t>
        </is>
      </c>
      <c r="F74" s="2" t="inlineStr">
        <is>
          <t>At least 2 sources for score ≥4 unless intrinsically single-source; independent corroboration may be required.</t>
        </is>
      </c>
      <c r="G74" s="2" t="inlineStr">
        <is>
          <t>Outcome is optional/N/A when no legitimate outcome exists; never manufacture a denominator.</t>
        </is>
      </c>
      <c r="H74" s="2" t="inlineStr">
        <is>
          <t>E0 descriptive; E1 artefact; E2 operational; E3 outcome; E4 independent/triangulated. Confidence is reported separately from capability score.</t>
        </is>
      </c>
    </row>
    <row r="75">
      <c r="A75" s="2" t="inlineStr">
        <is>
          <t>D06</t>
        </is>
      </c>
      <c r="B75" s="2" t="inlineStr">
        <is>
          <t>I09</t>
        </is>
      </c>
      <c r="C75" s="2" t="inlineStr">
        <is>
          <t>Portfolio &amp; Capability Signalling</t>
        </is>
      </c>
      <c r="D75" s="2" t="inlineStr">
        <is>
          <t>E2 sampled artefact/work sample + rubric; score &gt;=3 requires direct operating/demonstration evidence; E3 where a legitimate outcome exists.</t>
        </is>
      </c>
      <c r="E75" s="2" t="inlineStr">
        <is>
          <t>For maturity 4–5: operational record + corroborating source; E3 for claimed outcomes; E4 preferred where external/high-stakes.</t>
        </is>
      </c>
      <c r="F75" s="2" t="inlineStr">
        <is>
          <t>At least 2 sources for score ≥4 unless intrinsically single-source; independent corroboration may be required.</t>
        </is>
      </c>
      <c r="G75" s="2" t="inlineStr">
        <is>
          <t>Outcome is optional/N/A when no legitimate outcome exists; never manufacture a denominator.</t>
        </is>
      </c>
      <c r="H75" s="2" t="inlineStr">
        <is>
          <t>E0 descriptive; E1 artefact; E2 operational; E3 outcome; E4 independent/triangulated. Confidence is reported separately from capability score.</t>
        </is>
      </c>
    </row>
    <row r="76">
      <c r="A76" s="2" t="inlineStr">
        <is>
          <t>D06</t>
        </is>
      </c>
      <c r="B76" s="2" t="inlineStr">
        <is>
          <t>I10</t>
        </is>
      </c>
      <c r="C76" s="2" t="inlineStr">
        <is>
          <t>Problem Solving &amp; Transfer</t>
        </is>
      </c>
      <c r="D76" s="2" t="inlineStr">
        <is>
          <t>E2 sampled artefact/work sample + rubric; score &gt;=3 requires direct operating/demonstration evidence; E3 where a legitimate outcome exists.</t>
        </is>
      </c>
      <c r="E76" s="2" t="inlineStr">
        <is>
          <t>For maturity 4–5: operational record + corroborating source; E3 for claimed outcomes; E4 preferred where external/high-stakes.</t>
        </is>
      </c>
      <c r="F76" s="2" t="inlineStr">
        <is>
          <t>At least 2 sources for score ≥4 unless intrinsically single-source; independent corroboration may be required.</t>
        </is>
      </c>
      <c r="G76" s="2" t="inlineStr">
        <is>
          <t>Outcome is optional/N/A when no legitimate outcome exists; never manufacture a denominator.</t>
        </is>
      </c>
      <c r="H76" s="2" t="inlineStr">
        <is>
          <t>E0 descriptive; E1 artefact; E2 operational; E3 outcome; E4 independent/triangulated. Confidence is reported separately from capability score.</t>
        </is>
      </c>
    </row>
    <row r="77">
      <c r="A77" s="2" t="inlineStr">
        <is>
          <t>D06</t>
        </is>
      </c>
      <c r="B77" s="2" t="inlineStr">
        <is>
          <t>I11</t>
        </is>
      </c>
      <c r="C77" s="2" t="inlineStr">
        <is>
          <t>Creator &amp; Entrepreneurial Agency</t>
        </is>
      </c>
      <c r="D77" s="2" t="inlineStr">
        <is>
          <t>E2 sampled artefact/work sample + rubric; score &gt;=3 requires direct operating/demonstration evidence; E3 where a legitimate outcome exists.</t>
        </is>
      </c>
      <c r="E77" s="2" t="inlineStr">
        <is>
          <t>For maturity 4–5: operational record + corroborating source; E3 for claimed outcomes; E4 preferred where external/high-stakes.</t>
        </is>
      </c>
      <c r="F77" s="2" t="inlineStr">
        <is>
          <t>At least 2 sources for score ≥4 unless intrinsically single-source; independent corroboration may be required.</t>
        </is>
      </c>
      <c r="G77" s="2" t="inlineStr">
        <is>
          <t>Outcome is optional/N/A when no legitimate outcome exists; never manufacture a denominator.</t>
        </is>
      </c>
      <c r="H77" s="2" t="inlineStr">
        <is>
          <t>E0 descriptive; E1 artefact; E2 operational; E3 outcome; E4 independent/triangulated. Confidence is reported separately from capability score.</t>
        </is>
      </c>
    </row>
    <row r="78">
      <c r="A78" s="2" t="inlineStr">
        <is>
          <t>D06</t>
        </is>
      </c>
      <c r="B78" s="2" t="inlineStr">
        <is>
          <t>I12</t>
        </is>
      </c>
      <c r="C78" s="2" t="inlineStr">
        <is>
          <t>Digital Citizenship &amp; Responsible Use</t>
        </is>
      </c>
      <c r="D78" s="2" t="inlineStr">
        <is>
          <t>E2 implemented control + operating record; score &gt;=3 requires execution/testing or a real case; E4 preferred for high-stakes claims.</t>
        </is>
      </c>
      <c r="E78" s="2" t="inlineStr">
        <is>
          <t>For maturity 4–5: operational record + corroborating source; E3 for claimed outcomes; E4 preferred where external/high-stakes.</t>
        </is>
      </c>
      <c r="F78" s="2" t="inlineStr">
        <is>
          <t>At least 2 sources for score ≥4 unless intrinsically single-source; independent corroboration may be required.</t>
        </is>
      </c>
      <c r="G78" s="2" t="inlineStr">
        <is>
          <t>Outcome is optional/N/A when no legitimate outcome exists; never manufacture a denominator.</t>
        </is>
      </c>
      <c r="H78" s="2" t="inlineStr">
        <is>
          <t>E0 descriptive; E1 artefact; E2 operational; E3 outcome; E4 independent/triangulated. Confidence is reported separately from capability score.</t>
        </is>
      </c>
    </row>
    <row r="79">
      <c r="A79" s="2" t="inlineStr">
        <is>
          <t>D06</t>
        </is>
      </c>
      <c r="B79" s="2" t="inlineStr">
        <is>
          <t>I13</t>
        </is>
      </c>
      <c r="C79" s="2" t="inlineStr">
        <is>
          <t>Equitable AI Access</t>
        </is>
      </c>
      <c r="D79" s="2" t="inlineStr">
        <is>
          <t>E2 operational evidence with dated numerator/denominator; score &gt;=3 corroborated; E3 for outcome claims.</t>
        </is>
      </c>
      <c r="E79" s="2" t="inlineStr">
        <is>
          <t>For maturity 4–5: operational record + corroborating source; E3 for claimed outcomes; E4 preferred where external/high-stakes.</t>
        </is>
      </c>
      <c r="F79" s="2" t="inlineStr">
        <is>
          <t>At least 2 sources for score ≥4 unless intrinsically single-source; independent corroboration may be required.</t>
        </is>
      </c>
      <c r="G79" s="2" t="inlineStr">
        <is>
          <t>Outcome is optional/N/A when no legitimate outcome exists; never manufacture a denominator.</t>
        </is>
      </c>
      <c r="H79" s="2" t="inlineStr">
        <is>
          <t>E0 descriptive; E1 artefact; E2 operational; E3 outcome; E4 independent/triangulated. Confidence is reported separately from capability score.</t>
        </is>
      </c>
    </row>
    <row r="80">
      <c r="A80" s="2" t="inlineStr">
        <is>
          <t>D06</t>
        </is>
      </c>
      <c r="B80" s="2" t="inlineStr">
        <is>
          <t>I14</t>
        </is>
      </c>
      <c r="C80" s="2" t="inlineStr">
        <is>
          <t>Student Voice &amp; Feedback Loop</t>
        </is>
      </c>
      <c r="D80" s="2" t="inlineStr">
        <is>
          <t>E2 sampled artefact/work sample + rubric; score &gt;=3 requires direct operating/demonstration evidence; E3 where a legitimate outcome exists.</t>
        </is>
      </c>
      <c r="E80" s="2" t="inlineStr">
        <is>
          <t>For maturity 4–5: operational record + corroborating source; E3 for claimed outcomes; E4 preferred where external/high-stakes.</t>
        </is>
      </c>
      <c r="F80" s="2" t="inlineStr">
        <is>
          <t>At least 2 sources for score ≥4 unless intrinsically single-source; independent corroboration may be required.</t>
        </is>
      </c>
      <c r="G80" s="2" t="inlineStr">
        <is>
          <t>Outcome is optional/N/A when no legitimate outcome exists; never manufacture a denominator.</t>
        </is>
      </c>
      <c r="H80" s="2" t="inlineStr">
        <is>
          <t>E0 descriptive; E1 artefact; E2 operational; E3 outcome; E4 independent/triangulated. Confidence is reported separately from capability score.</t>
        </is>
      </c>
    </row>
    <row r="81">
      <c r="A81" s="2" t="inlineStr">
        <is>
          <t>D07</t>
        </is>
      </c>
      <c r="B81" s="2" t="inlineStr">
        <is>
          <t>I01</t>
        </is>
      </c>
      <c r="C81" s="2" t="inlineStr">
        <is>
          <t>Assessment Design Maturity</t>
        </is>
      </c>
      <c r="D81" s="2" t="inlineStr">
        <is>
          <t>E2 sampled artefact/work sample + rubric; score &gt;=3 requires direct operating/demonstration evidence; E3 where a legitimate outcome exists.</t>
        </is>
      </c>
      <c r="E81" s="2" t="inlineStr">
        <is>
          <t>For maturity 4–5: operational record + corroborating source; E3 for claimed outcomes; E4 preferred where external/high-stakes.</t>
        </is>
      </c>
      <c r="F81" s="2" t="inlineStr">
        <is>
          <t>At least 2 sources for score ≥4 unless intrinsically single-source; independent corroboration may be required.</t>
        </is>
      </c>
      <c r="G81" s="2" t="inlineStr">
        <is>
          <t>Outcome is optional/N/A when no legitimate outcome exists; never manufacture a denominator.</t>
        </is>
      </c>
      <c r="H81" s="2" t="inlineStr">
        <is>
          <t>E0 descriptive; E1 artefact; E2 operational; E3 outcome; E4 independent/triangulated. Confidence is reported separately from capability score.</t>
        </is>
      </c>
    </row>
    <row r="82">
      <c r="A82" s="2" t="inlineStr">
        <is>
          <t>D07</t>
        </is>
      </c>
      <c r="B82" s="2" t="inlineStr">
        <is>
          <t>I02</t>
        </is>
      </c>
      <c r="C82" s="2" t="inlineStr">
        <is>
          <t>Cognitive Demonstration Depth</t>
        </is>
      </c>
      <c r="D82" s="2" t="inlineStr">
        <is>
          <t>E2 sampled artefact/work sample + rubric; score &gt;=3 requires direct operating/demonstration evidence; E3 where a legitimate outcome exists.</t>
        </is>
      </c>
      <c r="E82" s="2" t="inlineStr">
        <is>
          <t>For maturity 4–5: operational record + corroborating source; E3 for claimed outcomes; E4 preferred where external/high-stakes.</t>
        </is>
      </c>
      <c r="F82" s="2" t="inlineStr">
        <is>
          <t>At least 2 sources for score ≥4 unless intrinsically single-source; independent corroboration may be required.</t>
        </is>
      </c>
      <c r="G82" s="2" t="inlineStr">
        <is>
          <t>Outcome is optional/N/A when no legitimate outcome exists; never manufacture a denominator.</t>
        </is>
      </c>
      <c r="H82" s="2" t="inlineStr">
        <is>
          <t>E0 descriptive; E1 artefact; E2 operational; E3 outcome; E4 independent/triangulated. Confidence is reported separately from capability score.</t>
        </is>
      </c>
    </row>
    <row r="83">
      <c r="A83" s="2" t="inlineStr">
        <is>
          <t>D07</t>
        </is>
      </c>
      <c r="B83" s="2" t="inlineStr">
        <is>
          <t>I03</t>
        </is>
      </c>
      <c r="C83" s="2" t="inlineStr">
        <is>
          <t>Authenticity of Demonstration</t>
        </is>
      </c>
      <c r="D83" s="2" t="inlineStr">
        <is>
          <t>E2 sampled artefact/work sample + rubric; score &gt;=3 requires direct operating/demonstration evidence; E3 where a legitimate outcome exists.</t>
        </is>
      </c>
      <c r="E83" s="2" t="inlineStr">
        <is>
          <t>For maturity 4–5: operational record + corroborating source; E3 for claimed outcomes; E4 preferred where external/high-stakes.</t>
        </is>
      </c>
      <c r="F83" s="2" t="inlineStr">
        <is>
          <t>At least 2 sources for score ≥4 unless intrinsically single-source; independent corroboration may be required.</t>
        </is>
      </c>
      <c r="G83" s="2" t="inlineStr">
        <is>
          <t>Outcome is optional/N/A when no legitimate outcome exists; never manufacture a denominator.</t>
        </is>
      </c>
      <c r="H83" s="2" t="inlineStr">
        <is>
          <t>E0 descriptive; E1 artefact; E2 operational; E3 outcome; E4 independent/triangulated. Confidence is reported separately from capability score.</t>
        </is>
      </c>
    </row>
    <row r="84">
      <c r="A84" s="2" t="inlineStr">
        <is>
          <t>D07</t>
        </is>
      </c>
      <c r="B84" s="2" t="inlineStr">
        <is>
          <t>I04</t>
        </is>
      </c>
      <c r="C84" s="2" t="inlineStr">
        <is>
          <t>AI-Aware Assessment Maturity</t>
        </is>
      </c>
      <c r="D84" s="2" t="inlineStr">
        <is>
          <t>E2 sampled artefact/work sample + rubric; score &gt;=3 requires direct operating/demonstration evidence; E3 where a legitimate outcome exists.</t>
        </is>
      </c>
      <c r="E84" s="2" t="inlineStr">
        <is>
          <t>For maturity 4–5: operational record + corroborating source; E3 for claimed outcomes; E4 preferred where external/high-stakes.</t>
        </is>
      </c>
      <c r="F84" s="2" t="inlineStr">
        <is>
          <t>At least 2 sources for score ≥4 unless intrinsically single-source; independent corroboration may be required.</t>
        </is>
      </c>
      <c r="G84" s="2" t="inlineStr">
        <is>
          <t>Outcome is optional/N/A when no legitimate outcome exists; never manufacture a denominator.</t>
        </is>
      </c>
      <c r="H84" s="2" t="inlineStr">
        <is>
          <t>E0 descriptive; E1 artefact; E2 operational; E3 outcome; E4 independent/triangulated. Confidence is reported separately from capability score.</t>
        </is>
      </c>
    </row>
    <row r="85">
      <c r="A85" s="2" t="inlineStr">
        <is>
          <t>D07</t>
        </is>
      </c>
      <c r="B85" s="2" t="inlineStr">
        <is>
          <t>I05</t>
        </is>
      </c>
      <c r="C85" s="2" t="inlineStr">
        <is>
          <t>Verification &amp; Defence</t>
        </is>
      </c>
      <c r="D85" s="2" t="inlineStr">
        <is>
          <t>E2 sampled artefact/work sample + rubric; score &gt;=3 requires direct operating/demonstration evidence; E3 where a legitimate outcome exists.</t>
        </is>
      </c>
      <c r="E85" s="2" t="inlineStr">
        <is>
          <t>For maturity 4–5: operational record + corroborating source; E3 for claimed outcomes; E4 preferred where external/high-stakes.</t>
        </is>
      </c>
      <c r="F85" s="2" t="inlineStr">
        <is>
          <t>At least 2 sources for score ≥4 unless intrinsically single-source; independent corroboration may be required.</t>
        </is>
      </c>
      <c r="G85" s="2" t="inlineStr">
        <is>
          <t>Outcome is optional/N/A when no legitimate outcome exists; never manufacture a denominator.</t>
        </is>
      </c>
      <c r="H85" s="2" t="inlineStr">
        <is>
          <t>E0 descriptive; E1 artefact; E2 operational; E3 outcome; E4 independent/triangulated. Confidence is reported separately from capability score.</t>
        </is>
      </c>
    </row>
    <row r="86">
      <c r="A86" s="2" t="inlineStr">
        <is>
          <t>D07</t>
        </is>
      </c>
      <c r="B86" s="2" t="inlineStr">
        <is>
          <t>I06</t>
        </is>
      </c>
      <c r="C86" s="2" t="inlineStr">
        <is>
          <t>Feedback Intelligence</t>
        </is>
      </c>
      <c r="D86" s="2" t="inlineStr">
        <is>
          <t>E2 sampled artefact/work sample + rubric; score &gt;=3 requires direct operating/demonstration evidence; E3 where a legitimate outcome exists.</t>
        </is>
      </c>
      <c r="E86" s="2" t="inlineStr">
        <is>
          <t>For maturity 4–5: operational record + corroborating source; E3 for claimed outcomes; E4 preferred where external/high-stakes.</t>
        </is>
      </c>
      <c r="F86" s="2" t="inlineStr">
        <is>
          <t>At least 2 sources for score ≥4 unless intrinsically single-source; independent corroboration may be required.</t>
        </is>
      </c>
      <c r="G86" s="2" t="inlineStr">
        <is>
          <t>Outcome is optional/N/A when no legitimate outcome exists; never manufacture a denominator.</t>
        </is>
      </c>
      <c r="H86" s="2" t="inlineStr">
        <is>
          <t>E0 descriptive; E1 artefact; E2 operational; E3 outcome; E4 independent/triangulated. Confidence is reported separately from capability score.</t>
        </is>
      </c>
    </row>
    <row r="87">
      <c r="A87" s="2" t="inlineStr">
        <is>
          <t>D07</t>
        </is>
      </c>
      <c r="B87" s="2" t="inlineStr">
        <is>
          <t>I07</t>
        </is>
      </c>
      <c r="C87" s="2" t="inlineStr">
        <is>
          <t>Evidence of Learning</t>
        </is>
      </c>
      <c r="D87" s="2" t="inlineStr">
        <is>
          <t>E2 sampled artefact/work sample + rubric; score &gt;=3 requires direct operating/demonstration evidence; E3 where a legitimate outcome exists.</t>
        </is>
      </c>
      <c r="E87" s="2" t="inlineStr">
        <is>
          <t>For maturity 4–5: operational record + corroborating source; E3 for claimed outcomes; E4 preferred where external/high-stakes.</t>
        </is>
      </c>
      <c r="F87" s="2" t="inlineStr">
        <is>
          <t>At least 2 sources for score ≥4 unless intrinsically single-source; independent corroboration may be required.</t>
        </is>
      </c>
      <c r="G87" s="2" t="inlineStr">
        <is>
          <t>Outcome is optional/N/A when no legitimate outcome exists; never manufacture a denominator.</t>
        </is>
      </c>
      <c r="H87" s="2" t="inlineStr">
        <is>
          <t>E0 descriptive; E1 artefact; E2 operational; E3 outcome; E4 independent/triangulated. Confidence is reported separately from capability score.</t>
        </is>
      </c>
    </row>
    <row r="88">
      <c r="A88" s="2" t="inlineStr">
        <is>
          <t>D07</t>
        </is>
      </c>
      <c r="B88" s="2" t="inlineStr">
        <is>
          <t>I08</t>
        </is>
      </c>
      <c r="C88" s="2" t="inlineStr">
        <is>
          <t>Capability Outcome Measurement</t>
        </is>
      </c>
      <c r="D88" s="2" t="inlineStr">
        <is>
          <t>E2 sampled artefact/work sample + rubric; score &gt;=3 requires direct operating/demonstration evidence; E3 where a legitimate outcome exists.</t>
        </is>
      </c>
      <c r="E88" s="2" t="inlineStr">
        <is>
          <t>For maturity 4–5: operational record + corroborating source; E3 for claimed outcomes; E4 preferred where external/high-stakes.</t>
        </is>
      </c>
      <c r="F88" s="2" t="inlineStr">
        <is>
          <t>At least 2 sources for score ≥4 unless intrinsically single-source; independent corroboration may be required.</t>
        </is>
      </c>
      <c r="G88" s="2" t="inlineStr">
        <is>
          <t>Outcome is optional/N/A when no legitimate outcome exists; never manufacture a denominator.</t>
        </is>
      </c>
      <c r="H88" s="2" t="inlineStr">
        <is>
          <t>E0 descriptive; E1 artefact; E2 operational; E3 outcome; E4 independent/triangulated. Confidence is reported separately from capability score.</t>
        </is>
      </c>
    </row>
    <row r="89">
      <c r="A89" s="2" t="inlineStr">
        <is>
          <t>D07</t>
        </is>
      </c>
      <c r="B89" s="2" t="inlineStr">
        <is>
          <t>I09</t>
        </is>
      </c>
      <c r="C89" s="2" t="inlineStr">
        <is>
          <t>Assessment Equity &amp; Access</t>
        </is>
      </c>
      <c r="D89" s="2" t="inlineStr">
        <is>
          <t>E2 operational evidence with dated numerator/denominator; score &gt;=3 corroborated; E3 for outcome claims.</t>
        </is>
      </c>
      <c r="E89" s="2" t="inlineStr">
        <is>
          <t>For maturity 4–5: operational record + corroborating source; E3 for claimed outcomes; E4 preferred where external/high-stakes.</t>
        </is>
      </c>
      <c r="F89" s="2" t="inlineStr">
        <is>
          <t>At least 2 sources for score ≥4 unless intrinsically single-source; independent corroboration may be required.</t>
        </is>
      </c>
      <c r="G89" s="2" t="inlineStr">
        <is>
          <t>Outcome is optional/N/A when no legitimate outcome exists; never manufacture a denominator.</t>
        </is>
      </c>
      <c r="H89" s="2" t="inlineStr">
        <is>
          <t>E0 descriptive; E1 artefact; E2 operational; E3 outcome; E4 independent/triangulated. Confidence is reported separately from capability score.</t>
        </is>
      </c>
    </row>
    <row r="90">
      <c r="A90" s="2" t="inlineStr">
        <is>
          <t>D07</t>
        </is>
      </c>
      <c r="B90" s="2" t="inlineStr">
        <is>
          <t>I10</t>
        </is>
      </c>
      <c r="C90" s="2" t="inlineStr">
        <is>
          <t>Assessment Governance</t>
        </is>
      </c>
      <c r="D90" s="2" t="inlineStr">
        <is>
          <t>E2 implemented control + operating record; score &gt;=3 requires execution/testing or a real case; E4 preferred for high-stakes claims.</t>
        </is>
      </c>
      <c r="E90" s="2" t="inlineStr">
        <is>
          <t>For maturity 4–5: operational record + corroborating source; E3 for claimed outcomes; E4 preferred where external/high-stakes.</t>
        </is>
      </c>
      <c r="F90" s="2" t="inlineStr">
        <is>
          <t>At least 2 sources for score ≥4 unless intrinsically single-source; independent corroboration may be required.</t>
        </is>
      </c>
      <c r="G90" s="2" t="inlineStr">
        <is>
          <t>Outcome is optional/N/A when no legitimate outcome exists; never manufacture a denominator.</t>
        </is>
      </c>
      <c r="H90" s="2" t="inlineStr">
        <is>
          <t>E0 descriptive; E1 artefact; E2 operational; E3 outcome; E4 independent/triangulated. Confidence is reported separately from capability score.</t>
        </is>
      </c>
    </row>
    <row r="91">
      <c r="A91" s="2" t="inlineStr">
        <is>
          <t>D07</t>
        </is>
      </c>
      <c r="B91" s="2" t="inlineStr">
        <is>
          <t>I11</t>
        </is>
      </c>
      <c r="C91" s="2" t="inlineStr">
        <is>
          <t>Assessment Innovation</t>
        </is>
      </c>
      <c r="D91" s="2" t="inlineStr">
        <is>
          <t>E2 sampled artefact/work sample + rubric; score &gt;=3 requires direct operating/demonstration evidence; E3 where a legitimate outcome exists.</t>
        </is>
      </c>
      <c r="E91" s="2" t="inlineStr">
        <is>
          <t>For maturity 4–5: operational record + corroborating source; E3 for claimed outcomes; E4 preferred where external/high-stakes.</t>
        </is>
      </c>
      <c r="F91" s="2" t="inlineStr">
        <is>
          <t>At least 2 sources for score ≥4 unless intrinsically single-source; independent corroboration may be required.</t>
        </is>
      </c>
      <c r="G91" s="2" t="inlineStr">
        <is>
          <t>Outcome is optional/N/A when no legitimate outcome exists; never manufacture a denominator.</t>
        </is>
      </c>
      <c r="H91" s="2" t="inlineStr">
        <is>
          <t>E0 descriptive; E1 artefact; E2 operational; E3 outcome; E4 independent/triangulated. Confidence is reported separately from capability score.</t>
        </is>
      </c>
    </row>
    <row r="92">
      <c r="A92" s="2" t="inlineStr">
        <is>
          <t>D07</t>
        </is>
      </c>
      <c r="B92" s="2" t="inlineStr">
        <is>
          <t>I12</t>
        </is>
      </c>
      <c r="C92" s="2" t="inlineStr">
        <is>
          <t>Learning Evidence Analytics</t>
        </is>
      </c>
      <c r="D92" s="2" t="inlineStr">
        <is>
          <t>E2 sampled artefact/work sample + rubric; score &gt;=3 requires direct operating/demonstration evidence; E3 where a legitimate outcome exists.</t>
        </is>
      </c>
      <c r="E92" s="2" t="inlineStr">
        <is>
          <t>For maturity 4–5: operational record + corroborating source; E3 for claimed outcomes; E4 preferred where external/high-stakes.</t>
        </is>
      </c>
      <c r="F92" s="2" t="inlineStr">
        <is>
          <t>At least 2 sources for score ≥4 unless intrinsically single-source; independent corroboration may be required.</t>
        </is>
      </c>
      <c r="G92" s="2" t="inlineStr">
        <is>
          <t>Outcome is optional/N/A when no legitimate outcome exists; never manufacture a denominator.</t>
        </is>
      </c>
      <c r="H92" s="2" t="inlineStr">
        <is>
          <t>E0 descriptive; E1 artefact; E2 operational; E3 outcome; E4 independent/triangulated. Confidence is reported separately from capability score.</t>
        </is>
      </c>
    </row>
    <row r="93">
      <c r="A93" s="2" t="inlineStr">
        <is>
          <t>D08</t>
        </is>
      </c>
      <c r="B93" s="2" t="inlineStr">
        <is>
          <t>I01</t>
        </is>
      </c>
      <c r="C93" s="2" t="inlineStr">
        <is>
          <t>Digital Environment Readiness</t>
        </is>
      </c>
      <c r="D93" s="2" t="inlineStr">
        <is>
          <t>E2 sampled artefact/work sample + rubric; score &gt;=3 requires direct operating/demonstration evidence; E3 where a legitimate outcome exists.</t>
        </is>
      </c>
      <c r="E93" s="2" t="inlineStr">
        <is>
          <t>For maturity 4–5: operational record + corroborating source; E3 for claimed outcomes; E4 preferred where external/high-stakes.</t>
        </is>
      </c>
      <c r="F93" s="2" t="inlineStr">
        <is>
          <t>At least 2 sources for score ≥4 unless intrinsically single-source; independent corroboration may be required.</t>
        </is>
      </c>
      <c r="G93" s="2" t="inlineStr">
        <is>
          <t>Outcome is optional/N/A when no legitimate outcome exists; never manufacture a denominator.</t>
        </is>
      </c>
      <c r="H93" s="2" t="inlineStr">
        <is>
          <t>E0 descriptive; E1 artefact; E2 operational; E3 outcome; E4 independent/triangulated. Confidence is reported separately from capability score.</t>
        </is>
      </c>
    </row>
    <row r="94">
      <c r="A94" s="2" t="inlineStr">
        <is>
          <t>D08</t>
        </is>
      </c>
      <c r="B94" s="2" t="inlineStr">
        <is>
          <t>I02</t>
        </is>
      </c>
      <c r="C94" s="2" t="inlineStr">
        <is>
          <t>Institutional Data Architecture</t>
        </is>
      </c>
      <c r="D94" s="2" t="inlineStr">
        <is>
          <t>E2 sampled artefact/work sample + rubric; score &gt;=3 requires direct operating/demonstration evidence; E3 where a legitimate outcome exists.</t>
        </is>
      </c>
      <c r="E94" s="2" t="inlineStr">
        <is>
          <t>For maturity 4–5: operational record + corroborating source; E3 for claimed outcomes; E4 preferred where external/high-stakes.</t>
        </is>
      </c>
      <c r="F94" s="2" t="inlineStr">
        <is>
          <t>At least 2 sources for score ≥4 unless intrinsically single-source; independent corroboration may be required.</t>
        </is>
      </c>
      <c r="G94" s="2" t="inlineStr">
        <is>
          <t>Outcome is optional/N/A when no legitimate outcome exists; never manufacture a denominator.</t>
        </is>
      </c>
      <c r="H94" s="2" t="inlineStr">
        <is>
          <t>E0 descriptive; E1 artefact; E2 operational; E3 outcome; E4 independent/triangulated. Confidence is reported separately from capability score.</t>
        </is>
      </c>
    </row>
    <row r="95">
      <c r="A95" s="2" t="inlineStr">
        <is>
          <t>D08</t>
        </is>
      </c>
      <c r="B95" s="2" t="inlineStr">
        <is>
          <t>I03</t>
        </is>
      </c>
      <c r="C95" s="2" t="inlineStr">
        <is>
          <t>Data Quality &amp; Integrity</t>
        </is>
      </c>
      <c r="D95" s="2" t="inlineStr">
        <is>
          <t>E2 operational evidence with dated numerator/denominator; score &gt;=3 corroborated; E3 for outcome claims.</t>
        </is>
      </c>
      <c r="E95" s="2" t="inlineStr">
        <is>
          <t>For maturity 4–5: operational record + corroborating source; E3 for claimed outcomes; E4 preferred where external/high-stakes.</t>
        </is>
      </c>
      <c r="F95" s="2" t="inlineStr">
        <is>
          <t>At least 2 sources for score ≥4 unless intrinsically single-source; independent corroboration may be required.</t>
        </is>
      </c>
      <c r="G95" s="2" t="inlineStr">
        <is>
          <t>Outcome is optional/N/A when no legitimate outcome exists; never manufacture a denominator.</t>
        </is>
      </c>
      <c r="H95" s="2" t="inlineStr">
        <is>
          <t>E0 descriptive; E1 artefact; E2 operational; E3 outcome; E4 independent/triangulated. Confidence is reported separately from capability score.</t>
        </is>
      </c>
    </row>
    <row r="96">
      <c r="A96" s="2" t="inlineStr">
        <is>
          <t>D08</t>
        </is>
      </c>
      <c r="B96" s="2" t="inlineStr">
        <is>
          <t>I04</t>
        </is>
      </c>
      <c r="C96" s="2" t="inlineStr">
        <is>
          <t>System Interoperability</t>
        </is>
      </c>
      <c r="D96" s="2" t="inlineStr">
        <is>
          <t>E2 sampled artefact/work sample + rubric; score &gt;=3 requires direct operating/demonstration evidence; E3 where a legitimate outcome exists.</t>
        </is>
      </c>
      <c r="E96" s="2" t="inlineStr">
        <is>
          <t>For maturity 4–5: operational record + corroborating source; E3 for claimed outcomes; E4 preferred where external/high-stakes.</t>
        </is>
      </c>
      <c r="F96" s="2" t="inlineStr">
        <is>
          <t>At least 2 sources for score ≥4 unless intrinsically single-source; independent corroboration may be required.</t>
        </is>
      </c>
      <c r="G96" s="2" t="inlineStr">
        <is>
          <t>Outcome is optional/N/A when no legitimate outcome exists; never manufacture a denominator.</t>
        </is>
      </c>
      <c r="H96" s="2" t="inlineStr">
        <is>
          <t>E0 descriptive; E1 artefact; E2 operational; E3 outcome; E4 independent/triangulated. Confidence is reported separately from capability score.</t>
        </is>
      </c>
    </row>
    <row r="97">
      <c r="A97" s="2" t="inlineStr">
        <is>
          <t>D08</t>
        </is>
      </c>
      <c r="B97" s="2" t="inlineStr">
        <is>
          <t>I05</t>
        </is>
      </c>
      <c r="C97" s="2" t="inlineStr">
        <is>
          <t>Decision Intelligence</t>
        </is>
      </c>
      <c r="D97" s="2" t="inlineStr">
        <is>
          <t>E2 sampled artefact/work sample + rubric; score &gt;=3 requires direct operating/demonstration evidence; E3 where a legitimate outcome exists.</t>
        </is>
      </c>
      <c r="E97" s="2" t="inlineStr">
        <is>
          <t>For maturity 4–5: operational record + corroborating source; E3 for claimed outcomes; E4 preferred where external/high-stakes.</t>
        </is>
      </c>
      <c r="F97" s="2" t="inlineStr">
        <is>
          <t>At least 2 sources for score ≥4 unless intrinsically single-source; independent corroboration may be required.</t>
        </is>
      </c>
      <c r="G97" s="2" t="inlineStr">
        <is>
          <t>Outcome is optional/N/A when no legitimate outcome exists; never manufacture a denominator.</t>
        </is>
      </c>
      <c r="H97" s="2" t="inlineStr">
        <is>
          <t>E0 descriptive; E1 artefact; E2 operational; E3 outcome; E4 independent/triangulated. Confidence is reported separately from capability score.</t>
        </is>
      </c>
    </row>
    <row r="98">
      <c r="A98" s="2" t="inlineStr">
        <is>
          <t>D08</t>
        </is>
      </c>
      <c r="B98" s="2" t="inlineStr">
        <is>
          <t>I06</t>
        </is>
      </c>
      <c r="C98" s="2" t="inlineStr">
        <is>
          <t>AI Enablement Readiness</t>
        </is>
      </c>
      <c r="D98" s="2" t="inlineStr">
        <is>
          <t>E2 sampled artefact/work sample + rubric; score &gt;=3 requires direct operating/demonstration evidence; E3 where a legitimate outcome exists.</t>
        </is>
      </c>
      <c r="E98" s="2" t="inlineStr">
        <is>
          <t>For maturity 4–5: operational record + corroborating source; E3 for claimed outcomes; E4 preferred where external/high-stakes.</t>
        </is>
      </c>
      <c r="F98" s="2" t="inlineStr">
        <is>
          <t>At least 2 sources for score ≥4 unless intrinsically single-source; independent corroboration may be required.</t>
        </is>
      </c>
      <c r="G98" s="2" t="inlineStr">
        <is>
          <t>Outcome is optional/N/A when no legitimate outcome exists; never manufacture a denominator.</t>
        </is>
      </c>
      <c r="H98" s="2" t="inlineStr">
        <is>
          <t>E0 descriptive; E1 artefact; E2 operational; E3 outcome; E4 independent/triangulated. Confidence is reported separately from capability score.</t>
        </is>
      </c>
    </row>
    <row r="99">
      <c r="A99" s="2" t="inlineStr">
        <is>
          <t>D08</t>
        </is>
      </c>
      <c r="B99" s="2" t="inlineStr">
        <is>
          <t>I07</t>
        </is>
      </c>
      <c r="C99" s="2" t="inlineStr">
        <is>
          <t>Cyber &amp; Information Security</t>
        </is>
      </c>
      <c r="D99" s="2" t="inlineStr">
        <is>
          <t>E2 implemented control + operating record; score &gt;=3 requires execution/testing or a real case; E4 preferred for high-stakes claims.</t>
        </is>
      </c>
      <c r="E99" s="2" t="inlineStr">
        <is>
          <t>For maturity 4–5: operational record + corroborating source; E3 for claimed outcomes; E4 preferred where external/high-stakes.</t>
        </is>
      </c>
      <c r="F99" s="2" t="inlineStr">
        <is>
          <t>At least 2 sources for score ≥4 unless intrinsically single-source; independent corroboration may be required.</t>
        </is>
      </c>
      <c r="G99" s="2" t="inlineStr">
        <is>
          <t>Outcome is optional/N/A when no legitimate outcome exists; never manufacture a denominator.</t>
        </is>
      </c>
      <c r="H99" s="2" t="inlineStr">
        <is>
          <t>E0 descriptive; E1 artefact; E2 operational; E3 outcome; E4 independent/triangulated. Confidence is reported separately from capability score.</t>
        </is>
      </c>
    </row>
    <row r="100">
      <c r="A100" s="2" t="inlineStr">
        <is>
          <t>D08</t>
        </is>
      </c>
      <c r="B100" s="2" t="inlineStr">
        <is>
          <t>I08</t>
        </is>
      </c>
      <c r="C100" s="2" t="inlineStr">
        <is>
          <t>Data Privacy Readiness</t>
        </is>
      </c>
      <c r="D100" s="2" t="inlineStr">
        <is>
          <t>E2 implemented control + operating record; score &gt;=3 requires execution/testing or a real case; E4 preferred for high-stakes claims.</t>
        </is>
      </c>
      <c r="E100" s="2" t="inlineStr">
        <is>
          <t>For maturity 4–5: operational record + corroborating source; E3 for claimed outcomes; E4 preferred where external/high-stakes.</t>
        </is>
      </c>
      <c r="F100" s="2" t="inlineStr">
        <is>
          <t>At least 2 sources for score ≥4 unless intrinsically single-source; independent corroboration may be required.</t>
        </is>
      </c>
      <c r="G100" s="2" t="inlineStr">
        <is>
          <t>Outcome is optional/N/A when no legitimate outcome exists; never manufacture a denominator.</t>
        </is>
      </c>
      <c r="H100" s="2" t="inlineStr">
        <is>
          <t>E0 descriptive; E1 artefact; E2 operational; E3 outcome; E4 independent/triangulated. Confidence is reported separately from capability score.</t>
        </is>
      </c>
    </row>
    <row r="101">
      <c r="A101" s="2" t="inlineStr">
        <is>
          <t>D08</t>
        </is>
      </c>
      <c r="B101" s="2" t="inlineStr">
        <is>
          <t>I09</t>
        </is>
      </c>
      <c r="C101" s="2" t="inlineStr">
        <is>
          <t>Digital Equity &amp; Access</t>
        </is>
      </c>
      <c r="D101" s="2" t="inlineStr">
        <is>
          <t>E2 operational evidence with dated numerator/denominator; score &gt;=3 corroborated; E3 for outcome claims.</t>
        </is>
      </c>
      <c r="E101" s="2" t="inlineStr">
        <is>
          <t>For maturity 4–5: operational record + corroborating source; E3 for claimed outcomes; E4 preferred where external/high-stakes.</t>
        </is>
      </c>
      <c r="F101" s="2" t="inlineStr">
        <is>
          <t>At least 2 sources for score ≥4 unless intrinsically single-source; independent corroboration may be required.</t>
        </is>
      </c>
      <c r="G101" s="2" t="inlineStr">
        <is>
          <t>Outcome is optional/N/A when no legitimate outcome exists; never manufacture a denominator.</t>
        </is>
      </c>
      <c r="H101" s="2" t="inlineStr">
        <is>
          <t>E0 descriptive; E1 artefact; E2 operational; E3 outcome; E4 independent/triangulated. Confidence is reported separately from capability score.</t>
        </is>
      </c>
    </row>
    <row r="102">
      <c r="A102" s="2" t="inlineStr">
        <is>
          <t>D08</t>
        </is>
      </c>
      <c r="B102" s="2" t="inlineStr">
        <is>
          <t>I10</t>
        </is>
      </c>
      <c r="C102" s="2" t="inlineStr">
        <is>
          <t>Technology Decision Governance</t>
        </is>
      </c>
      <c r="D102" s="2" t="inlineStr">
        <is>
          <t>E2 implemented control + operating record; score &gt;=3 requires execution/testing or a real case; E4 preferred for high-stakes claims.</t>
        </is>
      </c>
      <c r="E102" s="2" t="inlineStr">
        <is>
          <t>For maturity 4–5: operational record + corroborating source; E3 for claimed outcomes; E4 preferred where external/high-stakes.</t>
        </is>
      </c>
      <c r="F102" s="2" t="inlineStr">
        <is>
          <t>At least 2 sources for score ≥4 unless intrinsically single-source; independent corroboration may be required.</t>
        </is>
      </c>
      <c r="G102" s="2" t="inlineStr">
        <is>
          <t>Outcome is optional/N/A when no legitimate outcome exists; never manufacture a denominator.</t>
        </is>
      </c>
      <c r="H102" s="2" t="inlineStr">
        <is>
          <t>E0 descriptive; E1 artefact; E2 operational; E3 outcome; E4 independent/triangulated. Confidence is reported separately from capability score.</t>
        </is>
      </c>
    </row>
    <row r="103">
      <c r="A103" s="2" t="inlineStr">
        <is>
          <t>D08</t>
        </is>
      </c>
      <c r="B103" s="2" t="inlineStr">
        <is>
          <t>I11</t>
        </is>
      </c>
      <c r="C103" s="2" t="inlineStr">
        <is>
          <t>Digital Process Maturity</t>
        </is>
      </c>
      <c r="D103" s="2" t="inlineStr">
        <is>
          <t>E2 sampled artefact/work sample + rubric; score &gt;=3 requires direct operating/demonstration evidence; E3 where a legitimate outcome exists.</t>
        </is>
      </c>
      <c r="E103" s="2" t="inlineStr">
        <is>
          <t>For maturity 4–5: operational record + corroborating source; E3 for claimed outcomes; E4 preferred where external/high-stakes.</t>
        </is>
      </c>
      <c r="F103" s="2" t="inlineStr">
        <is>
          <t>At least 2 sources for score ≥4 unless intrinsically single-source; independent corroboration may be required.</t>
        </is>
      </c>
      <c r="G103" s="2" t="inlineStr">
        <is>
          <t>Outcome is optional/N/A when no legitimate outcome exists; never manufacture a denominator.</t>
        </is>
      </c>
      <c r="H103" s="2" t="inlineStr">
        <is>
          <t>E0 descriptive; E1 artefact; E2 operational; E3 outcome; E4 independent/triangulated. Confidence is reported separately from capability score.</t>
        </is>
      </c>
    </row>
    <row r="104">
      <c r="A104" s="2" t="inlineStr">
        <is>
          <t>D08</t>
        </is>
      </c>
      <c r="B104" s="2" t="inlineStr">
        <is>
          <t>I12</t>
        </is>
      </c>
      <c r="C104" s="2" t="inlineStr">
        <is>
          <t>Institutional Intelligence Capability</t>
        </is>
      </c>
      <c r="D104" s="2" t="inlineStr">
        <is>
          <t>E2 sampled artefact/work sample + rubric; score &gt;=3 requires direct operating/demonstration evidence; E3 where a legitimate outcome exists.</t>
        </is>
      </c>
      <c r="E104" s="2" t="inlineStr">
        <is>
          <t>For maturity 4–5: operational record + corroborating source; E3 for claimed outcomes; E4 preferred where external/high-stakes.</t>
        </is>
      </c>
      <c r="F104" s="2" t="inlineStr">
        <is>
          <t>At least 2 sources for score ≥4 unless intrinsically single-source; independent corroboration may be required.</t>
        </is>
      </c>
      <c r="G104" s="2" t="inlineStr">
        <is>
          <t>Outcome is optional/N/A when no legitimate outcome exists; never manufacture a denominator.</t>
        </is>
      </c>
      <c r="H104" s="2" t="inlineStr">
        <is>
          <t>E0 descriptive; E1 artefact; E2 operational; E3 outcome; E4 independent/triangulated. Confidence is reported separately from capability score.</t>
        </is>
      </c>
    </row>
    <row r="105">
      <c r="A105" s="2" t="inlineStr">
        <is>
          <t>D09</t>
        </is>
      </c>
      <c r="B105" s="2" t="inlineStr">
        <is>
          <t>I01</t>
        </is>
      </c>
      <c r="C105" s="2" t="inlineStr">
        <is>
          <t>Employer Demand Sensing</t>
        </is>
      </c>
      <c r="D105" s="2" t="inlineStr">
        <is>
          <t>E2 sampled artefact/work sample + rubric; score &gt;=3 requires direct operating/demonstration evidence; E3 where a legitimate outcome exists.</t>
        </is>
      </c>
      <c r="E105" s="2" t="inlineStr">
        <is>
          <t>For maturity 4–5: operational record + corroborating source; E3 for claimed outcomes; E4 preferred where external/high-stakes.</t>
        </is>
      </c>
      <c r="F105" s="2" t="inlineStr">
        <is>
          <t>At least 2 sources for score ≥4 unless intrinsically single-source; independent corroboration may be required.</t>
        </is>
      </c>
      <c r="G105" s="2" t="inlineStr">
        <is>
          <t>Outcome is optional/N/A when no legitimate outcome exists; never manufacture a denominator.</t>
        </is>
      </c>
      <c r="H105" s="2" t="inlineStr">
        <is>
          <t>E0 descriptive; E1 artefact; E2 operational; E3 outcome; E4 independent/triangulated. Confidence is reported separately from capability score.</t>
        </is>
      </c>
    </row>
    <row r="106">
      <c r="A106" s="2" t="inlineStr">
        <is>
          <t>D09</t>
        </is>
      </c>
      <c r="B106" s="2" t="inlineStr">
        <is>
          <t>I02</t>
        </is>
      </c>
      <c r="C106" s="2" t="inlineStr">
        <is>
          <t>Employability Capability Architecture</t>
        </is>
      </c>
      <c r="D106" s="2" t="inlineStr">
        <is>
          <t>E2 sampled artefact/work sample + rubric; score &gt;=3 requires direct operating/demonstration evidence; E3 where a legitimate outcome exists.</t>
        </is>
      </c>
      <c r="E106" s="2" t="inlineStr">
        <is>
          <t>For maturity 4–5: operational record + corroborating source; E3 for claimed outcomes; E4 preferred where external/high-stakes.</t>
        </is>
      </c>
      <c r="F106" s="2" t="inlineStr">
        <is>
          <t>At least 2 sources for score ≥4 unless intrinsically single-source; independent corroboration may be required.</t>
        </is>
      </c>
      <c r="G106" s="2" t="inlineStr">
        <is>
          <t>Outcome is optional/N/A when no legitimate outcome exists; never manufacture a denominator.</t>
        </is>
      </c>
      <c r="H106" s="2" t="inlineStr">
        <is>
          <t>E0 descriptive; E1 artefact; E2 operational; E3 outcome; E4 independent/triangulated. Confidence is reported separately from capability score.</t>
        </is>
      </c>
    </row>
    <row r="107">
      <c r="A107" s="2" t="inlineStr">
        <is>
          <t>D09</t>
        </is>
      </c>
      <c r="B107" s="2" t="inlineStr">
        <is>
          <t>I03</t>
        </is>
      </c>
      <c r="C107" s="2" t="inlineStr">
        <is>
          <t>Industry-Validated Curriculum</t>
        </is>
      </c>
      <c r="D107" s="2" t="inlineStr">
        <is>
          <t>E2 sampled artefact/work sample + rubric; score &gt;=3 requires direct operating/demonstration evidence; E3 where a legitimate outcome exists.</t>
        </is>
      </c>
      <c r="E107" s="2" t="inlineStr">
        <is>
          <t>For maturity 4–5: operational record + corroborating source; E3 for claimed outcomes; E4 preferred where external/high-stakes.</t>
        </is>
      </c>
      <c r="F107" s="2" t="inlineStr">
        <is>
          <t>At least 2 sources for score ≥4 unless intrinsically single-source; independent corroboration may be required.</t>
        </is>
      </c>
      <c r="G107" s="2" t="inlineStr">
        <is>
          <t>Outcome is optional/N/A when no legitimate outcome exists; never manufacture a denominator.</t>
        </is>
      </c>
      <c r="H107" s="2" t="inlineStr">
        <is>
          <t>E0 descriptive; E1 artefact; E2 operational; E3 outcome; E4 independent/triangulated. Confidence is reported separately from capability score.</t>
        </is>
      </c>
    </row>
    <row r="108">
      <c r="A108" s="2" t="inlineStr">
        <is>
          <t>D09</t>
        </is>
      </c>
      <c r="B108" s="2" t="inlineStr">
        <is>
          <t>I04</t>
        </is>
      </c>
      <c r="C108" s="2" t="inlineStr">
        <is>
          <t>Practice-Based Learning</t>
        </is>
      </c>
      <c r="D108" s="2" t="inlineStr">
        <is>
          <t>E2 sampled artefact/work sample + rubric; score &gt;=3 requires direct operating/demonstration evidence; E3 where a legitimate outcome exists.</t>
        </is>
      </c>
      <c r="E108" s="2" t="inlineStr">
        <is>
          <t>For maturity 4–5: operational record + corroborating source; E3 for claimed outcomes; E4 preferred where external/high-stakes.</t>
        </is>
      </c>
      <c r="F108" s="2" t="inlineStr">
        <is>
          <t>At least 2 sources for score ≥4 unless intrinsically single-source; independent corroboration may be required.</t>
        </is>
      </c>
      <c r="G108" s="2" t="inlineStr">
        <is>
          <t>Outcome is optional/N/A when no legitimate outcome exists; never manufacture a denominator.</t>
        </is>
      </c>
      <c r="H108" s="2" t="inlineStr">
        <is>
          <t>E0 descriptive; E1 artefact; E2 operational; E3 outcome; E4 independent/triangulated. Confidence is reported separately from capability score.</t>
        </is>
      </c>
    </row>
    <row r="109">
      <c r="A109" s="2" t="inlineStr">
        <is>
          <t>D09</t>
        </is>
      </c>
      <c r="B109" s="2" t="inlineStr">
        <is>
          <t>I05</t>
        </is>
      </c>
      <c r="C109" s="2" t="inlineStr">
        <is>
          <t>Recruiter Confidence</t>
        </is>
      </c>
      <c r="D109" s="2" t="inlineStr">
        <is>
          <t>E2 operational evidence with dated numerator/denominator; score &gt;=3 corroborated; E3 for outcome claims.</t>
        </is>
      </c>
      <c r="E109" s="2" t="inlineStr">
        <is>
          <t>For maturity 4–5: operational record + corroborating source; E3 for claimed outcomes; E4 preferred where external/high-stakes.</t>
        </is>
      </c>
      <c r="F109" s="2" t="inlineStr">
        <is>
          <t>At least 2 sources for score ≥4 unless intrinsically single-source; independent corroboration may be required.</t>
        </is>
      </c>
      <c r="G109" s="2" t="inlineStr">
        <is>
          <t>Outcome is optional/N/A when no legitimate outcome exists; never manufacture a denominator.</t>
        </is>
      </c>
      <c r="H109" s="2" t="inlineStr">
        <is>
          <t>E0 descriptive; E1 artefact; E2 operational; E3 outcome; E4 independent/triangulated. Confidence is reported separately from capability score.</t>
        </is>
      </c>
    </row>
    <row r="110">
      <c r="A110" s="2" t="inlineStr">
        <is>
          <t>D09</t>
        </is>
      </c>
      <c r="B110" s="2" t="inlineStr">
        <is>
          <t>I06</t>
        </is>
      </c>
      <c r="C110" s="2" t="inlineStr">
        <is>
          <t>Placement Outcome Quality</t>
        </is>
      </c>
      <c r="D110" s="2" t="inlineStr">
        <is>
          <t>E2 operational evidence with dated numerator/denominator; score &gt;=3 corroborated; E3 for outcome claims.</t>
        </is>
      </c>
      <c r="E110" s="2" t="inlineStr">
        <is>
          <t>For maturity 4–5: operational record + corroborating source; E3 for claimed outcomes; E4 preferred where external/high-stakes.</t>
        </is>
      </c>
      <c r="F110" s="2" t="inlineStr">
        <is>
          <t>At least 2 sources for score ≥4 unless intrinsically single-source; independent corroboration may be required.</t>
        </is>
      </c>
      <c r="G110" s="2" t="inlineStr">
        <is>
          <t>Outcome is optional/N/A when no legitimate outcome exists; never manufacture a denominator.</t>
        </is>
      </c>
      <c r="H110" s="2" t="inlineStr">
        <is>
          <t>E0 descriptive; E1 artefact; E2 operational; E3 outcome; E4 independent/triangulated. Confidence is reported separately from capability score.</t>
        </is>
      </c>
    </row>
    <row r="111">
      <c r="A111" s="2" t="inlineStr">
        <is>
          <t>D09</t>
        </is>
      </c>
      <c r="B111" s="2" t="inlineStr">
        <is>
          <t>I07</t>
        </is>
      </c>
      <c r="C111" s="2" t="inlineStr">
        <is>
          <t>Career Adaptability</t>
        </is>
      </c>
      <c r="D111" s="2" t="inlineStr">
        <is>
          <t>E2 sampled artefact/work sample + rubric; score &gt;=3 requires direct operating/demonstration evidence; E3 where a legitimate outcome exists.</t>
        </is>
      </c>
      <c r="E111" s="2" t="inlineStr">
        <is>
          <t>For maturity 4–5: operational record + corroborating source; E3 for claimed outcomes; E4 preferred where external/high-stakes.</t>
        </is>
      </c>
      <c r="F111" s="2" t="inlineStr">
        <is>
          <t>At least 2 sources for score ≥4 unless intrinsically single-source; independent corroboration may be required.</t>
        </is>
      </c>
      <c r="G111" s="2" t="inlineStr">
        <is>
          <t>Outcome is optional/N/A when no legitimate outcome exists; never manufacture a denominator.</t>
        </is>
      </c>
      <c r="H111" s="2" t="inlineStr">
        <is>
          <t>E0 descriptive; E1 artefact; E2 operational; E3 outcome; E4 independent/triangulated. Confidence is reported separately from capability score.</t>
        </is>
      </c>
    </row>
    <row r="112">
      <c r="A112" s="2" t="inlineStr">
        <is>
          <t>D09</t>
        </is>
      </c>
      <c r="B112" s="2" t="inlineStr">
        <is>
          <t>I08</t>
        </is>
      </c>
      <c r="C112" s="2" t="inlineStr">
        <is>
          <t>AI-Era Employability Readiness</t>
        </is>
      </c>
      <c r="D112" s="2" t="inlineStr">
        <is>
          <t>E2 sampled artefact/work sample + rubric; score &gt;=3 requires direct operating/demonstration evidence; E3 where a legitimate outcome exists.</t>
        </is>
      </c>
      <c r="E112" s="2" t="inlineStr">
        <is>
          <t>For maturity 4–5: operational record + corroborating source; E3 for claimed outcomes; E4 preferred where external/high-stakes.</t>
        </is>
      </c>
      <c r="F112" s="2" t="inlineStr">
        <is>
          <t>At least 2 sources for score ≥4 unless intrinsically single-source; independent corroboration may be required.</t>
        </is>
      </c>
      <c r="G112" s="2" t="inlineStr">
        <is>
          <t>Outcome is optional/N/A when no legitimate outcome exists; never manufacture a denominator.</t>
        </is>
      </c>
      <c r="H112" s="2" t="inlineStr">
        <is>
          <t>E0 descriptive; E1 artefact; E2 operational; E3 outcome; E4 independent/triangulated. Confidence is reported separately from capability score.</t>
        </is>
      </c>
    </row>
    <row r="113">
      <c r="A113" s="2" t="inlineStr">
        <is>
          <t>D09</t>
        </is>
      </c>
      <c r="B113" s="2" t="inlineStr">
        <is>
          <t>I09</t>
        </is>
      </c>
      <c r="C113" s="2" t="inlineStr">
        <is>
          <t>Capability Signalling</t>
        </is>
      </c>
      <c r="D113" s="2" t="inlineStr">
        <is>
          <t>E2 sampled artefact/work sample + rubric; score &gt;=3 requires direct operating/demonstration evidence; E3 where a legitimate outcome exists.</t>
        </is>
      </c>
      <c r="E113" s="2" t="inlineStr">
        <is>
          <t>For maturity 4–5: operational record + corroborating source; E3 for claimed outcomes; E4 preferred where external/high-stakes.</t>
        </is>
      </c>
      <c r="F113" s="2" t="inlineStr">
        <is>
          <t>At least 2 sources for score ≥4 unless intrinsically single-source; independent corroboration may be required.</t>
        </is>
      </c>
      <c r="G113" s="2" t="inlineStr">
        <is>
          <t>Outcome is optional/N/A when no legitimate outcome exists; never manufacture a denominator.</t>
        </is>
      </c>
      <c r="H113" s="2" t="inlineStr">
        <is>
          <t>E0 descriptive; E1 artefact; E2 operational; E3 outcome; E4 independent/triangulated. Confidence is reported separately from capability score.</t>
        </is>
      </c>
    </row>
    <row r="114">
      <c r="A114" s="2" t="inlineStr">
        <is>
          <t>D09</t>
        </is>
      </c>
      <c r="B114" s="2" t="inlineStr">
        <is>
          <t>I10</t>
        </is>
      </c>
      <c r="C114" s="2" t="inlineStr">
        <is>
          <t>Industry Co-Creation</t>
        </is>
      </c>
      <c r="D114" s="2" t="inlineStr">
        <is>
          <t>E2 sampled artefact/work sample + rubric; score &gt;=3 requires direct operating/demonstration evidence; E3 where a legitimate outcome exists.</t>
        </is>
      </c>
      <c r="E114" s="2" t="inlineStr">
        <is>
          <t>For maturity 4–5: operational record + corroborating source; E3 for claimed outcomes; E4 preferred where external/high-stakes.</t>
        </is>
      </c>
      <c r="F114" s="2" t="inlineStr">
        <is>
          <t>At least 2 sources for score ≥4 unless intrinsically single-source; independent corroboration may be required.</t>
        </is>
      </c>
      <c r="G114" s="2" t="inlineStr">
        <is>
          <t>Outcome is optional/N/A when no legitimate outcome exists; never manufacture a denominator.</t>
        </is>
      </c>
      <c r="H114" s="2" t="inlineStr">
        <is>
          <t>E0 descriptive; E1 artefact; E2 operational; E3 outcome; E4 independent/triangulated. Confidence is reported separately from capability score.</t>
        </is>
      </c>
    </row>
    <row r="115">
      <c r="A115" s="2" t="inlineStr">
        <is>
          <t>D09</t>
        </is>
      </c>
      <c r="B115" s="2" t="inlineStr">
        <is>
          <t>I11</t>
        </is>
      </c>
      <c r="C115" s="2" t="inlineStr">
        <is>
          <t>Regional/Economic Relevance</t>
        </is>
      </c>
      <c r="D115" s="2" t="inlineStr">
        <is>
          <t>E2 sampled artefact/work sample + rubric; score &gt;=3 requires direct operating/demonstration evidence; E3 where a legitimate outcome exists.</t>
        </is>
      </c>
      <c r="E115" s="2" t="inlineStr">
        <is>
          <t>For maturity 4–5: operational record + corroborating source; E3 for claimed outcomes; E4 preferred where external/high-stakes.</t>
        </is>
      </c>
      <c r="F115" s="2" t="inlineStr">
        <is>
          <t>At least 2 sources for score ≥4 unless intrinsically single-source; independent corroboration may be required.</t>
        </is>
      </c>
      <c r="G115" s="2" t="inlineStr">
        <is>
          <t>Outcome is optional/N/A when no legitimate outcome exists; never manufacture a denominator.</t>
        </is>
      </c>
      <c r="H115" s="2" t="inlineStr">
        <is>
          <t>E0 descriptive; E1 artefact; E2 operational; E3 outcome; E4 independent/triangulated. Confidence is reported separately from capability score.</t>
        </is>
      </c>
    </row>
    <row r="116">
      <c r="A116" s="2" t="inlineStr">
        <is>
          <t>D09</t>
        </is>
      </c>
      <c r="B116" s="2" t="inlineStr">
        <is>
          <t>I12</t>
        </is>
      </c>
      <c r="C116" s="2" t="inlineStr">
        <is>
          <t>Alumni Career Intelligence</t>
        </is>
      </c>
      <c r="D116" s="2" t="inlineStr">
        <is>
          <t>E2 sampled artefact/work sample + rubric; score &gt;=3 requires direct operating/demonstration evidence; E3 where a legitimate outcome exists.</t>
        </is>
      </c>
      <c r="E116" s="2" t="inlineStr">
        <is>
          <t>For maturity 4–5: operational record + corroborating source; E3 for claimed outcomes; E4 preferred where external/high-stakes.</t>
        </is>
      </c>
      <c r="F116" s="2" t="inlineStr">
        <is>
          <t>At least 2 sources for score ≥4 unless intrinsically single-source; independent corroboration may be required.</t>
        </is>
      </c>
      <c r="G116" s="2" t="inlineStr">
        <is>
          <t>Outcome is optional/N/A when no legitimate outcome exists; never manufacture a denominator.</t>
        </is>
      </c>
      <c r="H116" s="2" t="inlineStr">
        <is>
          <t>E0 descriptive; E1 artefact; E2 operational; E3 outcome; E4 independent/triangulated. Confidence is reported separately from capability score.</t>
        </is>
      </c>
    </row>
    <row r="117">
      <c r="A117" s="2" t="inlineStr">
        <is>
          <t>D10</t>
        </is>
      </c>
      <c r="B117" s="2" t="inlineStr">
        <is>
          <t>I01</t>
        </is>
      </c>
      <c r="C117" s="2" t="inlineStr">
        <is>
          <t>Research Strategy Maturity</t>
        </is>
      </c>
      <c r="D117" s="2" t="inlineStr">
        <is>
          <t>E2 operational evidence with dated numerator/denominator; score &gt;=3 corroborated; E3 for outcome claims.</t>
        </is>
      </c>
      <c r="E117" s="2" t="inlineStr">
        <is>
          <t>For maturity 4–5: operational record + corroborating source; E3 for claimed outcomes; E4 preferred where external/high-stakes.</t>
        </is>
      </c>
      <c r="F117" s="2" t="inlineStr">
        <is>
          <t>At least 2 sources for score ≥4 unless intrinsically single-source; independent corroboration may be required.</t>
        </is>
      </c>
      <c r="G117" s="2" t="inlineStr">
        <is>
          <t>Outcome is optional/N/A when no legitimate outcome exists; never manufacture a denominator.</t>
        </is>
      </c>
      <c r="H117" s="2" t="inlineStr">
        <is>
          <t>E0 descriptive; E1 artefact; E2 operational; E3 outcome; E4 independent/triangulated. Confidence is reported separately from capability score.</t>
        </is>
      </c>
    </row>
    <row r="118">
      <c r="A118" s="2" t="inlineStr">
        <is>
          <t>D10</t>
        </is>
      </c>
      <c r="B118" s="2" t="inlineStr">
        <is>
          <t>I02</t>
        </is>
      </c>
      <c r="C118" s="2" t="inlineStr">
        <is>
          <t>Research Portfolio Balance</t>
        </is>
      </c>
      <c r="D118" s="2" t="inlineStr">
        <is>
          <t>E2 sampled artefact/work sample + rubric; score &gt;=3 requires direct operating/demonstration evidence; E3 where a legitimate outcome exists.</t>
        </is>
      </c>
      <c r="E118" s="2" t="inlineStr">
        <is>
          <t>For maturity 4–5: operational record + corroborating source; E3 for claimed outcomes; E4 preferred where external/high-stakes.</t>
        </is>
      </c>
      <c r="F118" s="2" t="inlineStr">
        <is>
          <t>At least 2 sources for score ≥4 unless intrinsically single-source; independent corroboration may be required.</t>
        </is>
      </c>
      <c r="G118" s="2" t="inlineStr">
        <is>
          <t>Outcome is optional/N/A when no legitimate outcome exists; never manufacture a denominator.</t>
        </is>
      </c>
      <c r="H118" s="2" t="inlineStr">
        <is>
          <t>E0 descriptive; E1 artefact; E2 operational; E3 outcome; E4 independent/triangulated. Confidence is reported separately from capability score.</t>
        </is>
      </c>
    </row>
    <row r="119">
      <c r="A119" s="2" t="inlineStr">
        <is>
          <t>D10</t>
        </is>
      </c>
      <c r="B119" s="2" t="inlineStr">
        <is>
          <t>I03</t>
        </is>
      </c>
      <c r="C119" s="2" t="inlineStr">
        <is>
          <t>Interdisciplinary Research Capability</t>
        </is>
      </c>
      <c r="D119" s="2" t="inlineStr">
        <is>
          <t>E2 implemented control + operating record; score &gt;=3 requires execution/testing or a real case; E4 preferred for high-stakes claims.</t>
        </is>
      </c>
      <c r="E119" s="2" t="inlineStr">
        <is>
          <t>For maturity 4–5: operational record + corroborating source; E3 for claimed outcomes; E4 preferred where external/high-stakes.</t>
        </is>
      </c>
      <c r="F119" s="2" t="inlineStr">
        <is>
          <t>At least 2 sources for score ≥4 unless intrinsically single-source; independent corroboration may be required.</t>
        </is>
      </c>
      <c r="G119" s="2" t="inlineStr">
        <is>
          <t>Outcome is optional/N/A when no legitimate outcome exists; never manufacture a denominator.</t>
        </is>
      </c>
      <c r="H119" s="2" t="inlineStr">
        <is>
          <t>E0 descriptive; E1 artefact; E2 operational; E3 outcome; E4 independent/triangulated. Confidence is reported separately from capability score.</t>
        </is>
      </c>
    </row>
    <row r="120">
      <c r="A120" s="2" t="inlineStr">
        <is>
          <t>D10</t>
        </is>
      </c>
      <c r="B120" s="2" t="inlineStr">
        <is>
          <t>I04</t>
        </is>
      </c>
      <c r="C120" s="2" t="inlineStr">
        <is>
          <t>AI-Enabled Research Capability</t>
        </is>
      </c>
      <c r="D120" s="2" t="inlineStr">
        <is>
          <t>E2 sampled artefact/work sample + rubric; score &gt;=3 requires direct operating/demonstration evidence; E3 where a legitimate outcome exists.</t>
        </is>
      </c>
      <c r="E120" s="2" t="inlineStr">
        <is>
          <t>For maturity 4–5: operational record + corroborating source; E3 for claimed outcomes; E4 preferred where external/high-stakes.</t>
        </is>
      </c>
      <c r="F120" s="2" t="inlineStr">
        <is>
          <t>At least 2 sources for score ≥4 unless intrinsically single-source; independent corroboration may be required.</t>
        </is>
      </c>
      <c r="G120" s="2" t="inlineStr">
        <is>
          <t>Outcome is optional/N/A when no legitimate outcome exists; never manufacture a denominator.</t>
        </is>
      </c>
      <c r="H120" s="2" t="inlineStr">
        <is>
          <t>E0 descriptive; E1 artefact; E2 operational; E3 outcome; E4 independent/triangulated. Confidence is reported separately from capability score.</t>
        </is>
      </c>
    </row>
    <row r="121">
      <c r="A121" s="2" t="inlineStr">
        <is>
          <t>D10</t>
        </is>
      </c>
      <c r="B121" s="2" t="inlineStr">
        <is>
          <t>I05</t>
        </is>
      </c>
      <c r="C121" s="2" t="inlineStr">
        <is>
          <t>Research Infrastructure Readiness</t>
        </is>
      </c>
      <c r="D121" s="2" t="inlineStr">
        <is>
          <t>E2 sampled artefact/work sample + rubric; score &gt;=3 requires direct operating/demonstration evidence; E3 where a legitimate outcome exists.</t>
        </is>
      </c>
      <c r="E121" s="2" t="inlineStr">
        <is>
          <t>For maturity 4–5: operational record + corroborating source; E3 for claimed outcomes; E4 preferred where external/high-stakes.</t>
        </is>
      </c>
      <c r="F121" s="2" t="inlineStr">
        <is>
          <t>At least 2 sources for score ≥4 unless intrinsically single-source; independent corroboration may be required.</t>
        </is>
      </c>
      <c r="G121" s="2" t="inlineStr">
        <is>
          <t>Outcome is optional/N/A when no legitimate outcome exists; never manufacture a denominator.</t>
        </is>
      </c>
      <c r="H121" s="2" t="inlineStr">
        <is>
          <t>E0 descriptive; E1 artefact; E2 operational; E3 outcome; E4 independent/triangulated. Confidence is reported separately from capability score.</t>
        </is>
      </c>
    </row>
    <row r="122">
      <c r="A122" s="2" t="inlineStr">
        <is>
          <t>D10</t>
        </is>
      </c>
      <c r="B122" s="2" t="inlineStr">
        <is>
          <t>I06</t>
        </is>
      </c>
      <c r="C122" s="2" t="inlineStr">
        <is>
          <t>Researcher Capability</t>
        </is>
      </c>
      <c r="D122" s="2" t="inlineStr">
        <is>
          <t>E2 sampled artefact/work sample + rubric; score &gt;=3 requires direct operating/demonstration evidence; E3 where a legitimate outcome exists.</t>
        </is>
      </c>
      <c r="E122" s="2" t="inlineStr">
        <is>
          <t>For maturity 4–5: operational record + corroborating source; E3 for claimed outcomes; E4 preferred where external/high-stakes.</t>
        </is>
      </c>
      <c r="F122" s="2" t="inlineStr">
        <is>
          <t>At least 2 sources for score ≥4 unless intrinsically single-source; independent corroboration may be required.</t>
        </is>
      </c>
      <c r="G122" s="2" t="inlineStr">
        <is>
          <t>Outcome is optional/N/A when no legitimate outcome exists; never manufacture a denominator.</t>
        </is>
      </c>
      <c r="H122" s="2" t="inlineStr">
        <is>
          <t>E0 descriptive; E1 artefact; E2 operational; E3 outcome; E4 independent/triangulated. Confidence is reported separately from capability score.</t>
        </is>
      </c>
    </row>
    <row r="123">
      <c r="A123" s="2" t="inlineStr">
        <is>
          <t>D10</t>
        </is>
      </c>
      <c r="B123" s="2" t="inlineStr">
        <is>
          <t>I07</t>
        </is>
      </c>
      <c r="C123" s="2" t="inlineStr">
        <is>
          <t>Research Funding Capability</t>
        </is>
      </c>
      <c r="D123" s="2" t="inlineStr">
        <is>
          <t>E2 operational evidence with dated numerator/denominator; score &gt;=3 corroborated; E3 for outcome claims.</t>
        </is>
      </c>
      <c r="E123" s="2" t="inlineStr">
        <is>
          <t>For maturity 4–5: operational record + corroborating source; E3 for claimed outcomes; E4 preferred where external/high-stakes.</t>
        </is>
      </c>
      <c r="F123" s="2" t="inlineStr">
        <is>
          <t>At least 2 sources for score ≥4 unless intrinsically single-source; independent corroboration may be required.</t>
        </is>
      </c>
      <c r="G123" s="2" t="inlineStr">
        <is>
          <t>Outcome is optional/N/A when no legitimate outcome exists; never manufacture a denominator.</t>
        </is>
      </c>
      <c r="H123" s="2" t="inlineStr">
        <is>
          <t>E0 descriptive; E1 artefact; E2 operational; E3 outcome; E4 independent/triangulated. Confidence is reported separately from capability score.</t>
        </is>
      </c>
    </row>
    <row r="124">
      <c r="A124" s="2" t="inlineStr">
        <is>
          <t>D10</t>
        </is>
      </c>
      <c r="B124" s="2" t="inlineStr">
        <is>
          <t>I08</t>
        </is>
      </c>
      <c r="C124" s="2" t="inlineStr">
        <is>
          <t>Knowledge Translation Capability</t>
        </is>
      </c>
      <c r="D124" s="2" t="inlineStr">
        <is>
          <t>E2 sampled artefact/work sample + rubric; score &gt;=3 requires direct operating/demonstration evidence; E3 where a legitimate outcome exists.</t>
        </is>
      </c>
      <c r="E124" s="2" t="inlineStr">
        <is>
          <t>For maturity 4–5: operational record + corroborating source; E3 for claimed outcomes; E4 preferred where external/high-stakes.</t>
        </is>
      </c>
      <c r="F124" s="2" t="inlineStr">
        <is>
          <t>At least 2 sources for score ≥4 unless intrinsically single-source; independent corroboration may be required.</t>
        </is>
      </c>
      <c r="G124" s="2" t="inlineStr">
        <is>
          <t>Outcome is optional/N/A when no legitimate outcome exists; never manufacture a denominator.</t>
        </is>
      </c>
      <c r="H124" s="2" t="inlineStr">
        <is>
          <t>E0 descriptive; E1 artefact; E2 operational; E3 outcome; E4 independent/triangulated. Confidence is reported separately from capability score.</t>
        </is>
      </c>
    </row>
    <row r="125">
      <c r="A125" s="2" t="inlineStr">
        <is>
          <t>D10</t>
        </is>
      </c>
      <c r="B125" s="2" t="inlineStr">
        <is>
          <t>I09</t>
        </is>
      </c>
      <c r="C125" s="2" t="inlineStr">
        <is>
          <t>Industry-Linked Research</t>
        </is>
      </c>
      <c r="D125" s="2" t="inlineStr">
        <is>
          <t>E2 sampled artefact/work sample + rubric; score &gt;=3 requires direct operating/demonstration evidence; E3 where a legitimate outcome exists.</t>
        </is>
      </c>
      <c r="E125" s="2" t="inlineStr">
        <is>
          <t>For maturity 4–5: operational record + corroborating source; E3 for claimed outcomes; E4 preferred where external/high-stakes.</t>
        </is>
      </c>
      <c r="F125" s="2" t="inlineStr">
        <is>
          <t>At least 2 sources for score ≥4 unless intrinsically single-source; independent corroboration may be required.</t>
        </is>
      </c>
      <c r="G125" s="2" t="inlineStr">
        <is>
          <t>Outcome is optional/N/A when no legitimate outcome exists; never manufacture a denominator.</t>
        </is>
      </c>
      <c r="H125" s="2" t="inlineStr">
        <is>
          <t>E0 descriptive; E1 artefact; E2 operational; E3 outcome; E4 independent/triangulated. Confidence is reported separately from capability score.</t>
        </is>
      </c>
    </row>
    <row r="126">
      <c r="A126" s="2" t="inlineStr">
        <is>
          <t>D10</t>
        </is>
      </c>
      <c r="B126" s="2" t="inlineStr">
        <is>
          <t>I10</t>
        </is>
      </c>
      <c r="C126" s="2" t="inlineStr">
        <is>
          <t>Research-to-Innovation Pipeline</t>
        </is>
      </c>
      <c r="D126" s="2" t="inlineStr">
        <is>
          <t>E2 implemented control + operating record; score &gt;=3 requires execution/testing or a real case; E4 preferred for high-stakes claims.</t>
        </is>
      </c>
      <c r="E126" s="2" t="inlineStr">
        <is>
          <t>For maturity 4–5: operational record + corroborating source; E3 for claimed outcomes; E4 preferred where external/high-stakes.</t>
        </is>
      </c>
      <c r="F126" s="2" t="inlineStr">
        <is>
          <t>At least 2 sources for score ≥4 unless intrinsically single-source; independent corroboration may be required.</t>
        </is>
      </c>
      <c r="G126" s="2" t="inlineStr">
        <is>
          <t>Outcome is optional/N/A when no legitimate outcome exists; never manufacture a denominator.</t>
        </is>
      </c>
      <c r="H126" s="2" t="inlineStr">
        <is>
          <t>E0 descriptive; E1 artefact; E2 operational; E3 outcome; E4 independent/triangulated. Confidence is reported separately from capability score.</t>
        </is>
      </c>
    </row>
    <row r="127">
      <c r="A127" s="2" t="inlineStr">
        <is>
          <t>D10</t>
        </is>
      </c>
      <c r="B127" s="2" t="inlineStr">
        <is>
          <t>I11</t>
        </is>
      </c>
      <c r="C127" s="2" t="inlineStr">
        <is>
          <t>IP &amp; Knowledge Assets</t>
        </is>
      </c>
      <c r="D127" s="2" t="inlineStr">
        <is>
          <t>E2 implemented control + operating record; score &gt;=3 requires execution/testing or a real case; E4 preferred for high-stakes claims.</t>
        </is>
      </c>
      <c r="E127" s="2" t="inlineStr">
        <is>
          <t>For maturity 4–5: operational record + corroborating source; E3 for claimed outcomes; E4 preferred where external/high-stakes.</t>
        </is>
      </c>
      <c r="F127" s="2" t="inlineStr">
        <is>
          <t>At least 2 sources for score ≥4 unless intrinsically single-source; independent corroboration may be required.</t>
        </is>
      </c>
      <c r="G127" s="2" t="inlineStr">
        <is>
          <t>Outcome is optional/N/A when no legitimate outcome exists; never manufacture a denominator.</t>
        </is>
      </c>
      <c r="H127" s="2" t="inlineStr">
        <is>
          <t>E0 descriptive; E1 artefact; E2 operational; E3 outcome; E4 independent/triangulated. Confidence is reported separately from capability score.</t>
        </is>
      </c>
    </row>
    <row r="128">
      <c r="A128" s="2" t="inlineStr">
        <is>
          <t>D10</t>
        </is>
      </c>
      <c r="B128" s="2" t="inlineStr">
        <is>
          <t>I12</t>
        </is>
      </c>
      <c r="C128" s="2" t="inlineStr">
        <is>
          <t>Research Integrity &amp; Responsible AI</t>
        </is>
      </c>
      <c r="D128" s="2" t="inlineStr">
        <is>
          <t>E2 implemented control + operating record; score &gt;=3 requires execution/testing or a real case; E4 preferred for high-stakes claims.</t>
        </is>
      </c>
      <c r="E128" s="2" t="inlineStr">
        <is>
          <t>For maturity 4–5: operational record + corroborating source; E3 for claimed outcomes; E4 preferred where external/high-stakes.</t>
        </is>
      </c>
      <c r="F128" s="2" t="inlineStr">
        <is>
          <t>At least 2 sources for score ≥4 unless intrinsically single-source; independent corroboration may be required.</t>
        </is>
      </c>
      <c r="G128" s="2" t="inlineStr">
        <is>
          <t>Outcome is optional/N/A when no legitimate outcome exists; never manufacture a denominator.</t>
        </is>
      </c>
      <c r="H128" s="2" t="inlineStr">
        <is>
          <t>E0 descriptive; E1 artefact; E2 operational; E3 outcome; E4 independent/triangulated. Confidence is reported separately from capability score.</t>
        </is>
      </c>
    </row>
    <row r="129">
      <c r="A129" s="2" t="inlineStr">
        <is>
          <t>D10</t>
        </is>
      </c>
      <c r="B129" s="2" t="inlineStr">
        <is>
          <t>I13</t>
        </is>
      </c>
      <c r="C129" s="2" t="inlineStr">
        <is>
          <t>Research Impact Evidence</t>
        </is>
      </c>
      <c r="D129" s="2" t="inlineStr">
        <is>
          <t>E2 operational evidence with dated numerator/denominator; score &gt;=3 corroborated; E3 for outcome claims.</t>
        </is>
      </c>
      <c r="E129" s="2" t="inlineStr">
        <is>
          <t>For maturity 4–5: operational record + corroborating source; E3 for claimed outcomes; E4 preferred where external/high-stakes.</t>
        </is>
      </c>
      <c r="F129" s="2" t="inlineStr">
        <is>
          <t>At least 2 sources for score ≥4 unless intrinsically single-source; independent corroboration may be required.</t>
        </is>
      </c>
      <c r="G129" s="2" t="inlineStr">
        <is>
          <t>Outcome is optional/N/A when no legitimate outcome exists; never manufacture a denominator.</t>
        </is>
      </c>
      <c r="H129" s="2" t="inlineStr">
        <is>
          <t>E0 descriptive; E1 artefact; E2 operational; E3 outcome; E4 independent/triangulated. Confidence is reported separately from capability score.</t>
        </is>
      </c>
    </row>
    <row r="130">
      <c r="A130" s="2" t="inlineStr">
        <is>
          <t>D10</t>
        </is>
      </c>
      <c r="B130" s="2" t="inlineStr">
        <is>
          <t>I14</t>
        </is>
      </c>
      <c r="C130" s="2" t="inlineStr">
        <is>
          <t>Student Research Capability</t>
        </is>
      </c>
      <c r="D130" s="2" t="inlineStr">
        <is>
          <t>E2 sampled artefact/work sample + rubric; score &gt;=3 requires direct operating/demonstration evidence; E3 where a legitimate outcome exists.</t>
        </is>
      </c>
      <c r="E130" s="2" t="inlineStr">
        <is>
          <t>For maturity 4–5: operational record + corroborating source; E3 for claimed outcomes; E4 preferred where external/high-stakes.</t>
        </is>
      </c>
      <c r="F130" s="2" t="inlineStr">
        <is>
          <t>At least 2 sources for score ≥4 unless intrinsically single-source; independent corroboration may be required.</t>
        </is>
      </c>
      <c r="G130" s="2" t="inlineStr">
        <is>
          <t>Outcome is optional/N/A when no legitimate outcome exists; never manufacture a denominator.</t>
        </is>
      </c>
      <c r="H130" s="2" t="inlineStr">
        <is>
          <t>E0 descriptive; E1 artefact; E2 operational; E3 outcome; E4 independent/triangulated. Confidence is reported separately from capability score.</t>
        </is>
      </c>
    </row>
    <row r="131">
      <c r="A131" s="2" t="inlineStr">
        <is>
          <t>D11</t>
        </is>
      </c>
      <c r="B131" s="2" t="inlineStr">
        <is>
          <t>I01</t>
        </is>
      </c>
      <c r="C131" s="2" t="inlineStr">
        <is>
          <t>External Change Sensing</t>
        </is>
      </c>
      <c r="D131" s="2" t="inlineStr">
        <is>
          <t>E2 sampled artefact/work sample + rubric; score &gt;=3 requires direct operating/demonstration evidence; E3 where a legitimate outcome exists.</t>
        </is>
      </c>
      <c r="E131" s="2" t="inlineStr">
        <is>
          <t>For maturity 4–5: operational record + corroborating source; E3 for claimed outcomes; E4 preferred where external/high-stakes.</t>
        </is>
      </c>
      <c r="F131" s="2" t="inlineStr">
        <is>
          <t>At least 2 sources for score ≥4 unless intrinsically single-source; independent corroboration may be required.</t>
        </is>
      </c>
      <c r="G131" s="2" t="inlineStr">
        <is>
          <t>Outcome is optional/N/A when no legitimate outcome exists; never manufacture a denominator.</t>
        </is>
      </c>
      <c r="H131" s="2" t="inlineStr">
        <is>
          <t>E0 descriptive; E1 artefact; E2 operational; E3 outcome; E4 independent/triangulated. Confidence is reported separately from capability score.</t>
        </is>
      </c>
    </row>
    <row r="132">
      <c r="A132" s="2" t="inlineStr">
        <is>
          <t>D11</t>
        </is>
      </c>
      <c r="B132" s="2" t="inlineStr">
        <is>
          <t>I02</t>
        </is>
      </c>
      <c r="C132" s="2" t="inlineStr">
        <is>
          <t>Strategic Response Agility</t>
        </is>
      </c>
      <c r="D132" s="2" t="inlineStr">
        <is>
          <t>E2 operational evidence with dated numerator/denominator; score &gt;=3 corroborated; E3 for outcome claims.</t>
        </is>
      </c>
      <c r="E132" s="2" t="inlineStr">
        <is>
          <t>For maturity 4–5: operational record + corroborating source; E3 for claimed outcomes; E4 preferred where external/high-stakes.</t>
        </is>
      </c>
      <c r="F132" s="2" t="inlineStr">
        <is>
          <t>At least 2 sources for score ≥4 unless intrinsically single-source; independent corroboration may be required.</t>
        </is>
      </c>
      <c r="G132" s="2" t="inlineStr">
        <is>
          <t>Outcome is optional/N/A when no legitimate outcome exists; never manufacture a denominator.</t>
        </is>
      </c>
      <c r="H132" s="2" t="inlineStr">
        <is>
          <t>E0 descriptive; E1 artefact; E2 operational; E3 outcome; E4 independent/triangulated. Confidence is reported separately from capability score.</t>
        </is>
      </c>
    </row>
    <row r="133">
      <c r="A133" s="2" t="inlineStr">
        <is>
          <t>D11</t>
        </is>
      </c>
      <c r="B133" s="2" t="inlineStr">
        <is>
          <t>I03</t>
        </is>
      </c>
      <c r="C133" s="2" t="inlineStr">
        <is>
          <t>Adaptive Decision Architecture</t>
        </is>
      </c>
      <c r="D133" s="2" t="inlineStr">
        <is>
          <t>E2 sampled artefact/work sample + rubric; score &gt;=3 requires direct operating/demonstration evidence; E3 where a legitimate outcome exists.</t>
        </is>
      </c>
      <c r="E133" s="2" t="inlineStr">
        <is>
          <t>For maturity 4–5: operational record + corroborating source; E3 for claimed outcomes; E4 preferred where external/high-stakes.</t>
        </is>
      </c>
      <c r="F133" s="2" t="inlineStr">
        <is>
          <t>At least 2 sources for score ≥4 unless intrinsically single-source; independent corroboration may be required.</t>
        </is>
      </c>
      <c r="G133" s="2" t="inlineStr">
        <is>
          <t>Outcome is optional/N/A when no legitimate outcome exists; never manufacture a denominator.</t>
        </is>
      </c>
      <c r="H133" s="2" t="inlineStr">
        <is>
          <t>E0 descriptive; E1 artefact; E2 operational; E3 outcome; E4 independent/triangulated. Confidence is reported separately from capability score.</t>
        </is>
      </c>
    </row>
    <row r="134">
      <c r="A134" s="2" t="inlineStr">
        <is>
          <t>D11</t>
        </is>
      </c>
      <c r="B134" s="2" t="inlineStr">
        <is>
          <t>I04</t>
        </is>
      </c>
      <c r="C134" s="2" t="inlineStr">
        <is>
          <t>Resource Reallocation Agility</t>
        </is>
      </c>
      <c r="D134" s="2" t="inlineStr">
        <is>
          <t>E2 sampled artefact/work sample + rubric; score &gt;=3 requires direct operating/demonstration evidence; E3 where a legitimate outcome exists.</t>
        </is>
      </c>
      <c r="E134" s="2" t="inlineStr">
        <is>
          <t>For maturity 4–5: operational record + corroborating source; E3 for claimed outcomes; E4 preferred where external/high-stakes.</t>
        </is>
      </c>
      <c r="F134" s="2" t="inlineStr">
        <is>
          <t>At least 2 sources for score ≥4 unless intrinsically single-source; independent corroboration may be required.</t>
        </is>
      </c>
      <c r="G134" s="2" t="inlineStr">
        <is>
          <t>Outcome is optional/N/A when no legitimate outcome exists; never manufacture a denominator.</t>
        </is>
      </c>
      <c r="H134" s="2" t="inlineStr">
        <is>
          <t>E0 descriptive; E1 artefact; E2 operational; E3 outcome; E4 independent/triangulated. Confidence is reported separately from capability score.</t>
        </is>
      </c>
    </row>
    <row r="135">
      <c r="A135" s="2" t="inlineStr">
        <is>
          <t>D11</t>
        </is>
      </c>
      <c r="B135" s="2" t="inlineStr">
        <is>
          <t>I05</t>
        </is>
      </c>
      <c r="C135" s="2" t="inlineStr">
        <is>
          <t>Institutional Experimentation</t>
        </is>
      </c>
      <c r="D135" s="2" t="inlineStr">
        <is>
          <t>E2 sampled artefact/work sample + rubric; score &gt;=3 requires direct operating/demonstration evidence; E3 where a legitimate outcome exists.</t>
        </is>
      </c>
      <c r="E135" s="2" t="inlineStr">
        <is>
          <t>For maturity 4–5: operational record + corroborating source; E3 for claimed outcomes; E4 preferred where external/high-stakes.</t>
        </is>
      </c>
      <c r="F135" s="2" t="inlineStr">
        <is>
          <t>At least 2 sources for score ≥4 unless intrinsically single-source; independent corroboration may be required.</t>
        </is>
      </c>
      <c r="G135" s="2" t="inlineStr">
        <is>
          <t>Outcome is optional/N/A when no legitimate outcome exists; never manufacture a denominator.</t>
        </is>
      </c>
      <c r="H135" s="2" t="inlineStr">
        <is>
          <t>E0 descriptive; E1 artefact; E2 operational; E3 outcome; E4 independent/triangulated. Confidence is reported separately from capability score.</t>
        </is>
      </c>
    </row>
    <row r="136">
      <c r="A136" s="2" t="inlineStr">
        <is>
          <t>D11</t>
        </is>
      </c>
      <c r="B136" s="2" t="inlineStr">
        <is>
          <t>I06</t>
        </is>
      </c>
      <c r="C136" s="2" t="inlineStr">
        <is>
          <t>Failure-to-Learning Capability</t>
        </is>
      </c>
      <c r="D136" s="2" t="inlineStr">
        <is>
          <t>E2 sampled artefact/work sample + rubric; score &gt;=3 requires direct operating/demonstration evidence; E3 where a legitimate outcome exists.</t>
        </is>
      </c>
      <c r="E136" s="2" t="inlineStr">
        <is>
          <t>For maturity 4–5: operational record + corroborating source; E3 for claimed outcomes; E4 preferred where external/high-stakes.</t>
        </is>
      </c>
      <c r="F136" s="2" t="inlineStr">
        <is>
          <t>At least 2 sources for score ≥4 unless intrinsically single-source; independent corroboration may be required.</t>
        </is>
      </c>
      <c r="G136" s="2" t="inlineStr">
        <is>
          <t>Outcome is optional/N/A when no legitimate outcome exists; never manufacture a denominator.</t>
        </is>
      </c>
      <c r="H136" s="2" t="inlineStr">
        <is>
          <t>E0 descriptive; E1 artefact; E2 operational; E3 outcome; E4 independent/triangulated. Confidence is reported separately from capability score.</t>
        </is>
      </c>
    </row>
    <row r="137">
      <c r="A137" s="2" t="inlineStr">
        <is>
          <t>D11</t>
        </is>
      </c>
      <c r="B137" s="2" t="inlineStr">
        <is>
          <t>I07</t>
        </is>
      </c>
      <c r="C137" s="2" t="inlineStr">
        <is>
          <t>Change Management Capacity</t>
        </is>
      </c>
      <c r="D137" s="2" t="inlineStr">
        <is>
          <t>E2 sampled artefact/work sample + rubric; score &gt;=3 requires direct operating/demonstration evidence; E3 where a legitimate outcome exists.</t>
        </is>
      </c>
      <c r="E137" s="2" t="inlineStr">
        <is>
          <t>For maturity 4–5: operational record + corroborating source; E3 for claimed outcomes; E4 preferred where external/high-stakes.</t>
        </is>
      </c>
      <c r="F137" s="2" t="inlineStr">
        <is>
          <t>At least 2 sources for score ≥4 unless intrinsically single-source; independent corroboration may be required.</t>
        </is>
      </c>
      <c r="G137" s="2" t="inlineStr">
        <is>
          <t>Outcome is optional/N/A when no legitimate outcome exists; never manufacture a denominator.</t>
        </is>
      </c>
      <c r="H137" s="2" t="inlineStr">
        <is>
          <t>E0 descriptive; E1 artefact; E2 operational; E3 outcome; E4 independent/triangulated. Confidence is reported separately from capability score.</t>
        </is>
      </c>
    </row>
    <row r="138">
      <c r="A138" s="2" t="inlineStr">
        <is>
          <t>D11</t>
        </is>
      </c>
      <c r="B138" s="2" t="inlineStr">
        <is>
          <t>I08</t>
        </is>
      </c>
      <c r="C138" s="2" t="inlineStr">
        <is>
          <t>Adaptive Leadership Alignment</t>
        </is>
      </c>
      <c r="D138" s="2" t="inlineStr">
        <is>
          <t>E2 implemented control + operating record; score &gt;=3 requires execution/testing or a real case; E4 preferred for high-stakes claims.</t>
        </is>
      </c>
      <c r="E138" s="2" t="inlineStr">
        <is>
          <t>For maturity 4–5: operational record + corroborating source; E3 for claimed outcomes; E4 preferred where external/high-stakes.</t>
        </is>
      </c>
      <c r="F138" s="2" t="inlineStr">
        <is>
          <t>At least 2 sources for score ≥4 unless intrinsically single-source; independent corroboration may be required.</t>
        </is>
      </c>
      <c r="G138" s="2" t="inlineStr">
        <is>
          <t>Outcome is optional/N/A when no legitimate outcome exists; never manufacture a denominator.</t>
        </is>
      </c>
      <c r="H138" s="2" t="inlineStr">
        <is>
          <t>E0 descriptive; E1 artefact; E2 operational; E3 outcome; E4 independent/triangulated. Confidence is reported separately from capability score.</t>
        </is>
      </c>
    </row>
    <row r="139">
      <c r="A139" s="2" t="inlineStr">
        <is>
          <t>D11</t>
        </is>
      </c>
      <c r="B139" s="2" t="inlineStr">
        <is>
          <t>I09</t>
        </is>
      </c>
      <c r="C139" s="2" t="inlineStr">
        <is>
          <t>Learner Signal Responsiveness</t>
        </is>
      </c>
      <c r="D139" s="2" t="inlineStr">
        <is>
          <t>E2 sampled artefact/work sample + rubric; score &gt;=3 requires direct operating/demonstration evidence; E3 where a legitimate outcome exists.</t>
        </is>
      </c>
      <c r="E139" s="2" t="inlineStr">
        <is>
          <t>For maturity 4–5: operational record + corroborating source; E3 for claimed outcomes; E4 preferred where external/high-stakes.</t>
        </is>
      </c>
      <c r="F139" s="2" t="inlineStr">
        <is>
          <t>At least 2 sources for score ≥4 unless intrinsically single-source; independent corroboration may be required.</t>
        </is>
      </c>
      <c r="G139" s="2" t="inlineStr">
        <is>
          <t>Outcome is optional/N/A when no legitimate outcome exists; never manufacture a denominator.</t>
        </is>
      </c>
      <c r="H139" s="2" t="inlineStr">
        <is>
          <t>E0 descriptive; E1 artefact; E2 operational; E3 outcome; E4 independent/triangulated. Confidence is reported separately from capability score.</t>
        </is>
      </c>
    </row>
    <row r="140">
      <c r="A140" s="2" t="inlineStr">
        <is>
          <t>D11</t>
        </is>
      </c>
      <c r="B140" s="2" t="inlineStr">
        <is>
          <t>I10</t>
        </is>
      </c>
      <c r="C140" s="2" t="inlineStr">
        <is>
          <t>Economic &amp; Workforce Responsiveness</t>
        </is>
      </c>
      <c r="D140" s="2" t="inlineStr">
        <is>
          <t>E2 sampled artefact/work sample + rubric; score &gt;=3 requires direct operating/demonstration evidence; E3 where a legitimate outcome exists.</t>
        </is>
      </c>
      <c r="E140" s="2" t="inlineStr">
        <is>
          <t>For maturity 4–5: operational record + corroborating source; E3 for claimed outcomes; E4 preferred where external/high-stakes.</t>
        </is>
      </c>
      <c r="F140" s="2" t="inlineStr">
        <is>
          <t>At least 2 sources for score ≥4 unless intrinsically single-source; independent corroboration may be required.</t>
        </is>
      </c>
      <c r="G140" s="2" t="inlineStr">
        <is>
          <t>Outcome is optional/N/A when no legitimate outcome exists; never manufacture a denominator.</t>
        </is>
      </c>
      <c r="H140" s="2" t="inlineStr">
        <is>
          <t>E0 descriptive; E1 artefact; E2 operational; E3 outcome; E4 independent/triangulated. Confidence is reported separately from capability score.</t>
        </is>
      </c>
    </row>
    <row r="141">
      <c r="A141" s="2" t="inlineStr">
        <is>
          <t>D11</t>
        </is>
      </c>
      <c r="B141" s="2" t="inlineStr">
        <is>
          <t>I11</t>
        </is>
      </c>
      <c r="C141" s="2" t="inlineStr">
        <is>
          <t>Scenario Planning Capability</t>
        </is>
      </c>
      <c r="D141" s="2" t="inlineStr">
        <is>
          <t>E2 sampled artefact/work sample + rubric; score &gt;=3 requires direct operating/demonstration evidence; E3 where a legitimate outcome exists.</t>
        </is>
      </c>
      <c r="E141" s="2" t="inlineStr">
        <is>
          <t>For maturity 4–5: operational record + corroborating source; E3 for claimed outcomes; E4 preferred where external/high-stakes.</t>
        </is>
      </c>
      <c r="F141" s="2" t="inlineStr">
        <is>
          <t>At least 2 sources for score ≥4 unless intrinsically single-source; independent corroboration may be required.</t>
        </is>
      </c>
      <c r="G141" s="2" t="inlineStr">
        <is>
          <t>Outcome is optional/N/A when no legitimate outcome exists; never manufacture a denominator.</t>
        </is>
      </c>
      <c r="H141" s="2" t="inlineStr">
        <is>
          <t>E0 descriptive; E1 artefact; E2 operational; E3 outcome; E4 independent/triangulated. Confidence is reported separately from capability score.</t>
        </is>
      </c>
    </row>
    <row r="142">
      <c r="A142" s="2" t="inlineStr">
        <is>
          <t>D11</t>
        </is>
      </c>
      <c r="B142" s="2" t="inlineStr">
        <is>
          <t>I12</t>
        </is>
      </c>
      <c r="C142" s="2" t="inlineStr">
        <is>
          <t>Institutional Resilience</t>
        </is>
      </c>
      <c r="D142" s="2" t="inlineStr">
        <is>
          <t>E2 sampled artefact/work sample + rubric; score &gt;=3 requires direct operating/demonstration evidence; E3 where a legitimate outcome exists.</t>
        </is>
      </c>
      <c r="E142" s="2" t="inlineStr">
        <is>
          <t>For maturity 4–5: operational record + corroborating source; E3 for claimed outcomes; E4 preferred where external/high-stakes.</t>
        </is>
      </c>
      <c r="F142" s="2" t="inlineStr">
        <is>
          <t>At least 2 sources for score ≥4 unless intrinsically single-source; independent corroboration may be required.</t>
        </is>
      </c>
      <c r="G142" s="2" t="inlineStr">
        <is>
          <t>Outcome is optional/N/A when no legitimate outcome exists; never manufacture a denominator.</t>
        </is>
      </c>
      <c r="H142" s="2" t="inlineStr">
        <is>
          <t>E0 descriptive; E1 artefact; E2 operational; E3 outcome; E4 independent/triangulated. Confidence is reported separately from capability score.</t>
        </is>
      </c>
    </row>
    <row r="143">
      <c r="A143" s="2" t="inlineStr">
        <is>
          <t>D11</t>
        </is>
      </c>
      <c r="B143" s="2" t="inlineStr">
        <is>
          <t>I13</t>
        </is>
      </c>
      <c r="C143" s="2" t="inlineStr">
        <is>
          <t>Institutional Learning System</t>
        </is>
      </c>
      <c r="D143" s="2" t="inlineStr">
        <is>
          <t>E2 sampled artefact/work sample + rubric; score &gt;=3 requires direct operating/demonstration evidence; E3 where a legitimate outcome exists.</t>
        </is>
      </c>
      <c r="E143" s="2" t="inlineStr">
        <is>
          <t>For maturity 4–5: operational record + corroborating source; E3 for claimed outcomes; E4 preferred where external/high-stakes.</t>
        </is>
      </c>
      <c r="F143" s="2" t="inlineStr">
        <is>
          <t>At least 2 sources for score ≥4 unless intrinsically single-source; independent corroboration may be required.</t>
        </is>
      </c>
      <c r="G143" s="2" t="inlineStr">
        <is>
          <t>Outcome is optional/N/A when no legitimate outcome exists; never manufacture a denominator.</t>
        </is>
      </c>
      <c r="H143" s="2" t="inlineStr">
        <is>
          <t>E0 descriptive; E1 artefact; E2 operational; E3 outcome; E4 independent/triangulated. Confidence is reported separately from capability score.</t>
        </is>
      </c>
    </row>
    <row r="144">
      <c r="A144" s="2" t="inlineStr">
        <is>
          <t>D11</t>
        </is>
      </c>
      <c r="B144" s="2" t="inlineStr">
        <is>
          <t>I14</t>
        </is>
      </c>
      <c r="C144" s="2" t="inlineStr">
        <is>
          <t>Future Transformation Capacity</t>
        </is>
      </c>
      <c r="D144" s="2" t="inlineStr">
        <is>
          <t>E2 sampled artefact/work sample + rubric; score &gt;=3 requires direct operating/demonstration evidence; E3 where a legitimate outcome exists.</t>
        </is>
      </c>
      <c r="E144" s="2" t="inlineStr">
        <is>
          <t>For maturity 4–5: operational record + corroborating source; E3 for claimed outcomes; E4 preferred where external/high-stakes.</t>
        </is>
      </c>
      <c r="F144" s="2" t="inlineStr">
        <is>
          <t>At least 2 sources for score ≥4 unless intrinsically single-source; independent corroboration may be required.</t>
        </is>
      </c>
      <c r="G144" s="2" t="inlineStr">
        <is>
          <t>Outcome is optional/N/A when no legitimate outcome exists; never manufacture a denominator.</t>
        </is>
      </c>
      <c r="H144" s="2" t="inlineStr">
        <is>
          <t>E0 descriptive; E1 artefact; E2 operational; E3 outcome; E4 independent/triangulated. Confidence is reported separately from capability score.</t>
        </is>
      </c>
    </row>
  </sheetData>
  <pageMargins left="0.7" right="0.7" top="0.75" bottom="0.75" header="0.3" footer="0.3"/>
</worksheet>
</file>

<file path=xl/worksheets/sheet152.xml><?xml version="1.0" encoding="utf-8"?>
<worksheet xmlns="http://schemas.openxmlformats.org/spreadsheetml/2006/main">
  <sheetPr>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12.7109375" customWidth="1" min="1" max="3"/>
    <col width="48.7109375" customWidth="1" min="4" max="4"/>
    <col width="33.7109375" customWidth="1" min="5" max="5"/>
    <col width="48.7109375" customWidth="1" min="6" max="6"/>
  </cols>
  <sheetData>
    <row r="1">
      <c r="A1" s="22" t="inlineStr">
        <is>
          <t>Rule ID</t>
        </is>
      </c>
      <c r="B1" s="22" t="inlineStr">
        <is>
          <t>From</t>
        </is>
      </c>
      <c r="C1" s="22" t="inlineStr">
        <is>
          <t>To</t>
        </is>
      </c>
      <c r="D1" s="22" t="inlineStr">
        <is>
          <t>Executable Check</t>
        </is>
      </c>
      <c r="E1" s="22" t="inlineStr">
        <is>
          <t>Action</t>
        </is>
      </c>
      <c r="F1" s="22" t="inlineStr">
        <is>
          <t>Scoring Protection</t>
        </is>
      </c>
    </row>
    <row r="2">
      <c r="A2" s="2" t="inlineStr">
        <is>
          <t>CD01</t>
        </is>
      </c>
      <c r="B2" s="2" t="inlineStr">
        <is>
          <t>D01</t>
        </is>
      </c>
      <c r="C2" s="2" t="inlineStr">
        <is>
          <t>D03</t>
        </is>
      </c>
      <c r="D2" s="2" t="inlineStr">
        <is>
          <t>If top AI/future priorities lack corresponding capability development/evidence, flag.</t>
        </is>
      </c>
      <c r="E2" s="2" t="inlineStr">
        <is>
          <t>D03 deep-dive</t>
        </is>
      </c>
      <c r="F2" s="2" t="inlineStr">
        <is>
          <t>No D01 uplift from statements alone.</t>
        </is>
      </c>
    </row>
    <row r="3">
      <c r="A3" s="2" t="inlineStr">
        <is>
          <t>CD02</t>
        </is>
      </c>
      <c r="B3" s="2" t="inlineStr">
        <is>
          <t>D01</t>
        </is>
      </c>
      <c r="C3" s="2" t="inlineStr">
        <is>
          <t>D02</t>
        </is>
      </c>
      <c r="D3" s="2" t="inlineStr">
        <is>
          <t>If consequential AI activity exceeds governance ownership/risk controls, flag.</t>
        </is>
      </c>
      <c r="E3" s="2" t="inlineStr">
        <is>
          <t>D02 review</t>
        </is>
      </c>
      <c r="F3" s="2" t="inlineStr">
        <is>
          <t>Governance gap remains D02.</t>
        </is>
      </c>
    </row>
    <row r="4">
      <c r="A4" s="2" t="inlineStr">
        <is>
          <t>CD03</t>
        </is>
      </c>
      <c r="B4" s="2" t="inlineStr">
        <is>
          <t>D03</t>
        </is>
      </c>
      <c r="C4" s="2" t="inlineStr">
        <is>
          <t>D04</t>
        </is>
      </c>
      <c r="D4" s="2" t="inlineStr">
        <is>
          <t>Compare priority capabilities with programme outcome maps/review evidence.</t>
        </is>
      </c>
      <c r="E4" s="2" t="inlineStr">
        <is>
          <t>Capability-to-curriculum gap</t>
        </is>
      </c>
      <c r="F4" s="2" t="inlineStr">
        <is>
          <t>D03 owns target; D04 owns operationalisation.</t>
        </is>
      </c>
    </row>
    <row r="5">
      <c r="A5" s="2" t="inlineStr">
        <is>
          <t>CD04</t>
        </is>
      </c>
      <c r="B5" s="2" t="inlineStr">
        <is>
          <t>D03</t>
        </is>
      </c>
      <c r="C5" s="2" t="inlineStr">
        <is>
          <t>D07</t>
        </is>
      </c>
      <c r="D5" s="2" t="inlineStr">
        <is>
          <t>Check whether sampled target capabilities are directly demonstrated in assessment.</t>
        </is>
      </c>
      <c r="E5" s="2" t="inlineStr">
        <is>
          <t>Assessment alignment review</t>
        </is>
      </c>
      <c r="F5" s="2" t="inlineStr">
        <is>
          <t>Do not score D03 from assessment quality.</t>
        </is>
      </c>
    </row>
    <row r="6">
      <c r="A6" s="2" t="inlineStr">
        <is>
          <t>CD05</t>
        </is>
      </c>
      <c r="B6" s="2" t="inlineStr">
        <is>
          <t>D06</t>
        </is>
      </c>
      <c r="C6" s="2" t="inlineStr">
        <is>
          <t>D09</t>
        </is>
      </c>
      <c r="D6" s="2" t="inlineStr">
        <is>
          <t>Compare student capability evidence with portfolio/recruiter/placement evidence.</t>
        </is>
      </c>
      <c r="E6" s="2" t="inlineStr">
        <is>
          <t>Signalling/validation review</t>
        </is>
      </c>
      <c r="F6" s="2" t="inlineStr">
        <is>
          <t>D06 owns lived capability; D09 owns external validation.</t>
        </is>
      </c>
    </row>
    <row r="7">
      <c r="A7" s="2" t="inlineStr">
        <is>
          <t>CD06</t>
        </is>
      </c>
      <c r="B7" s="2" t="inlineStr">
        <is>
          <t>D08</t>
        </is>
      </c>
      <c r="C7" s="2" t="inlineStr">
        <is>
          <t>D11</t>
        </is>
      </c>
      <c r="D7" s="2" t="inlineStr">
        <is>
          <t>Check whether intelligence reaches a decision/action pathway.</t>
        </is>
      </c>
      <c r="E7" s="2" t="inlineStr">
        <is>
          <t>Intelligence-to-action review</t>
        </is>
      </c>
      <c r="F7" s="2" t="inlineStr">
        <is>
          <t>Data availability is not resilience.</t>
        </is>
      </c>
    </row>
    <row r="8">
      <c r="A8" s="2" t="inlineStr">
        <is>
          <t>CD07</t>
        </is>
      </c>
      <c r="B8" s="2" t="inlineStr">
        <is>
          <t>D09</t>
        </is>
      </c>
      <c r="C8" s="2" t="inlineStr">
        <is>
          <t>D04</t>
        </is>
      </c>
      <c r="D8" s="2" t="inlineStr">
        <is>
          <t>Check whether material labour-market signals result in programme response where applicable.</t>
        </is>
      </c>
      <c r="E8" s="2" t="inlineStr">
        <is>
          <t>Signal-to-curriculum trace</t>
        </is>
      </c>
      <c r="F8" s="2" t="inlineStr">
        <is>
          <t>Signal is D09 input; change mechanism is D04.</t>
        </is>
      </c>
    </row>
    <row r="9">
      <c r="A9" s="2" t="inlineStr">
        <is>
          <t>CD08</t>
        </is>
      </c>
      <c r="B9" s="2" t="inlineStr">
        <is>
          <t>D10</t>
        </is>
      </c>
      <c r="C9" s="2" t="inlineStr">
        <is>
          <t>D11</t>
        </is>
      </c>
      <c r="D9" s="2" t="inlineStr">
        <is>
          <t>Check whether research/innovation learning informs institutional decisions when relevant.</t>
        </is>
      </c>
      <c r="E9" s="2" t="inlineStr">
        <is>
          <t>Learning-loop review</t>
        </is>
      </c>
      <c r="F9" s="2" t="inlineStr">
        <is>
          <t>No duplicate research/resilience score.</t>
        </is>
      </c>
    </row>
    <row r="10">
      <c r="A10" s="2" t="inlineStr">
        <is>
          <t>CD09</t>
        </is>
      </c>
      <c r="B10" s="2" t="inlineStr">
        <is>
          <t>D11</t>
        </is>
      </c>
      <c r="C10" s="2" t="inlineStr">
        <is>
          <t>D01</t>
        </is>
      </c>
      <c r="D10" s="2" t="inlineStr">
        <is>
          <t>Check whether major adaptation events feed back into strategic assumptions.</t>
        </is>
      </c>
      <c r="E10" s="2" t="inlineStr">
        <is>
          <t>Strategic learning review</t>
        </is>
      </c>
      <c r="F10" s="2" t="inlineStr">
        <is>
          <t>D11 owns adaptation; D01 owns direction.</t>
        </is>
      </c>
    </row>
    <row r="11">
      <c r="A11" s="2" t="inlineStr">
        <is>
          <t>CD10</t>
        </is>
      </c>
      <c r="B11" s="2" t="inlineStr">
        <is>
          <t>D02</t>
        </is>
      </c>
      <c r="C11" s="2" t="inlineStr">
        <is>
          <t>D08</t>
        </is>
      </c>
      <c r="D11" s="2" t="inlineStr">
        <is>
          <t>Map critical governance requirements to actual technical controls.</t>
        </is>
      </c>
      <c r="E11" s="2" t="inlineStr">
        <is>
          <t>Policy-to-implementation review</t>
        </is>
      </c>
      <c r="F11" s="2" t="inlineStr">
        <is>
          <t>Policy D02; implementation D08.</t>
        </is>
      </c>
    </row>
  </sheetData>
  <pageMargins left="0.7" right="0.7" top="0.75" bottom="0.75" header="0.3" footer="0.3"/>
</worksheet>
</file>

<file path=xl/worksheets/sheet153.xml><?xml version="1.0" encoding="utf-8"?>
<worksheet xmlns="http://schemas.openxmlformats.org/spreadsheetml/2006/main">
  <sheetPr>
    <outlinePr summaryBelow="1" summaryRight="1"/>
    <pageSetUpPr/>
  </sheetPr>
  <dimension ref="A1:B9"/>
  <sheetViews>
    <sheetView showGridLines="0" workbookViewId="0">
      <pane ySplit="1" topLeftCell="A2" activePane="bottomLeft" state="frozen"/>
      <selection pane="bottomLeft" activeCell="A1" sqref="A1"/>
    </sheetView>
  </sheetViews>
  <sheetFormatPr baseColWidth="8" defaultRowHeight="15"/>
  <cols>
    <col width="22.7109375" customWidth="1" min="1" max="1"/>
    <col width="48.7109375" customWidth="1" min="2" max="2"/>
  </cols>
  <sheetData>
    <row r="1">
      <c r="A1" s="22" t="inlineStr">
        <is>
          <t>Rule</t>
        </is>
      </c>
      <c r="B1" s="22" t="inlineStr">
        <is>
          <t>Specification</t>
        </is>
      </c>
    </row>
    <row r="2">
      <c r="A2" s="2" t="inlineStr">
        <is>
          <t>N/A</t>
        </is>
      </c>
      <c r="B2" s="2" t="inlineStr">
        <is>
          <t>Only genuine mandate/context inapplicability with documented assessor approval; missing evidence is not N/A.</t>
        </is>
      </c>
    </row>
    <row r="3">
      <c r="A3" s="2" t="inlineStr">
        <is>
          <t>Denominators</t>
        </is>
      </c>
      <c r="B3" s="2" t="inlineStr">
        <is>
          <t>Declare applicable population and exclusion rules before data collection; denominator cannot be changed after results are seen.</t>
        </is>
      </c>
    </row>
    <row r="4">
      <c r="A4" s="2" t="inlineStr">
        <is>
          <t>Context</t>
        </is>
      </c>
      <c r="B4" s="2" t="inlineStr">
        <is>
          <t>Institution type, scale, geography, discipline mix, resources, student profile, research intensity, AI exposure and trajectory calibrate proportionality/branching/evidence burden, not score target.</t>
        </is>
      </c>
    </row>
    <row r="5">
      <c r="A5" s="2" t="inlineStr">
        <is>
          <t>Small samples</t>
        </is>
      </c>
      <c r="B5" s="2" t="inlineStr">
        <is>
          <t>Use proportionate sampling but retain the same maturity standard; report uncertainty for unstable denominators.</t>
        </is>
      </c>
    </row>
    <row r="6">
      <c r="A6" s="2" t="inlineStr">
        <is>
          <t>Discipline branching</t>
        </is>
      </c>
      <c r="B6" s="2" t="inlineStr">
        <is>
          <t>Adapt examples/demonstrations to discipline/professional mandate while preserving the construct.</t>
        </is>
      </c>
    </row>
    <row r="7">
      <c r="A7" s="2" t="inlineStr">
        <is>
          <t>Evidence burden</t>
        </is>
      </c>
      <c r="B7" s="2" t="inlineStr">
        <is>
          <t>Use one genuine artifact across multiple metrics where valid, while retaining metric-specific extraction rules.</t>
        </is>
      </c>
    </row>
    <row r="8">
      <c r="A8" s="2" t="inlineStr">
        <is>
          <t>Missing data</t>
        </is>
      </c>
      <c r="B8" s="2" t="inlineStr">
        <is>
          <t>Report missing/low confidence; never silently convert missingness to zero or N/A.</t>
        </is>
      </c>
    </row>
    <row r="9">
      <c r="A9" s="2" t="inlineStr">
        <is>
          <t>Status</t>
        </is>
      </c>
      <c r="B9" s="2" t="inlineStr">
        <is>
          <t>GREEN means measurement-path completeness only; empirical validation of scoring, weights, reliability and benchmarks remains pending.</t>
        </is>
      </c>
    </row>
  </sheetData>
  <pageMargins left="0.7" right="0.7" top="0.75" bottom="0.75" header="0.3" footer="0.3"/>
</worksheet>
</file>

<file path=xl/worksheets/sheet154.xml><?xml version="1.0" encoding="utf-8"?>
<worksheet xmlns="http://schemas.openxmlformats.org/spreadsheetml/2006/main">
  <sheetPr>
    <outlinePr summaryBelow="1" summaryRight="1"/>
    <pageSetUpPr/>
  </sheetPr>
  <dimension ref="A1:D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8.7109375" customWidth="1" min="2" max="2"/>
    <col width="12.7109375" customWidth="1" min="3" max="3"/>
    <col width="48.7109375" customWidth="1" min="4" max="4"/>
  </cols>
  <sheetData>
    <row r="1">
      <c r="A1" s="22" t="inlineStr">
        <is>
          <t>Gate</t>
        </is>
      </c>
      <c r="B1" s="22" t="inlineStr">
        <is>
          <t>Requirement</t>
        </is>
      </c>
      <c r="C1" s="22" t="inlineStr">
        <is>
          <t>Status</t>
        </is>
      </c>
      <c r="D1" s="22" t="inlineStr">
        <is>
          <t>Result</t>
        </is>
      </c>
    </row>
    <row r="2">
      <c r="A2" s="2" t="inlineStr">
        <is>
          <t>R-G01</t>
        </is>
      </c>
      <c r="B2" s="2" t="inlineStr">
        <is>
          <t>143/143 metrics have explicit metric-level measurement paths</t>
        </is>
      </c>
      <c r="C2" s="2" t="inlineStr">
        <is>
          <t>PASS</t>
        </is>
      </c>
      <c r="D2" s="2" t="inlineStr">
        <is>
          <t>143 GREEN in remediation master.</t>
        </is>
      </c>
    </row>
    <row r="3">
      <c r="A3" s="2" t="inlineStr">
        <is>
          <t>R-G02</t>
        </is>
      </c>
      <c r="B3" s="2" t="inlineStr">
        <is>
          <t>23 prior RED metrics have direct remediation probes</t>
        </is>
      </c>
      <c r="C3" s="2" t="inlineStr">
        <is>
          <t>PASS</t>
        </is>
      </c>
      <c r="D3" s="2" t="inlineStr">
        <is>
          <t>23/23 covered by new probes.</t>
        </is>
      </c>
    </row>
    <row r="4">
      <c r="A4" s="2" t="inlineStr">
        <is>
          <t>R-G03</t>
        </is>
      </c>
      <c r="B4" s="2" t="inlineStr">
        <is>
          <t>79 prior AMBER metrics have explicit measurement/evidence/N/A/anti-gaming rules</t>
        </is>
      </c>
      <c r="C4" s="2" t="inlineStr">
        <is>
          <t>PASS</t>
        </is>
      </c>
      <c r="D4" s="2" t="inlineStr">
        <is>
          <t>79/79 remediated.</t>
        </is>
      </c>
    </row>
    <row r="5">
      <c r="A5" s="2" t="inlineStr">
        <is>
          <t>R-G04</t>
        </is>
      </c>
      <c r="B5" s="2" t="inlineStr">
        <is>
          <t>All metrics have evidence-confidence separation</t>
        </is>
      </c>
      <c r="C5" s="2" t="inlineStr">
        <is>
          <t>PASS</t>
        </is>
      </c>
      <c r="D5" s="2" t="inlineStr">
        <is>
          <t>143/143 mapped.</t>
        </is>
      </c>
    </row>
    <row r="6">
      <c r="A6" s="2" t="inlineStr">
        <is>
          <t>R-G05</t>
        </is>
      </c>
      <c r="B6" s="2" t="inlineStr">
        <is>
          <t>All metrics have N/A/context rules</t>
        </is>
      </c>
      <c r="C6" s="2" t="inlineStr">
        <is>
          <t>PASS</t>
        </is>
      </c>
      <c r="D6" s="2" t="inlineStr">
        <is>
          <t>143/143 mapped.</t>
        </is>
      </c>
    </row>
    <row r="7">
      <c r="A7" s="2" t="inlineStr">
        <is>
          <t>R-G06</t>
        </is>
      </c>
      <c r="B7" s="2" t="inlineStr">
        <is>
          <t>Cross-domain executable protections exist</t>
        </is>
      </c>
      <c r="C7" s="2" t="inlineStr">
        <is>
          <t>PASS</t>
        </is>
      </c>
      <c r="D7" s="2" t="inlineStr">
        <is>
          <t>10 rules + domain-level protection on all 143.</t>
        </is>
      </c>
    </row>
    <row r="8">
      <c r="A8" s="2" t="inlineStr">
        <is>
          <t>R-G07</t>
        </is>
      </c>
      <c r="B8" s="2" t="inlineStr">
        <is>
          <t>All 143 metrics GREEN in remediation layer</t>
        </is>
      </c>
      <c r="C8" s="2" t="inlineStr">
        <is>
          <t>PASS</t>
        </is>
      </c>
      <c r="D8" s="2" t="inlineStr">
        <is>
          <t>143/143 GREEN.</t>
        </is>
      </c>
    </row>
    <row r="9">
      <c r="A9" s="2" t="inlineStr">
        <is>
          <t>V-G01</t>
        </is>
      </c>
      <c r="B9" s="2" t="inlineStr">
        <is>
          <t>Scoring coefficients empirically calibrated</t>
        </is>
      </c>
      <c r="C9" s="2" t="inlineStr">
        <is>
          <t>PENDING</t>
        </is>
      </c>
      <c r="D9" s="2" t="inlineStr">
        <is>
          <t>Pilot/sensitivity testing required.</t>
        </is>
      </c>
    </row>
    <row r="10">
      <c r="A10" s="2" t="inlineStr">
        <is>
          <t>V-G02</t>
        </is>
      </c>
      <c r="B10" s="2" t="inlineStr">
        <is>
          <t>Maturity anchors inter-rater reliable</t>
        </is>
      </c>
      <c r="C10" s="2" t="inlineStr">
        <is>
          <t>PENDING</t>
        </is>
      </c>
      <c r="D10" s="2" t="inlineStr">
        <is>
          <t>Assessor calibration required.</t>
        </is>
      </c>
    </row>
    <row r="11">
      <c r="A11" s="2" t="inlineStr">
        <is>
          <t>V-G03</t>
        </is>
      </c>
      <c r="B11" s="2" t="inlineStr">
        <is>
          <t>Test-retest stability</t>
        </is>
      </c>
      <c r="C11" s="2" t="inlineStr">
        <is>
          <t>PENDING</t>
        </is>
      </c>
      <c r="D11" s="2" t="inlineStr">
        <is>
          <t>Repeated assessment required.</t>
        </is>
      </c>
    </row>
    <row r="12">
      <c r="A12" s="2" t="inlineStr">
        <is>
          <t>V-G04</t>
        </is>
      </c>
      <c r="B12" s="2" t="inlineStr">
        <is>
          <t>Known-groups/convergent validity</t>
        </is>
      </c>
      <c r="C12" s="2" t="inlineStr">
        <is>
          <t>PENDING</t>
        </is>
      </c>
      <c r="D12" s="2" t="inlineStr">
        <is>
          <t>External criterion data required.</t>
        </is>
      </c>
    </row>
    <row r="13">
      <c r="A13" s="2" t="inlineStr">
        <is>
          <t>V-G05</t>
        </is>
      </c>
      <c r="B13" s="2" t="inlineStr">
        <is>
          <t>Public benchmark/recognition</t>
        </is>
      </c>
      <c r="C13" s="2" t="inlineStr">
        <is>
          <t>BLOCKED</t>
        </is>
      </c>
      <c r="D13" s="2" t="inlineStr">
        <is>
          <t>Do not freeze public benchmark until V-G01–V-G04 pass.</t>
        </is>
      </c>
    </row>
  </sheetData>
  <pageMargins left="0.7" right="0.7" top="0.75" bottom="0.75" header="0.3" footer="0.3"/>
</worksheet>
</file>

<file path=xl/worksheets/sheet155.xml><?xml version="1.0" encoding="utf-8"?>
<worksheet xmlns="http://schemas.openxmlformats.org/spreadsheetml/2006/main">
  <sheetPr>
    <outlinePr summaryBelow="1" summaryRight="1"/>
    <pageSetUpPr/>
  </sheetPr>
  <dimension ref="A1:B14"/>
  <sheetViews>
    <sheetView showGridLines="0" workbookViewId="0">
      <pane ySplit="1" topLeftCell="A2" activePane="bottomLeft" state="frozen"/>
      <selection pane="bottomLeft" activeCell="A1" sqref="A1"/>
    </sheetView>
  </sheetViews>
  <sheetFormatPr baseColWidth="8" defaultRowHeight="15"/>
  <cols>
    <col width="30.140625" customWidth="1" min="1" max="1"/>
    <col width="60.7109375" customWidth="1" min="2" max="2"/>
  </cols>
  <sheetData>
    <row r="1">
      <c r="A1" s="23" t="inlineStr">
        <is>
          <t>P0-3 SCORING ARCHITECTURE</t>
        </is>
      </c>
      <c r="B1" s="14" t="n"/>
    </row>
    <row r="2">
      <c r="A2" s="8" t="inlineStr">
        <is>
          <t>Purpose</t>
        </is>
      </c>
      <c r="B2" s="8" t="inlineStr">
        <is>
          <t>Operational scoring model for the 143-metric AI Resilient University Index. Provisional until pilot validation.</t>
        </is>
      </c>
    </row>
    <row r="3">
      <c r="A3" s="8" t="inlineStr">
        <is>
          <t>Core principle</t>
        </is>
      </c>
      <c r="B3" s="8" t="inlineStr">
        <is>
          <t>Capability maturity is not multiplied by evidence confidence. Capability and confidence are reported separately.</t>
        </is>
      </c>
    </row>
    <row r="4">
      <c r="A4" s="8" t="inlineStr">
        <is>
          <t>Metric capability score</t>
        </is>
      </c>
      <c r="B4" s="8" t="inlineStr">
        <is>
          <t>If Outcome exists: 100 × (0.45M + 0.30I + 0.25O) / 5. If Outcome is legitimate N/A: 100 × (0.60M + 0.40I) / 5.</t>
        </is>
      </c>
    </row>
    <row r="5">
      <c r="A5" s="8" t="inlineStr">
        <is>
          <t>M</t>
        </is>
      </c>
      <c r="B5" s="8" t="inlineStr">
        <is>
          <t>Current maturity, 0–5, anchored to the domain-specific maturity anchors.</t>
        </is>
      </c>
    </row>
    <row r="6">
      <c r="A6" s="8" t="inlineStr">
        <is>
          <t>I</t>
        </is>
      </c>
      <c r="B6" s="8" t="inlineStr">
        <is>
          <t>Implementation depth, 0–5, measuring breadth, consistency, repeatability and operating penetration.</t>
        </is>
      </c>
    </row>
    <row r="7">
      <c r="A7" s="8" t="inlineStr">
        <is>
          <t>O</t>
        </is>
      </c>
      <c r="B7" s="8" t="inlineStr">
        <is>
          <t>Outcome strength, 0–5, only where a legitimate measurable outcome exists; otherwise N/A.</t>
        </is>
      </c>
    </row>
    <row r="8">
      <c r="A8" s="8" t="inlineStr">
        <is>
          <t>Confidence</t>
        </is>
      </c>
      <c r="B8" s="8" t="inlineStr">
        <is>
          <t>Separate 0–1 confidence indicator derived from evidence level, corroboration and independence. It does not mechanically reduce capability score.</t>
        </is>
      </c>
    </row>
    <row r="9">
      <c r="A9" s="8" t="inlineStr">
        <is>
          <t>Metric aggregation</t>
        </is>
      </c>
      <c r="B9" s="8" t="inlineStr">
        <is>
          <t>Mean of validated applicable metric scores within each domain, after N/A exclusion and applicability checks.</t>
        </is>
      </c>
    </row>
    <row r="10">
      <c r="A10" s="8" t="inlineStr">
        <is>
          <t>Domain aggregation</t>
        </is>
      </c>
      <c r="B10" s="8" t="inlineStr">
        <is>
          <t>Domain score × validated domain weight. Current weights are provisional.</t>
        </is>
      </c>
    </row>
    <row r="11">
      <c r="A11" s="8" t="inlineStr">
        <is>
          <t>Overall ARUI</t>
        </is>
      </c>
      <c r="B11" s="8" t="inlineStr">
        <is>
          <t>Σ(domain score × domain weight), expressed on 0–100 scale.</t>
        </is>
      </c>
    </row>
    <row r="12">
      <c r="A12" s="8" t="inlineStr">
        <is>
          <t>Required maturity</t>
        </is>
      </c>
      <c r="B12" s="8" t="inlineStr">
        <is>
          <t>R = f(mandate, AI exposure, disciplinary consequence, trajectory). Resources affect proportionality/evidence burden, not the target score.</t>
        </is>
      </c>
    </row>
    <row r="13">
      <c r="A13" s="8" t="inlineStr">
        <is>
          <t>Transformation distance</t>
        </is>
      </c>
      <c r="B13" s="8" t="inlineStr">
        <is>
          <t>T = R − M, reported at metric/domain level.</t>
        </is>
      </c>
    </row>
    <row r="14">
      <c r="A14" s="8" t="inlineStr">
        <is>
          <t>Scoring status</t>
        </is>
      </c>
      <c r="B14" s="8" t="inlineStr">
        <is>
          <t>PROVISIONAL / DIAGNOSTIC. Public benchmark, ranking, certification or recognition remains blocked until validation gates pass.</t>
        </is>
      </c>
    </row>
  </sheetData>
  <pageMargins left="0.7" right="0.7" top="0.75" bottom="0.75" header="0.3" footer="0.3"/>
</worksheet>
</file>

<file path=xl/worksheets/sheet156.xml><?xml version="1.0" encoding="utf-8"?>
<worksheet xmlns="http://schemas.openxmlformats.org/spreadsheetml/2006/main">
  <sheetPr>
    <outlinePr summaryBelow="1" summaryRight="1"/>
    <pageSetUpPr/>
  </sheetPr>
  <dimension ref="A1:O144"/>
  <sheetViews>
    <sheetView showGridLines="0" workbookViewId="0">
      <pane ySplit="1" topLeftCell="A2" activePane="bottomLeft" state="frozen"/>
      <selection pane="bottomLeft" activeCell="A1" sqref="A1"/>
    </sheetView>
  </sheetViews>
  <sheetFormatPr baseColWidth="8" defaultRowHeight="15"/>
  <cols>
    <col width="12.140625" customWidth="1" min="1" max="1"/>
    <col width="34.140625" customWidth="1" min="3" max="3"/>
    <col width="50.140625" customWidth="1" min="4" max="4"/>
    <col width="60.140625" customWidth="1" min="5" max="5"/>
    <col width="60.7109375" customWidth="1" min="6" max="6"/>
    <col width="57.140625" customWidth="1" min="7" max="7"/>
    <col width="54.140625" customWidth="1" min="8" max="8"/>
    <col width="60.7109375" customWidth="1" min="9" max="9"/>
    <col width="57.140625" customWidth="1" min="10" max="10"/>
    <col width="60.7109375" customWidth="1" min="11" max="11"/>
    <col width="60.140625" customWidth="1" min="12" max="12"/>
    <col width="60.7109375" customWidth="1" min="13" max="13"/>
    <col width="30.140625" customWidth="1" min="14" max="14"/>
    <col width="36.140625" customWidth="1" min="15" max="15"/>
  </cols>
  <sheetData>
    <row r="1">
      <c r="A1" s="23" t="inlineStr">
        <is>
          <t>Domain</t>
        </is>
      </c>
      <c r="B1" s="23" t="inlineStr">
        <is>
          <t>Metric ID</t>
        </is>
      </c>
      <c r="C1" s="23" t="inlineStr">
        <is>
          <t>Metric</t>
        </is>
      </c>
      <c r="D1" s="23" t="inlineStr">
        <is>
          <t>Primary Construct</t>
        </is>
      </c>
      <c r="E1" s="23" t="inlineStr">
        <is>
          <t>M Rule</t>
        </is>
      </c>
      <c r="F1" s="23" t="inlineStr">
        <is>
          <t>I Rule</t>
        </is>
      </c>
      <c r="G1" s="23" t="inlineStr">
        <is>
          <t>O Rule</t>
        </is>
      </c>
      <c r="H1" s="23" t="inlineStr">
        <is>
          <t>N/A Rule</t>
        </is>
      </c>
      <c r="I1" s="23" t="inlineStr">
        <is>
          <t>Evidence Gate</t>
        </is>
      </c>
      <c r="J1" s="23" t="inlineStr">
        <is>
          <t>Confidence Rule</t>
        </is>
      </c>
      <c r="K1" s="23" t="inlineStr">
        <is>
          <t>Anti-Gaming</t>
        </is>
      </c>
      <c r="L1" s="23" t="inlineStr">
        <is>
          <t>Cross-Domain Protection</t>
        </is>
      </c>
      <c r="M1" s="23" t="inlineStr">
        <is>
          <t>Metric Formula</t>
        </is>
      </c>
      <c r="N1" s="23" t="inlineStr">
        <is>
          <t>Owner</t>
        </is>
      </c>
      <c r="O1" s="23" t="inlineStr">
        <is>
          <t>Validation Status</t>
        </is>
      </c>
    </row>
    <row r="2">
      <c r="A2" s="8" t="inlineStr">
        <is>
          <t>D01</t>
        </is>
      </c>
      <c r="B2" s="8" t="inlineStr">
        <is>
          <t>I01</t>
        </is>
      </c>
      <c r="C2" s="8" t="inlineStr">
        <is>
          <t>Strategic AI Integration</t>
        </is>
      </c>
      <c r="D2" s="8" t="inlineStr">
        <is>
          <t>Actual AI/future influence on institutional decisions</t>
        </is>
      </c>
      <c r="E2" s="8" t="inlineStr">
        <is>
          <t>Anchor 0–5 from domain-specific maturity anchor using direct sampled practice/work evidence; do not infer maturity from policy statements alone.</t>
        </is>
      </c>
      <c r="F2" s="8" t="inlineStr">
        <is>
          <t>0–5: 0 absent; 1 isolated/person-dependent; 2 repeatable in limited areas; 3 institutionally structured; 4 broad/cross-functional and consistently operating; 5 continuously improved/scaled.</t>
        </is>
      </c>
      <c r="G2" s="8" t="inlineStr">
        <is>
          <t>Use outcome only when a legitimate measurable result exists; otherwise N/A.</t>
        </is>
      </c>
      <c r="H2" s="8" t="inlineStr">
        <is>
          <t>Only genuine mandate/context inapplicability with documented assessor approval; missing evidence is never N/A.</t>
        </is>
      </c>
      <c r="I2" s="8" t="inlineStr">
        <is>
          <t>D01</t>
        </is>
      </c>
      <c r="J2" s="8" t="inlineStr">
        <is>
          <t>E0=0.20; E1=0.40; E2=0.65; E3=0.85; E4=1.00, subject to corroboration/independence adjustment. Report separately.</t>
        </is>
      </c>
      <c r="K2" s="8" t="inlineStr">
        <is>
          <t>No score uplift from claims alone; lock denominator/exclusions before results; sample verification; cross-check with adjacent domains; high scores require corroboration.</t>
        </is>
      </c>
      <c r="L2" s="8" t="inlineStr">
        <is>
          <t>Use primary-owner rule; shared evidence may validate multiple metrics but the same activity cannot be scored twice across domains.</t>
        </is>
      </c>
      <c r="M2" s="8" t="inlineStr">
        <is>
          <t>100*((0.45*M)+(0.30*I)+(0.25*O))/5 when O exists; otherwise 100*((0.60*M)+(0.40*I))/5.</t>
        </is>
      </c>
      <c r="N2" s="8" t="inlineStr">
        <is>
          <t>D01 methodology/data owner</t>
        </is>
      </c>
      <c r="O2" s="8" t="inlineStr">
        <is>
          <t>PROVISIONAL—pilot validation required</t>
        </is>
      </c>
    </row>
    <row r="3">
      <c r="A3" s="8" t="inlineStr">
        <is>
          <t>D01</t>
        </is>
      </c>
      <c r="B3" s="8" t="inlineStr">
        <is>
          <t>I02</t>
        </is>
      </c>
      <c r="C3" s="8" t="inlineStr">
        <is>
          <t>Future Foresight Maturity</t>
        </is>
      </c>
      <c r="D3" s="8" t="inlineStr">
        <is>
          <t>Ability to test assumptions and detect change early</t>
        </is>
      </c>
      <c r="E3" s="8" t="inlineStr">
        <is>
          <t>Anchor 0–5 from domain-specific maturity anchor using direct sampled practice/work evidence; do not infer maturity from policy statements alone.</t>
        </is>
      </c>
      <c r="F3" s="8" t="inlineStr">
        <is>
          <t>0–5: 0 absent; 1 isolated/person-dependent; 2 repeatable in limited areas; 3 institutionally structured; 4 broad/cross-functional and consistently operating; 5 continuously improved/scaled.</t>
        </is>
      </c>
      <c r="G3" s="8" t="inlineStr">
        <is>
          <t>Use outcome only when a legitimate measurable result exists; otherwise N/A.</t>
        </is>
      </c>
      <c r="H3" s="8" t="inlineStr">
        <is>
          <t>Only genuine mandate/context inapplicability with documented assessor approval; missing evidence is never N/A.</t>
        </is>
      </c>
      <c r="I3" s="8" t="inlineStr">
        <is>
          <t>D01; D01</t>
        </is>
      </c>
      <c r="J3" s="8" t="inlineStr">
        <is>
          <t>E0=0.20; E1=0.40; E2=0.65; E3=0.85; E4=1.00, subject to corroboration/independence adjustment. Report separately.</t>
        </is>
      </c>
      <c r="K3" s="8" t="inlineStr">
        <is>
          <t>No score uplift from claims alone; lock denominator/exclusions before results; sample verification; cross-check with adjacent domains; high scores require corroboration.</t>
        </is>
      </c>
      <c r="L3" s="8" t="inlineStr">
        <is>
          <t>Use primary-owner rule; shared evidence may validate multiple metrics but the same activity cannot be scored twice across domains.</t>
        </is>
      </c>
      <c r="M3" s="8" t="inlineStr">
        <is>
          <t>100*((0.45*M)+(0.30*I)+(0.25*O))/5 when O exists; otherwise 100*((0.60*M)+(0.40*I))/5.</t>
        </is>
      </c>
      <c r="N3" s="8" t="inlineStr">
        <is>
          <t>D01 methodology/data owner</t>
        </is>
      </c>
      <c r="O3" s="8" t="inlineStr">
        <is>
          <t>PROVISIONAL—pilot validation required</t>
        </is>
      </c>
    </row>
    <row r="4">
      <c r="A4" s="8" t="inlineStr">
        <is>
          <t>D01</t>
        </is>
      </c>
      <c r="B4" s="8" t="inlineStr">
        <is>
          <t>I03</t>
        </is>
      </c>
      <c r="C4" s="8" t="inlineStr">
        <is>
          <t>Strategic Translation Rate</t>
        </is>
      </c>
      <c r="D4" s="8" t="inlineStr">
        <is>
          <t>Identified issues translated into actual decisions</t>
        </is>
      </c>
      <c r="E4" s="8" t="inlineStr">
        <is>
          <t>Anchor 0–5 from domain-specific maturity anchor using direct sampled practice/work evidence; do not infer maturity from policy statements alone.</t>
        </is>
      </c>
      <c r="F4" s="8" t="inlineStr">
        <is>
          <t>0–5: 0 absent; 1 isolated/person-dependent; 2 repeatable in limited areas; 3 institutionally structured; 4 broad/cross-functional and consistently operating; 5 continuously improved/scaled.</t>
        </is>
      </c>
      <c r="G4" s="8" t="inlineStr">
        <is>
          <t>Use outcome only when a legitimate measurable result exists; otherwise N/A.</t>
        </is>
      </c>
      <c r="H4" s="8" t="inlineStr">
        <is>
          <t>Only genuine mandate/context inapplicability with documented assessor approval; missing evidence is never N/A.</t>
        </is>
      </c>
      <c r="I4" s="8" t="inlineStr">
        <is>
          <t>D01</t>
        </is>
      </c>
      <c r="J4" s="8" t="inlineStr">
        <is>
          <t>E0=0.20; E1=0.40; E2=0.65; E3=0.85; E4=1.00, subject to corroboration/independence adjustment. Report separately.</t>
        </is>
      </c>
      <c r="K4" s="8" t="inlineStr">
        <is>
          <t>No score uplift from claims alone; lock denominator/exclusions before results; sample verification; cross-check with adjacent domains; high scores require corroboration.</t>
        </is>
      </c>
      <c r="L4" s="8" t="inlineStr">
        <is>
          <t>Use primary-owner rule; shared evidence may validate multiple metrics but the same activity cannot be scored twice across domains.</t>
        </is>
      </c>
      <c r="M4" s="8" t="inlineStr">
        <is>
          <t>100*((0.45*M)+(0.30*I)+(0.25*O))/5 when O exists; otherwise 100*((0.60*M)+(0.40*I))/5.</t>
        </is>
      </c>
      <c r="N4" s="8" t="inlineStr">
        <is>
          <t>D01 methodology/data owner</t>
        </is>
      </c>
      <c r="O4" s="8" t="inlineStr">
        <is>
          <t>PROVISIONAL—pilot validation required</t>
        </is>
      </c>
    </row>
    <row r="5">
      <c r="A5" s="8" t="inlineStr">
        <is>
          <t>D01</t>
        </is>
      </c>
      <c r="B5" s="8" t="inlineStr">
        <is>
          <t>I04</t>
        </is>
      </c>
      <c r="C5" s="8" t="inlineStr">
        <is>
          <t>Programme Future-Review Coverage</t>
        </is>
      </c>
      <c r="D5" s="8" t="inlineStr">
        <is>
          <t>Programme reviews considering AI/future-of-work</t>
        </is>
      </c>
      <c r="E5" s="8" t="inlineStr">
        <is>
          <t>Anchor 0–5 from domain-specific maturity anchor using direct sampled practice/work evidence; do not infer maturity from policy statements alone.</t>
        </is>
      </c>
      <c r="F5" s="8" t="inlineStr">
        <is>
          <t>0–5: 0 absent; 1 isolated/person-dependent; 2 repeatable in limited areas; 3 institutionally structured; 4 broad/cross-functional and consistently operating; 5 continuously improved/scaled.</t>
        </is>
      </c>
      <c r="G5" s="8" t="inlineStr">
        <is>
          <t>Use outcome only when a legitimate measurable result exists; otherwise N/A.</t>
        </is>
      </c>
      <c r="H5" s="8" t="inlineStr">
        <is>
          <t>Only genuine mandate/context inapplicability with documented assessor approval; missing evidence is never N/A.</t>
        </is>
      </c>
      <c r="I5" s="8" t="inlineStr">
        <is>
          <t>D01</t>
        </is>
      </c>
      <c r="J5" s="8" t="inlineStr">
        <is>
          <t>E0=0.20; E1=0.40; E2=0.65; E3=0.85; E4=1.00, subject to corroboration/independence adjustment. Report separately.</t>
        </is>
      </c>
      <c r="K5" s="8" t="inlineStr">
        <is>
          <t>No score uplift from claims alone; lock denominator/exclusions before results; sample verification; cross-check with adjacent domains; high scores require corroboration.</t>
        </is>
      </c>
      <c r="L5" s="8" t="inlineStr">
        <is>
          <t>Use primary-owner rule; shared evidence may validate multiple metrics but the same activity cannot be scored twice across domains.</t>
        </is>
      </c>
      <c r="M5" s="8" t="inlineStr">
        <is>
          <t>100*((0.45*M)+(0.30*I)+(0.25*O))/5 when O exists; otherwise 100*((0.60*M)+(0.40*I))/5.</t>
        </is>
      </c>
      <c r="N5" s="8" t="inlineStr">
        <is>
          <t>D01 methodology/data owner</t>
        </is>
      </c>
      <c r="O5" s="8" t="inlineStr">
        <is>
          <t>PROVISIONAL—pilot validation required</t>
        </is>
      </c>
    </row>
    <row r="6">
      <c r="A6" s="8" t="inlineStr">
        <is>
          <t>D01</t>
        </is>
      </c>
      <c r="B6" s="8" t="inlineStr">
        <is>
          <t>I05</t>
        </is>
      </c>
      <c r="C6" s="8" t="inlineStr">
        <is>
          <t>Strategic Differentiation Clarity</t>
        </is>
      </c>
      <c r="D6" s="8" t="inlineStr">
        <is>
          <t>Evidence-backed future value proposition</t>
        </is>
      </c>
      <c r="E6" s="8" t="inlineStr">
        <is>
          <t>Anchor 0–5 from domain-specific maturity anchor using direct sampled practice/work evidence; do not infer maturity from policy statements alone.</t>
        </is>
      </c>
      <c r="F6" s="8" t="inlineStr">
        <is>
          <t>0–5: 0 absent; 1 isolated/person-dependent; 2 repeatable in limited areas; 3 institutionally structured; 4 broad/cross-functional and consistently operating; 5 continuously improved/scaled.</t>
        </is>
      </c>
      <c r="G6" s="8" t="inlineStr">
        <is>
          <t>Use outcome only when a legitimate measurable result exists; otherwise N/A.</t>
        </is>
      </c>
      <c r="H6" s="8" t="inlineStr">
        <is>
          <t>Only genuine mandate/context inapplicability with documented assessor approval; missing evidence is never N/A.</t>
        </is>
      </c>
      <c r="I6" s="8" t="inlineStr">
        <is>
          <t>—</t>
        </is>
      </c>
      <c r="J6" s="8" t="inlineStr">
        <is>
          <t>E0=0.20; E1=0.40; E2=0.65; E3=0.85; E4=1.00, subject to corroboration/independence adjustment. Report separately.</t>
        </is>
      </c>
      <c r="K6" s="8" t="inlineStr">
        <is>
          <t>No score uplift from claims alone; lock denominator/exclusions before results; sample verification; cross-check with adjacent domains; high scores require corroboration.</t>
        </is>
      </c>
      <c r="L6" s="8" t="inlineStr">
        <is>
          <t>Use primary-owner rule; shared evidence may validate multiple metrics but the same activity cannot be scored twice across domains.</t>
        </is>
      </c>
      <c r="M6" s="8" t="inlineStr">
        <is>
          <t>100*((0.45*M)+(0.30*I)+(0.25*O))/5 when O exists; otherwise 100*((0.60*M)+(0.40*I))/5.</t>
        </is>
      </c>
      <c r="N6" s="8" t="inlineStr">
        <is>
          <t>D01 methodology/data owner</t>
        </is>
      </c>
      <c r="O6" s="8" t="inlineStr">
        <is>
          <t>PROVISIONAL—pilot validation required</t>
        </is>
      </c>
    </row>
    <row r="7">
      <c r="A7" s="8" t="inlineStr">
        <is>
          <t>D01</t>
        </is>
      </c>
      <c r="B7" s="8" t="inlineStr">
        <is>
          <t>I06</t>
        </is>
      </c>
      <c r="C7" s="8" t="inlineStr">
        <is>
          <t>Foresight Response Architecture</t>
        </is>
      </c>
      <c r="D7" s="8" t="inlineStr">
        <is>
          <t>Detect→interpret→decide→act→learn mechanism</t>
        </is>
      </c>
      <c r="E7" s="8" t="inlineStr">
        <is>
          <t>Anchor 0–5 from domain-specific maturity anchor using direct sampled practice/work evidence; do not infer maturity from policy statements alone.</t>
        </is>
      </c>
      <c r="F7" s="8" t="inlineStr">
        <is>
          <t>0–5: 0 absent; 1 isolated/person-dependent; 2 repeatable in limited areas; 3 institutionally structured; 4 broad/cross-functional and consistently operating; 5 continuously improved/scaled.</t>
        </is>
      </c>
      <c r="G7" s="8" t="inlineStr">
        <is>
          <t>Use outcome only when a legitimate measurable result exists; otherwise N/A.</t>
        </is>
      </c>
      <c r="H7" s="8" t="inlineStr">
        <is>
          <t>Only genuine mandate/context inapplicability with documented assessor approval; missing evidence is never N/A.</t>
        </is>
      </c>
      <c r="I7" s="8" t="inlineStr">
        <is>
          <t>D01</t>
        </is>
      </c>
      <c r="J7" s="8" t="inlineStr">
        <is>
          <t>E0=0.20; E1=0.40; E2=0.65; E3=0.85; E4=1.00, subject to corroboration/independence adjustment. Report separately.</t>
        </is>
      </c>
      <c r="K7" s="8" t="inlineStr">
        <is>
          <t>No score uplift from claims alone; lock denominator/exclusions before results; sample verification; cross-check with adjacent domains; high scores require corroboration.</t>
        </is>
      </c>
      <c r="L7" s="8" t="inlineStr">
        <is>
          <t>Use primary-owner rule; shared evidence may validate multiple metrics but the same activity cannot be scored twice across domains.</t>
        </is>
      </c>
      <c r="M7" s="8" t="inlineStr">
        <is>
          <t>100*((0.45*M)+(0.30*I)+(0.25*O))/5 when O exists; otherwise 100*((0.60*M)+(0.40*I))/5.</t>
        </is>
      </c>
      <c r="N7" s="8" t="inlineStr">
        <is>
          <t>D01 methodology/data owner</t>
        </is>
      </c>
      <c r="O7" s="8" t="inlineStr">
        <is>
          <t>PROVISIONAL—pilot validation required</t>
        </is>
      </c>
    </row>
    <row r="8">
      <c r="A8" s="8" t="inlineStr">
        <is>
          <t>D01</t>
        </is>
      </c>
      <c r="B8" s="8" t="inlineStr">
        <is>
          <t>I07</t>
        </is>
      </c>
      <c r="C8" s="8" t="inlineStr">
        <is>
          <t>Resource Alignment</t>
        </is>
      </c>
      <c r="D8" s="8" t="inlineStr">
        <is>
          <t>Strategic priority vs resource movement</t>
        </is>
      </c>
      <c r="E8" s="8" t="inlineStr">
        <is>
          <t>Anchor 0–5 from domain-specific maturity anchor using direct sampled practice/work evidence; do not infer maturity from policy statements alone.</t>
        </is>
      </c>
      <c r="F8" s="8" t="inlineStr">
        <is>
          <t>0–5: 0 absent; 1 isolated/person-dependent; 2 repeatable in limited areas; 3 institutionally structured; 4 broad/cross-functional and consistently operating; 5 continuously improved/scaled.</t>
        </is>
      </c>
      <c r="G8" s="8" t="inlineStr">
        <is>
          <t>Use outcome only when a legitimate measurable result exists; otherwise N/A.</t>
        </is>
      </c>
      <c r="H8" s="8" t="inlineStr">
        <is>
          <t>Only genuine mandate/context inapplicability with documented assessor approval; missing evidence is never N/A.</t>
        </is>
      </c>
      <c r="I8" s="8" t="inlineStr">
        <is>
          <t>—</t>
        </is>
      </c>
      <c r="J8" s="8" t="inlineStr">
        <is>
          <t>E0=0.20; E1=0.40; E2=0.65; E3=0.85; E4=1.00, subject to corroboration/independence adjustment. Report separately.</t>
        </is>
      </c>
      <c r="K8" s="8" t="inlineStr">
        <is>
          <t>No score uplift from claims alone; lock denominator/exclusions before results; sample verification; cross-check with adjacent domains; high scores require corroboration.</t>
        </is>
      </c>
      <c r="L8" s="8" t="inlineStr">
        <is>
          <t>Use primary-owner rule; shared evidence may validate multiple metrics but the same activity cannot be scored twice across domains.</t>
        </is>
      </c>
      <c r="M8" s="8" t="inlineStr">
        <is>
          <t>100*((0.45*M)+(0.30*I)+(0.25*O))/5 when O exists; otherwise 100*((0.60*M)+(0.40*I))/5.</t>
        </is>
      </c>
      <c r="N8" s="8" t="inlineStr">
        <is>
          <t>D01 methodology/data owner</t>
        </is>
      </c>
      <c r="O8" s="8" t="inlineStr">
        <is>
          <t>PROVISIONAL—pilot validation required</t>
        </is>
      </c>
    </row>
    <row r="9">
      <c r="A9" s="8" t="inlineStr">
        <is>
          <t>D01</t>
        </is>
      </c>
      <c r="B9" s="8" t="inlineStr">
        <is>
          <t>I08</t>
        </is>
      </c>
      <c r="C9" s="8" t="inlineStr">
        <is>
          <t>Leadership Alignment</t>
        </is>
      </c>
      <c r="D9" s="8" t="inlineStr">
        <is>
          <t>Cross-functional strategic ownership</t>
        </is>
      </c>
      <c r="E9" s="8" t="inlineStr">
        <is>
          <t>Anchor 0–5 from domain-specific maturity anchor using direct sampled practice/work evidence; do not infer maturity from policy statements alone.</t>
        </is>
      </c>
      <c r="F9" s="8" t="inlineStr">
        <is>
          <t>0–5: 0 absent; 1 isolated/person-dependent; 2 repeatable in limited areas; 3 institutionally structured; 4 broad/cross-functional and consistently operating; 5 continuously improved/scaled.</t>
        </is>
      </c>
      <c r="G9" s="8" t="inlineStr">
        <is>
          <t>Use outcome only when a legitimate measurable result exists; otherwise N/A.</t>
        </is>
      </c>
      <c r="H9" s="8" t="inlineStr">
        <is>
          <t>Only genuine mandate/context inapplicability with documented assessor approval; missing evidence is never N/A.</t>
        </is>
      </c>
      <c r="I9" s="8" t="inlineStr">
        <is>
          <t>—</t>
        </is>
      </c>
      <c r="J9" s="8" t="inlineStr">
        <is>
          <t>E0=0.20; E1=0.40; E2=0.65; E3=0.85; E4=1.00, subject to corroboration/independence adjustment. Report separately.</t>
        </is>
      </c>
      <c r="K9" s="8" t="inlineStr">
        <is>
          <t>No score uplift from claims alone; lock denominator/exclusions before results; sample verification; cross-check with adjacent domains; high scores require corroboration.</t>
        </is>
      </c>
      <c r="L9" s="8" t="inlineStr">
        <is>
          <t>Use primary-owner rule; shared evidence may validate multiple metrics but the same activity cannot be scored twice across domains.</t>
        </is>
      </c>
      <c r="M9" s="8" t="inlineStr">
        <is>
          <t>100*((0.45*M)+(0.30*I)+(0.25*O))/5 when O exists; otherwise 100*((0.60*M)+(0.40*I))/5.</t>
        </is>
      </c>
      <c r="N9" s="8" t="inlineStr">
        <is>
          <t>D01 methodology/data owner</t>
        </is>
      </c>
      <c r="O9" s="8" t="inlineStr">
        <is>
          <t>PROVISIONAL—pilot validation required</t>
        </is>
      </c>
    </row>
    <row r="10">
      <c r="A10" s="8" t="inlineStr">
        <is>
          <t>D01</t>
        </is>
      </c>
      <c r="B10" s="8" t="inlineStr">
        <is>
          <t>I09</t>
        </is>
      </c>
      <c r="C10" s="8" t="inlineStr">
        <is>
          <t>Experimentation Effectiveness</t>
        </is>
      </c>
      <c r="D10" s="8" t="inlineStr">
        <is>
          <t>Pilot evaluation, scaling/stopping and learning</t>
        </is>
      </c>
      <c r="E10" s="8" t="inlineStr">
        <is>
          <t>Anchor 0–5 from domain-specific maturity anchor using direct sampled practice/work evidence; do not infer maturity from policy statements alone.</t>
        </is>
      </c>
      <c r="F10" s="8" t="inlineStr">
        <is>
          <t>0–5: 0 absent; 1 isolated/person-dependent; 2 repeatable in limited areas; 3 institutionally structured; 4 broad/cross-functional and consistently operating; 5 continuously improved/scaled.</t>
        </is>
      </c>
      <c r="G10" s="8" t="inlineStr">
        <is>
          <t>Use outcome only when a legitimate measurable result exists; otherwise N/A.</t>
        </is>
      </c>
      <c r="H10" s="8" t="inlineStr">
        <is>
          <t>Only genuine mandate/context inapplicability with documented assessor approval; missing evidence is never N/A.</t>
        </is>
      </c>
      <c r="I10" s="8" t="inlineStr">
        <is>
          <t>D01</t>
        </is>
      </c>
      <c r="J10" s="8" t="inlineStr">
        <is>
          <t>E0=0.20; E1=0.40; E2=0.65; E3=0.85; E4=1.00, subject to corroboration/independence adjustment. Report separately.</t>
        </is>
      </c>
      <c r="K10" s="8" t="inlineStr">
        <is>
          <t>No score uplift from claims alone; lock denominator/exclusions before results; sample verification; cross-check with adjacent domains; high scores require corroboration.</t>
        </is>
      </c>
      <c r="L10" s="8" t="inlineStr">
        <is>
          <t>Use primary-owner rule; shared evidence may validate multiple metrics but the same activity cannot be scored twice across domains.</t>
        </is>
      </c>
      <c r="M10" s="8" t="inlineStr">
        <is>
          <t>100*((0.45*M)+(0.30*I)+(0.25*O))/5 when O exists; otherwise 100*((0.60*M)+(0.40*I))/5.</t>
        </is>
      </c>
      <c r="N10" s="8" t="inlineStr">
        <is>
          <t>D01 methodology/data owner</t>
        </is>
      </c>
      <c r="O10" s="8" t="inlineStr">
        <is>
          <t>PROVISIONAL—pilot validation required</t>
        </is>
      </c>
    </row>
    <row r="11">
      <c r="A11" s="8" t="inlineStr">
        <is>
          <t>D01</t>
        </is>
      </c>
      <c r="B11" s="8" t="inlineStr">
        <is>
          <t>I10</t>
        </is>
      </c>
      <c r="C11" s="8" t="inlineStr">
        <is>
          <t>Strategic Learning Rate</t>
        </is>
      </c>
      <c r="D11" s="8" t="inlineStr">
        <is>
          <t>Strategy changes after evidence/review</t>
        </is>
      </c>
      <c r="E11" s="8" t="inlineStr">
        <is>
          <t>Anchor 0–5 from domain-specific maturity anchor using direct sampled practice/work evidence; do not infer maturity from policy statements alone.</t>
        </is>
      </c>
      <c r="F11" s="8" t="inlineStr">
        <is>
          <t>0–5: 0 absent; 1 isolated/person-dependent; 2 repeatable in limited areas; 3 institutionally structured; 4 broad/cross-functional and consistently operating; 5 continuously improved/scaled.</t>
        </is>
      </c>
      <c r="G11" s="8" t="inlineStr">
        <is>
          <t>Use outcome only when a legitimate measurable result exists; otherwise N/A.</t>
        </is>
      </c>
      <c r="H11" s="8" t="inlineStr">
        <is>
          <t>Only genuine mandate/context inapplicability with documented assessor approval; missing evidence is never N/A.</t>
        </is>
      </c>
      <c r="I11" s="8" t="inlineStr">
        <is>
          <t>—</t>
        </is>
      </c>
      <c r="J11" s="8" t="inlineStr">
        <is>
          <t>E0=0.20; E1=0.40; E2=0.65; E3=0.85; E4=1.00, subject to corroboration/independence adjustment. Report separately.</t>
        </is>
      </c>
      <c r="K11" s="8" t="inlineStr">
        <is>
          <t>No score uplift from claims alone; lock denominator/exclusions before results; sample verification; cross-check with adjacent domains; high scores require corroboration.</t>
        </is>
      </c>
      <c r="L11" s="8" t="inlineStr">
        <is>
          <t>Use primary-owner rule; shared evidence may validate multiple metrics but the same activity cannot be scored twice across domains.</t>
        </is>
      </c>
      <c r="M11" s="8" t="inlineStr">
        <is>
          <t>100*((0.45*M)+(0.30*I)+(0.25*O))/5 when O exists; otherwise 100*((0.60*M)+(0.40*I))/5.</t>
        </is>
      </c>
      <c r="N11" s="8" t="inlineStr">
        <is>
          <t>D01 methodology/data owner</t>
        </is>
      </c>
      <c r="O11" s="8" t="inlineStr">
        <is>
          <t>PROVISIONAL—pilot validation required</t>
        </is>
      </c>
    </row>
    <row r="12">
      <c r="A12" s="8" t="inlineStr">
        <is>
          <t>D02</t>
        </is>
      </c>
      <c r="B12" s="8" t="inlineStr">
        <is>
          <t>I01</t>
        </is>
      </c>
      <c r="C12" s="8" t="inlineStr">
        <is>
          <t>Governance Ownership</t>
        </is>
      </c>
      <c r="D12" s="8" t="inlineStr">
        <is>
          <t>Decision rights for consequential AI</t>
        </is>
      </c>
      <c r="E12" s="8" t="inlineStr">
        <is>
          <t>Anchor 0–5 from domain-specific maturity anchor using direct sampled practice/work evidence; do not infer maturity from policy statements alone.</t>
        </is>
      </c>
      <c r="F12" s="8" t="inlineStr">
        <is>
          <t>0–5: 0 absent; 1 isolated/person-dependent; 2 repeatable in limited areas; 3 institutionally structured; 4 broad/cross-functional and consistently operating; 5 continuously improved/scaled.</t>
        </is>
      </c>
      <c r="G12" s="8" t="inlineStr">
        <is>
          <t>Use outcome only when a legitimate measurable result exists; otherwise N/A.</t>
        </is>
      </c>
      <c r="H12" s="8" t="inlineStr">
        <is>
          <t>Only genuine mandate/context inapplicability with documented assessor approval; missing evidence is never N/A.</t>
        </is>
      </c>
      <c r="I12" s="8" t="inlineStr">
        <is>
          <t>D02</t>
        </is>
      </c>
      <c r="J12" s="8" t="inlineStr">
        <is>
          <t>E0=0.20; E1=0.40; E2=0.65; E3=0.85; E4=1.00, subject to corroboration/independence adjustment. Report separately.</t>
        </is>
      </c>
      <c r="K12" s="8" t="inlineStr">
        <is>
          <t>No score uplift from claims alone; lock denominator/exclusions before results; sample verification; cross-check with adjacent domains; high scores require corroboration.</t>
        </is>
      </c>
      <c r="L12" s="8" t="inlineStr">
        <is>
          <t>Use primary-owner rule; shared evidence may validate multiple metrics but the same activity cannot be scored twice across domains.</t>
        </is>
      </c>
      <c r="M12" s="8" t="inlineStr">
        <is>
          <t>100*((0.45*M)+(0.30*I)+(0.25*O))/5 when O exists; otherwise 100*((0.60*M)+(0.40*I))/5.</t>
        </is>
      </c>
      <c r="N12" s="8" t="inlineStr">
        <is>
          <t>D02 methodology/data owner</t>
        </is>
      </c>
      <c r="O12" s="8" t="inlineStr">
        <is>
          <t>PROVISIONAL—pilot validation required</t>
        </is>
      </c>
    </row>
    <row r="13">
      <c r="A13" s="8" t="inlineStr">
        <is>
          <t>D02</t>
        </is>
      </c>
      <c r="B13" s="8" t="inlineStr">
        <is>
          <t>I02</t>
        </is>
      </c>
      <c r="C13" s="8" t="inlineStr">
        <is>
          <t>Decision Architecture</t>
        </is>
      </c>
      <c r="D13" s="8" t="inlineStr">
        <is>
          <t>Approval/review/escalation workflow</t>
        </is>
      </c>
      <c r="E13" s="8" t="inlineStr">
        <is>
          <t>Anchor 0–5 from domain-specific maturity anchor using direct sampled practice/work evidence; do not infer maturity from policy statements alone.</t>
        </is>
      </c>
      <c r="F13" s="8" t="inlineStr">
        <is>
          <t>0–5: 0 absent; 1 isolated/person-dependent; 2 repeatable in limited areas; 3 institutionally structured; 4 broad/cross-functional and consistently operating; 5 continuously improved/scaled.</t>
        </is>
      </c>
      <c r="G13" s="8" t="inlineStr">
        <is>
          <t>Use outcome only when a legitimate measurable result exists; otherwise N/A.</t>
        </is>
      </c>
      <c r="H13" s="8" t="inlineStr">
        <is>
          <t>Only genuine mandate/context inapplicability with documented assessor approval; missing evidence is never N/A.</t>
        </is>
      </c>
      <c r="I13" s="8" t="inlineStr">
        <is>
          <t>D02</t>
        </is>
      </c>
      <c r="J13" s="8" t="inlineStr">
        <is>
          <t>E0=0.20; E1=0.40; E2=0.65; E3=0.85; E4=1.00, subject to corroboration/independence adjustment. Report separately.</t>
        </is>
      </c>
      <c r="K13" s="8" t="inlineStr">
        <is>
          <t>No score uplift from claims alone; lock denominator/exclusions before results; sample verification; cross-check with adjacent domains; high scores require corroboration.</t>
        </is>
      </c>
      <c r="L13" s="8" t="inlineStr">
        <is>
          <t>Use primary-owner rule; shared evidence may validate multiple metrics but the same activity cannot be scored twice across domains.</t>
        </is>
      </c>
      <c r="M13" s="8" t="inlineStr">
        <is>
          <t>100*((0.45*M)+(0.30*I)+(0.25*O))/5 when O exists; otherwise 100*((0.60*M)+(0.40*I))/5.</t>
        </is>
      </c>
      <c r="N13" s="8" t="inlineStr">
        <is>
          <t>D02 methodology/data owner</t>
        </is>
      </c>
      <c r="O13" s="8" t="inlineStr">
        <is>
          <t>PROVISIONAL—pilot validation required</t>
        </is>
      </c>
    </row>
    <row r="14">
      <c r="A14" s="8" t="inlineStr">
        <is>
          <t>D02</t>
        </is>
      </c>
      <c r="B14" s="8" t="inlineStr">
        <is>
          <t>I03</t>
        </is>
      </c>
      <c r="C14" s="8" t="inlineStr">
        <is>
          <t>Responsible AI Maturity</t>
        </is>
      </c>
      <c r="D14" s="8" t="inlineStr">
        <is>
          <t>Operational ethics, fairness, transparency, accountability</t>
        </is>
      </c>
      <c r="E14" s="8" t="inlineStr">
        <is>
          <t>Anchor 0–5 from domain-specific maturity anchor using direct sampled practice/work evidence; do not infer maturity from policy statements alone.</t>
        </is>
      </c>
      <c r="F14" s="8" t="inlineStr">
        <is>
          <t>0–5: 0 absent; 1 isolated/person-dependent; 2 repeatable in limited areas; 3 institutionally structured; 4 broad/cross-functional and consistently operating; 5 continuously improved/scaled.</t>
        </is>
      </c>
      <c r="G14" s="8" t="inlineStr">
        <is>
          <t>Use outcome only when a legitimate measurable result exists; otherwise N/A.</t>
        </is>
      </c>
      <c r="H14" s="8" t="inlineStr">
        <is>
          <t>Only genuine mandate/context inapplicability with documented assessor approval; missing evidence is never N/A.</t>
        </is>
      </c>
      <c r="I14" s="8" t="inlineStr">
        <is>
          <t>D02</t>
        </is>
      </c>
      <c r="J14" s="8" t="inlineStr">
        <is>
          <t>E0=0.20; E1=0.40; E2=0.65; E3=0.85; E4=1.00, subject to corroboration/independence adjustment. Report separately.</t>
        </is>
      </c>
      <c r="K14" s="8" t="inlineStr">
        <is>
          <t>No score uplift from claims alone; lock denominator/exclusions before results; sample verification; cross-check with adjacent domains; high scores require corroboration.</t>
        </is>
      </c>
      <c r="L14" s="8" t="inlineStr">
        <is>
          <t>Use primary-owner rule; shared evidence may validate multiple metrics but the same activity cannot be scored twice across domains.</t>
        </is>
      </c>
      <c r="M14" s="8" t="inlineStr">
        <is>
          <t>100*((0.45*M)+(0.30*I)+(0.25*O))/5 when O exists; otherwise 100*((0.60*M)+(0.40*I))/5.</t>
        </is>
      </c>
      <c r="N14" s="8" t="inlineStr">
        <is>
          <t>D02 methodology/data owner</t>
        </is>
      </c>
      <c r="O14" s="8" t="inlineStr">
        <is>
          <t>PROVISIONAL—pilot validation required</t>
        </is>
      </c>
    </row>
    <row r="15">
      <c r="A15" s="8" t="inlineStr">
        <is>
          <t>D02</t>
        </is>
      </c>
      <c r="B15" s="8" t="inlineStr">
        <is>
          <t>I04</t>
        </is>
      </c>
      <c r="C15" s="8" t="inlineStr">
        <is>
          <t>Data Governance Readiness</t>
        </is>
      </c>
      <c r="D15" s="8" t="inlineStr">
        <is>
          <t>Controls for data used by AI</t>
        </is>
      </c>
      <c r="E15" s="8" t="inlineStr">
        <is>
          <t>Anchor 0–5 from domain-specific maturity anchor using direct sampled practice/work evidence; do not infer maturity from policy statements alone.</t>
        </is>
      </c>
      <c r="F15" s="8" t="inlineStr">
        <is>
          <t>0–5: 0 absent; 1 isolated/person-dependent; 2 repeatable in limited areas; 3 institutionally structured; 4 broad/cross-functional and consistently operating; 5 continuously improved/scaled.</t>
        </is>
      </c>
      <c r="G15" s="8" t="inlineStr">
        <is>
          <t>Use outcome only when a legitimate measurable result exists; otherwise N/A.</t>
        </is>
      </c>
      <c r="H15" s="8" t="inlineStr">
        <is>
          <t>Only genuine mandate/context inapplicability with documented assessor approval; missing evidence is never N/A.</t>
        </is>
      </c>
      <c r="I15" s="8" t="inlineStr">
        <is>
          <t>D02</t>
        </is>
      </c>
      <c r="J15" s="8" t="inlineStr">
        <is>
          <t>E0=0.20; E1=0.40; E2=0.65; E3=0.85; E4=1.00, subject to corroboration/independence adjustment. Report separately.</t>
        </is>
      </c>
      <c r="K15" s="8" t="inlineStr">
        <is>
          <t>No score uplift from claims alone; lock denominator/exclusions before results; sample verification; cross-check with adjacent domains; high scores require corroboration.</t>
        </is>
      </c>
      <c r="L15" s="8" t="inlineStr">
        <is>
          <t>Use primary-owner rule; shared evidence may validate multiple metrics but the same activity cannot be scored twice across domains.</t>
        </is>
      </c>
      <c r="M15" s="8" t="inlineStr">
        <is>
          <t>100*((0.45*M)+(0.30*I)+(0.25*O))/5 when O exists; otherwise 100*((0.60*M)+(0.40*I))/5.</t>
        </is>
      </c>
      <c r="N15" s="8" t="inlineStr">
        <is>
          <t>D02 methodology/data owner</t>
        </is>
      </c>
      <c r="O15" s="8" t="inlineStr">
        <is>
          <t>PROVISIONAL—pilot validation required</t>
        </is>
      </c>
    </row>
    <row r="16">
      <c r="A16" s="8" t="inlineStr">
        <is>
          <t>D02</t>
        </is>
      </c>
      <c r="B16" s="8" t="inlineStr">
        <is>
          <t>I05</t>
        </is>
      </c>
      <c r="C16" s="8" t="inlineStr">
        <is>
          <t>Academic Integrity Governance</t>
        </is>
      </c>
      <c r="D16" s="8" t="inlineStr">
        <is>
          <t>AI-use rules and institutional response</t>
        </is>
      </c>
      <c r="E16" s="8" t="inlineStr">
        <is>
          <t>Anchor 0–5 from domain-specific maturity anchor using direct sampled practice/work evidence; do not infer maturity from policy statements alone.</t>
        </is>
      </c>
      <c r="F16" s="8" t="inlineStr">
        <is>
          <t>0–5: 0 absent; 1 isolated/person-dependent; 2 repeatable in limited areas; 3 institutionally structured; 4 broad/cross-functional and consistently operating; 5 continuously improved/scaled.</t>
        </is>
      </c>
      <c r="G16" s="8" t="inlineStr">
        <is>
          <t>Use outcome only when a legitimate measurable result exists; otherwise N/A.</t>
        </is>
      </c>
      <c r="H16" s="8" t="inlineStr">
        <is>
          <t>Only genuine mandate/context inapplicability with documented assessor approval; missing evidence is never N/A.</t>
        </is>
      </c>
      <c r="I16" s="8" t="inlineStr">
        <is>
          <t>D02</t>
        </is>
      </c>
      <c r="J16" s="8" t="inlineStr">
        <is>
          <t>E0=0.20; E1=0.40; E2=0.65; E3=0.85; E4=1.00, subject to corroboration/independence adjustment. Report separately.</t>
        </is>
      </c>
      <c r="K16" s="8" t="inlineStr">
        <is>
          <t>No score uplift from claims alone; lock denominator/exclusions before results; sample verification; cross-check with adjacent domains; high scores require corroboration.</t>
        </is>
      </c>
      <c r="L16" s="8" t="inlineStr">
        <is>
          <t>Use primary-owner rule; shared evidence may validate multiple metrics but the same activity cannot be scored twice across domains.</t>
        </is>
      </c>
      <c r="M16" s="8" t="inlineStr">
        <is>
          <t>100*((0.45*M)+(0.30*I)+(0.25*O))/5 when O exists; otherwise 100*((0.60*M)+(0.40*I))/5.</t>
        </is>
      </c>
      <c r="N16" s="8" t="inlineStr">
        <is>
          <t>D02 methodology/data owner</t>
        </is>
      </c>
      <c r="O16" s="8" t="inlineStr">
        <is>
          <t>PROVISIONAL—pilot validation required</t>
        </is>
      </c>
    </row>
    <row r="17">
      <c r="A17" s="8" t="inlineStr">
        <is>
          <t>D02</t>
        </is>
      </c>
      <c r="B17" s="8" t="inlineStr">
        <is>
          <t>I06</t>
        </is>
      </c>
      <c r="C17" s="8" t="inlineStr">
        <is>
          <t>Assessment Governance</t>
        </is>
      </c>
      <c r="D17" s="8" t="inlineStr">
        <is>
          <t>Validity/human oversight under AI</t>
        </is>
      </c>
      <c r="E17" s="8" t="inlineStr">
        <is>
          <t>Anchor 0–5 from domain-specific maturity anchor using direct sampled practice/work evidence; do not infer maturity from policy statements alone.</t>
        </is>
      </c>
      <c r="F17" s="8" t="inlineStr">
        <is>
          <t>0–5: 0 absent; 1 isolated/person-dependent; 2 repeatable in limited areas; 3 institutionally structured; 4 broad/cross-functional and consistently operating; 5 continuously improved/scaled.</t>
        </is>
      </c>
      <c r="G17" s="8" t="inlineStr">
        <is>
          <t>Use outcome only when a legitimate measurable result exists; otherwise N/A.</t>
        </is>
      </c>
      <c r="H17" s="8" t="inlineStr">
        <is>
          <t>Only genuine mandate/context inapplicability with documented assessor approval; missing evidence is never N/A.</t>
        </is>
      </c>
      <c r="I17" s="8" t="inlineStr">
        <is>
          <t>D02</t>
        </is>
      </c>
      <c r="J17" s="8" t="inlineStr">
        <is>
          <t>E0=0.20; E1=0.40; E2=0.65; E3=0.85; E4=1.00, subject to corroboration/independence adjustment. Report separately.</t>
        </is>
      </c>
      <c r="K17" s="8" t="inlineStr">
        <is>
          <t>No score uplift from claims alone; lock denominator/exclusions before results; sample verification; cross-check with adjacent domains; high scores require corroboration.</t>
        </is>
      </c>
      <c r="L17" s="8" t="inlineStr">
        <is>
          <t>Use primary-owner rule; shared evidence may validate multiple metrics but the same activity cannot be scored twice across domains.</t>
        </is>
      </c>
      <c r="M17" s="8" t="inlineStr">
        <is>
          <t>100*((0.45*M)+(0.30*I)+(0.25*O))/5 when O exists; otherwise 100*((0.60*M)+(0.40*I))/5.</t>
        </is>
      </c>
      <c r="N17" s="8" t="inlineStr">
        <is>
          <t>D02 methodology/data owner</t>
        </is>
      </c>
      <c r="O17" s="8" t="inlineStr">
        <is>
          <t>PROVISIONAL—pilot validation required</t>
        </is>
      </c>
    </row>
    <row r="18">
      <c r="A18" s="8" t="inlineStr">
        <is>
          <t>D02</t>
        </is>
      </c>
      <c r="B18" s="8" t="inlineStr">
        <is>
          <t>I07</t>
        </is>
      </c>
      <c r="C18" s="8" t="inlineStr">
        <is>
          <t>AI Risk Management</t>
        </is>
      </c>
      <c r="D18" s="8" t="inlineStr">
        <is>
          <t>Identify, assess, treat and monitor risk</t>
        </is>
      </c>
      <c r="E18" s="8" t="inlineStr">
        <is>
          <t>Anchor 0–5 from domain-specific maturity anchor using direct sampled practice/work evidence; do not infer maturity from policy statements alone.</t>
        </is>
      </c>
      <c r="F18" s="8" t="inlineStr">
        <is>
          <t>0–5: 0 absent; 1 isolated/person-dependent; 2 repeatable in limited areas; 3 institutionally structured; 4 broad/cross-functional and consistently operating; 5 continuously improved/scaled.</t>
        </is>
      </c>
      <c r="G18" s="8" t="inlineStr">
        <is>
          <t>Use outcome only when a legitimate measurable result exists; otherwise N/A.</t>
        </is>
      </c>
      <c r="H18" s="8" t="inlineStr">
        <is>
          <t>Only genuine mandate/context inapplicability with documented assessor approval; missing evidence is never N/A.</t>
        </is>
      </c>
      <c r="I18" s="8" t="inlineStr">
        <is>
          <t>—</t>
        </is>
      </c>
      <c r="J18" s="8" t="inlineStr">
        <is>
          <t>E0=0.20; E1=0.40; E2=0.65; E3=0.85; E4=1.00, subject to corroboration/independence adjustment. Report separately.</t>
        </is>
      </c>
      <c r="K18" s="8" t="inlineStr">
        <is>
          <t>No score uplift from claims alone; lock denominator/exclusions before results; sample verification; cross-check with adjacent domains; high scores require corroboration.</t>
        </is>
      </c>
      <c r="L18" s="8" t="inlineStr">
        <is>
          <t>Use primary-owner rule; shared evidence may validate multiple metrics but the same activity cannot be scored twice across domains.</t>
        </is>
      </c>
      <c r="M18" s="8" t="inlineStr">
        <is>
          <t>100*((0.45*M)+(0.30*I)+(0.25*O))/5 when O exists; otherwise 100*((0.60*M)+(0.40*I))/5.</t>
        </is>
      </c>
      <c r="N18" s="8" t="inlineStr">
        <is>
          <t>D02 methodology/data owner</t>
        </is>
      </c>
      <c r="O18" s="8" t="inlineStr">
        <is>
          <t>PROVISIONAL—pilot validation required</t>
        </is>
      </c>
    </row>
    <row r="19">
      <c r="A19" s="8" t="inlineStr">
        <is>
          <t>D02</t>
        </is>
      </c>
      <c r="B19" s="8" t="inlineStr">
        <is>
          <t>I08</t>
        </is>
      </c>
      <c r="C19" s="8" t="inlineStr">
        <is>
          <t>Incident Responsiveness</t>
        </is>
      </c>
      <c r="D19" s="8" t="inlineStr">
        <is>
          <t>Detection→action→learning</t>
        </is>
      </c>
      <c r="E19" s="8" t="inlineStr">
        <is>
          <t>Anchor 0–5 from domain-specific maturity anchor using direct sampled practice/work evidence; do not infer maturity from policy statements alone.</t>
        </is>
      </c>
      <c r="F19" s="8" t="inlineStr">
        <is>
          <t>0–5: 0 absent; 1 isolated/person-dependent; 2 repeatable in limited areas; 3 institutionally structured; 4 broad/cross-functional and consistently operating; 5 continuously improved/scaled.</t>
        </is>
      </c>
      <c r="G19" s="8" t="inlineStr">
        <is>
          <t>Use outcome only when a legitimate measurable result exists; otherwise N/A.</t>
        </is>
      </c>
      <c r="H19" s="8" t="inlineStr">
        <is>
          <t>Only genuine mandate/context inapplicability with documented assessor approval; missing evidence is never N/A.</t>
        </is>
      </c>
      <c r="I19" s="8" t="inlineStr">
        <is>
          <t>D02</t>
        </is>
      </c>
      <c r="J19" s="8" t="inlineStr">
        <is>
          <t>E0=0.20; E1=0.40; E2=0.65; E3=0.85; E4=1.00, subject to corroboration/independence adjustment. Report separately.</t>
        </is>
      </c>
      <c r="K19" s="8" t="inlineStr">
        <is>
          <t>No score uplift from claims alone; lock denominator/exclusions before results; sample verification; cross-check with adjacent domains; high scores require corroboration.</t>
        </is>
      </c>
      <c r="L19" s="8" t="inlineStr">
        <is>
          <t>Use primary-owner rule; shared evidence may validate multiple metrics but the same activity cannot be scored twice across domains.</t>
        </is>
      </c>
      <c r="M19" s="8" t="inlineStr">
        <is>
          <t>100*((0.45*M)+(0.30*I)+(0.25*O))/5 when O exists; otherwise 100*((0.60*M)+(0.40*I))/5.</t>
        </is>
      </c>
      <c r="N19" s="8" t="inlineStr">
        <is>
          <t>D02 methodology/data owner</t>
        </is>
      </c>
      <c r="O19" s="8" t="inlineStr">
        <is>
          <t>PROVISIONAL—pilot validation required</t>
        </is>
      </c>
    </row>
    <row r="20">
      <c r="A20" s="8" t="inlineStr">
        <is>
          <t>D02</t>
        </is>
      </c>
      <c r="B20" s="8" t="inlineStr">
        <is>
          <t>I09</t>
        </is>
      </c>
      <c r="C20" s="8" t="inlineStr">
        <is>
          <t>Human Accountability</t>
        </is>
      </c>
      <c r="D20" s="8" t="inlineStr">
        <is>
          <t>Review/override of consequential outputs</t>
        </is>
      </c>
      <c r="E20" s="8" t="inlineStr">
        <is>
          <t>Anchor 0–5 from domain-specific maturity anchor using direct sampled practice/work evidence; do not infer maturity from policy statements alone.</t>
        </is>
      </c>
      <c r="F20" s="8" t="inlineStr">
        <is>
          <t>0–5: 0 absent; 1 isolated/person-dependent; 2 repeatable in limited areas; 3 institutionally structured; 4 broad/cross-functional and consistently operating; 5 continuously improved/scaled.</t>
        </is>
      </c>
      <c r="G20" s="8" t="inlineStr">
        <is>
          <t>Use outcome only when a legitimate measurable result exists; otherwise N/A.</t>
        </is>
      </c>
      <c r="H20" s="8" t="inlineStr">
        <is>
          <t>Only genuine mandate/context inapplicability with documented assessor approval; missing evidence is never N/A.</t>
        </is>
      </c>
      <c r="I20" s="8" t="inlineStr">
        <is>
          <t>—</t>
        </is>
      </c>
      <c r="J20" s="8" t="inlineStr">
        <is>
          <t>E0=0.20; E1=0.40; E2=0.65; E3=0.85; E4=1.00, subject to corroboration/independence adjustment. Report separately.</t>
        </is>
      </c>
      <c r="K20" s="8" t="inlineStr">
        <is>
          <t>No score uplift from claims alone; lock denominator/exclusions before results; sample verification; cross-check with adjacent domains; high scores require corroboration.</t>
        </is>
      </c>
      <c r="L20" s="8" t="inlineStr">
        <is>
          <t>Use primary-owner rule; shared evidence may validate multiple metrics but the same activity cannot be scored twice across domains.</t>
        </is>
      </c>
      <c r="M20" s="8" t="inlineStr">
        <is>
          <t>100*((0.45*M)+(0.30*I)+(0.25*O))/5 when O exists; otherwise 100*((0.60*M)+(0.40*I))/5.</t>
        </is>
      </c>
      <c r="N20" s="8" t="inlineStr">
        <is>
          <t>D02 methodology/data owner</t>
        </is>
      </c>
      <c r="O20" s="8" t="inlineStr">
        <is>
          <t>PROVISIONAL—pilot validation required</t>
        </is>
      </c>
    </row>
    <row r="21">
      <c r="A21" s="8" t="inlineStr">
        <is>
          <t>D02</t>
        </is>
      </c>
      <c r="B21" s="8" t="inlineStr">
        <is>
          <t>I10</t>
        </is>
      </c>
      <c r="C21" s="8" t="inlineStr">
        <is>
          <t>Vendor/Tool Governance</t>
        </is>
      </c>
      <c r="D21" s="8" t="inlineStr">
        <is>
          <t>Lifecycle due diligence</t>
        </is>
      </c>
      <c r="E21" s="8" t="inlineStr">
        <is>
          <t>Anchor 0–5 from domain-specific maturity anchor using direct sampled practice/work evidence; do not infer maturity from policy statements alone.</t>
        </is>
      </c>
      <c r="F21" s="8" t="inlineStr">
        <is>
          <t>0–5: 0 absent; 1 isolated/person-dependent; 2 repeatable in limited areas; 3 institutionally structured; 4 broad/cross-functional and consistently operating; 5 continuously improved/scaled.</t>
        </is>
      </c>
      <c r="G21" s="8" t="inlineStr">
        <is>
          <t>Use outcome only when a legitimate measurable result exists; otherwise N/A.</t>
        </is>
      </c>
      <c r="H21" s="8" t="inlineStr">
        <is>
          <t>Only genuine mandate/context inapplicability with documented assessor approval; missing evidence is never N/A.</t>
        </is>
      </c>
      <c r="I21" s="8" t="inlineStr">
        <is>
          <t>D02</t>
        </is>
      </c>
      <c r="J21" s="8" t="inlineStr">
        <is>
          <t>E0=0.20; E1=0.40; E2=0.65; E3=0.85; E4=1.00, subject to corroboration/independence adjustment. Report separately.</t>
        </is>
      </c>
      <c r="K21" s="8" t="inlineStr">
        <is>
          <t>No score uplift from claims alone; lock denominator/exclusions before results; sample verification; cross-check with adjacent domains; high scores require corroboration.</t>
        </is>
      </c>
      <c r="L21" s="8" t="inlineStr">
        <is>
          <t>Use primary-owner rule; shared evidence may validate multiple metrics but the same activity cannot be scored twice across domains.</t>
        </is>
      </c>
      <c r="M21" s="8" t="inlineStr">
        <is>
          <t>100*((0.45*M)+(0.30*I)+(0.25*O))/5 when O exists; otherwise 100*((0.60*M)+(0.40*I))/5.</t>
        </is>
      </c>
      <c r="N21" s="8" t="inlineStr">
        <is>
          <t>D02 methodology/data owner</t>
        </is>
      </c>
      <c r="O21" s="8" t="inlineStr">
        <is>
          <t>PROVISIONAL—pilot validation required</t>
        </is>
      </c>
    </row>
    <row r="22">
      <c r="A22" s="8" t="inlineStr">
        <is>
          <t>D02</t>
        </is>
      </c>
      <c r="B22" s="8" t="inlineStr">
        <is>
          <t>I11</t>
        </is>
      </c>
      <c r="C22" s="8" t="inlineStr">
        <is>
          <t>IP Governance</t>
        </is>
      </c>
      <c r="D22" s="8" t="inlineStr">
        <is>
          <t>AI-related IP/copyright/authorship</t>
        </is>
      </c>
      <c r="E22" s="8" t="inlineStr">
        <is>
          <t>Anchor 0–5 from domain-specific maturity anchor using direct sampled practice/work evidence; do not infer maturity from policy statements alone.</t>
        </is>
      </c>
      <c r="F22" s="8" t="inlineStr">
        <is>
          <t>0–5: 0 absent; 1 isolated/person-dependent; 2 repeatable in limited areas; 3 institutionally structured; 4 broad/cross-functional and consistently operating; 5 continuously improved/scaled.</t>
        </is>
      </c>
      <c r="G22" s="8" t="inlineStr">
        <is>
          <t>Use outcome only when a legitimate measurable result exists; otherwise N/A.</t>
        </is>
      </c>
      <c r="H22" s="8" t="inlineStr">
        <is>
          <t>Only genuine mandate/context inapplicability with documented assessor approval; missing evidence is never N/A.</t>
        </is>
      </c>
      <c r="I22" s="8" t="inlineStr">
        <is>
          <t>—</t>
        </is>
      </c>
      <c r="J22" s="8" t="inlineStr">
        <is>
          <t>E0=0.20; E1=0.40; E2=0.65; E3=0.85; E4=1.00, subject to corroboration/independence adjustment. Report separately.</t>
        </is>
      </c>
      <c r="K22" s="8" t="inlineStr">
        <is>
          <t>No score uplift from claims alone; lock denominator/exclusions before results; sample verification; cross-check with adjacent domains; high scores require corroboration.</t>
        </is>
      </c>
      <c r="L22" s="8" t="inlineStr">
        <is>
          <t>Use primary-owner rule; shared evidence may validate multiple metrics but the same activity cannot be scored twice across domains.</t>
        </is>
      </c>
      <c r="M22" s="8" t="inlineStr">
        <is>
          <t>100*((0.45*M)+(0.30*I)+(0.25*O))/5 when O exists; otherwise 100*((0.60*M)+(0.40*I))/5.</t>
        </is>
      </c>
      <c r="N22" s="8" t="inlineStr">
        <is>
          <t>D02 methodology/data owner</t>
        </is>
      </c>
      <c r="O22" s="8" t="inlineStr">
        <is>
          <t>PROVISIONAL—pilot validation required</t>
        </is>
      </c>
    </row>
    <row r="23">
      <c r="A23" s="8" t="inlineStr">
        <is>
          <t>D02</t>
        </is>
      </c>
      <c r="B23" s="8" t="inlineStr">
        <is>
          <t>I12</t>
        </is>
      </c>
      <c r="C23" s="8" t="inlineStr">
        <is>
          <t>Research AI Governance</t>
        </is>
      </c>
      <c r="D23" s="8" t="inlineStr">
        <is>
          <t>Responsible AI in research</t>
        </is>
      </c>
      <c r="E23" s="8" t="inlineStr">
        <is>
          <t>Anchor 0–5 from domain-specific maturity anchor using direct sampled practice/work evidence; do not infer maturity from policy statements alone.</t>
        </is>
      </c>
      <c r="F23" s="8" t="inlineStr">
        <is>
          <t>0–5: 0 absent; 1 isolated/person-dependent; 2 repeatable in limited areas; 3 institutionally structured; 4 broad/cross-functional and consistently operating; 5 continuously improved/scaled.</t>
        </is>
      </c>
      <c r="G23" s="8" t="inlineStr">
        <is>
          <t>Use outcome only when a legitimate measurable result exists; otherwise N/A.</t>
        </is>
      </c>
      <c r="H23" s="8" t="inlineStr">
        <is>
          <t>Only genuine mandate/context inapplicability with documented assessor approval; missing evidence is never N/A.</t>
        </is>
      </c>
      <c r="I23" s="8" t="inlineStr">
        <is>
          <t>—</t>
        </is>
      </c>
      <c r="J23" s="8" t="inlineStr">
        <is>
          <t>E0=0.20; E1=0.40; E2=0.65; E3=0.85; E4=1.00, subject to corroboration/independence adjustment. Report separately.</t>
        </is>
      </c>
      <c r="K23" s="8" t="inlineStr">
        <is>
          <t>No score uplift from claims alone; lock denominator/exclusions before results; sample verification; cross-check with adjacent domains; high scores require corroboration.</t>
        </is>
      </c>
      <c r="L23" s="8" t="inlineStr">
        <is>
          <t>Use primary-owner rule; shared evidence may validate multiple metrics but the same activity cannot be scored twice across domains.</t>
        </is>
      </c>
      <c r="M23" s="8" t="inlineStr">
        <is>
          <t>100*((0.45*M)+(0.30*I)+(0.25*O))/5 when O exists; otherwise 100*((0.60*M)+(0.40*I))/5.</t>
        </is>
      </c>
      <c r="N23" s="8" t="inlineStr">
        <is>
          <t>D02 methodology/data owner</t>
        </is>
      </c>
      <c r="O23" s="8" t="inlineStr">
        <is>
          <t>PROVISIONAL—pilot validation required</t>
        </is>
      </c>
    </row>
    <row r="24">
      <c r="A24" s="8" t="inlineStr">
        <is>
          <t>D02</t>
        </is>
      </c>
      <c r="B24" s="8" t="inlineStr">
        <is>
          <t>I13</t>
        </is>
      </c>
      <c r="C24" s="8" t="inlineStr">
        <is>
          <t>Governance Review Adaptability</t>
        </is>
      </c>
      <c r="D24" s="8" t="inlineStr">
        <is>
          <t>Review frequency and change triggers</t>
        </is>
      </c>
      <c r="E24" s="8" t="inlineStr">
        <is>
          <t>Anchor 0–5 from domain-specific maturity anchor using direct sampled practice/work evidence; do not infer maturity from policy statements alone.</t>
        </is>
      </c>
      <c r="F24" s="8" t="inlineStr">
        <is>
          <t>0–5: 0 absent; 1 isolated/person-dependent; 2 repeatable in limited areas; 3 institutionally structured; 4 broad/cross-functional and consistently operating; 5 continuously improved/scaled.</t>
        </is>
      </c>
      <c r="G24" s="8" t="inlineStr">
        <is>
          <t>Use outcome only when a legitimate measurable result exists; otherwise N/A.</t>
        </is>
      </c>
      <c r="H24" s="8" t="inlineStr">
        <is>
          <t>Only genuine mandate/context inapplicability with documented assessor approval; missing evidence is never N/A.</t>
        </is>
      </c>
      <c r="I24" s="8" t="inlineStr">
        <is>
          <t>—</t>
        </is>
      </c>
      <c r="J24" s="8" t="inlineStr">
        <is>
          <t>E0=0.20; E1=0.40; E2=0.65; E3=0.85; E4=1.00, subject to corroboration/independence adjustment. Report separately.</t>
        </is>
      </c>
      <c r="K24" s="8" t="inlineStr">
        <is>
          <t>No score uplift from claims alone; lock denominator/exclusions before results; sample verification; cross-check with adjacent domains; high scores require corroboration.</t>
        </is>
      </c>
      <c r="L24" s="8" t="inlineStr">
        <is>
          <t>Use primary-owner rule; shared evidence may validate multiple metrics but the same activity cannot be scored twice across domains.</t>
        </is>
      </c>
      <c r="M24" s="8" t="inlineStr">
        <is>
          <t>100*((0.45*M)+(0.30*I)+(0.25*O))/5 when O exists; otherwise 100*((0.60*M)+(0.40*I))/5.</t>
        </is>
      </c>
      <c r="N24" s="8" t="inlineStr">
        <is>
          <t>D02 methodology/data owner</t>
        </is>
      </c>
      <c r="O24" s="8" t="inlineStr">
        <is>
          <t>PROVISIONAL—pilot validation required</t>
        </is>
      </c>
    </row>
    <row r="25">
      <c r="A25" s="8" t="inlineStr">
        <is>
          <t>D02</t>
        </is>
      </c>
      <c r="B25" s="8" t="inlineStr">
        <is>
          <t>I14</t>
        </is>
      </c>
      <c r="C25" s="8" t="inlineStr">
        <is>
          <t>Governance Effectiveness</t>
        </is>
      </c>
      <c r="D25" s="8" t="inlineStr">
        <is>
          <t>Functioning governance vs paper policy</t>
        </is>
      </c>
      <c r="E25" s="8" t="inlineStr">
        <is>
          <t>Anchor 0–5 from domain-specific maturity anchor using direct sampled practice/work evidence; do not infer maturity from policy statements alone.</t>
        </is>
      </c>
      <c r="F25" s="8" t="inlineStr">
        <is>
          <t>0–5: 0 absent; 1 isolated/person-dependent; 2 repeatable in limited areas; 3 institutionally structured; 4 broad/cross-functional and consistently operating; 5 continuously improved/scaled.</t>
        </is>
      </c>
      <c r="G25" s="8" t="inlineStr">
        <is>
          <t>Use outcome only when a legitimate measurable result exists; otherwise N/A.</t>
        </is>
      </c>
      <c r="H25" s="8" t="inlineStr">
        <is>
          <t>Only genuine mandate/context inapplicability with documented assessor approval; missing evidence is never N/A.</t>
        </is>
      </c>
      <c r="I25" s="8" t="inlineStr">
        <is>
          <t>D02</t>
        </is>
      </c>
      <c r="J25" s="8" t="inlineStr">
        <is>
          <t>E0=0.20; E1=0.40; E2=0.65; E3=0.85; E4=1.00, subject to corroboration/independence adjustment. Report separately.</t>
        </is>
      </c>
      <c r="K25" s="8" t="inlineStr">
        <is>
          <t>No score uplift from claims alone; lock denominator/exclusions before results; sample verification; cross-check with adjacent domains; high scores require corroboration.</t>
        </is>
      </c>
      <c r="L25" s="8" t="inlineStr">
        <is>
          <t>Use primary-owner rule; shared evidence may validate multiple metrics but the same activity cannot be scored twice across domains.</t>
        </is>
      </c>
      <c r="M25" s="8" t="inlineStr">
        <is>
          <t>100*((0.45*M)+(0.30*I)+(0.25*O))/5 when O exists; otherwise 100*((0.60*M)+(0.40*I))/5.</t>
        </is>
      </c>
      <c r="N25" s="8" t="inlineStr">
        <is>
          <t>D02 methodology/data owner</t>
        </is>
      </c>
      <c r="O25" s="8" t="inlineStr">
        <is>
          <t>PROVISIONAL—pilot validation required</t>
        </is>
      </c>
    </row>
    <row r="26">
      <c r="A26" s="8" t="inlineStr">
        <is>
          <t>D03</t>
        </is>
      </c>
      <c r="B26" s="8" t="inlineStr">
        <is>
          <t>I01</t>
        </is>
      </c>
      <c r="C26" s="8" t="inlineStr">
        <is>
          <t>Foundational Knowledge Depth</t>
        </is>
      </c>
      <c r="D26" s="8" t="inlineStr">
        <is>
          <t>Knowledge substrate for judgement</t>
        </is>
      </c>
      <c r="E26" s="8" t="inlineStr">
        <is>
          <t>Anchor 0–5 from domain-specific maturity anchor using direct sampled practice/work evidence; do not infer maturity from policy statements alone.</t>
        </is>
      </c>
      <c r="F26" s="8" t="inlineStr">
        <is>
          <t>0–5: 0 absent; 1 isolated/person-dependent; 2 repeatable in limited areas; 3 institutionally structured; 4 broad/cross-functional and consistently operating; 5 continuously improved/scaled.</t>
        </is>
      </c>
      <c r="G26" s="8" t="inlineStr">
        <is>
          <t>Use outcome only when a legitimate measurable result exists; otherwise N/A.</t>
        </is>
      </c>
      <c r="H26" s="8" t="inlineStr">
        <is>
          <t>Only genuine mandate/context inapplicability with documented assessor approval; missing evidence is never N/A.</t>
        </is>
      </c>
      <c r="I26" s="8" t="inlineStr">
        <is>
          <t>D03</t>
        </is>
      </c>
      <c r="J26" s="8" t="inlineStr">
        <is>
          <t>E0=0.20; E1=0.40; E2=0.65; E3=0.85; E4=1.00, subject to corroboration/independence adjustment. Report separately.</t>
        </is>
      </c>
      <c r="K26" s="8" t="inlineStr">
        <is>
          <t>No score uplift from claims alone; lock denominator/exclusions before results; sample verification; cross-check with adjacent domains; high scores require corroboration.</t>
        </is>
      </c>
      <c r="L26" s="8" t="inlineStr">
        <is>
          <t>Use primary-owner rule; shared evidence may validate multiple metrics but the same activity cannot be scored twice across domains.</t>
        </is>
      </c>
      <c r="M26" s="8" t="inlineStr">
        <is>
          <t>100*((0.45*M)+(0.30*I)+(0.25*O))/5 when O exists; otherwise 100*((0.60*M)+(0.40*I))/5.</t>
        </is>
      </c>
      <c r="N26" s="8" t="inlineStr">
        <is>
          <t>D03 methodology/data owner</t>
        </is>
      </c>
      <c r="O26" s="8" t="inlineStr">
        <is>
          <t>PROVISIONAL—pilot validation required</t>
        </is>
      </c>
    </row>
    <row r="27">
      <c r="A27" s="8" t="inlineStr">
        <is>
          <t>D03</t>
        </is>
      </c>
      <c r="B27" s="8" t="inlineStr">
        <is>
          <t>I02</t>
        </is>
      </c>
      <c r="C27" s="8" t="inlineStr">
        <is>
          <t>Critical Reasoning Development</t>
        </is>
      </c>
      <c r="D27" s="8" t="inlineStr">
        <is>
          <t>Development and demonstration of reasoning</t>
        </is>
      </c>
      <c r="E27" s="8" t="inlineStr">
        <is>
          <t>Anchor 0–5 from domain-specific maturity anchor using direct sampled practice/work evidence; do not infer maturity from policy statements alone.</t>
        </is>
      </c>
      <c r="F27" s="8" t="inlineStr">
        <is>
          <t>0–5: 0 absent; 1 isolated/person-dependent; 2 repeatable in limited areas; 3 institutionally structured; 4 broad/cross-functional and consistently operating; 5 continuously improved/scaled.</t>
        </is>
      </c>
      <c r="G27" s="8" t="inlineStr">
        <is>
          <t>Use outcome only when a legitimate measurable result exists; otherwise N/A.</t>
        </is>
      </c>
      <c r="H27" s="8" t="inlineStr">
        <is>
          <t>Only genuine mandate/context inapplicability with documented assessor approval; missing evidence is never N/A.</t>
        </is>
      </c>
      <c r="I27" s="8" t="inlineStr">
        <is>
          <t>D03; D03</t>
        </is>
      </c>
      <c r="J27" s="8" t="inlineStr">
        <is>
          <t>E0=0.20; E1=0.40; E2=0.65; E3=0.85; E4=1.00, subject to corroboration/independence adjustment. Report separately.</t>
        </is>
      </c>
      <c r="K27" s="8" t="inlineStr">
        <is>
          <t>No score uplift from claims alone; lock denominator/exclusions before results; sample verification; cross-check with adjacent domains; high scores require corroboration.</t>
        </is>
      </c>
      <c r="L27" s="8" t="inlineStr">
        <is>
          <t>Use primary-owner rule; shared evidence may validate multiple metrics but the same activity cannot be scored twice across domains.</t>
        </is>
      </c>
      <c r="M27" s="8" t="inlineStr">
        <is>
          <t>100*((0.45*M)+(0.30*I)+(0.25*O))/5 when O exists; otherwise 100*((0.60*M)+(0.40*I))/5.</t>
        </is>
      </c>
      <c r="N27" s="8" t="inlineStr">
        <is>
          <t>D03 methodology/data owner</t>
        </is>
      </c>
      <c r="O27" s="8" t="inlineStr">
        <is>
          <t>PROVISIONAL—pilot validation required</t>
        </is>
      </c>
    </row>
    <row r="28">
      <c r="A28" s="8" t="inlineStr">
        <is>
          <t>D03</t>
        </is>
      </c>
      <c r="B28" s="8" t="inlineStr">
        <is>
          <t>I03</t>
        </is>
      </c>
      <c r="C28" s="8" t="inlineStr">
        <is>
          <t>Question Formulation</t>
        </is>
      </c>
      <c r="D28" s="8" t="inlineStr">
        <is>
          <t>Ability to formulate meaningful inquiry</t>
        </is>
      </c>
      <c r="E28" s="8" t="inlineStr">
        <is>
          <t>Anchor 0–5 from domain-specific maturity anchor using direct sampled practice/work evidence; do not infer maturity from policy statements alone.</t>
        </is>
      </c>
      <c r="F28" s="8" t="inlineStr">
        <is>
          <t>0–5: 0 absent; 1 isolated/person-dependent; 2 repeatable in limited areas; 3 institutionally structured; 4 broad/cross-functional and consistently operating; 5 continuously improved/scaled.</t>
        </is>
      </c>
      <c r="G28" s="8" t="inlineStr">
        <is>
          <t>Use outcome only when a legitimate measurable result exists; otherwise N/A.</t>
        </is>
      </c>
      <c r="H28" s="8" t="inlineStr">
        <is>
          <t>Only genuine mandate/context inapplicability with documented assessor approval; missing evidence is never N/A.</t>
        </is>
      </c>
      <c r="I28" s="8" t="inlineStr">
        <is>
          <t>—</t>
        </is>
      </c>
      <c r="J28" s="8" t="inlineStr">
        <is>
          <t>E0=0.20; E1=0.40; E2=0.65; E3=0.85; E4=1.00, subject to corroboration/independence adjustment. Report separately.</t>
        </is>
      </c>
      <c r="K28" s="8" t="inlineStr">
        <is>
          <t>No score uplift from claims alone; lock denominator/exclusions before results; sample verification; cross-check with adjacent domains; high scores require corroboration.</t>
        </is>
      </c>
      <c r="L28" s="8" t="inlineStr">
        <is>
          <t>Use primary-owner rule; shared evidence may validate multiple metrics but the same activity cannot be scored twice across domains.</t>
        </is>
      </c>
      <c r="M28" s="8" t="inlineStr">
        <is>
          <t>100*((0.45*M)+(0.30*I)+(0.25*O))/5 when O exists; otherwise 100*((0.60*M)+(0.40*I))/5.</t>
        </is>
      </c>
      <c r="N28" s="8" t="inlineStr">
        <is>
          <t>D03 methodology/data owner</t>
        </is>
      </c>
      <c r="O28" s="8" t="inlineStr">
        <is>
          <t>PROVISIONAL—pilot validation required</t>
        </is>
      </c>
    </row>
    <row r="29">
      <c r="A29" s="8" t="inlineStr">
        <is>
          <t>D03</t>
        </is>
      </c>
      <c r="B29" s="8" t="inlineStr">
        <is>
          <t>I04</t>
        </is>
      </c>
      <c r="C29" s="8" t="inlineStr">
        <is>
          <t>Analytical Reasoning</t>
        </is>
      </c>
      <c r="D29" s="8" t="inlineStr">
        <is>
          <t>Evidence-based reasoning</t>
        </is>
      </c>
      <c r="E29" s="8" t="inlineStr">
        <is>
          <t>Anchor 0–5 from domain-specific maturity anchor using direct sampled practice/work evidence; do not infer maturity from policy statements alone.</t>
        </is>
      </c>
      <c r="F29" s="8" t="inlineStr">
        <is>
          <t>0–5: 0 absent; 1 isolated/person-dependent; 2 repeatable in limited areas; 3 institutionally structured; 4 broad/cross-functional and consistently operating; 5 continuously improved/scaled.</t>
        </is>
      </c>
      <c r="G29" s="8" t="inlineStr">
        <is>
          <t>Use outcome only when a legitimate measurable result exists; otherwise N/A.</t>
        </is>
      </c>
      <c r="H29" s="8" t="inlineStr">
        <is>
          <t>Only genuine mandate/context inapplicability with documented assessor approval; missing evidence is never N/A.</t>
        </is>
      </c>
      <c r="I29" s="8" t="inlineStr">
        <is>
          <t>D03; D03</t>
        </is>
      </c>
      <c r="J29" s="8" t="inlineStr">
        <is>
          <t>E0=0.20; E1=0.40; E2=0.65; E3=0.85; E4=1.00, subject to corroboration/independence adjustment. Report separately.</t>
        </is>
      </c>
      <c r="K29" s="8" t="inlineStr">
        <is>
          <t>No score uplift from claims alone; lock denominator/exclusions before results; sample verification; cross-check with adjacent domains; high scores require corroboration.</t>
        </is>
      </c>
      <c r="L29" s="8" t="inlineStr">
        <is>
          <t>Use primary-owner rule; shared evidence may validate multiple metrics but the same activity cannot be scored twice across domains.</t>
        </is>
      </c>
      <c r="M29" s="8" t="inlineStr">
        <is>
          <t>100*((0.45*M)+(0.30*I)+(0.25*O))/5 when O exists; otherwise 100*((0.60*M)+(0.40*I))/5.</t>
        </is>
      </c>
      <c r="N29" s="8" t="inlineStr">
        <is>
          <t>D03 methodology/data owner</t>
        </is>
      </c>
      <c r="O29" s="8" t="inlineStr">
        <is>
          <t>PROVISIONAL—pilot validation required</t>
        </is>
      </c>
    </row>
    <row r="30">
      <c r="A30" s="8" t="inlineStr">
        <is>
          <t>D03</t>
        </is>
      </c>
      <c r="B30" s="8" t="inlineStr">
        <is>
          <t>I05</t>
        </is>
      </c>
      <c r="C30" s="8" t="inlineStr">
        <is>
          <t>Problem Formulation</t>
        </is>
      </c>
      <c r="D30" s="8" t="inlineStr">
        <is>
          <t>Framing ambiguous problems</t>
        </is>
      </c>
      <c r="E30" s="8" t="inlineStr">
        <is>
          <t>Anchor 0–5 from domain-specific maturity anchor using direct sampled practice/work evidence; do not infer maturity from policy statements alone.</t>
        </is>
      </c>
      <c r="F30" s="8" t="inlineStr">
        <is>
          <t>0–5: 0 absent; 1 isolated/person-dependent; 2 repeatable in limited areas; 3 institutionally structured; 4 broad/cross-functional and consistently operating; 5 continuously improved/scaled.</t>
        </is>
      </c>
      <c r="G30" s="8" t="inlineStr">
        <is>
          <t>Use outcome only when a legitimate measurable result exists; otherwise N/A.</t>
        </is>
      </c>
      <c r="H30" s="8" t="inlineStr">
        <is>
          <t>Only genuine mandate/context inapplicability with documented assessor approval; missing evidence is never N/A.</t>
        </is>
      </c>
      <c r="I30" s="8" t="inlineStr">
        <is>
          <t>—</t>
        </is>
      </c>
      <c r="J30" s="8" t="inlineStr">
        <is>
          <t>E0=0.20; E1=0.40; E2=0.65; E3=0.85; E4=1.00, subject to corroboration/independence adjustment. Report separately.</t>
        </is>
      </c>
      <c r="K30" s="8" t="inlineStr">
        <is>
          <t>No score uplift from claims alone; lock denominator/exclusions before results; sample verification; cross-check with adjacent domains; high scores require corroboration.</t>
        </is>
      </c>
      <c r="L30" s="8" t="inlineStr">
        <is>
          <t>Use primary-owner rule; shared evidence may validate multiple metrics but the same activity cannot be scored twice across domains.</t>
        </is>
      </c>
      <c r="M30" s="8" t="inlineStr">
        <is>
          <t>100*((0.45*M)+(0.30*I)+(0.25*O))/5 when O exists; otherwise 100*((0.60*M)+(0.40*I))/5.</t>
        </is>
      </c>
      <c r="N30" s="8" t="inlineStr">
        <is>
          <t>D03 methodology/data owner</t>
        </is>
      </c>
      <c r="O30" s="8" t="inlineStr">
        <is>
          <t>PROVISIONAL—pilot validation required</t>
        </is>
      </c>
    </row>
    <row r="31">
      <c r="A31" s="8" t="inlineStr">
        <is>
          <t>D03</t>
        </is>
      </c>
      <c r="B31" s="8" t="inlineStr">
        <is>
          <t>I06</t>
        </is>
      </c>
      <c r="C31" s="8" t="inlineStr">
        <is>
          <t>Creativity &amp; Originality</t>
        </is>
      </c>
      <c r="D31" s="8" t="inlineStr">
        <is>
          <t>Creation of original value</t>
        </is>
      </c>
      <c r="E31" s="8" t="inlineStr">
        <is>
          <t>Anchor 0–5 from domain-specific maturity anchor using direct sampled practice/work evidence; do not infer maturity from policy statements alone.</t>
        </is>
      </c>
      <c r="F31" s="8" t="inlineStr">
        <is>
          <t>0–5: 0 absent; 1 isolated/person-dependent; 2 repeatable in limited areas; 3 institutionally structured; 4 broad/cross-functional and consistently operating; 5 continuously improved/scaled.</t>
        </is>
      </c>
      <c r="G31" s="8" t="inlineStr">
        <is>
          <t>Use outcome only when a legitimate measurable result exists; otherwise N/A.</t>
        </is>
      </c>
      <c r="H31" s="8" t="inlineStr">
        <is>
          <t>Only genuine mandate/context inapplicability with documented assessor approval; missing evidence is never N/A.</t>
        </is>
      </c>
      <c r="I31" s="8" t="inlineStr">
        <is>
          <t>—</t>
        </is>
      </c>
      <c r="J31" s="8" t="inlineStr">
        <is>
          <t>E0=0.20; E1=0.40; E2=0.65; E3=0.85; E4=1.00, subject to corroboration/independence adjustment. Report separately.</t>
        </is>
      </c>
      <c r="K31" s="8" t="inlineStr">
        <is>
          <t>No score uplift from claims alone; lock denominator/exclusions before results; sample verification; cross-check with adjacent domains; high scores require corroboration.</t>
        </is>
      </c>
      <c r="L31" s="8" t="inlineStr">
        <is>
          <t>Use primary-owner rule; shared evidence may validate multiple metrics but the same activity cannot be scored twice across domains.</t>
        </is>
      </c>
      <c r="M31" s="8" t="inlineStr">
        <is>
          <t>100*((0.45*M)+(0.30*I)+(0.25*O))/5 when O exists; otherwise 100*((0.60*M)+(0.40*I))/5.</t>
        </is>
      </c>
      <c r="N31" s="8" t="inlineStr">
        <is>
          <t>D03 methodology/data owner</t>
        </is>
      </c>
      <c r="O31" s="8" t="inlineStr">
        <is>
          <t>PROVISIONAL—pilot validation required</t>
        </is>
      </c>
    </row>
    <row r="32">
      <c r="A32" s="8" t="inlineStr">
        <is>
          <t>D03</t>
        </is>
      </c>
      <c r="B32" s="8" t="inlineStr">
        <is>
          <t>I07</t>
        </is>
      </c>
      <c r="C32" s="8" t="inlineStr">
        <is>
          <t>Judgement Capability</t>
        </is>
      </c>
      <c r="D32" s="8" t="inlineStr">
        <is>
          <t>Contextual/professional/ethical decisions</t>
        </is>
      </c>
      <c r="E32" s="8" t="inlineStr">
        <is>
          <t>Anchor 0–5 from domain-specific maturity anchor using direct sampled practice/work evidence; do not infer maturity from policy statements alone.</t>
        </is>
      </c>
      <c r="F32" s="8" t="inlineStr">
        <is>
          <t>0–5: 0 absent; 1 isolated/person-dependent; 2 repeatable in limited areas; 3 institutionally structured; 4 broad/cross-functional and consistently operating; 5 continuously improved/scaled.</t>
        </is>
      </c>
      <c r="G32" s="8" t="inlineStr">
        <is>
          <t>Use outcome only when a legitimate measurable result exists; otherwise N/A.</t>
        </is>
      </c>
      <c r="H32" s="8" t="inlineStr">
        <is>
          <t>Only genuine mandate/context inapplicability with documented assessor approval; missing evidence is never N/A.</t>
        </is>
      </c>
      <c r="I32" s="8" t="inlineStr">
        <is>
          <t>D03; D03</t>
        </is>
      </c>
      <c r="J32" s="8" t="inlineStr">
        <is>
          <t>E0=0.20; E1=0.40; E2=0.65; E3=0.85; E4=1.00, subject to corroboration/independence adjustment. Report separately.</t>
        </is>
      </c>
      <c r="K32" s="8" t="inlineStr">
        <is>
          <t>No score uplift from claims alone; lock denominator/exclusions before results; sample verification; cross-check with adjacent domains; high scores require corroboration.</t>
        </is>
      </c>
      <c r="L32" s="8" t="inlineStr">
        <is>
          <t>Use primary-owner rule; shared evidence may validate multiple metrics but the same activity cannot be scored twice across domains.</t>
        </is>
      </c>
      <c r="M32" s="8" t="inlineStr">
        <is>
          <t>100*((0.45*M)+(0.30*I)+(0.25*O))/5 when O exists; otherwise 100*((0.60*M)+(0.40*I))/5.</t>
        </is>
      </c>
      <c r="N32" s="8" t="inlineStr">
        <is>
          <t>D03 methodology/data owner</t>
        </is>
      </c>
      <c r="O32" s="8" t="inlineStr">
        <is>
          <t>PROVISIONAL—pilot validation required</t>
        </is>
      </c>
    </row>
    <row r="33">
      <c r="A33" s="8" t="inlineStr">
        <is>
          <t>D03</t>
        </is>
      </c>
      <c r="B33" s="8" t="inlineStr">
        <is>
          <t>I08</t>
        </is>
      </c>
      <c r="C33" s="8" t="inlineStr">
        <is>
          <t>AI Verification Capability</t>
        </is>
      </c>
      <c r="D33" s="8" t="inlineStr">
        <is>
          <t>Challenge, verify, contextualise AI output</t>
        </is>
      </c>
      <c r="E33" s="8" t="inlineStr">
        <is>
          <t>Anchor 0–5 from domain-specific maturity anchor using direct sampled practice/work evidence; do not infer maturity from policy statements alone.</t>
        </is>
      </c>
      <c r="F33" s="8" t="inlineStr">
        <is>
          <t>0–5: 0 absent; 1 isolated/person-dependent; 2 repeatable in limited areas; 3 institutionally structured; 4 broad/cross-functional and consistently operating; 5 continuously improved/scaled.</t>
        </is>
      </c>
      <c r="G33" s="8" t="inlineStr">
        <is>
          <t>Use outcome only when a legitimate measurable result exists; otherwise N/A.</t>
        </is>
      </c>
      <c r="H33" s="8" t="inlineStr">
        <is>
          <t>Only genuine mandate/context inapplicability with documented assessor approval; missing evidence is never N/A.</t>
        </is>
      </c>
      <c r="I33" s="8" t="inlineStr">
        <is>
          <t>D03</t>
        </is>
      </c>
      <c r="J33" s="8" t="inlineStr">
        <is>
          <t>E0=0.20; E1=0.40; E2=0.65; E3=0.85; E4=1.00, subject to corroboration/independence adjustment. Report separately.</t>
        </is>
      </c>
      <c r="K33" s="8" t="inlineStr">
        <is>
          <t>No score uplift from claims alone; lock denominator/exclusions before results; sample verification; cross-check with adjacent domains; high scores require corroboration.</t>
        </is>
      </c>
      <c r="L33" s="8" t="inlineStr">
        <is>
          <t>Use primary-owner rule; shared evidence may validate multiple metrics but the same activity cannot be scored twice across domains.</t>
        </is>
      </c>
      <c r="M33" s="8" t="inlineStr">
        <is>
          <t>100*((0.45*M)+(0.30*I)+(0.25*O))/5 when O exists; otherwise 100*((0.60*M)+(0.40*I))/5.</t>
        </is>
      </c>
      <c r="N33" s="8" t="inlineStr">
        <is>
          <t>D03 methodology/data owner</t>
        </is>
      </c>
      <c r="O33" s="8" t="inlineStr">
        <is>
          <t>PROVISIONAL—pilot validation required</t>
        </is>
      </c>
    </row>
    <row r="34">
      <c r="A34" s="8" t="inlineStr">
        <is>
          <t>D03</t>
        </is>
      </c>
      <c r="B34" s="8" t="inlineStr">
        <is>
          <t>I09</t>
        </is>
      </c>
      <c r="C34" s="8" t="inlineStr">
        <is>
          <t>Metacognitive Capability</t>
        </is>
      </c>
      <c r="D34" s="8" t="inlineStr">
        <is>
          <t>Reflection and self-correction</t>
        </is>
      </c>
      <c r="E34" s="8" t="inlineStr">
        <is>
          <t>Anchor 0–5 from domain-specific maturity anchor using direct sampled practice/work evidence; do not infer maturity from policy statements alone.</t>
        </is>
      </c>
      <c r="F34" s="8" t="inlineStr">
        <is>
          <t>0–5: 0 absent; 1 isolated/person-dependent; 2 repeatable in limited areas; 3 institutionally structured; 4 broad/cross-functional and consistently operating; 5 continuously improved/scaled.</t>
        </is>
      </c>
      <c r="G34" s="8" t="inlineStr">
        <is>
          <t>Use outcome only when a legitimate measurable result exists; otherwise N/A.</t>
        </is>
      </c>
      <c r="H34" s="8" t="inlineStr">
        <is>
          <t>Only genuine mandate/context inapplicability with documented assessor approval; missing evidence is never N/A.</t>
        </is>
      </c>
      <c r="I34" s="8" t="inlineStr">
        <is>
          <t>—</t>
        </is>
      </c>
      <c r="J34" s="8" t="inlineStr">
        <is>
          <t>E0=0.20; E1=0.40; E2=0.65; E3=0.85; E4=1.00, subject to corroboration/independence adjustment. Report separately.</t>
        </is>
      </c>
      <c r="K34" s="8" t="inlineStr">
        <is>
          <t>No score uplift from claims alone; lock denominator/exclusions before results; sample verification; cross-check with adjacent domains; high scores require corroboration.</t>
        </is>
      </c>
      <c r="L34" s="8" t="inlineStr">
        <is>
          <t>Use primary-owner rule; shared evidence may validate multiple metrics but the same activity cannot be scored twice across domains.</t>
        </is>
      </c>
      <c r="M34" s="8" t="inlineStr">
        <is>
          <t>100*((0.45*M)+(0.30*I)+(0.25*O))/5 when O exists; otherwise 100*((0.60*M)+(0.40*I))/5.</t>
        </is>
      </c>
      <c r="N34" s="8" t="inlineStr">
        <is>
          <t>D03 methodology/data owner</t>
        </is>
      </c>
      <c r="O34" s="8" t="inlineStr">
        <is>
          <t>PROVISIONAL—pilot validation required</t>
        </is>
      </c>
    </row>
    <row r="35">
      <c r="A35" s="8" t="inlineStr">
        <is>
          <t>D03</t>
        </is>
      </c>
      <c r="B35" s="8" t="inlineStr">
        <is>
          <t>I10</t>
        </is>
      </c>
      <c r="C35" s="8" t="inlineStr">
        <is>
          <t>Human-AI Collaboration</t>
        </is>
      </c>
      <c r="D35" s="8" t="inlineStr">
        <is>
          <t>Appropriate task allocation and iteration</t>
        </is>
      </c>
      <c r="E35" s="8" t="inlineStr">
        <is>
          <t>Anchor 0–5 from domain-specific maturity anchor using direct sampled practice/work evidence; do not infer maturity from policy statements alone.</t>
        </is>
      </c>
      <c r="F35" s="8" t="inlineStr">
        <is>
          <t>0–5: 0 absent; 1 isolated/person-dependent; 2 repeatable in limited areas; 3 institutionally structured; 4 broad/cross-functional and consistently operating; 5 continuously improved/scaled.</t>
        </is>
      </c>
      <c r="G35" s="8" t="inlineStr">
        <is>
          <t>Use outcome only when a legitimate measurable result exists; otherwise N/A.</t>
        </is>
      </c>
      <c r="H35" s="8" t="inlineStr">
        <is>
          <t>Only genuine mandate/context inapplicability with documented assessor approval; missing evidence is never N/A.</t>
        </is>
      </c>
      <c r="I35" s="8" t="inlineStr">
        <is>
          <t>—</t>
        </is>
      </c>
      <c r="J35" s="8" t="inlineStr">
        <is>
          <t>E0=0.20; E1=0.40; E2=0.65; E3=0.85; E4=1.00, subject to corroboration/independence adjustment. Report separately.</t>
        </is>
      </c>
      <c r="K35" s="8" t="inlineStr">
        <is>
          <t>No score uplift from claims alone; lock denominator/exclusions before results; sample verification; cross-check with adjacent domains; high scores require corroboration.</t>
        </is>
      </c>
      <c r="L35" s="8" t="inlineStr">
        <is>
          <t>Use primary-owner rule; shared evidence may validate multiple metrics but the same activity cannot be scored twice across domains.</t>
        </is>
      </c>
      <c r="M35" s="8" t="inlineStr">
        <is>
          <t>100*((0.45*M)+(0.30*I)+(0.25*O))/5 when O exists; otherwise 100*((0.60*M)+(0.40*I))/5.</t>
        </is>
      </c>
      <c r="N35" s="8" t="inlineStr">
        <is>
          <t>D03 methodology/data owner</t>
        </is>
      </c>
      <c r="O35" s="8" t="inlineStr">
        <is>
          <t>PROVISIONAL—pilot validation required</t>
        </is>
      </c>
    </row>
    <row r="36">
      <c r="A36" s="8" t="inlineStr">
        <is>
          <t>D03</t>
        </is>
      </c>
      <c r="B36" s="8" t="inlineStr">
        <is>
          <t>I11</t>
        </is>
      </c>
      <c r="C36" s="8" t="inlineStr">
        <is>
          <t>Communication &amp; Defence</t>
        </is>
      </c>
      <c r="D36" s="8" t="inlineStr">
        <is>
          <t>Explain and defend reasoning</t>
        </is>
      </c>
      <c r="E36" s="8" t="inlineStr">
        <is>
          <t>Anchor 0–5 from domain-specific maturity anchor using direct sampled practice/work evidence; do not infer maturity from policy statements alone.</t>
        </is>
      </c>
      <c r="F36" s="8" t="inlineStr">
        <is>
          <t>0–5: 0 absent; 1 isolated/person-dependent; 2 repeatable in limited areas; 3 institutionally structured; 4 broad/cross-functional and consistently operating; 5 continuously improved/scaled.</t>
        </is>
      </c>
      <c r="G36" s="8" t="inlineStr">
        <is>
          <t>Use outcome only when a legitimate measurable result exists; otherwise N/A.</t>
        </is>
      </c>
      <c r="H36" s="8" t="inlineStr">
        <is>
          <t>Only genuine mandate/context inapplicability with documented assessor approval; missing evidence is never N/A.</t>
        </is>
      </c>
      <c r="I36" s="8" t="inlineStr">
        <is>
          <t>—</t>
        </is>
      </c>
      <c r="J36" s="8" t="inlineStr">
        <is>
          <t>E0=0.20; E1=0.40; E2=0.65; E3=0.85; E4=1.00, subject to corroboration/independence adjustment. Report separately.</t>
        </is>
      </c>
      <c r="K36" s="8" t="inlineStr">
        <is>
          <t>No score uplift from claims alone; lock denominator/exclusions before results; sample verification; cross-check with adjacent domains; high scores require corroboration.</t>
        </is>
      </c>
      <c r="L36" s="8" t="inlineStr">
        <is>
          <t>Use primary-owner rule; shared evidence may validate multiple metrics but the same activity cannot be scored twice across domains.</t>
        </is>
      </c>
      <c r="M36" s="8" t="inlineStr">
        <is>
          <t>100*((0.45*M)+(0.30*I)+(0.25*O))/5 when O exists; otherwise 100*((0.60*M)+(0.40*I))/5.</t>
        </is>
      </c>
      <c r="N36" s="8" t="inlineStr">
        <is>
          <t>D03 methodology/data owner</t>
        </is>
      </c>
      <c r="O36" s="8" t="inlineStr">
        <is>
          <t>PROVISIONAL—pilot validation required</t>
        </is>
      </c>
    </row>
    <row r="37">
      <c r="A37" s="8" t="inlineStr">
        <is>
          <t>D03</t>
        </is>
      </c>
      <c r="B37" s="8" t="inlineStr">
        <is>
          <t>I12</t>
        </is>
      </c>
      <c r="C37" s="8" t="inlineStr">
        <is>
          <t>Collaboration Capability</t>
        </is>
      </c>
      <c r="D37" s="8" t="inlineStr">
        <is>
          <t>Human/interdisciplinary collaboration</t>
        </is>
      </c>
      <c r="E37" s="8" t="inlineStr">
        <is>
          <t>Anchor 0–5 from domain-specific maturity anchor using direct sampled practice/work evidence; do not infer maturity from policy statements alone.</t>
        </is>
      </c>
      <c r="F37" s="8" t="inlineStr">
        <is>
          <t>0–5: 0 absent; 1 isolated/person-dependent; 2 repeatable in limited areas; 3 institutionally structured; 4 broad/cross-functional and consistently operating; 5 continuously improved/scaled.</t>
        </is>
      </c>
      <c r="G37" s="8" t="inlineStr">
        <is>
          <t>Use outcome only when a legitimate measurable result exists; otherwise N/A.</t>
        </is>
      </c>
      <c r="H37" s="8" t="inlineStr">
        <is>
          <t>Only genuine mandate/context inapplicability with documented assessor approval; missing evidence is never N/A.</t>
        </is>
      </c>
      <c r="I37" s="8" t="inlineStr">
        <is>
          <t>—</t>
        </is>
      </c>
      <c r="J37" s="8" t="inlineStr">
        <is>
          <t>E0=0.20; E1=0.40; E2=0.65; E3=0.85; E4=1.00, subject to corroboration/independence adjustment. Report separately.</t>
        </is>
      </c>
      <c r="K37" s="8" t="inlineStr">
        <is>
          <t>No score uplift from claims alone; lock denominator/exclusions before results; sample verification; cross-check with adjacent domains; high scores require corroboration.</t>
        </is>
      </c>
      <c r="L37" s="8" t="inlineStr">
        <is>
          <t>Use primary-owner rule; shared evidence may validate multiple metrics but the same activity cannot be scored twice across domains.</t>
        </is>
      </c>
      <c r="M37" s="8" t="inlineStr">
        <is>
          <t>100*((0.45*M)+(0.30*I)+(0.25*O))/5 when O exists; otherwise 100*((0.60*M)+(0.40*I))/5.</t>
        </is>
      </c>
      <c r="N37" s="8" t="inlineStr">
        <is>
          <t>D03 methodology/data owner</t>
        </is>
      </c>
      <c r="O37" s="8" t="inlineStr">
        <is>
          <t>PROVISIONAL—pilot validation required</t>
        </is>
      </c>
    </row>
    <row r="38">
      <c r="A38" s="8" t="inlineStr">
        <is>
          <t>D03</t>
        </is>
      </c>
      <c r="B38" s="8" t="inlineStr">
        <is>
          <t>I13</t>
        </is>
      </c>
      <c r="C38" s="8" t="inlineStr">
        <is>
          <t>Practical Capability</t>
        </is>
      </c>
      <c r="D38" s="8" t="inlineStr">
        <is>
          <t>Real-world/embodied competence</t>
        </is>
      </c>
      <c r="E38" s="8" t="inlineStr">
        <is>
          <t>Anchor 0–5 from domain-specific maturity anchor using direct sampled practice/work evidence; do not infer maturity from policy statements alone.</t>
        </is>
      </c>
      <c r="F38" s="8" t="inlineStr">
        <is>
          <t>0–5: 0 absent; 1 isolated/person-dependent; 2 repeatable in limited areas; 3 institutionally structured; 4 broad/cross-functional and consistently operating; 5 continuously improved/scaled.</t>
        </is>
      </c>
      <c r="G38" s="8" t="inlineStr">
        <is>
          <t>Use outcome only when a legitimate measurable result exists; otherwise N/A.</t>
        </is>
      </c>
      <c r="H38" s="8" t="inlineStr">
        <is>
          <t>Only genuine mandate/context inapplicability with documented assessor approval; missing evidence is never N/A.</t>
        </is>
      </c>
      <c r="I38" s="8" t="inlineStr">
        <is>
          <t>—</t>
        </is>
      </c>
      <c r="J38" s="8" t="inlineStr">
        <is>
          <t>E0=0.20; E1=0.40; E2=0.65; E3=0.85; E4=1.00, subject to corroboration/independence adjustment. Report separately.</t>
        </is>
      </c>
      <c r="K38" s="8" t="inlineStr">
        <is>
          <t>No score uplift from claims alone; lock denominator/exclusions before results; sample verification; cross-check with adjacent domains; high scores require corroboration.</t>
        </is>
      </c>
      <c r="L38" s="8" t="inlineStr">
        <is>
          <t>Use primary-owner rule; shared evidence may validate multiple metrics but the same activity cannot be scored twice across domains.</t>
        </is>
      </c>
      <c r="M38" s="8" t="inlineStr">
        <is>
          <t>100*((0.45*M)+(0.30*I)+(0.25*O))/5 when O exists; otherwise 100*((0.60*M)+(0.40*I))/5.</t>
        </is>
      </c>
      <c r="N38" s="8" t="inlineStr">
        <is>
          <t>D03 methodology/data owner</t>
        </is>
      </c>
      <c r="O38" s="8" t="inlineStr">
        <is>
          <t>PROVISIONAL—pilot validation required</t>
        </is>
      </c>
    </row>
    <row r="39">
      <c r="A39" s="8" t="inlineStr">
        <is>
          <t>D03</t>
        </is>
      </c>
      <c r="B39" s="8" t="inlineStr">
        <is>
          <t>I14</t>
        </is>
      </c>
      <c r="C39" s="8" t="inlineStr">
        <is>
          <t>Ethical/Social Judgement</t>
        </is>
      </c>
      <c r="D39" s="8" t="inlineStr">
        <is>
          <t>Consequences, values, responsibility</t>
        </is>
      </c>
      <c r="E39" s="8" t="inlineStr">
        <is>
          <t>Anchor 0–5 from domain-specific maturity anchor using direct sampled practice/work evidence; do not infer maturity from policy statements alone.</t>
        </is>
      </c>
      <c r="F39" s="8" t="inlineStr">
        <is>
          <t>0–5: 0 absent; 1 isolated/person-dependent; 2 repeatable in limited areas; 3 institutionally structured; 4 broad/cross-functional and consistently operating; 5 continuously improved/scaled.</t>
        </is>
      </c>
      <c r="G39" s="8" t="inlineStr">
        <is>
          <t>Use outcome only when a legitimate measurable result exists; otherwise N/A.</t>
        </is>
      </c>
      <c r="H39" s="8" t="inlineStr">
        <is>
          <t>Only genuine mandate/context inapplicability with documented assessor approval; missing evidence is never N/A.</t>
        </is>
      </c>
      <c r="I39" s="8" t="inlineStr">
        <is>
          <t>—</t>
        </is>
      </c>
      <c r="J39" s="8" t="inlineStr">
        <is>
          <t>E0=0.20; E1=0.40; E2=0.65; E3=0.85; E4=1.00, subject to corroboration/independence adjustment. Report separately.</t>
        </is>
      </c>
      <c r="K39" s="8" t="inlineStr">
        <is>
          <t>No score uplift from claims alone; lock denominator/exclusions before results; sample verification; cross-check with adjacent domains; high scores require corroboration.</t>
        </is>
      </c>
      <c r="L39" s="8" t="inlineStr">
        <is>
          <t>Use primary-owner rule; shared evidence may validate multiple metrics but the same activity cannot be scored twice across domains.</t>
        </is>
      </c>
      <c r="M39" s="8" t="inlineStr">
        <is>
          <t>100*((0.45*M)+(0.30*I)+(0.25*O))/5 when O exists; otherwise 100*((0.60*M)+(0.40*I))/5.</t>
        </is>
      </c>
      <c r="N39" s="8" t="inlineStr">
        <is>
          <t>D03 methodology/data owner</t>
        </is>
      </c>
      <c r="O39" s="8" t="inlineStr">
        <is>
          <t>PROVISIONAL—pilot validation required</t>
        </is>
      </c>
    </row>
    <row r="40">
      <c r="A40" s="8" t="inlineStr">
        <is>
          <t>D03</t>
        </is>
      </c>
      <c r="B40" s="8" t="inlineStr">
        <is>
          <t>I15</t>
        </is>
      </c>
      <c r="C40" s="8" t="inlineStr">
        <is>
          <t>Intellectual Agency</t>
        </is>
      </c>
      <c r="D40" s="8" t="inlineStr">
        <is>
          <t>Independent inquiry and challenge</t>
        </is>
      </c>
      <c r="E40" s="8" t="inlineStr">
        <is>
          <t>Anchor 0–5 from domain-specific maturity anchor using direct sampled practice/work evidence; do not infer maturity from policy statements alone.</t>
        </is>
      </c>
      <c r="F40" s="8" t="inlineStr">
        <is>
          <t>0–5: 0 absent; 1 isolated/person-dependent; 2 repeatable in limited areas; 3 institutionally structured; 4 broad/cross-functional and consistently operating; 5 continuously improved/scaled.</t>
        </is>
      </c>
      <c r="G40" s="8" t="inlineStr">
        <is>
          <t>Use outcome only when a legitimate measurable result exists; otherwise N/A.</t>
        </is>
      </c>
      <c r="H40" s="8" t="inlineStr">
        <is>
          <t>Only genuine mandate/context inapplicability with documented assessor approval; missing evidence is never N/A.</t>
        </is>
      </c>
      <c r="I40" s="8" t="inlineStr">
        <is>
          <t>—</t>
        </is>
      </c>
      <c r="J40" s="8" t="inlineStr">
        <is>
          <t>E0=0.20; E1=0.40; E2=0.65; E3=0.85; E4=1.00, subject to corroboration/independence adjustment. Report separately.</t>
        </is>
      </c>
      <c r="K40" s="8" t="inlineStr">
        <is>
          <t>No score uplift from claims alone; lock denominator/exclusions before results; sample verification; cross-check with adjacent domains; high scores require corroboration.</t>
        </is>
      </c>
      <c r="L40" s="8" t="inlineStr">
        <is>
          <t>Use primary-owner rule; shared evidence may validate multiple metrics but the same activity cannot be scored twice across domains.</t>
        </is>
      </c>
      <c r="M40" s="8" t="inlineStr">
        <is>
          <t>100*((0.45*M)+(0.30*I)+(0.25*O))/5 when O exists; otherwise 100*((0.60*M)+(0.40*I))/5.</t>
        </is>
      </c>
      <c r="N40" s="8" t="inlineStr">
        <is>
          <t>D03 methodology/data owner</t>
        </is>
      </c>
      <c r="O40" s="8" t="inlineStr">
        <is>
          <t>PROVISIONAL—pilot validation required</t>
        </is>
      </c>
    </row>
    <row r="41">
      <c r="A41" s="8" t="inlineStr">
        <is>
          <t>D03</t>
        </is>
      </c>
      <c r="B41" s="8" t="inlineStr">
        <is>
          <t>I16</t>
        </is>
      </c>
      <c r="C41" s="8" t="inlineStr">
        <is>
          <t>Transfer Capability</t>
        </is>
      </c>
      <c r="D41" s="8" t="inlineStr">
        <is>
          <t>Unfamiliar/ambiguous application</t>
        </is>
      </c>
      <c r="E41" s="8" t="inlineStr">
        <is>
          <t>Anchor 0–5 from domain-specific maturity anchor using direct sampled practice/work evidence; do not infer maturity from policy statements alone.</t>
        </is>
      </c>
      <c r="F41" s="8" t="inlineStr">
        <is>
          <t>0–5: 0 absent; 1 isolated/person-dependent; 2 repeatable in limited areas; 3 institutionally structured; 4 broad/cross-functional and consistently operating; 5 continuously improved/scaled.</t>
        </is>
      </c>
      <c r="G41" s="8" t="inlineStr">
        <is>
          <t>Use outcome only when a legitimate measurable result exists; otherwise N/A.</t>
        </is>
      </c>
      <c r="H41" s="8" t="inlineStr">
        <is>
          <t>Only genuine mandate/context inapplicability with documented assessor approval; missing evidence is never N/A.</t>
        </is>
      </c>
      <c r="I41" s="8" t="inlineStr">
        <is>
          <t>—</t>
        </is>
      </c>
      <c r="J41" s="8" t="inlineStr">
        <is>
          <t>E0=0.20; E1=0.40; E2=0.65; E3=0.85; E4=1.00, subject to corroboration/independence adjustment. Report separately.</t>
        </is>
      </c>
      <c r="K41" s="8" t="inlineStr">
        <is>
          <t>No score uplift from claims alone; lock denominator/exclusions before results; sample verification; cross-check with adjacent domains; high scores require corroboration.</t>
        </is>
      </c>
      <c r="L41" s="8" t="inlineStr">
        <is>
          <t>Use primary-owner rule; shared evidence may validate multiple metrics but the same activity cannot be scored twice across domains.</t>
        </is>
      </c>
      <c r="M41" s="8" t="inlineStr">
        <is>
          <t>100*((0.45*M)+(0.30*I)+(0.25*O))/5 when O exists; otherwise 100*((0.60*M)+(0.40*I))/5.</t>
        </is>
      </c>
      <c r="N41" s="8" t="inlineStr">
        <is>
          <t>D03 methodology/data owner</t>
        </is>
      </c>
      <c r="O41" s="8" t="inlineStr">
        <is>
          <t>PROVISIONAL—pilot validation required</t>
        </is>
      </c>
    </row>
    <row r="42">
      <c r="A42" s="8" t="inlineStr">
        <is>
          <t>D03</t>
        </is>
      </c>
      <c r="B42" s="8" t="inlineStr">
        <is>
          <t>I17</t>
        </is>
      </c>
      <c r="C42" s="8" t="inlineStr">
        <is>
          <t>Non-Technical Discipline AI Capability</t>
        </is>
      </c>
      <c r="D42" s="8" t="inlineStr">
        <is>
          <t>Discipline-relevant AI capability beyond prompting</t>
        </is>
      </c>
      <c r="E42" s="8" t="inlineStr">
        <is>
          <t>Anchor 0–5 from domain-specific maturity anchor using direct sampled practice/work evidence; do not infer maturity from policy statements alone.</t>
        </is>
      </c>
      <c r="F42" s="8" t="inlineStr">
        <is>
          <t>0–5: 0 absent; 1 isolated/person-dependent; 2 repeatable in limited areas; 3 institutionally structured; 4 broad/cross-functional and consistently operating; 5 continuously improved/scaled.</t>
        </is>
      </c>
      <c r="G42" s="8" t="inlineStr">
        <is>
          <t>Use outcome only when a legitimate measurable result exists; otherwise N/A.</t>
        </is>
      </c>
      <c r="H42" s="8" t="inlineStr">
        <is>
          <t>Only genuine mandate/context inapplicability with documented assessor approval; missing evidence is never N/A.</t>
        </is>
      </c>
      <c r="I42" s="8" t="inlineStr">
        <is>
          <t>D03</t>
        </is>
      </c>
      <c r="J42" s="8" t="inlineStr">
        <is>
          <t>E0=0.20; E1=0.40; E2=0.65; E3=0.85; E4=1.00, subject to corroboration/independence adjustment. Report separately.</t>
        </is>
      </c>
      <c r="K42" s="8" t="inlineStr">
        <is>
          <t>No score uplift from claims alone; lock denominator/exclusions before results; sample verification; cross-check with adjacent domains; high scores require corroboration.</t>
        </is>
      </c>
      <c r="L42" s="8" t="inlineStr">
        <is>
          <t>Use primary-owner rule; shared evidence may validate multiple metrics but the same activity cannot be scored twice across domains.</t>
        </is>
      </c>
      <c r="M42" s="8" t="inlineStr">
        <is>
          <t>100*((0.45*M)+(0.30*I)+(0.25*O))/5 when O exists; otherwise 100*((0.60*M)+(0.40*I))/5.</t>
        </is>
      </c>
      <c r="N42" s="8" t="inlineStr">
        <is>
          <t>D03 methodology/data owner</t>
        </is>
      </c>
      <c r="O42" s="8" t="inlineStr">
        <is>
          <t>PROVISIONAL—pilot validation required</t>
        </is>
      </c>
    </row>
    <row r="43">
      <c r="A43" s="8" t="inlineStr">
        <is>
          <t>D04</t>
        </is>
      </c>
      <c r="B43" s="8" t="inlineStr">
        <is>
          <t>I01</t>
        </is>
      </c>
      <c r="C43" s="8" t="inlineStr">
        <is>
          <t>Curriculum Sensing Maturity</t>
        </is>
      </c>
      <c r="D43" s="8" t="inlineStr">
        <is>
          <t>How systematically programme teams detect disciplinary, technological and labour-market change</t>
        </is>
      </c>
      <c r="E43" s="8" t="inlineStr">
        <is>
          <t>Anchor 0–5 from domain-specific maturity anchor using direct sampled practice/work evidence; do not infer maturity from policy statements alone.</t>
        </is>
      </c>
      <c r="F43" s="8" t="inlineStr">
        <is>
          <t>0–5: 0 absent; 1 isolated/person-dependent; 2 repeatable in limited areas; 3 institutionally structured; 4 broad/cross-functional and consistently operating; 5 continuously improved/scaled.</t>
        </is>
      </c>
      <c r="G43" s="8" t="inlineStr">
        <is>
          <t>Use outcome only when a legitimate measurable result exists; otherwise N/A.</t>
        </is>
      </c>
      <c r="H43" s="8" t="inlineStr">
        <is>
          <t>Only genuine mandate/context inapplicability with documented assessor approval; missing evidence is never N/A.</t>
        </is>
      </c>
      <c r="I43" s="8" t="inlineStr">
        <is>
          <t>—</t>
        </is>
      </c>
      <c r="J43" s="8" t="inlineStr">
        <is>
          <t>E0=0.20; E1=0.40; E2=0.65; E3=0.85; E4=1.00, subject to corroboration/independence adjustment. Report separately.</t>
        </is>
      </c>
      <c r="K43" s="8" t="inlineStr">
        <is>
          <t>No score uplift from claims alone; lock denominator/exclusions before results; sample verification; cross-check with adjacent domains; high scores require corroboration.</t>
        </is>
      </c>
      <c r="L43" s="8" t="inlineStr">
        <is>
          <t>Use primary-owner rule; shared evidence may validate multiple metrics but the same activity cannot be scored twice across domains.</t>
        </is>
      </c>
      <c r="M43" s="8" t="inlineStr">
        <is>
          <t>100*((0.45*M)+(0.30*I)+(0.25*O))/5 when O exists; otherwise 100*((0.60*M)+(0.40*I))/5.</t>
        </is>
      </c>
      <c r="N43" s="8" t="inlineStr">
        <is>
          <t>D04 methodology/data owner</t>
        </is>
      </c>
      <c r="O43" s="8" t="inlineStr">
        <is>
          <t>PROVISIONAL—pilot validation required</t>
        </is>
      </c>
    </row>
    <row r="44">
      <c r="A44" s="8" t="inlineStr">
        <is>
          <t>D04</t>
        </is>
      </c>
      <c r="B44" s="8" t="inlineStr">
        <is>
          <t>I02</t>
        </is>
      </c>
      <c r="C44" s="8" t="inlineStr">
        <is>
          <t>Future Learning Outcome Alignment</t>
        </is>
      </c>
      <c r="D44" s="8" t="inlineStr">
        <is>
          <t>Extent to which outcomes reflect future professional/human capabilities</t>
        </is>
      </c>
      <c r="E44" s="8" t="inlineStr">
        <is>
          <t>Anchor 0–5 from domain-specific maturity anchor using direct sampled practice/work evidence; do not infer maturity from policy statements alone.</t>
        </is>
      </c>
      <c r="F44" s="8" t="inlineStr">
        <is>
          <t>0–5: 0 absent; 1 isolated/person-dependent; 2 repeatable in limited areas; 3 institutionally structured; 4 broad/cross-functional and consistently operating; 5 continuously improved/scaled.</t>
        </is>
      </c>
      <c r="G44" s="8" t="inlineStr">
        <is>
          <t>Use outcome only when a legitimate measurable result exists; otherwise N/A.</t>
        </is>
      </c>
      <c r="H44" s="8" t="inlineStr">
        <is>
          <t>Only genuine mandate/context inapplicability with documented assessor approval; missing evidence is never N/A.</t>
        </is>
      </c>
      <c r="I44" s="8" t="inlineStr">
        <is>
          <t>—</t>
        </is>
      </c>
      <c r="J44" s="8" t="inlineStr">
        <is>
          <t>E0=0.20; E1=0.40; E2=0.65; E3=0.85; E4=1.00, subject to corroboration/independence adjustment. Report separately.</t>
        </is>
      </c>
      <c r="K44" s="8" t="inlineStr">
        <is>
          <t>No score uplift from claims alone; lock denominator/exclusions before results; sample verification; cross-check with adjacent domains; high scores require corroboration.</t>
        </is>
      </c>
      <c r="L44" s="8" t="inlineStr">
        <is>
          <t>Use primary-owner rule; shared evidence may validate multiple metrics but the same activity cannot be scored twice across domains.</t>
        </is>
      </c>
      <c r="M44" s="8" t="inlineStr">
        <is>
          <t>100*((0.45*M)+(0.30*I)+(0.25*O))/5 when O exists; otherwise 100*((0.60*M)+(0.40*I))/5.</t>
        </is>
      </c>
      <c r="N44" s="8" t="inlineStr">
        <is>
          <t>D04 methodology/data owner</t>
        </is>
      </c>
      <c r="O44" s="8" t="inlineStr">
        <is>
          <t>PROVISIONAL—pilot validation required</t>
        </is>
      </c>
    </row>
    <row r="45">
      <c r="A45" s="8" t="inlineStr">
        <is>
          <t>D04</t>
        </is>
      </c>
      <c r="B45" s="8" t="inlineStr">
        <is>
          <t>I03</t>
        </is>
      </c>
      <c r="C45" s="8" t="inlineStr">
        <is>
          <t>Programme Review Effectiveness</t>
        </is>
      </c>
      <c r="D45" s="8" t="inlineStr">
        <is>
          <t>Whether review produces substantive AI/future-related changes</t>
        </is>
      </c>
      <c r="E45" s="8" t="inlineStr">
        <is>
          <t>Anchor 0–5 from domain-specific maturity anchor using direct sampled practice/work evidence; do not infer maturity from policy statements alone.</t>
        </is>
      </c>
      <c r="F45" s="8" t="inlineStr">
        <is>
          <t>0–5: 0 absent; 1 isolated/person-dependent; 2 repeatable in limited areas; 3 institutionally structured; 4 broad/cross-functional and consistently operating; 5 continuously improved/scaled.</t>
        </is>
      </c>
      <c r="G45" s="8" t="inlineStr">
        <is>
          <t>Use outcome only when a legitimate measurable result exists; otherwise N/A.</t>
        </is>
      </c>
      <c r="H45" s="8" t="inlineStr">
        <is>
          <t>Only genuine mandate/context inapplicability with documented assessor approval; missing evidence is never N/A.</t>
        </is>
      </c>
      <c r="I45" s="8" t="inlineStr">
        <is>
          <t>—</t>
        </is>
      </c>
      <c r="J45" s="8" t="inlineStr">
        <is>
          <t>E0=0.20; E1=0.40; E2=0.65; E3=0.85; E4=1.00, subject to corroboration/independence adjustment. Report separately.</t>
        </is>
      </c>
      <c r="K45" s="8" t="inlineStr">
        <is>
          <t>No score uplift from claims alone; lock denominator/exclusions before results; sample verification; cross-check with adjacent domains; high scores require corroboration.</t>
        </is>
      </c>
      <c r="L45" s="8" t="inlineStr">
        <is>
          <t>Use primary-owner rule; shared evidence may validate multiple metrics but the same activity cannot be scored twice across domains.</t>
        </is>
      </c>
      <c r="M45" s="8" t="inlineStr">
        <is>
          <t>100*((0.45*M)+(0.30*I)+(0.25*O))/5 when O exists; otherwise 100*((0.60*M)+(0.40*I))/5.</t>
        </is>
      </c>
      <c r="N45" s="8" t="inlineStr">
        <is>
          <t>D04 methodology/data owner</t>
        </is>
      </c>
      <c r="O45" s="8" t="inlineStr">
        <is>
          <t>PROVISIONAL—pilot validation required</t>
        </is>
      </c>
    </row>
    <row r="46">
      <c r="A46" s="8" t="inlineStr">
        <is>
          <t>D04</t>
        </is>
      </c>
      <c r="B46" s="8" t="inlineStr">
        <is>
          <t>I04</t>
        </is>
      </c>
      <c r="C46" s="8" t="inlineStr">
        <is>
          <t>Disciplinary AI Integration Depth</t>
        </is>
      </c>
      <c r="D46" s="8" t="inlineStr">
        <is>
          <t>AI integration appropriate to discipline rather than generic AI exposure</t>
        </is>
      </c>
      <c r="E46" s="8" t="inlineStr">
        <is>
          <t>Anchor 0–5 from domain-specific maturity anchor using direct sampled practice/work evidence; do not infer maturity from policy statements alone.</t>
        </is>
      </c>
      <c r="F46" s="8" t="inlineStr">
        <is>
          <t>0–5: 0 absent; 1 isolated/person-dependent; 2 repeatable in limited areas; 3 institutionally structured; 4 broad/cross-functional and consistently operating; 5 continuously improved/scaled.</t>
        </is>
      </c>
      <c r="G46" s="8" t="inlineStr">
        <is>
          <t>Use outcome only when a legitimate measurable result exists; otherwise N/A.</t>
        </is>
      </c>
      <c r="H46" s="8" t="inlineStr">
        <is>
          <t>Only genuine mandate/context inapplicability with documented assessor approval; missing evidence is never N/A.</t>
        </is>
      </c>
      <c r="I46" s="8" t="inlineStr">
        <is>
          <t>—</t>
        </is>
      </c>
      <c r="J46" s="8" t="inlineStr">
        <is>
          <t>E0=0.20; E1=0.40; E2=0.65; E3=0.85; E4=1.00, subject to corroboration/independence adjustment. Report separately.</t>
        </is>
      </c>
      <c r="K46" s="8" t="inlineStr">
        <is>
          <t>No score uplift from claims alone; lock denominator/exclusions before results; sample verification; cross-check with adjacent domains; high scores require corroboration.</t>
        </is>
      </c>
      <c r="L46" s="8" t="inlineStr">
        <is>
          <t>Use primary-owner rule; shared evidence may validate multiple metrics but the same activity cannot be scored twice across domains.</t>
        </is>
      </c>
      <c r="M46" s="8" t="inlineStr">
        <is>
          <t>100*((0.45*M)+(0.30*I)+(0.25*O))/5 when O exists; otherwise 100*((0.60*M)+(0.40*I))/5.</t>
        </is>
      </c>
      <c r="N46" s="8" t="inlineStr">
        <is>
          <t>D04 methodology/data owner</t>
        </is>
      </c>
      <c r="O46" s="8" t="inlineStr">
        <is>
          <t>PROVISIONAL—pilot validation required</t>
        </is>
      </c>
    </row>
    <row r="47">
      <c r="A47" s="8" t="inlineStr">
        <is>
          <t>D04</t>
        </is>
      </c>
      <c r="B47" s="8" t="inlineStr">
        <is>
          <t>I05</t>
        </is>
      </c>
      <c r="C47" s="8" t="inlineStr">
        <is>
          <t>Content Obsolescence Response</t>
        </is>
      </c>
      <c r="D47" s="8" t="inlineStr">
        <is>
          <t>Speed and quality of response when content/tasks become less valuable</t>
        </is>
      </c>
      <c r="E47" s="8" t="inlineStr">
        <is>
          <t>Anchor 0–5 from domain-specific maturity anchor using direct sampled practice/work evidence; do not infer maturity from policy statements alone.</t>
        </is>
      </c>
      <c r="F47" s="8" t="inlineStr">
        <is>
          <t>0–5: 0 absent; 1 isolated/person-dependent; 2 repeatable in limited areas; 3 institutionally structured; 4 broad/cross-functional and consistently operating; 5 continuously improved/scaled.</t>
        </is>
      </c>
      <c r="G47" s="8" t="inlineStr">
        <is>
          <t>Use outcome only when a legitimate measurable result exists; otherwise N/A.</t>
        </is>
      </c>
      <c r="H47" s="8" t="inlineStr">
        <is>
          <t>Only genuine mandate/context inapplicability with documented assessor approval; missing evidence is never N/A.</t>
        </is>
      </c>
      <c r="I47" s="8" t="inlineStr">
        <is>
          <t>—</t>
        </is>
      </c>
      <c r="J47" s="8" t="inlineStr">
        <is>
          <t>E0=0.20; E1=0.40; E2=0.65; E3=0.85; E4=1.00, subject to corroboration/independence adjustment. Report separately.</t>
        </is>
      </c>
      <c r="K47" s="8" t="inlineStr">
        <is>
          <t>No score uplift from claims alone; lock denominator/exclusions before results; sample verification; cross-check with adjacent domains; high scores require corroboration.</t>
        </is>
      </c>
      <c r="L47" s="8" t="inlineStr">
        <is>
          <t>Use primary-owner rule; shared evidence may validate multiple metrics but the same activity cannot be scored twice across domains.</t>
        </is>
      </c>
      <c r="M47" s="8" t="inlineStr">
        <is>
          <t>100*((0.45*M)+(0.30*I)+(0.25*O))/5 when O exists; otherwise 100*((0.60*M)+(0.40*I))/5.</t>
        </is>
      </c>
      <c r="N47" s="8" t="inlineStr">
        <is>
          <t>D04 methodology/data owner</t>
        </is>
      </c>
      <c r="O47" s="8" t="inlineStr">
        <is>
          <t>PROVISIONAL—pilot validation required</t>
        </is>
      </c>
    </row>
    <row r="48">
      <c r="A48" s="8" t="inlineStr">
        <is>
          <t>D04</t>
        </is>
      </c>
      <c r="B48" s="8" t="inlineStr">
        <is>
          <t>I06</t>
        </is>
      </c>
      <c r="C48" s="8" t="inlineStr">
        <is>
          <t>Experiential Learning Strength</t>
        </is>
      </c>
      <c r="D48" s="8" t="inlineStr">
        <is>
          <t>Extent of projects, labs, fieldwork, practice and authentic tasks</t>
        </is>
      </c>
      <c r="E48" s="8" t="inlineStr">
        <is>
          <t>Anchor 0–5 from domain-specific maturity anchor using direct sampled practice/work evidence; do not infer maturity from policy statements alone.</t>
        </is>
      </c>
      <c r="F48" s="8" t="inlineStr">
        <is>
          <t>0–5: 0 absent; 1 isolated/person-dependent; 2 repeatable in limited areas; 3 institutionally structured; 4 broad/cross-functional and consistently operating; 5 continuously improved/scaled.</t>
        </is>
      </c>
      <c r="G48" s="8" t="inlineStr">
        <is>
          <t>Use outcome only when a legitimate measurable result exists; otherwise N/A.</t>
        </is>
      </c>
      <c r="H48" s="8" t="inlineStr">
        <is>
          <t>Only genuine mandate/context inapplicability with documented assessor approval; missing evidence is never N/A.</t>
        </is>
      </c>
      <c r="I48" s="8" t="inlineStr">
        <is>
          <t>—</t>
        </is>
      </c>
      <c r="J48" s="8" t="inlineStr">
        <is>
          <t>E0=0.20; E1=0.40; E2=0.65; E3=0.85; E4=1.00, subject to corroboration/independence adjustment. Report separately.</t>
        </is>
      </c>
      <c r="K48" s="8" t="inlineStr">
        <is>
          <t>No score uplift from claims alone; lock denominator/exclusions before results; sample verification; cross-check with adjacent domains; high scores require corroboration.</t>
        </is>
      </c>
      <c r="L48" s="8" t="inlineStr">
        <is>
          <t>Use primary-owner rule; shared evidence may validate multiple metrics but the same activity cannot be scored twice across domains.</t>
        </is>
      </c>
      <c r="M48" s="8" t="inlineStr">
        <is>
          <t>100*((0.45*M)+(0.30*I)+(0.25*O))/5 when O exists; otherwise 100*((0.60*M)+(0.40*I))/5.</t>
        </is>
      </c>
      <c r="N48" s="8" t="inlineStr">
        <is>
          <t>D04 methodology/data owner</t>
        </is>
      </c>
      <c r="O48" s="8" t="inlineStr">
        <is>
          <t>PROVISIONAL—pilot validation required</t>
        </is>
      </c>
    </row>
    <row r="49">
      <c r="A49" s="8" t="inlineStr">
        <is>
          <t>D04</t>
        </is>
      </c>
      <c r="B49" s="8" t="inlineStr">
        <is>
          <t>I07</t>
        </is>
      </c>
      <c r="C49" s="8" t="inlineStr">
        <is>
          <t>Interdisciplinary Flexibility</t>
        </is>
      </c>
      <c r="D49" s="8" t="inlineStr">
        <is>
          <t>Ability for students to learn/work across boundaries</t>
        </is>
      </c>
      <c r="E49" s="8" t="inlineStr">
        <is>
          <t>Anchor 0–5 from domain-specific maturity anchor using direct sampled practice/work evidence; do not infer maturity from policy statements alone.</t>
        </is>
      </c>
      <c r="F49" s="8" t="inlineStr">
        <is>
          <t>0–5: 0 absent; 1 isolated/person-dependent; 2 repeatable in limited areas; 3 institutionally structured; 4 broad/cross-functional and consistently operating; 5 continuously improved/scaled.</t>
        </is>
      </c>
      <c r="G49" s="8" t="inlineStr">
        <is>
          <t>Use outcome only when a legitimate measurable result exists; otherwise N/A.</t>
        </is>
      </c>
      <c r="H49" s="8" t="inlineStr">
        <is>
          <t>Only genuine mandate/context inapplicability with documented assessor approval; missing evidence is never N/A.</t>
        </is>
      </c>
      <c r="I49" s="8" t="inlineStr">
        <is>
          <t>—</t>
        </is>
      </c>
      <c r="J49" s="8" t="inlineStr">
        <is>
          <t>E0=0.20; E1=0.40; E2=0.65; E3=0.85; E4=1.00, subject to corroboration/independence adjustment. Report separately.</t>
        </is>
      </c>
      <c r="K49" s="8" t="inlineStr">
        <is>
          <t>No score uplift from claims alone; lock denominator/exclusions before results; sample verification; cross-check with adjacent domains; high scores require corroboration.</t>
        </is>
      </c>
      <c r="L49" s="8" t="inlineStr">
        <is>
          <t>Use primary-owner rule; shared evidence may validate multiple metrics but the same activity cannot be scored twice across domains.</t>
        </is>
      </c>
      <c r="M49" s="8" t="inlineStr">
        <is>
          <t>100*((0.45*M)+(0.30*I)+(0.25*O))/5 when O exists; otherwise 100*((0.60*M)+(0.40*I))/5.</t>
        </is>
      </c>
      <c r="N49" s="8" t="inlineStr">
        <is>
          <t>D04 methodology/data owner</t>
        </is>
      </c>
      <c r="O49" s="8" t="inlineStr">
        <is>
          <t>PROVISIONAL—pilot validation required</t>
        </is>
      </c>
    </row>
    <row r="50">
      <c r="A50" s="8" t="inlineStr">
        <is>
          <t>D04</t>
        </is>
      </c>
      <c r="B50" s="8" t="inlineStr">
        <is>
          <t>I08</t>
        </is>
      </c>
      <c r="C50" s="8" t="inlineStr">
        <is>
          <t>Programme Agility</t>
        </is>
      </c>
      <c r="D50" s="8" t="inlineStr">
        <is>
          <t>Ability to modify modules, electives, pathways and learning experiences</t>
        </is>
      </c>
      <c r="E50" s="8" t="inlineStr">
        <is>
          <t>Anchor 0–5 from domain-specific maturity anchor using direct sampled practice/work evidence; do not infer maturity from policy statements alone.</t>
        </is>
      </c>
      <c r="F50" s="8" t="inlineStr">
        <is>
          <t>0–5: 0 absent; 1 isolated/person-dependent; 2 repeatable in limited areas; 3 institutionally structured; 4 broad/cross-functional and consistently operating; 5 continuously improved/scaled.</t>
        </is>
      </c>
      <c r="G50" s="8" t="inlineStr">
        <is>
          <t>Use outcome only when a legitimate measurable result exists; otherwise N/A.</t>
        </is>
      </c>
      <c r="H50" s="8" t="inlineStr">
        <is>
          <t>Only genuine mandate/context inapplicability with documented assessor approval; missing evidence is never N/A.</t>
        </is>
      </c>
      <c r="I50" s="8" t="inlineStr">
        <is>
          <t>—</t>
        </is>
      </c>
      <c r="J50" s="8" t="inlineStr">
        <is>
          <t>E0=0.20; E1=0.40; E2=0.65; E3=0.85; E4=1.00, subject to corroboration/independence adjustment. Report separately.</t>
        </is>
      </c>
      <c r="K50" s="8" t="inlineStr">
        <is>
          <t>No score uplift from claims alone; lock denominator/exclusions before results; sample verification; cross-check with adjacent domains; high scores require corroboration.</t>
        </is>
      </c>
      <c r="L50" s="8" t="inlineStr">
        <is>
          <t>Use primary-owner rule; shared evidence may validate multiple metrics but the same activity cannot be scored twice across domains.</t>
        </is>
      </c>
      <c r="M50" s="8" t="inlineStr">
        <is>
          <t>100*((0.45*M)+(0.30*I)+(0.25*O))/5 when O exists; otherwise 100*((0.60*M)+(0.40*I))/5.</t>
        </is>
      </c>
      <c r="N50" s="8" t="inlineStr">
        <is>
          <t>D04 methodology/data owner</t>
        </is>
      </c>
      <c r="O50" s="8" t="inlineStr">
        <is>
          <t>PROVISIONAL—pilot validation required</t>
        </is>
      </c>
    </row>
    <row r="51">
      <c r="A51" s="8" t="inlineStr">
        <is>
          <t>D04</t>
        </is>
      </c>
      <c r="B51" s="8" t="inlineStr">
        <is>
          <t>I09</t>
        </is>
      </c>
      <c r="C51" s="8" t="inlineStr">
        <is>
          <t>External Validation Strength</t>
        </is>
      </c>
      <c r="D51" s="8" t="inlineStr">
        <is>
          <t>Use of employers/professionals/alumni/disciplinary experts in programme evolution</t>
        </is>
      </c>
      <c r="E51" s="8" t="inlineStr">
        <is>
          <t>Anchor 0–5 from domain-specific maturity anchor using direct sampled practice/work evidence; do not infer maturity from policy statements alone.</t>
        </is>
      </c>
      <c r="F51" s="8" t="inlineStr">
        <is>
          <t>0–5: 0 absent; 1 isolated/person-dependent; 2 repeatable in limited areas; 3 institutionally structured; 4 broad/cross-functional and consistently operating; 5 continuously improved/scaled.</t>
        </is>
      </c>
      <c r="G51" s="8" t="inlineStr">
        <is>
          <t>Use outcome only when a legitimate measurable result exists; otherwise N/A.</t>
        </is>
      </c>
      <c r="H51" s="8" t="inlineStr">
        <is>
          <t>Only genuine mandate/context inapplicability with documented assessor approval; missing evidence is never N/A.</t>
        </is>
      </c>
      <c r="I51" s="8" t="inlineStr">
        <is>
          <t>—</t>
        </is>
      </c>
      <c r="J51" s="8" t="inlineStr">
        <is>
          <t>E0=0.20; E1=0.40; E2=0.65; E3=0.85; E4=1.00, subject to corroboration/independence adjustment. Report separately.</t>
        </is>
      </c>
      <c r="K51" s="8" t="inlineStr">
        <is>
          <t>No score uplift from claims alone; lock denominator/exclusions before results; sample verification; cross-check with adjacent domains; high scores require corroboration.</t>
        </is>
      </c>
      <c r="L51" s="8" t="inlineStr">
        <is>
          <t>Use primary-owner rule; shared evidence may validate multiple metrics but the same activity cannot be scored twice across domains.</t>
        </is>
      </c>
      <c r="M51" s="8" t="inlineStr">
        <is>
          <t>100*((0.45*M)+(0.30*I)+(0.25*O))/5 when O exists; otherwise 100*((0.60*M)+(0.40*I))/5.</t>
        </is>
      </c>
      <c r="N51" s="8" t="inlineStr">
        <is>
          <t>D04 methodology/data owner</t>
        </is>
      </c>
      <c r="O51" s="8" t="inlineStr">
        <is>
          <t>PROVISIONAL—pilot validation required</t>
        </is>
      </c>
    </row>
    <row r="52">
      <c r="A52" s="8" t="inlineStr">
        <is>
          <t>D04</t>
        </is>
      </c>
      <c r="B52" s="8" t="inlineStr">
        <is>
          <t>I10</t>
        </is>
      </c>
      <c r="C52" s="8" t="inlineStr">
        <is>
          <t>External Learning Ecosystem</t>
        </is>
      </c>
      <c r="D52" s="8" t="inlineStr">
        <is>
          <t>Use of industry, research, community and external platforms as learning environments</t>
        </is>
      </c>
      <c r="E52" s="8" t="inlineStr">
        <is>
          <t>Anchor 0–5 from domain-specific maturity anchor using direct sampled practice/work evidence; do not infer maturity from policy statements alone.</t>
        </is>
      </c>
      <c r="F52" s="8" t="inlineStr">
        <is>
          <t>0–5: 0 absent; 1 isolated/person-dependent; 2 repeatable in limited areas; 3 institutionally structured; 4 broad/cross-functional and consistently operating; 5 continuously improved/scaled.</t>
        </is>
      </c>
      <c r="G52" s="8" t="inlineStr">
        <is>
          <t>Use outcome only when a legitimate measurable result exists; otherwise N/A.</t>
        </is>
      </c>
      <c r="H52" s="8" t="inlineStr">
        <is>
          <t>Only genuine mandate/context inapplicability with documented assessor approval; missing evidence is never N/A.</t>
        </is>
      </c>
      <c r="I52" s="8" t="inlineStr">
        <is>
          <t>—</t>
        </is>
      </c>
      <c r="J52" s="8" t="inlineStr">
        <is>
          <t>E0=0.20; E1=0.40; E2=0.65; E3=0.85; E4=1.00, subject to corroboration/independence adjustment. Report separately.</t>
        </is>
      </c>
      <c r="K52" s="8" t="inlineStr">
        <is>
          <t>No score uplift from claims alone; lock denominator/exclusions before results; sample verification; cross-check with adjacent domains; high scores require corroboration.</t>
        </is>
      </c>
      <c r="L52" s="8" t="inlineStr">
        <is>
          <t>Use primary-owner rule; shared evidence may validate multiple metrics but the same activity cannot be scored twice across domains.</t>
        </is>
      </c>
      <c r="M52" s="8" t="inlineStr">
        <is>
          <t>100*((0.45*M)+(0.30*I)+(0.25*O))/5 when O exists; otherwise 100*((0.60*M)+(0.40*I))/5.</t>
        </is>
      </c>
      <c r="N52" s="8" t="inlineStr">
        <is>
          <t>D04 methodology/data owner</t>
        </is>
      </c>
      <c r="O52" s="8" t="inlineStr">
        <is>
          <t>PROVISIONAL—pilot validation required</t>
        </is>
      </c>
    </row>
    <row r="53">
      <c r="A53" s="8" t="inlineStr">
        <is>
          <t>D04</t>
        </is>
      </c>
      <c r="B53" s="8" t="inlineStr">
        <is>
          <t>I11</t>
        </is>
      </c>
      <c r="C53" s="8" t="inlineStr">
        <is>
          <t>Transfer Capability</t>
        </is>
      </c>
      <c r="D53" s="8" t="inlineStr">
        <is>
          <t>Extent students apply learning to unfamiliar/real situations</t>
        </is>
      </c>
      <c r="E53" s="8" t="inlineStr">
        <is>
          <t>Anchor 0–5 from domain-specific maturity anchor using direct sampled practice/work evidence; do not infer maturity from policy statements alone.</t>
        </is>
      </c>
      <c r="F53" s="8" t="inlineStr">
        <is>
          <t>0–5: 0 absent; 1 isolated/person-dependent; 2 repeatable in limited areas; 3 institutionally structured; 4 broad/cross-functional and consistently operating; 5 continuously improved/scaled.</t>
        </is>
      </c>
      <c r="G53" s="8" t="inlineStr">
        <is>
          <t>Use outcome only when a legitimate measurable result exists; otherwise N/A.</t>
        </is>
      </c>
      <c r="H53" s="8" t="inlineStr">
        <is>
          <t>Only genuine mandate/context inapplicability with documented assessor approval; missing evidence is never N/A.</t>
        </is>
      </c>
      <c r="I53" s="8" t="inlineStr">
        <is>
          <t>—</t>
        </is>
      </c>
      <c r="J53" s="8" t="inlineStr">
        <is>
          <t>E0=0.20; E1=0.40; E2=0.65; E3=0.85; E4=1.00, subject to corroboration/independence adjustment. Report separately.</t>
        </is>
      </c>
      <c r="K53" s="8" t="inlineStr">
        <is>
          <t>No score uplift from claims alone; lock denominator/exclusions before results; sample verification; cross-check with adjacent domains; high scores require corroboration.</t>
        </is>
      </c>
      <c r="L53" s="8" t="inlineStr">
        <is>
          <t>Use primary-owner rule; shared evidence may validate multiple metrics but the same activity cannot be scored twice across domains.</t>
        </is>
      </c>
      <c r="M53" s="8" t="inlineStr">
        <is>
          <t>100*((0.45*M)+(0.30*I)+(0.25*O))/5 when O exists; otherwise 100*((0.60*M)+(0.40*I))/5.</t>
        </is>
      </c>
      <c r="N53" s="8" t="inlineStr">
        <is>
          <t>D04 methodology/data owner</t>
        </is>
      </c>
      <c r="O53" s="8" t="inlineStr">
        <is>
          <t>PROVISIONAL—pilot validation required</t>
        </is>
      </c>
    </row>
    <row r="54">
      <c r="A54" s="8" t="inlineStr">
        <is>
          <t>D04</t>
        </is>
      </c>
      <c r="B54" s="8" t="inlineStr">
        <is>
          <t>I12</t>
        </is>
      </c>
      <c r="C54" s="8" t="inlineStr">
        <is>
          <t>Portfolio Foresight</t>
        </is>
      </c>
      <c r="D54" s="8" t="inlineStr">
        <is>
          <t>Whether programme portfolio remains aligned with institutional future direction</t>
        </is>
      </c>
      <c r="E54" s="8" t="inlineStr">
        <is>
          <t>Anchor 0–5 from domain-specific maturity anchor using direct sampled practice/work evidence; do not infer maturity from policy statements alone.</t>
        </is>
      </c>
      <c r="F54" s="8" t="inlineStr">
        <is>
          <t>0–5: 0 absent; 1 isolated/person-dependent; 2 repeatable in limited areas; 3 institutionally structured; 4 broad/cross-functional and consistently operating; 5 continuously improved/scaled.</t>
        </is>
      </c>
      <c r="G54" s="8" t="inlineStr">
        <is>
          <t>Use outcome only when a legitimate measurable result exists; otherwise N/A.</t>
        </is>
      </c>
      <c r="H54" s="8" t="inlineStr">
        <is>
          <t>Only genuine mandate/context inapplicability with documented assessor approval; missing evidence is never N/A.</t>
        </is>
      </c>
      <c r="I54" s="8" t="inlineStr">
        <is>
          <t>—</t>
        </is>
      </c>
      <c r="J54" s="8" t="inlineStr">
        <is>
          <t>E0=0.20; E1=0.40; E2=0.65; E3=0.85; E4=1.00, subject to corroboration/independence adjustment. Report separately.</t>
        </is>
      </c>
      <c r="K54" s="8" t="inlineStr">
        <is>
          <t>No score uplift from claims alone; lock denominator/exclusions before results; sample verification; cross-check with adjacent domains; high scores require corroboration.</t>
        </is>
      </c>
      <c r="L54" s="8" t="inlineStr">
        <is>
          <t>Use primary-owner rule; shared evidence may validate multiple metrics but the same activity cannot be scored twice across domains.</t>
        </is>
      </c>
      <c r="M54" s="8" t="inlineStr">
        <is>
          <t>100*((0.45*M)+(0.30*I)+(0.25*O))/5 when O exists; otherwise 100*((0.60*M)+(0.40*I))/5.</t>
        </is>
      </c>
      <c r="N54" s="8" t="inlineStr">
        <is>
          <t>D04 methodology/data owner</t>
        </is>
      </c>
      <c r="O54" s="8" t="inlineStr">
        <is>
          <t>PROVISIONAL—pilot validation required</t>
        </is>
      </c>
    </row>
    <row r="55">
      <c r="A55" s="8" t="inlineStr">
        <is>
          <t>D05</t>
        </is>
      </c>
      <c r="B55" s="8" t="inlineStr">
        <is>
          <t>I01</t>
        </is>
      </c>
      <c r="C55" s="8" t="inlineStr">
        <is>
          <t>Faculty AI Literacy Maturity</t>
        </is>
      </c>
      <c r="D55" s="8" t="inlineStr">
        <is>
          <t>Ability to understand AI capabilities, limits, risks and appropriate use</t>
        </is>
      </c>
      <c r="E55" s="8" t="inlineStr">
        <is>
          <t>Anchor 0–5 from domain-specific maturity anchor using direct sampled practice/work evidence; do not infer maturity from policy statements alone.</t>
        </is>
      </c>
      <c r="F55" s="8" t="inlineStr">
        <is>
          <t>0–5: 0 absent; 1 isolated/person-dependent; 2 repeatable in limited areas; 3 institutionally structured; 4 broad/cross-functional and consistently operating; 5 continuously improved/scaled.</t>
        </is>
      </c>
      <c r="G55" s="8" t="inlineStr">
        <is>
          <t>Use outcome only when a legitimate measurable result exists; otherwise N/A.</t>
        </is>
      </c>
      <c r="H55" s="8" t="inlineStr">
        <is>
          <t>Only genuine mandate/context inapplicability with documented assessor approval; missing evidence is never N/A.</t>
        </is>
      </c>
      <c r="I55" s="8" t="inlineStr">
        <is>
          <t>—</t>
        </is>
      </c>
      <c r="J55" s="8" t="inlineStr">
        <is>
          <t>E0=0.20; E1=0.40; E2=0.65; E3=0.85; E4=1.00, subject to corroboration/independence adjustment. Report separately.</t>
        </is>
      </c>
      <c r="K55" s="8" t="inlineStr">
        <is>
          <t>No score uplift from claims alone; lock denominator/exclusions before results; sample verification; cross-check with adjacent domains; high scores require corroboration.</t>
        </is>
      </c>
      <c r="L55" s="8" t="inlineStr">
        <is>
          <t>Use primary-owner rule; shared evidence may validate multiple metrics but the same activity cannot be scored twice across domains.</t>
        </is>
      </c>
      <c r="M55" s="8" t="inlineStr">
        <is>
          <t>100*((0.45*M)+(0.30*I)+(0.25*O))/5 when O exists; otherwise 100*((0.60*M)+(0.40*I))/5.</t>
        </is>
      </c>
      <c r="N55" s="8" t="inlineStr">
        <is>
          <t>D05 methodology/data owner</t>
        </is>
      </c>
      <c r="O55" s="8" t="inlineStr">
        <is>
          <t>PROVISIONAL—pilot validation required</t>
        </is>
      </c>
    </row>
    <row r="56">
      <c r="A56" s="8" t="inlineStr">
        <is>
          <t>D05</t>
        </is>
      </c>
      <c r="B56" s="8" t="inlineStr">
        <is>
          <t>I02</t>
        </is>
      </c>
      <c r="C56" s="8" t="inlineStr">
        <is>
          <t>Discipline-Specific AI Practice</t>
        </is>
      </c>
      <c r="D56" s="8" t="inlineStr">
        <is>
          <t>Use of AI in ways meaningful to the discipline</t>
        </is>
      </c>
      <c r="E56" s="8" t="inlineStr">
        <is>
          <t>Anchor 0–5 from domain-specific maturity anchor using direct sampled practice/work evidence; do not infer maturity from policy statements alone.</t>
        </is>
      </c>
      <c r="F56" s="8" t="inlineStr">
        <is>
          <t>0–5: 0 absent; 1 isolated/person-dependent; 2 repeatable in limited areas; 3 institutionally structured; 4 broad/cross-functional and consistently operating; 5 continuously improved/scaled.</t>
        </is>
      </c>
      <c r="G56" s="8" t="inlineStr">
        <is>
          <t>Use outcome only when a legitimate measurable result exists; otherwise N/A.</t>
        </is>
      </c>
      <c r="H56" s="8" t="inlineStr">
        <is>
          <t>Only genuine mandate/context inapplicability with documented assessor approval; missing evidence is never N/A.</t>
        </is>
      </c>
      <c r="I56" s="8" t="inlineStr">
        <is>
          <t>—</t>
        </is>
      </c>
      <c r="J56" s="8" t="inlineStr">
        <is>
          <t>E0=0.20; E1=0.40; E2=0.65; E3=0.85; E4=1.00, subject to corroboration/independence adjustment. Report separately.</t>
        </is>
      </c>
      <c r="K56" s="8" t="inlineStr">
        <is>
          <t>No score uplift from claims alone; lock denominator/exclusions before results; sample verification; cross-check with adjacent domains; high scores require corroboration.</t>
        </is>
      </c>
      <c r="L56" s="8" t="inlineStr">
        <is>
          <t>Use primary-owner rule; shared evidence may validate multiple metrics but the same activity cannot be scored twice across domains.</t>
        </is>
      </c>
      <c r="M56" s="8" t="inlineStr">
        <is>
          <t>100*((0.45*M)+(0.30*I)+(0.25*O))/5 when O exists; otherwise 100*((0.60*M)+(0.40*I))/5.</t>
        </is>
      </c>
      <c r="N56" s="8" t="inlineStr">
        <is>
          <t>D05 methodology/data owner</t>
        </is>
      </c>
      <c r="O56" s="8" t="inlineStr">
        <is>
          <t>PROVISIONAL—pilot validation required</t>
        </is>
      </c>
    </row>
    <row r="57">
      <c r="A57" s="8" t="inlineStr">
        <is>
          <t>D05</t>
        </is>
      </c>
      <c r="B57" s="8" t="inlineStr">
        <is>
          <t>I03</t>
        </is>
      </c>
      <c r="C57" s="8" t="inlineStr">
        <is>
          <t>AI-Enhanced Pedagogy</t>
        </is>
      </c>
      <c r="D57" s="8" t="inlineStr">
        <is>
          <t>Ability to redesign learning around AI rather than merely add tools</t>
        </is>
      </c>
      <c r="E57" s="8" t="inlineStr">
        <is>
          <t>Anchor 0–5 from domain-specific maturity anchor using direct sampled practice/work evidence; do not infer maturity from policy statements alone.</t>
        </is>
      </c>
      <c r="F57" s="8" t="inlineStr">
        <is>
          <t>0–5: 0 absent; 1 isolated/person-dependent; 2 repeatable in limited areas; 3 institutionally structured; 4 broad/cross-functional and consistently operating; 5 continuously improved/scaled.</t>
        </is>
      </c>
      <c r="G57" s="8" t="inlineStr">
        <is>
          <t>Use outcome only when a legitimate measurable result exists; otherwise N/A.</t>
        </is>
      </c>
      <c r="H57" s="8" t="inlineStr">
        <is>
          <t>Only genuine mandate/context inapplicability with documented assessor approval; missing evidence is never N/A.</t>
        </is>
      </c>
      <c r="I57" s="8" t="inlineStr">
        <is>
          <t>—</t>
        </is>
      </c>
      <c r="J57" s="8" t="inlineStr">
        <is>
          <t>E0=0.20; E1=0.40; E2=0.65; E3=0.85; E4=1.00, subject to corroboration/independence adjustment. Report separately.</t>
        </is>
      </c>
      <c r="K57" s="8" t="inlineStr">
        <is>
          <t>No score uplift from claims alone; lock denominator/exclusions before results; sample verification; cross-check with adjacent domains; high scores require corroboration.</t>
        </is>
      </c>
      <c r="L57" s="8" t="inlineStr">
        <is>
          <t>Use primary-owner rule; shared evidence may validate multiple metrics but the same activity cannot be scored twice across domains.</t>
        </is>
      </c>
      <c r="M57" s="8" t="inlineStr">
        <is>
          <t>100*((0.45*M)+(0.30*I)+(0.25*O))/5 when O exists; otherwise 100*((0.60*M)+(0.40*I))/5.</t>
        </is>
      </c>
      <c r="N57" s="8" t="inlineStr">
        <is>
          <t>D05 methodology/data owner</t>
        </is>
      </c>
      <c r="O57" s="8" t="inlineStr">
        <is>
          <t>PROVISIONAL—pilot validation required</t>
        </is>
      </c>
    </row>
    <row r="58">
      <c r="A58" s="8" t="inlineStr">
        <is>
          <t>D05</t>
        </is>
      </c>
      <c r="B58" s="8" t="inlineStr">
        <is>
          <t>I04</t>
        </is>
      </c>
      <c r="C58" s="8" t="inlineStr">
        <is>
          <t>Assessment Redesign Capability</t>
        </is>
      </c>
      <c r="D58" s="8" t="inlineStr">
        <is>
          <t>Faculty ability to redesign tasks so genuine capability remains visible</t>
        </is>
      </c>
      <c r="E58" s="8" t="inlineStr">
        <is>
          <t>Anchor 0–5 from domain-specific maturity anchor using direct sampled practice/work evidence; do not infer maturity from policy statements alone.</t>
        </is>
      </c>
      <c r="F58" s="8" t="inlineStr">
        <is>
          <t>0–5: 0 absent; 1 isolated/person-dependent; 2 repeatable in limited areas; 3 institutionally structured; 4 broad/cross-functional and consistently operating; 5 continuously improved/scaled.</t>
        </is>
      </c>
      <c r="G58" s="8" t="inlineStr">
        <is>
          <t>Use outcome only when a legitimate measurable result exists; otherwise N/A.</t>
        </is>
      </c>
      <c r="H58" s="8" t="inlineStr">
        <is>
          <t>Only genuine mandate/context inapplicability with documented assessor approval; missing evidence is never N/A.</t>
        </is>
      </c>
      <c r="I58" s="8" t="inlineStr">
        <is>
          <t>—</t>
        </is>
      </c>
      <c r="J58" s="8" t="inlineStr">
        <is>
          <t>E0=0.20; E1=0.40; E2=0.65; E3=0.85; E4=1.00, subject to corroboration/independence adjustment. Report separately.</t>
        </is>
      </c>
      <c r="K58" s="8" t="inlineStr">
        <is>
          <t>No score uplift from claims alone; lock denominator/exclusions before results; sample verification; cross-check with adjacent domains; high scores require corroboration.</t>
        </is>
      </c>
      <c r="L58" s="8" t="inlineStr">
        <is>
          <t>Use primary-owner rule; shared evidence may validate multiple metrics but the same activity cannot be scored twice across domains.</t>
        </is>
      </c>
      <c r="M58" s="8" t="inlineStr">
        <is>
          <t>100*((0.45*M)+(0.30*I)+(0.25*O))/5 when O exists; otherwise 100*((0.60*M)+(0.40*I))/5.</t>
        </is>
      </c>
      <c r="N58" s="8" t="inlineStr">
        <is>
          <t>D05 methodology/data owner</t>
        </is>
      </c>
      <c r="O58" s="8" t="inlineStr">
        <is>
          <t>PROVISIONAL—pilot validation required</t>
        </is>
      </c>
    </row>
    <row r="59">
      <c r="A59" s="8" t="inlineStr">
        <is>
          <t>D05</t>
        </is>
      </c>
      <c r="B59" s="8" t="inlineStr">
        <is>
          <t>I05</t>
        </is>
      </c>
      <c r="C59" s="8" t="inlineStr">
        <is>
          <t>Faculty Learning &amp; Development Effectiveness</t>
        </is>
      </c>
      <c r="D59" s="8" t="inlineStr">
        <is>
          <t>Conversion of training into sustained academic practice</t>
        </is>
      </c>
      <c r="E59" s="8" t="inlineStr">
        <is>
          <t>Anchor 0–5 from domain-specific maturity anchor using direct sampled practice/work evidence; do not infer maturity from policy statements alone.</t>
        </is>
      </c>
      <c r="F59" s="8" t="inlineStr">
        <is>
          <t>0–5: 0 absent; 1 isolated/person-dependent; 2 repeatable in limited areas; 3 institutionally structured; 4 broad/cross-functional and consistently operating; 5 continuously improved/scaled.</t>
        </is>
      </c>
      <c r="G59" s="8" t="inlineStr">
        <is>
          <t>Use outcome only when a legitimate measurable result exists; otherwise N/A.</t>
        </is>
      </c>
      <c r="H59" s="8" t="inlineStr">
        <is>
          <t>Only genuine mandate/context inapplicability with documented assessor approval; missing evidence is never N/A.</t>
        </is>
      </c>
      <c r="I59" s="8" t="inlineStr">
        <is>
          <t>—</t>
        </is>
      </c>
      <c r="J59" s="8" t="inlineStr">
        <is>
          <t>E0=0.20; E1=0.40; E2=0.65; E3=0.85; E4=1.00, subject to corroboration/independence adjustment. Report separately.</t>
        </is>
      </c>
      <c r="K59" s="8" t="inlineStr">
        <is>
          <t>No score uplift from claims alone; lock denominator/exclusions before results; sample verification; cross-check with adjacent domains; high scores require corroboration.</t>
        </is>
      </c>
      <c r="L59" s="8" t="inlineStr">
        <is>
          <t>Use primary-owner rule; shared evidence may validate multiple metrics but the same activity cannot be scored twice across domains.</t>
        </is>
      </c>
      <c r="M59" s="8" t="inlineStr">
        <is>
          <t>100*((0.45*M)+(0.30*I)+(0.25*O))/5 when O exists; otherwise 100*((0.60*M)+(0.40*I))/5.</t>
        </is>
      </c>
      <c r="N59" s="8" t="inlineStr">
        <is>
          <t>D05 methodology/data owner</t>
        </is>
      </c>
      <c r="O59" s="8" t="inlineStr">
        <is>
          <t>PROVISIONAL—pilot validation required</t>
        </is>
      </c>
    </row>
    <row r="60">
      <c r="A60" s="8" t="inlineStr">
        <is>
          <t>D05</t>
        </is>
      </c>
      <c r="B60" s="8" t="inlineStr">
        <is>
          <t>I06</t>
        </is>
      </c>
      <c r="C60" s="8" t="inlineStr">
        <is>
          <t>Peer Learning &amp; Communities</t>
        </is>
      </c>
      <c r="D60" s="8" t="inlineStr">
        <is>
          <t>Institutional mechanisms for sharing AI practice</t>
        </is>
      </c>
      <c r="E60" s="8" t="inlineStr">
        <is>
          <t>Anchor 0–5 from domain-specific maturity anchor using direct sampled practice/work evidence; do not infer maturity from policy statements alone.</t>
        </is>
      </c>
      <c r="F60" s="8" t="inlineStr">
        <is>
          <t>0–5: 0 absent; 1 isolated/person-dependent; 2 repeatable in limited areas; 3 institutionally structured; 4 broad/cross-functional and consistently operating; 5 continuously improved/scaled.</t>
        </is>
      </c>
      <c r="G60" s="8" t="inlineStr">
        <is>
          <t>Use outcome only when a legitimate measurable result exists; otherwise N/A.</t>
        </is>
      </c>
      <c r="H60" s="8" t="inlineStr">
        <is>
          <t>Only genuine mandate/context inapplicability with documented assessor approval; missing evidence is never N/A.</t>
        </is>
      </c>
      <c r="I60" s="8" t="inlineStr">
        <is>
          <t>—</t>
        </is>
      </c>
      <c r="J60" s="8" t="inlineStr">
        <is>
          <t>E0=0.20; E1=0.40; E2=0.65; E3=0.85; E4=1.00, subject to corroboration/independence adjustment. Report separately.</t>
        </is>
      </c>
      <c r="K60" s="8" t="inlineStr">
        <is>
          <t>No score uplift from claims alone; lock denominator/exclusions before results; sample verification; cross-check with adjacent domains; high scores require corroboration.</t>
        </is>
      </c>
      <c r="L60" s="8" t="inlineStr">
        <is>
          <t>Use primary-owner rule; shared evidence may validate multiple metrics but the same activity cannot be scored twice across domains.</t>
        </is>
      </c>
      <c r="M60" s="8" t="inlineStr">
        <is>
          <t>100*((0.45*M)+(0.30*I)+(0.25*O))/5 when O exists; otherwise 100*((0.60*M)+(0.40*I))/5.</t>
        </is>
      </c>
      <c r="N60" s="8" t="inlineStr">
        <is>
          <t>D05 methodology/data owner</t>
        </is>
      </c>
      <c r="O60" s="8" t="inlineStr">
        <is>
          <t>PROVISIONAL—pilot validation required</t>
        </is>
      </c>
    </row>
    <row r="61">
      <c r="A61" s="8" t="inlineStr">
        <is>
          <t>D05</t>
        </is>
      </c>
      <c r="B61" s="8" t="inlineStr">
        <is>
          <t>I07</t>
        </is>
      </c>
      <c r="C61" s="8" t="inlineStr">
        <is>
          <t>AI Research &amp; Knowledge Creation</t>
        </is>
      </c>
      <c r="D61" s="8" t="inlineStr">
        <is>
          <t>Faculty use AI responsibly for research, analysis, scholarship and knowledge creation</t>
        </is>
      </c>
      <c r="E61" s="8" t="inlineStr">
        <is>
          <t>Anchor 0–5 from domain-specific maturity anchor using direct sampled practice/work evidence; do not infer maturity from policy statements alone.</t>
        </is>
      </c>
      <c r="F61" s="8" t="inlineStr">
        <is>
          <t>0–5: 0 absent; 1 isolated/person-dependent; 2 repeatable in limited areas; 3 institutionally structured; 4 broad/cross-functional and consistently operating; 5 continuously improved/scaled.</t>
        </is>
      </c>
      <c r="G61" s="8" t="inlineStr">
        <is>
          <t>Use outcome only when a legitimate measurable result exists; otherwise N/A.</t>
        </is>
      </c>
      <c r="H61" s="8" t="inlineStr">
        <is>
          <t>Only genuine mandate/context inapplicability with documented assessor approval; missing evidence is never N/A.</t>
        </is>
      </c>
      <c r="I61" s="8" t="inlineStr">
        <is>
          <t>—</t>
        </is>
      </c>
      <c r="J61" s="8" t="inlineStr">
        <is>
          <t>E0=0.20; E1=0.40; E2=0.65; E3=0.85; E4=1.00, subject to corroboration/independence adjustment. Report separately.</t>
        </is>
      </c>
      <c r="K61" s="8" t="inlineStr">
        <is>
          <t>No score uplift from claims alone; lock denominator/exclusions before results; sample verification; cross-check with adjacent domains; high scores require corroboration.</t>
        </is>
      </c>
      <c r="L61" s="8" t="inlineStr">
        <is>
          <t>Use primary-owner rule; shared evidence may validate multiple metrics but the same activity cannot be scored twice across domains.</t>
        </is>
      </c>
      <c r="M61" s="8" t="inlineStr">
        <is>
          <t>100*((0.45*M)+(0.30*I)+(0.25*O))/5 when O exists; otherwise 100*((0.60*M)+(0.40*I))/5.</t>
        </is>
      </c>
      <c r="N61" s="8" t="inlineStr">
        <is>
          <t>D05 methodology/data owner</t>
        </is>
      </c>
      <c r="O61" s="8" t="inlineStr">
        <is>
          <t>PROVISIONAL—pilot validation required</t>
        </is>
      </c>
    </row>
    <row r="62">
      <c r="A62" s="8" t="inlineStr">
        <is>
          <t>D05</t>
        </is>
      </c>
      <c r="B62" s="8" t="inlineStr">
        <is>
          <t>I08</t>
        </is>
      </c>
      <c r="C62" s="8" t="inlineStr">
        <is>
          <t>Academic Role Redesign</t>
        </is>
      </c>
      <c r="D62" s="8" t="inlineStr">
        <is>
          <t>Whether AI-driven changes in academic work are anticipated and supported</t>
        </is>
      </c>
      <c r="E62" s="8" t="inlineStr">
        <is>
          <t>Anchor 0–5 from domain-specific maturity anchor using direct sampled practice/work evidence; do not infer maturity from policy statements alone.</t>
        </is>
      </c>
      <c r="F62" s="8" t="inlineStr">
        <is>
          <t>0–5: 0 absent; 1 isolated/person-dependent; 2 repeatable in limited areas; 3 institutionally structured; 4 broad/cross-functional and consistently operating; 5 continuously improved/scaled.</t>
        </is>
      </c>
      <c r="G62" s="8" t="inlineStr">
        <is>
          <t>Use outcome only when a legitimate measurable result exists; otherwise N/A.</t>
        </is>
      </c>
      <c r="H62" s="8" t="inlineStr">
        <is>
          <t>Only genuine mandate/context inapplicability with documented assessor approval; missing evidence is never N/A.</t>
        </is>
      </c>
      <c r="I62" s="8" t="inlineStr">
        <is>
          <t>—</t>
        </is>
      </c>
      <c r="J62" s="8" t="inlineStr">
        <is>
          <t>E0=0.20; E1=0.40; E2=0.65; E3=0.85; E4=1.00, subject to corroboration/independence adjustment. Report separately.</t>
        </is>
      </c>
      <c r="K62" s="8" t="inlineStr">
        <is>
          <t>No score uplift from claims alone; lock denominator/exclusions before results; sample verification; cross-check with adjacent domains; high scores require corroboration.</t>
        </is>
      </c>
      <c r="L62" s="8" t="inlineStr">
        <is>
          <t>Use primary-owner rule; shared evidence may validate multiple metrics but the same activity cannot be scored twice across domains.</t>
        </is>
      </c>
      <c r="M62" s="8" t="inlineStr">
        <is>
          <t>100*((0.45*M)+(0.30*I)+(0.25*O))/5 when O exists; otherwise 100*((0.60*M)+(0.40*I))/5.</t>
        </is>
      </c>
      <c r="N62" s="8" t="inlineStr">
        <is>
          <t>D05 methodology/data owner</t>
        </is>
      </c>
      <c r="O62" s="8" t="inlineStr">
        <is>
          <t>PROVISIONAL—pilot validation required</t>
        </is>
      </c>
    </row>
    <row r="63">
      <c r="A63" s="8" t="inlineStr">
        <is>
          <t>D05</t>
        </is>
      </c>
      <c r="B63" s="8" t="inlineStr">
        <is>
          <t>I09</t>
        </is>
      </c>
      <c r="C63" s="8" t="inlineStr">
        <is>
          <t>Workload &amp; Workflow Transformation</t>
        </is>
      </c>
      <c r="D63" s="8" t="inlineStr">
        <is>
          <t>Use of AI to reduce low-value work while protecting academic quality</t>
        </is>
      </c>
      <c r="E63" s="8" t="inlineStr">
        <is>
          <t>Anchor 0–5 from domain-specific maturity anchor using direct sampled practice/work evidence; do not infer maturity from policy statements alone.</t>
        </is>
      </c>
      <c r="F63" s="8" t="inlineStr">
        <is>
          <t>0–5: 0 absent; 1 isolated/person-dependent; 2 repeatable in limited areas; 3 institutionally structured; 4 broad/cross-functional and consistently operating; 5 continuously improved/scaled.</t>
        </is>
      </c>
      <c r="G63" s="8" t="inlineStr">
        <is>
          <t>Use outcome only when a legitimate measurable result exists; otherwise N/A.</t>
        </is>
      </c>
      <c r="H63" s="8" t="inlineStr">
        <is>
          <t>Only genuine mandate/context inapplicability with documented assessor approval; missing evidence is never N/A.</t>
        </is>
      </c>
      <c r="I63" s="8" t="inlineStr">
        <is>
          <t>—</t>
        </is>
      </c>
      <c r="J63" s="8" t="inlineStr">
        <is>
          <t>E0=0.20; E1=0.40; E2=0.65; E3=0.85; E4=1.00, subject to corroboration/independence adjustment. Report separately.</t>
        </is>
      </c>
      <c r="K63" s="8" t="inlineStr">
        <is>
          <t>No score uplift from claims alone; lock denominator/exclusions before results; sample verification; cross-check with adjacent domains; high scores require corroboration.</t>
        </is>
      </c>
      <c r="L63" s="8" t="inlineStr">
        <is>
          <t>Use primary-owner rule; shared evidence may validate multiple metrics but the same activity cannot be scored twice across domains.</t>
        </is>
      </c>
      <c r="M63" s="8" t="inlineStr">
        <is>
          <t>100*((0.45*M)+(0.30*I)+(0.25*O))/5 when O exists; otherwise 100*((0.60*M)+(0.40*I))/5.</t>
        </is>
      </c>
      <c r="N63" s="8" t="inlineStr">
        <is>
          <t>D05 methodology/data owner</t>
        </is>
      </c>
      <c r="O63" s="8" t="inlineStr">
        <is>
          <t>PROVISIONAL—pilot validation required</t>
        </is>
      </c>
    </row>
    <row r="64">
      <c r="A64" s="8" t="inlineStr">
        <is>
          <t>D05</t>
        </is>
      </c>
      <c r="B64" s="8" t="inlineStr">
        <is>
          <t>I10</t>
        </is>
      </c>
      <c r="C64" s="8" t="inlineStr">
        <is>
          <t>Faculty Support Infrastructure</t>
        </is>
      </c>
      <c r="D64" s="8" t="inlineStr">
        <is>
          <t>Access to tools, guidance, help, exemplars and technical support</t>
        </is>
      </c>
      <c r="E64" s="8" t="inlineStr">
        <is>
          <t>Anchor 0–5 from domain-specific maturity anchor using direct sampled practice/work evidence; do not infer maturity from policy statements alone.</t>
        </is>
      </c>
      <c r="F64" s="8" t="inlineStr">
        <is>
          <t>0–5: 0 absent; 1 isolated/person-dependent; 2 repeatable in limited areas; 3 institutionally structured; 4 broad/cross-functional and consistently operating; 5 continuously improved/scaled.</t>
        </is>
      </c>
      <c r="G64" s="8" t="inlineStr">
        <is>
          <t>Use outcome only when a legitimate measurable result exists; otherwise N/A.</t>
        </is>
      </c>
      <c r="H64" s="8" t="inlineStr">
        <is>
          <t>Only genuine mandate/context inapplicability with documented assessor approval; missing evidence is never N/A.</t>
        </is>
      </c>
      <c r="I64" s="8" t="inlineStr">
        <is>
          <t>—</t>
        </is>
      </c>
      <c r="J64" s="8" t="inlineStr">
        <is>
          <t>E0=0.20; E1=0.40; E2=0.65; E3=0.85; E4=1.00, subject to corroboration/independence adjustment. Report separately.</t>
        </is>
      </c>
      <c r="K64" s="8" t="inlineStr">
        <is>
          <t>No score uplift from claims alone; lock denominator/exclusions before results; sample verification; cross-check with adjacent domains; high scores require corroboration.</t>
        </is>
      </c>
      <c r="L64" s="8" t="inlineStr">
        <is>
          <t>Use primary-owner rule; shared evidence may validate multiple metrics but the same activity cannot be scored twice across domains.</t>
        </is>
      </c>
      <c r="M64" s="8" t="inlineStr">
        <is>
          <t>100*((0.45*M)+(0.30*I)+(0.25*O))/5 when O exists; otherwise 100*((0.60*M)+(0.40*I))/5.</t>
        </is>
      </c>
      <c r="N64" s="8" t="inlineStr">
        <is>
          <t>D05 methodology/data owner</t>
        </is>
      </c>
      <c r="O64" s="8" t="inlineStr">
        <is>
          <t>PROVISIONAL—pilot validation required</t>
        </is>
      </c>
    </row>
    <row r="65">
      <c r="A65" s="8" t="inlineStr">
        <is>
          <t>D05</t>
        </is>
      </c>
      <c r="B65" s="8" t="inlineStr">
        <is>
          <t>I11</t>
        </is>
      </c>
      <c r="C65" s="8" t="inlineStr">
        <is>
          <t>Academic Leadership for AI</t>
        </is>
      </c>
      <c r="D65" s="8" t="inlineStr">
        <is>
          <t>Department/school leaders translating AI change into academic action</t>
        </is>
      </c>
      <c r="E65" s="8" t="inlineStr">
        <is>
          <t>Anchor 0–5 from domain-specific maturity anchor using direct sampled practice/work evidence; do not infer maturity from policy statements alone.</t>
        </is>
      </c>
      <c r="F65" s="8" t="inlineStr">
        <is>
          <t>0–5: 0 absent; 1 isolated/person-dependent; 2 repeatable in limited areas; 3 institutionally structured; 4 broad/cross-functional and consistently operating; 5 continuously improved/scaled.</t>
        </is>
      </c>
      <c r="G65" s="8" t="inlineStr">
        <is>
          <t>Use outcome only when a legitimate measurable result exists; otherwise N/A.</t>
        </is>
      </c>
      <c r="H65" s="8" t="inlineStr">
        <is>
          <t>Only genuine mandate/context inapplicability with documented assessor approval; missing evidence is never N/A.</t>
        </is>
      </c>
      <c r="I65" s="8" t="inlineStr">
        <is>
          <t>—</t>
        </is>
      </c>
      <c r="J65" s="8" t="inlineStr">
        <is>
          <t>E0=0.20; E1=0.40; E2=0.65; E3=0.85; E4=1.00, subject to corroboration/independence adjustment. Report separately.</t>
        </is>
      </c>
      <c r="K65" s="8" t="inlineStr">
        <is>
          <t>No score uplift from claims alone; lock denominator/exclusions before results; sample verification; cross-check with adjacent domains; high scores require corroboration.</t>
        </is>
      </c>
      <c r="L65" s="8" t="inlineStr">
        <is>
          <t>Use primary-owner rule; shared evidence may validate multiple metrics but the same activity cannot be scored twice across domains.</t>
        </is>
      </c>
      <c r="M65" s="8" t="inlineStr">
        <is>
          <t>100*((0.45*M)+(0.30*I)+(0.25*O))/5 when O exists; otherwise 100*((0.60*M)+(0.40*I))/5.</t>
        </is>
      </c>
      <c r="N65" s="8" t="inlineStr">
        <is>
          <t>D05 methodology/data owner</t>
        </is>
      </c>
      <c r="O65" s="8" t="inlineStr">
        <is>
          <t>PROVISIONAL—pilot validation required</t>
        </is>
      </c>
    </row>
    <row r="66">
      <c r="A66" s="8" t="inlineStr">
        <is>
          <t>D05</t>
        </is>
      </c>
      <c r="B66" s="8" t="inlineStr">
        <is>
          <t>I12</t>
        </is>
      </c>
      <c r="C66" s="8" t="inlineStr">
        <is>
          <t>Faculty Adoption Learning Loop</t>
        </is>
      </c>
      <c r="D66" s="8" t="inlineStr">
        <is>
          <t>Institution learns from adoption, resistance, failure and emerging practice</t>
        </is>
      </c>
      <c r="E66" s="8" t="inlineStr">
        <is>
          <t>Anchor 0–5 from domain-specific maturity anchor using direct sampled practice/work evidence; do not infer maturity from policy statements alone.</t>
        </is>
      </c>
      <c r="F66" s="8" t="inlineStr">
        <is>
          <t>0–5: 0 absent; 1 isolated/person-dependent; 2 repeatable in limited areas; 3 institutionally structured; 4 broad/cross-functional and consistently operating; 5 continuously improved/scaled.</t>
        </is>
      </c>
      <c r="G66" s="8" t="inlineStr">
        <is>
          <t>Use outcome only when a legitimate measurable result exists; otherwise N/A.</t>
        </is>
      </c>
      <c r="H66" s="8" t="inlineStr">
        <is>
          <t>Only genuine mandate/context inapplicability with documented assessor approval; missing evidence is never N/A.</t>
        </is>
      </c>
      <c r="I66" s="8" t="inlineStr">
        <is>
          <t>—</t>
        </is>
      </c>
      <c r="J66" s="8" t="inlineStr">
        <is>
          <t>E0=0.20; E1=0.40; E2=0.65; E3=0.85; E4=1.00, subject to corroboration/independence adjustment. Report separately.</t>
        </is>
      </c>
      <c r="K66" s="8" t="inlineStr">
        <is>
          <t>No score uplift from claims alone; lock denominator/exclusions before results; sample verification; cross-check with adjacent domains; high scores require corroboration.</t>
        </is>
      </c>
      <c r="L66" s="8" t="inlineStr">
        <is>
          <t>Use primary-owner rule; shared evidence may validate multiple metrics but the same activity cannot be scored twice across domains.</t>
        </is>
      </c>
      <c r="M66" s="8" t="inlineStr">
        <is>
          <t>100*((0.45*M)+(0.30*I)+(0.25*O))/5 when O exists; otherwise 100*((0.60*M)+(0.40*I))/5.</t>
        </is>
      </c>
      <c r="N66" s="8" t="inlineStr">
        <is>
          <t>D05 methodology/data owner</t>
        </is>
      </c>
      <c r="O66" s="8" t="inlineStr">
        <is>
          <t>PROVISIONAL—pilot validation required</t>
        </is>
      </c>
    </row>
    <row r="67">
      <c r="A67" s="8" t="inlineStr">
        <is>
          <t>D06</t>
        </is>
      </c>
      <c r="B67" s="8" t="inlineStr">
        <is>
          <t>I01</t>
        </is>
      </c>
      <c r="C67" s="8" t="inlineStr">
        <is>
          <t>Student AI Literacy</t>
        </is>
      </c>
      <c r="D67" s="8" t="inlineStr">
        <is>
          <t>Students understand capabilities, limits, responsible use and verification</t>
        </is>
      </c>
      <c r="E67" s="8" t="inlineStr">
        <is>
          <t>Anchor 0–5 from domain-specific maturity anchor using direct sampled practice/work evidence; do not infer maturity from policy statements alone.</t>
        </is>
      </c>
      <c r="F67" s="8" t="inlineStr">
        <is>
          <t>0–5: 0 absent; 1 isolated/person-dependent; 2 repeatable in limited areas; 3 institutionally structured; 4 broad/cross-functional and consistently operating; 5 continuously improved/scaled.</t>
        </is>
      </c>
      <c r="G67" s="8" t="inlineStr">
        <is>
          <t>Use outcome only when a legitimate measurable result exists; otherwise N/A.</t>
        </is>
      </c>
      <c r="H67" s="8" t="inlineStr">
        <is>
          <t>Only genuine mandate/context inapplicability with documented assessor approval; missing evidence is never N/A.</t>
        </is>
      </c>
      <c r="I67" s="8" t="inlineStr">
        <is>
          <t>—</t>
        </is>
      </c>
      <c r="J67" s="8" t="inlineStr">
        <is>
          <t>E0=0.20; E1=0.40; E2=0.65; E3=0.85; E4=1.00, subject to corroboration/independence adjustment. Report separately.</t>
        </is>
      </c>
      <c r="K67" s="8" t="inlineStr">
        <is>
          <t>No score uplift from claims alone; lock denominator/exclusions before results; sample verification; cross-check with adjacent domains; high scores require corroboration.</t>
        </is>
      </c>
      <c r="L67" s="8" t="inlineStr">
        <is>
          <t>Use primary-owner rule; shared evidence may validate multiple metrics but the same activity cannot be scored twice across domains.</t>
        </is>
      </c>
      <c r="M67" s="8" t="inlineStr">
        <is>
          <t>100*((0.45*M)+(0.30*I)+(0.25*O))/5 when O exists; otherwise 100*((0.60*M)+(0.40*I))/5.</t>
        </is>
      </c>
      <c r="N67" s="8" t="inlineStr">
        <is>
          <t>D06 methodology/data owner</t>
        </is>
      </c>
      <c r="O67" s="8" t="inlineStr">
        <is>
          <t>PROVISIONAL—pilot validation required</t>
        </is>
      </c>
    </row>
    <row r="68">
      <c r="A68" s="8" t="inlineStr">
        <is>
          <t>D06</t>
        </is>
      </c>
      <c r="B68" s="8" t="inlineStr">
        <is>
          <t>I02</t>
        </is>
      </c>
      <c r="C68" s="8" t="inlineStr">
        <is>
          <t>Critical AI Evaluation</t>
        </is>
      </c>
      <c r="D68" s="8" t="inlineStr">
        <is>
          <t>Students can interrogate, verify and challenge AI outputs</t>
        </is>
      </c>
      <c r="E68" s="8" t="inlineStr">
        <is>
          <t>Anchor 0–5 from domain-specific maturity anchor using direct sampled practice/work evidence; do not infer maturity from policy statements alone.</t>
        </is>
      </c>
      <c r="F68" s="8" t="inlineStr">
        <is>
          <t>0–5: 0 absent; 1 isolated/person-dependent; 2 repeatable in limited areas; 3 institutionally structured; 4 broad/cross-functional and consistently operating; 5 continuously improved/scaled.</t>
        </is>
      </c>
      <c r="G68" s="8" t="inlineStr">
        <is>
          <t>Use outcome only when a legitimate measurable result exists; otherwise N/A.</t>
        </is>
      </c>
      <c r="H68" s="8" t="inlineStr">
        <is>
          <t>Only genuine mandate/context inapplicability with documented assessor approval; missing evidence is never N/A.</t>
        </is>
      </c>
      <c r="I68" s="8" t="inlineStr">
        <is>
          <t>—</t>
        </is>
      </c>
      <c r="J68" s="8" t="inlineStr">
        <is>
          <t>E0=0.20; E1=0.40; E2=0.65; E3=0.85; E4=1.00, subject to corroboration/independence adjustment. Report separately.</t>
        </is>
      </c>
      <c r="K68" s="8" t="inlineStr">
        <is>
          <t>No score uplift from claims alone; lock denominator/exclusions before results; sample verification; cross-check with adjacent domains; high scores require corroboration.</t>
        </is>
      </c>
      <c r="L68" s="8" t="inlineStr">
        <is>
          <t>Use primary-owner rule; shared evidence may validate multiple metrics but the same activity cannot be scored twice across domains.</t>
        </is>
      </c>
      <c r="M68" s="8" t="inlineStr">
        <is>
          <t>100*((0.45*M)+(0.30*I)+(0.25*O))/5 when O exists; otherwise 100*((0.60*M)+(0.40*I))/5.</t>
        </is>
      </c>
      <c r="N68" s="8" t="inlineStr">
        <is>
          <t>D06 methodology/data owner</t>
        </is>
      </c>
      <c r="O68" s="8" t="inlineStr">
        <is>
          <t>PROVISIONAL—pilot validation required</t>
        </is>
      </c>
    </row>
    <row r="69">
      <c r="A69" s="8" t="inlineStr">
        <is>
          <t>D06</t>
        </is>
      </c>
      <c r="B69" s="8" t="inlineStr">
        <is>
          <t>I03</t>
        </is>
      </c>
      <c r="C69" s="8" t="inlineStr">
        <is>
          <t>Learning Agency</t>
        </is>
      </c>
      <c r="D69" s="8" t="inlineStr">
        <is>
          <t>Students use AI to extend learning without surrendering intellectual responsibility</t>
        </is>
      </c>
      <c r="E69" s="8" t="inlineStr">
        <is>
          <t>Anchor 0–5 from domain-specific maturity anchor using direct sampled practice/work evidence; do not infer maturity from policy statements alone.</t>
        </is>
      </c>
      <c r="F69" s="8" t="inlineStr">
        <is>
          <t>0–5: 0 absent; 1 isolated/person-dependent; 2 repeatable in limited areas; 3 institutionally structured; 4 broad/cross-functional and consistently operating; 5 continuously improved/scaled.</t>
        </is>
      </c>
      <c r="G69" s="8" t="inlineStr">
        <is>
          <t>Use outcome only when a legitimate measurable result exists; otherwise N/A.</t>
        </is>
      </c>
      <c r="H69" s="8" t="inlineStr">
        <is>
          <t>Only genuine mandate/context inapplicability with documented assessor approval; missing evidence is never N/A.</t>
        </is>
      </c>
      <c r="I69" s="8" t="inlineStr">
        <is>
          <t>—</t>
        </is>
      </c>
      <c r="J69" s="8" t="inlineStr">
        <is>
          <t>E0=0.20; E1=0.40; E2=0.65; E3=0.85; E4=1.00, subject to corroboration/independence adjustment. Report separately.</t>
        </is>
      </c>
      <c r="K69" s="8" t="inlineStr">
        <is>
          <t>No score uplift from claims alone; lock denominator/exclusions before results; sample verification; cross-check with adjacent domains; high scores require corroboration.</t>
        </is>
      </c>
      <c r="L69" s="8" t="inlineStr">
        <is>
          <t>Use primary-owner rule; shared evidence may validate multiple metrics but the same activity cannot be scored twice across domains.</t>
        </is>
      </c>
      <c r="M69" s="8" t="inlineStr">
        <is>
          <t>100*((0.45*M)+(0.30*I)+(0.25*O))/5 when O exists; otherwise 100*((0.60*M)+(0.40*I))/5.</t>
        </is>
      </c>
      <c r="N69" s="8" t="inlineStr">
        <is>
          <t>D06 methodology/data owner</t>
        </is>
      </c>
      <c r="O69" s="8" t="inlineStr">
        <is>
          <t>PROVISIONAL—pilot validation required</t>
        </is>
      </c>
    </row>
    <row r="70">
      <c r="A70" s="8" t="inlineStr">
        <is>
          <t>D06</t>
        </is>
      </c>
      <c r="B70" s="8" t="inlineStr">
        <is>
          <t>I04</t>
        </is>
      </c>
      <c r="C70" s="8" t="inlineStr">
        <is>
          <t>Independent Intellectual Agency</t>
        </is>
      </c>
      <c r="D70" s="8" t="inlineStr">
        <is>
          <t>Students can formulate positions, questions and solutions independently</t>
        </is>
      </c>
      <c r="E70" s="8" t="inlineStr">
        <is>
          <t>Anchor 0–5 from domain-specific maturity anchor using direct sampled practice/work evidence; do not infer maturity from policy statements alone.</t>
        </is>
      </c>
      <c r="F70" s="8" t="inlineStr">
        <is>
          <t>0–5: 0 absent; 1 isolated/person-dependent; 2 repeatable in limited areas; 3 institutionally structured; 4 broad/cross-functional and consistently operating; 5 continuously improved/scaled.</t>
        </is>
      </c>
      <c r="G70" s="8" t="inlineStr">
        <is>
          <t>Use outcome only when a legitimate measurable result exists; otherwise N/A.</t>
        </is>
      </c>
      <c r="H70" s="8" t="inlineStr">
        <is>
          <t>Only genuine mandate/context inapplicability with documented assessor approval; missing evidence is never N/A.</t>
        </is>
      </c>
      <c r="I70" s="8" t="inlineStr">
        <is>
          <t>—</t>
        </is>
      </c>
      <c r="J70" s="8" t="inlineStr">
        <is>
          <t>E0=0.20; E1=0.40; E2=0.65; E3=0.85; E4=1.00, subject to corroboration/independence adjustment. Report separately.</t>
        </is>
      </c>
      <c r="K70" s="8" t="inlineStr">
        <is>
          <t>No score uplift from claims alone; lock denominator/exclusions before results; sample verification; cross-check with adjacent domains; high scores require corroboration.</t>
        </is>
      </c>
      <c r="L70" s="8" t="inlineStr">
        <is>
          <t>Use primary-owner rule; shared evidence may validate multiple metrics but the same activity cannot be scored twice across domains.</t>
        </is>
      </c>
      <c r="M70" s="8" t="inlineStr">
        <is>
          <t>100*((0.45*M)+(0.30*I)+(0.25*O))/5 when O exists; otherwise 100*((0.60*M)+(0.40*I))/5.</t>
        </is>
      </c>
      <c r="N70" s="8" t="inlineStr">
        <is>
          <t>D06 methodology/data owner</t>
        </is>
      </c>
      <c r="O70" s="8" t="inlineStr">
        <is>
          <t>PROVISIONAL—pilot validation required</t>
        </is>
      </c>
    </row>
    <row r="71">
      <c r="A71" s="8" t="inlineStr">
        <is>
          <t>D06</t>
        </is>
      </c>
      <c r="B71" s="8" t="inlineStr">
        <is>
          <t>I05</t>
        </is>
      </c>
      <c r="C71" s="8" t="inlineStr">
        <is>
          <t>Communication &amp; Defence</t>
        </is>
      </c>
      <c r="D71" s="8" t="inlineStr">
        <is>
          <t>Students can explain and defend their reasoning, sources and decisions</t>
        </is>
      </c>
      <c r="E71" s="8" t="inlineStr">
        <is>
          <t>Anchor 0–5 from domain-specific maturity anchor using direct sampled practice/work evidence; do not infer maturity from policy statements alone.</t>
        </is>
      </c>
      <c r="F71" s="8" t="inlineStr">
        <is>
          <t>0–5: 0 absent; 1 isolated/person-dependent; 2 repeatable in limited areas; 3 institutionally structured; 4 broad/cross-functional and consistently operating; 5 continuously improved/scaled.</t>
        </is>
      </c>
      <c r="G71" s="8" t="inlineStr">
        <is>
          <t>Use outcome only when a legitimate measurable result exists; otherwise N/A.</t>
        </is>
      </c>
      <c r="H71" s="8" t="inlineStr">
        <is>
          <t>Only genuine mandate/context inapplicability with documented assessor approval; missing evidence is never N/A.</t>
        </is>
      </c>
      <c r="I71" s="8" t="inlineStr">
        <is>
          <t>—</t>
        </is>
      </c>
      <c r="J71" s="8" t="inlineStr">
        <is>
          <t>E0=0.20; E1=0.40; E2=0.65; E3=0.85; E4=1.00, subject to corroboration/independence adjustment. Report separately.</t>
        </is>
      </c>
      <c r="K71" s="8" t="inlineStr">
        <is>
          <t>No score uplift from claims alone; lock denominator/exclusions before results; sample verification; cross-check with adjacent domains; high scores require corroboration.</t>
        </is>
      </c>
      <c r="L71" s="8" t="inlineStr">
        <is>
          <t>Use primary-owner rule; shared evidence may validate multiple metrics but the same activity cannot be scored twice across domains.</t>
        </is>
      </c>
      <c r="M71" s="8" t="inlineStr">
        <is>
          <t>100*((0.45*M)+(0.30*I)+(0.25*O))/5 when O exists; otherwise 100*((0.60*M)+(0.40*I))/5.</t>
        </is>
      </c>
      <c r="N71" s="8" t="inlineStr">
        <is>
          <t>D06 methodology/data owner</t>
        </is>
      </c>
      <c r="O71" s="8" t="inlineStr">
        <is>
          <t>PROVISIONAL—pilot validation required</t>
        </is>
      </c>
    </row>
    <row r="72">
      <c r="A72" s="8" t="inlineStr">
        <is>
          <t>D06</t>
        </is>
      </c>
      <c r="B72" s="8" t="inlineStr">
        <is>
          <t>I06</t>
        </is>
      </c>
      <c r="C72" s="8" t="inlineStr">
        <is>
          <t>Collaboration Capability</t>
        </is>
      </c>
      <c r="D72" s="8" t="inlineStr">
        <is>
          <t>Students collaborate with people and AI appropriately</t>
        </is>
      </c>
      <c r="E72" s="8" t="inlineStr">
        <is>
          <t>Anchor 0–5 from domain-specific maturity anchor using direct sampled practice/work evidence; do not infer maturity from policy statements alone.</t>
        </is>
      </c>
      <c r="F72" s="8" t="inlineStr">
        <is>
          <t>0–5: 0 absent; 1 isolated/person-dependent; 2 repeatable in limited areas; 3 institutionally structured; 4 broad/cross-functional and consistently operating; 5 continuously improved/scaled.</t>
        </is>
      </c>
      <c r="G72" s="8" t="inlineStr">
        <is>
          <t>Use outcome only when a legitimate measurable result exists; otherwise N/A.</t>
        </is>
      </c>
      <c r="H72" s="8" t="inlineStr">
        <is>
          <t>Only genuine mandate/context inapplicability with documented assessor approval; missing evidence is never N/A.</t>
        </is>
      </c>
      <c r="I72" s="8" t="inlineStr">
        <is>
          <t>—</t>
        </is>
      </c>
      <c r="J72" s="8" t="inlineStr">
        <is>
          <t>E0=0.20; E1=0.40; E2=0.65; E3=0.85; E4=1.00, subject to corroboration/independence adjustment. Report separately.</t>
        </is>
      </c>
      <c r="K72" s="8" t="inlineStr">
        <is>
          <t>No score uplift from claims alone; lock denominator/exclusions before results; sample verification; cross-check with adjacent domains; high scores require corroboration.</t>
        </is>
      </c>
      <c r="L72" s="8" t="inlineStr">
        <is>
          <t>Use primary-owner rule; shared evidence may validate multiple metrics but the same activity cannot be scored twice across domains.</t>
        </is>
      </c>
      <c r="M72" s="8" t="inlineStr">
        <is>
          <t>100*((0.45*M)+(0.30*I)+(0.25*O))/5 when O exists; otherwise 100*((0.60*M)+(0.40*I))/5.</t>
        </is>
      </c>
      <c r="N72" s="8" t="inlineStr">
        <is>
          <t>D06 methodology/data owner</t>
        </is>
      </c>
      <c r="O72" s="8" t="inlineStr">
        <is>
          <t>PROVISIONAL—pilot validation required</t>
        </is>
      </c>
    </row>
    <row r="73">
      <c r="A73" s="8" t="inlineStr">
        <is>
          <t>D06</t>
        </is>
      </c>
      <c r="B73" s="8" t="inlineStr">
        <is>
          <t>I07</t>
        </is>
      </c>
      <c r="C73" s="8" t="inlineStr">
        <is>
          <t>Practical Capability</t>
        </is>
      </c>
      <c r="D73" s="8" t="inlineStr">
        <is>
          <t>Students can act in real or simulated contexts beyond content generation</t>
        </is>
      </c>
      <c r="E73" s="8" t="inlineStr">
        <is>
          <t>Anchor 0–5 from domain-specific maturity anchor using direct sampled practice/work evidence; do not infer maturity from policy statements alone.</t>
        </is>
      </c>
      <c r="F73" s="8" t="inlineStr">
        <is>
          <t>0–5: 0 absent; 1 isolated/person-dependent; 2 repeatable in limited areas; 3 institutionally structured; 4 broad/cross-functional and consistently operating; 5 continuously improved/scaled.</t>
        </is>
      </c>
      <c r="G73" s="8" t="inlineStr">
        <is>
          <t>Use outcome only when a legitimate measurable result exists; otherwise N/A.</t>
        </is>
      </c>
      <c r="H73" s="8" t="inlineStr">
        <is>
          <t>Only genuine mandate/context inapplicability with documented assessor approval; missing evidence is never N/A.</t>
        </is>
      </c>
      <c r="I73" s="8" t="inlineStr">
        <is>
          <t>—</t>
        </is>
      </c>
      <c r="J73" s="8" t="inlineStr">
        <is>
          <t>E0=0.20; E1=0.40; E2=0.65; E3=0.85; E4=1.00, subject to corroboration/independence adjustment. Report separately.</t>
        </is>
      </c>
      <c r="K73" s="8" t="inlineStr">
        <is>
          <t>No score uplift from claims alone; lock denominator/exclusions before results; sample verification; cross-check with adjacent domains; high scores require corroboration.</t>
        </is>
      </c>
      <c r="L73" s="8" t="inlineStr">
        <is>
          <t>Use primary-owner rule; shared evidence may validate multiple metrics but the same activity cannot be scored twice across domains.</t>
        </is>
      </c>
      <c r="M73" s="8" t="inlineStr">
        <is>
          <t>100*((0.45*M)+(0.30*I)+(0.25*O))/5 when O exists; otherwise 100*((0.60*M)+(0.40*I))/5.</t>
        </is>
      </c>
      <c r="N73" s="8" t="inlineStr">
        <is>
          <t>D06 methodology/data owner</t>
        </is>
      </c>
      <c r="O73" s="8" t="inlineStr">
        <is>
          <t>PROVISIONAL—pilot validation required</t>
        </is>
      </c>
    </row>
    <row r="74">
      <c r="A74" s="8" t="inlineStr">
        <is>
          <t>D06</t>
        </is>
      </c>
      <c r="B74" s="8" t="inlineStr">
        <is>
          <t>I08</t>
        </is>
      </c>
      <c r="C74" s="8" t="inlineStr">
        <is>
          <t>Career Adaptability</t>
        </is>
      </c>
      <c r="D74" s="8" t="inlineStr">
        <is>
          <t>Students can interpret changing work requirements and update capabilities</t>
        </is>
      </c>
      <c r="E74" s="8" t="inlineStr">
        <is>
          <t>Anchor 0–5 from domain-specific maturity anchor using direct sampled practice/work evidence; do not infer maturity from policy statements alone.</t>
        </is>
      </c>
      <c r="F74" s="8" t="inlineStr">
        <is>
          <t>0–5: 0 absent; 1 isolated/person-dependent; 2 repeatable in limited areas; 3 institutionally structured; 4 broad/cross-functional and consistently operating; 5 continuously improved/scaled.</t>
        </is>
      </c>
      <c r="G74" s="8" t="inlineStr">
        <is>
          <t>Use outcome only when a legitimate measurable result exists; otherwise N/A.</t>
        </is>
      </c>
      <c r="H74" s="8" t="inlineStr">
        <is>
          <t>Only genuine mandate/context inapplicability with documented assessor approval; missing evidence is never N/A.</t>
        </is>
      </c>
      <c r="I74" s="8" t="inlineStr">
        <is>
          <t>—</t>
        </is>
      </c>
      <c r="J74" s="8" t="inlineStr">
        <is>
          <t>E0=0.20; E1=0.40; E2=0.65; E3=0.85; E4=1.00, subject to corroboration/independence adjustment. Report separately.</t>
        </is>
      </c>
      <c r="K74" s="8" t="inlineStr">
        <is>
          <t>No score uplift from claims alone; lock denominator/exclusions before results; sample verification; cross-check with adjacent domains; high scores require corroboration.</t>
        </is>
      </c>
      <c r="L74" s="8" t="inlineStr">
        <is>
          <t>Use primary-owner rule; shared evidence may validate multiple metrics but the same activity cannot be scored twice across domains.</t>
        </is>
      </c>
      <c r="M74" s="8" t="inlineStr">
        <is>
          <t>100*((0.45*M)+(0.30*I)+(0.25*O))/5 when O exists; otherwise 100*((0.60*M)+(0.40*I))/5.</t>
        </is>
      </c>
      <c r="N74" s="8" t="inlineStr">
        <is>
          <t>D06 methodology/data owner</t>
        </is>
      </c>
      <c r="O74" s="8" t="inlineStr">
        <is>
          <t>PROVISIONAL—pilot validation required</t>
        </is>
      </c>
    </row>
    <row r="75">
      <c r="A75" s="8" t="inlineStr">
        <is>
          <t>D06</t>
        </is>
      </c>
      <c r="B75" s="8" t="inlineStr">
        <is>
          <t>I09</t>
        </is>
      </c>
      <c r="C75" s="8" t="inlineStr">
        <is>
          <t>Portfolio &amp; Capability Signalling</t>
        </is>
      </c>
      <c r="D75" s="8" t="inlineStr">
        <is>
          <t>Students can show credible evidence of what they can do</t>
        </is>
      </c>
      <c r="E75" s="8" t="inlineStr">
        <is>
          <t>Anchor 0–5 from domain-specific maturity anchor using direct sampled practice/work evidence; do not infer maturity from policy statements alone.</t>
        </is>
      </c>
      <c r="F75" s="8" t="inlineStr">
        <is>
          <t>0–5: 0 absent; 1 isolated/person-dependent; 2 repeatable in limited areas; 3 institutionally structured; 4 broad/cross-functional and consistently operating; 5 continuously improved/scaled.</t>
        </is>
      </c>
      <c r="G75" s="8" t="inlineStr">
        <is>
          <t>Use outcome only when a legitimate measurable result exists; otherwise N/A.</t>
        </is>
      </c>
      <c r="H75" s="8" t="inlineStr">
        <is>
          <t>Only genuine mandate/context inapplicability with documented assessor approval; missing evidence is never N/A.</t>
        </is>
      </c>
      <c r="I75" s="8" t="inlineStr">
        <is>
          <t>—</t>
        </is>
      </c>
      <c r="J75" s="8" t="inlineStr">
        <is>
          <t>E0=0.20; E1=0.40; E2=0.65; E3=0.85; E4=1.00, subject to corroboration/independence adjustment. Report separately.</t>
        </is>
      </c>
      <c r="K75" s="8" t="inlineStr">
        <is>
          <t>No score uplift from claims alone; lock denominator/exclusions before results; sample verification; cross-check with adjacent domains; high scores require corroboration.</t>
        </is>
      </c>
      <c r="L75" s="8" t="inlineStr">
        <is>
          <t>Use primary-owner rule; shared evidence may validate multiple metrics but the same activity cannot be scored twice across domains.</t>
        </is>
      </c>
      <c r="M75" s="8" t="inlineStr">
        <is>
          <t>100*((0.45*M)+(0.30*I)+(0.25*O))/5 when O exists; otherwise 100*((0.60*M)+(0.40*I))/5.</t>
        </is>
      </c>
      <c r="N75" s="8" t="inlineStr">
        <is>
          <t>D06 methodology/data owner</t>
        </is>
      </c>
      <c r="O75" s="8" t="inlineStr">
        <is>
          <t>PROVISIONAL—pilot validation required</t>
        </is>
      </c>
    </row>
    <row r="76">
      <c r="A76" s="8" t="inlineStr">
        <is>
          <t>D06</t>
        </is>
      </c>
      <c r="B76" s="8" t="inlineStr">
        <is>
          <t>I10</t>
        </is>
      </c>
      <c r="C76" s="8" t="inlineStr">
        <is>
          <t>Problem Solving &amp; Transfer</t>
        </is>
      </c>
      <c r="D76" s="8" t="inlineStr">
        <is>
          <t>Students apply learning to unfamiliar/ambiguous problems</t>
        </is>
      </c>
      <c r="E76" s="8" t="inlineStr">
        <is>
          <t>Anchor 0–5 from domain-specific maturity anchor using direct sampled practice/work evidence; do not infer maturity from policy statements alone.</t>
        </is>
      </c>
      <c r="F76" s="8" t="inlineStr">
        <is>
          <t>0–5: 0 absent; 1 isolated/person-dependent; 2 repeatable in limited areas; 3 institutionally structured; 4 broad/cross-functional and consistently operating; 5 continuously improved/scaled.</t>
        </is>
      </c>
      <c r="G76" s="8" t="inlineStr">
        <is>
          <t>Use outcome only when a legitimate measurable result exists; otherwise N/A.</t>
        </is>
      </c>
      <c r="H76" s="8" t="inlineStr">
        <is>
          <t>Only genuine mandate/context inapplicability with documented assessor approval; missing evidence is never N/A.</t>
        </is>
      </c>
      <c r="I76" s="8" t="inlineStr">
        <is>
          <t>—</t>
        </is>
      </c>
      <c r="J76" s="8" t="inlineStr">
        <is>
          <t>E0=0.20; E1=0.40; E2=0.65; E3=0.85; E4=1.00, subject to corroboration/independence adjustment. Report separately.</t>
        </is>
      </c>
      <c r="K76" s="8" t="inlineStr">
        <is>
          <t>No score uplift from claims alone; lock denominator/exclusions before results; sample verification; cross-check with adjacent domains; high scores require corroboration.</t>
        </is>
      </c>
      <c r="L76" s="8" t="inlineStr">
        <is>
          <t>Use primary-owner rule; shared evidence may validate multiple metrics but the same activity cannot be scored twice across domains.</t>
        </is>
      </c>
      <c r="M76" s="8" t="inlineStr">
        <is>
          <t>100*((0.45*M)+(0.30*I)+(0.25*O))/5 when O exists; otherwise 100*((0.60*M)+(0.40*I))/5.</t>
        </is>
      </c>
      <c r="N76" s="8" t="inlineStr">
        <is>
          <t>D06 methodology/data owner</t>
        </is>
      </c>
      <c r="O76" s="8" t="inlineStr">
        <is>
          <t>PROVISIONAL—pilot validation required</t>
        </is>
      </c>
    </row>
    <row r="77">
      <c r="A77" s="8" t="inlineStr">
        <is>
          <t>D06</t>
        </is>
      </c>
      <c r="B77" s="8" t="inlineStr">
        <is>
          <t>I11</t>
        </is>
      </c>
      <c r="C77" s="8" t="inlineStr">
        <is>
          <t>Creator &amp; Entrepreneurial Agency</t>
        </is>
      </c>
      <c r="D77" s="8" t="inlineStr">
        <is>
          <t>Students use AI to create, prototype, innovate or build value</t>
        </is>
      </c>
      <c r="E77" s="8" t="inlineStr">
        <is>
          <t>Anchor 0–5 from domain-specific maturity anchor using direct sampled practice/work evidence; do not infer maturity from policy statements alone.</t>
        </is>
      </c>
      <c r="F77" s="8" t="inlineStr">
        <is>
          <t>0–5: 0 absent; 1 isolated/person-dependent; 2 repeatable in limited areas; 3 institutionally structured; 4 broad/cross-functional and consistently operating; 5 continuously improved/scaled.</t>
        </is>
      </c>
      <c r="G77" s="8" t="inlineStr">
        <is>
          <t>Use outcome only when a legitimate measurable result exists; otherwise N/A.</t>
        </is>
      </c>
      <c r="H77" s="8" t="inlineStr">
        <is>
          <t>Only genuine mandate/context inapplicability with documented assessor approval; missing evidence is never N/A.</t>
        </is>
      </c>
      <c r="I77" s="8" t="inlineStr">
        <is>
          <t>—</t>
        </is>
      </c>
      <c r="J77" s="8" t="inlineStr">
        <is>
          <t>E0=0.20; E1=0.40; E2=0.65; E3=0.85; E4=1.00, subject to corroboration/independence adjustment. Report separately.</t>
        </is>
      </c>
      <c r="K77" s="8" t="inlineStr">
        <is>
          <t>No score uplift from claims alone; lock denominator/exclusions before results; sample verification; cross-check with adjacent domains; high scores require corroboration.</t>
        </is>
      </c>
      <c r="L77" s="8" t="inlineStr">
        <is>
          <t>Use primary-owner rule; shared evidence may validate multiple metrics but the same activity cannot be scored twice across domains.</t>
        </is>
      </c>
      <c r="M77" s="8" t="inlineStr">
        <is>
          <t>100*((0.45*M)+(0.30*I)+(0.25*O))/5 when O exists; otherwise 100*((0.60*M)+(0.40*I))/5.</t>
        </is>
      </c>
      <c r="N77" s="8" t="inlineStr">
        <is>
          <t>D06 methodology/data owner</t>
        </is>
      </c>
      <c r="O77" s="8" t="inlineStr">
        <is>
          <t>PROVISIONAL—pilot validation required</t>
        </is>
      </c>
    </row>
    <row r="78">
      <c r="A78" s="8" t="inlineStr">
        <is>
          <t>D06</t>
        </is>
      </c>
      <c r="B78" s="8" t="inlineStr">
        <is>
          <t>I12</t>
        </is>
      </c>
      <c r="C78" s="8" t="inlineStr">
        <is>
          <t>Digital Citizenship &amp; Responsible Use</t>
        </is>
      </c>
      <c r="D78" s="8" t="inlineStr">
        <is>
          <t>Students understand privacy, IP, bias, integrity and social consequences</t>
        </is>
      </c>
      <c r="E78" s="8" t="inlineStr">
        <is>
          <t>Anchor 0–5 from domain-specific maturity anchor using direct sampled practice/work evidence; do not infer maturity from policy statements alone.</t>
        </is>
      </c>
      <c r="F78" s="8" t="inlineStr">
        <is>
          <t>0–5: 0 absent; 1 isolated/person-dependent; 2 repeatable in limited areas; 3 institutionally structured; 4 broad/cross-functional and consistently operating; 5 continuously improved/scaled.</t>
        </is>
      </c>
      <c r="G78" s="8" t="inlineStr">
        <is>
          <t>Use outcome only when a legitimate measurable result exists; otherwise N/A.</t>
        </is>
      </c>
      <c r="H78" s="8" t="inlineStr">
        <is>
          <t>Only genuine mandate/context inapplicability with documented assessor approval; missing evidence is never N/A.</t>
        </is>
      </c>
      <c r="I78" s="8" t="inlineStr">
        <is>
          <t>—</t>
        </is>
      </c>
      <c r="J78" s="8" t="inlineStr">
        <is>
          <t>E0=0.20; E1=0.40; E2=0.65; E3=0.85; E4=1.00, subject to corroboration/independence adjustment. Report separately.</t>
        </is>
      </c>
      <c r="K78" s="8" t="inlineStr">
        <is>
          <t>No score uplift from claims alone; lock denominator/exclusions before results; sample verification; cross-check with adjacent domains; high scores require corroboration.</t>
        </is>
      </c>
      <c r="L78" s="8" t="inlineStr">
        <is>
          <t>Use primary-owner rule; shared evidence may validate multiple metrics but the same activity cannot be scored twice across domains.</t>
        </is>
      </c>
      <c r="M78" s="8" t="inlineStr">
        <is>
          <t>100*((0.45*M)+(0.30*I)+(0.25*O))/5 when O exists; otherwise 100*((0.60*M)+(0.40*I))/5.</t>
        </is>
      </c>
      <c r="N78" s="8" t="inlineStr">
        <is>
          <t>D06 methodology/data owner</t>
        </is>
      </c>
      <c r="O78" s="8" t="inlineStr">
        <is>
          <t>PROVISIONAL—pilot validation required</t>
        </is>
      </c>
    </row>
    <row r="79">
      <c r="A79" s="8" t="inlineStr">
        <is>
          <t>D06</t>
        </is>
      </c>
      <c r="B79" s="8" t="inlineStr">
        <is>
          <t>I13</t>
        </is>
      </c>
      <c r="C79" s="8" t="inlineStr">
        <is>
          <t>Equitable AI Access</t>
        </is>
      </c>
      <c r="D79" s="8" t="inlineStr">
        <is>
          <t>Institution identifies and mitigates unequal access/capability barriers</t>
        </is>
      </c>
      <c r="E79" s="8" t="inlineStr">
        <is>
          <t>Anchor 0–5 from domain-specific maturity anchor using direct sampled practice/work evidence; do not infer maturity from policy statements alone.</t>
        </is>
      </c>
      <c r="F79" s="8" t="inlineStr">
        <is>
          <t>0–5: 0 absent; 1 isolated/person-dependent; 2 repeatable in limited areas; 3 institutionally structured; 4 broad/cross-functional and consistently operating; 5 continuously improved/scaled.</t>
        </is>
      </c>
      <c r="G79" s="8" t="inlineStr">
        <is>
          <t>Use outcome only when a legitimate measurable result exists; otherwise N/A.</t>
        </is>
      </c>
      <c r="H79" s="8" t="inlineStr">
        <is>
          <t>Only genuine mandate/context inapplicability with documented assessor approval; missing evidence is never N/A.</t>
        </is>
      </c>
      <c r="I79" s="8" t="inlineStr">
        <is>
          <t>—</t>
        </is>
      </c>
      <c r="J79" s="8" t="inlineStr">
        <is>
          <t>E0=0.20; E1=0.40; E2=0.65; E3=0.85; E4=1.00, subject to corroboration/independence adjustment. Report separately.</t>
        </is>
      </c>
      <c r="K79" s="8" t="inlineStr">
        <is>
          <t>No score uplift from claims alone; lock denominator/exclusions before results; sample verification; cross-check with adjacent domains; high scores require corroboration.</t>
        </is>
      </c>
      <c r="L79" s="8" t="inlineStr">
        <is>
          <t>Use primary-owner rule; shared evidence may validate multiple metrics but the same activity cannot be scored twice across domains.</t>
        </is>
      </c>
      <c r="M79" s="8" t="inlineStr">
        <is>
          <t>100*((0.45*M)+(0.30*I)+(0.25*O))/5 when O exists; otherwise 100*((0.60*M)+(0.40*I))/5.</t>
        </is>
      </c>
      <c r="N79" s="8" t="inlineStr">
        <is>
          <t>D06 methodology/data owner</t>
        </is>
      </c>
      <c r="O79" s="8" t="inlineStr">
        <is>
          <t>PROVISIONAL—pilot validation required</t>
        </is>
      </c>
    </row>
    <row r="80">
      <c r="A80" s="8" t="inlineStr">
        <is>
          <t>D06</t>
        </is>
      </c>
      <c r="B80" s="8" t="inlineStr">
        <is>
          <t>I14</t>
        </is>
      </c>
      <c r="C80" s="8" t="inlineStr">
        <is>
          <t>Student Voice &amp; Feedback Loop</t>
        </is>
      </c>
      <c r="D80" s="8" t="inlineStr">
        <is>
          <t>Student experience informs AI-era curriculum and capability design</t>
        </is>
      </c>
      <c r="E80" s="8" t="inlineStr">
        <is>
          <t>Anchor 0–5 from domain-specific maturity anchor using direct sampled practice/work evidence; do not infer maturity from policy statements alone.</t>
        </is>
      </c>
      <c r="F80" s="8" t="inlineStr">
        <is>
          <t>0–5: 0 absent; 1 isolated/person-dependent; 2 repeatable in limited areas; 3 institutionally structured; 4 broad/cross-functional and consistently operating; 5 continuously improved/scaled.</t>
        </is>
      </c>
      <c r="G80" s="8" t="inlineStr">
        <is>
          <t>Use outcome only when a legitimate measurable result exists; otherwise N/A.</t>
        </is>
      </c>
      <c r="H80" s="8" t="inlineStr">
        <is>
          <t>Only genuine mandate/context inapplicability with documented assessor approval; missing evidence is never N/A.</t>
        </is>
      </c>
      <c r="I80" s="8" t="inlineStr">
        <is>
          <t>—</t>
        </is>
      </c>
      <c r="J80" s="8" t="inlineStr">
        <is>
          <t>E0=0.20; E1=0.40; E2=0.65; E3=0.85; E4=1.00, subject to corroboration/independence adjustment. Report separately.</t>
        </is>
      </c>
      <c r="K80" s="8" t="inlineStr">
        <is>
          <t>No score uplift from claims alone; lock denominator/exclusions before results; sample verification; cross-check with adjacent domains; high scores require corroboration.</t>
        </is>
      </c>
      <c r="L80" s="8" t="inlineStr">
        <is>
          <t>Use primary-owner rule; shared evidence may validate multiple metrics but the same activity cannot be scored twice across domains.</t>
        </is>
      </c>
      <c r="M80" s="8" t="inlineStr">
        <is>
          <t>100*((0.45*M)+(0.30*I)+(0.25*O))/5 when O exists; otherwise 100*((0.60*M)+(0.40*I))/5.</t>
        </is>
      </c>
      <c r="N80" s="8" t="inlineStr">
        <is>
          <t>D06 methodology/data owner</t>
        </is>
      </c>
      <c r="O80" s="8" t="inlineStr">
        <is>
          <t>PROVISIONAL—pilot validation required</t>
        </is>
      </c>
    </row>
    <row r="81">
      <c r="A81" s="8" t="inlineStr">
        <is>
          <t>D07</t>
        </is>
      </c>
      <c r="B81" s="8" t="inlineStr">
        <is>
          <t>I01</t>
        </is>
      </c>
      <c r="C81" s="8" t="inlineStr">
        <is>
          <t>Assessment Design Maturity</t>
        </is>
      </c>
      <c r="D81" s="8" t="inlineStr">
        <is>
          <t>Whether assessment is deliberately designed around intended capabilities rather than answer production.</t>
        </is>
      </c>
      <c r="E81" s="8" t="inlineStr">
        <is>
          <t>Anchor 0–5 from domain-specific maturity anchor using direct sampled practice/work evidence; do not infer maturity from policy statements alone.</t>
        </is>
      </c>
      <c r="F81" s="8" t="inlineStr">
        <is>
          <t>0–5: 0 absent; 1 isolated/person-dependent; 2 repeatable in limited areas; 3 institutionally structured; 4 broad/cross-functional and consistently operating; 5 continuously improved/scaled.</t>
        </is>
      </c>
      <c r="G81" s="8" t="inlineStr">
        <is>
          <t>Use outcome only when a legitimate measurable result exists; otherwise N/A.</t>
        </is>
      </c>
      <c r="H81" s="8" t="inlineStr">
        <is>
          <t>Only genuine mandate/context inapplicability with documented assessor approval; missing evidence is never N/A.</t>
        </is>
      </c>
      <c r="I81" s="8" t="inlineStr">
        <is>
          <t>—</t>
        </is>
      </c>
      <c r="J81" s="8" t="inlineStr">
        <is>
          <t>E0=0.20; E1=0.40; E2=0.65; E3=0.85; E4=1.00, subject to corroboration/independence adjustment. Report separately.</t>
        </is>
      </c>
      <c r="K81" s="8" t="inlineStr">
        <is>
          <t>No score uplift from claims alone; lock denominator/exclusions before results; sample verification; cross-check with adjacent domains; high scores require corroboration.</t>
        </is>
      </c>
      <c r="L81" s="8" t="inlineStr">
        <is>
          <t>Use primary-owner rule; shared evidence may validate multiple metrics but the same activity cannot be scored twice across domains.</t>
        </is>
      </c>
      <c r="M81" s="8" t="inlineStr">
        <is>
          <t>100*((0.45*M)+(0.30*I)+(0.25*O))/5 when O exists; otherwise 100*((0.60*M)+(0.40*I))/5.</t>
        </is>
      </c>
      <c r="N81" s="8" t="inlineStr">
        <is>
          <t>D07 methodology/data owner</t>
        </is>
      </c>
      <c r="O81" s="8" t="inlineStr">
        <is>
          <t>PROVISIONAL—pilot validation required</t>
        </is>
      </c>
    </row>
    <row r="82">
      <c r="A82" s="8" t="inlineStr">
        <is>
          <t>D07</t>
        </is>
      </c>
      <c r="B82" s="8" t="inlineStr">
        <is>
          <t>I02</t>
        </is>
      </c>
      <c r="C82" s="8" t="inlineStr">
        <is>
          <t>Cognitive Demonstration Depth</t>
        </is>
      </c>
      <c r="D82" s="8" t="inlineStr">
        <is>
          <t>Extent to which students must demonstrate reasoning, judgement, interpretation and problem-solving.</t>
        </is>
      </c>
      <c r="E82" s="8" t="inlineStr">
        <is>
          <t>Anchor 0–5 from domain-specific maturity anchor using direct sampled practice/work evidence; do not infer maturity from policy statements alone.</t>
        </is>
      </c>
      <c r="F82" s="8" t="inlineStr">
        <is>
          <t>0–5: 0 absent; 1 isolated/person-dependent; 2 repeatable in limited areas; 3 institutionally structured; 4 broad/cross-functional and consistently operating; 5 continuously improved/scaled.</t>
        </is>
      </c>
      <c r="G82" s="8" t="inlineStr">
        <is>
          <t>Use outcome only when a legitimate measurable result exists; otherwise N/A.</t>
        </is>
      </c>
      <c r="H82" s="8" t="inlineStr">
        <is>
          <t>Only genuine mandate/context inapplicability with documented assessor approval; missing evidence is never N/A.</t>
        </is>
      </c>
      <c r="I82" s="8" t="inlineStr">
        <is>
          <t>—</t>
        </is>
      </c>
      <c r="J82" s="8" t="inlineStr">
        <is>
          <t>E0=0.20; E1=0.40; E2=0.65; E3=0.85; E4=1.00, subject to corroboration/independence adjustment. Report separately.</t>
        </is>
      </c>
      <c r="K82" s="8" t="inlineStr">
        <is>
          <t>No score uplift from claims alone; lock denominator/exclusions before results; sample verification; cross-check with adjacent domains; high scores require corroboration.</t>
        </is>
      </c>
      <c r="L82" s="8" t="inlineStr">
        <is>
          <t>Use primary-owner rule; shared evidence may validate multiple metrics but the same activity cannot be scored twice across domains.</t>
        </is>
      </c>
      <c r="M82" s="8" t="inlineStr">
        <is>
          <t>100*((0.45*M)+(0.30*I)+(0.25*O))/5 when O exists; otherwise 100*((0.60*M)+(0.40*I))/5.</t>
        </is>
      </c>
      <c r="N82" s="8" t="inlineStr">
        <is>
          <t>D07 methodology/data owner</t>
        </is>
      </c>
      <c r="O82" s="8" t="inlineStr">
        <is>
          <t>PROVISIONAL—pilot validation required</t>
        </is>
      </c>
    </row>
    <row r="83">
      <c r="A83" s="8" t="inlineStr">
        <is>
          <t>D07</t>
        </is>
      </c>
      <c r="B83" s="8" t="inlineStr">
        <is>
          <t>I03</t>
        </is>
      </c>
      <c r="C83" s="8" t="inlineStr">
        <is>
          <t>Authenticity of Demonstration</t>
        </is>
      </c>
      <c r="D83" s="8" t="inlineStr">
        <is>
          <t>Use of real, unfamiliar, contextual and practice-linked tasks.</t>
        </is>
      </c>
      <c r="E83" s="8" t="inlineStr">
        <is>
          <t>Anchor 0–5 from domain-specific maturity anchor using direct sampled practice/work evidence; do not infer maturity from policy statements alone.</t>
        </is>
      </c>
      <c r="F83" s="8" t="inlineStr">
        <is>
          <t>0–5: 0 absent; 1 isolated/person-dependent; 2 repeatable in limited areas; 3 institutionally structured; 4 broad/cross-functional and consistently operating; 5 continuously improved/scaled.</t>
        </is>
      </c>
      <c r="G83" s="8" t="inlineStr">
        <is>
          <t>Use outcome only when a legitimate measurable result exists; otherwise N/A.</t>
        </is>
      </c>
      <c r="H83" s="8" t="inlineStr">
        <is>
          <t>Only genuine mandate/context inapplicability with documented assessor approval; missing evidence is never N/A.</t>
        </is>
      </c>
      <c r="I83" s="8" t="inlineStr">
        <is>
          <t>—</t>
        </is>
      </c>
      <c r="J83" s="8" t="inlineStr">
        <is>
          <t>E0=0.20; E1=0.40; E2=0.65; E3=0.85; E4=1.00, subject to corroboration/independence adjustment. Report separately.</t>
        </is>
      </c>
      <c r="K83" s="8" t="inlineStr">
        <is>
          <t>No score uplift from claims alone; lock denominator/exclusions before results; sample verification; cross-check with adjacent domains; high scores require corroboration.</t>
        </is>
      </c>
      <c r="L83" s="8" t="inlineStr">
        <is>
          <t>Use primary-owner rule; shared evidence may validate multiple metrics but the same activity cannot be scored twice across domains.</t>
        </is>
      </c>
      <c r="M83" s="8" t="inlineStr">
        <is>
          <t>100*((0.45*M)+(0.30*I)+(0.25*O))/5 when O exists; otherwise 100*((0.60*M)+(0.40*I))/5.</t>
        </is>
      </c>
      <c r="N83" s="8" t="inlineStr">
        <is>
          <t>D07 methodology/data owner</t>
        </is>
      </c>
      <c r="O83" s="8" t="inlineStr">
        <is>
          <t>PROVISIONAL—pilot validation required</t>
        </is>
      </c>
    </row>
    <row r="84">
      <c r="A84" s="8" t="inlineStr">
        <is>
          <t>D07</t>
        </is>
      </c>
      <c r="B84" s="8" t="inlineStr">
        <is>
          <t>I04</t>
        </is>
      </c>
      <c r="C84" s="8" t="inlineStr">
        <is>
          <t>AI-Aware Assessment Maturity</t>
        </is>
      </c>
      <c r="D84" s="8" t="inlineStr">
        <is>
          <t>Extent to which assessment design responds intelligently to generative AI availability.</t>
        </is>
      </c>
      <c r="E84" s="8" t="inlineStr">
        <is>
          <t>Anchor 0–5 from domain-specific maturity anchor using direct sampled practice/work evidence; do not infer maturity from policy statements alone.</t>
        </is>
      </c>
      <c r="F84" s="8" t="inlineStr">
        <is>
          <t>0–5: 0 absent; 1 isolated/person-dependent; 2 repeatable in limited areas; 3 institutionally structured; 4 broad/cross-functional and consistently operating; 5 continuously improved/scaled.</t>
        </is>
      </c>
      <c r="G84" s="8" t="inlineStr">
        <is>
          <t>Use outcome only when a legitimate measurable result exists; otherwise N/A.</t>
        </is>
      </c>
      <c r="H84" s="8" t="inlineStr">
        <is>
          <t>Only genuine mandate/context inapplicability with documented assessor approval; missing evidence is never N/A.</t>
        </is>
      </c>
      <c r="I84" s="8" t="inlineStr">
        <is>
          <t>—</t>
        </is>
      </c>
      <c r="J84" s="8" t="inlineStr">
        <is>
          <t>E0=0.20; E1=0.40; E2=0.65; E3=0.85; E4=1.00, subject to corroboration/independence adjustment. Report separately.</t>
        </is>
      </c>
      <c r="K84" s="8" t="inlineStr">
        <is>
          <t>No score uplift from claims alone; lock denominator/exclusions before results; sample verification; cross-check with adjacent domains; high scores require corroboration.</t>
        </is>
      </c>
      <c r="L84" s="8" t="inlineStr">
        <is>
          <t>Use primary-owner rule; shared evidence may validate multiple metrics but the same activity cannot be scored twice across domains.</t>
        </is>
      </c>
      <c r="M84" s="8" t="inlineStr">
        <is>
          <t>100*((0.45*M)+(0.30*I)+(0.25*O))/5 when O exists; otherwise 100*((0.60*M)+(0.40*I))/5.</t>
        </is>
      </c>
      <c r="N84" s="8" t="inlineStr">
        <is>
          <t>D07 methodology/data owner</t>
        </is>
      </c>
      <c r="O84" s="8" t="inlineStr">
        <is>
          <t>PROVISIONAL—pilot validation required</t>
        </is>
      </c>
    </row>
    <row r="85">
      <c r="A85" s="8" t="inlineStr">
        <is>
          <t>D07</t>
        </is>
      </c>
      <c r="B85" s="8" t="inlineStr">
        <is>
          <t>I05</t>
        </is>
      </c>
      <c r="C85" s="8" t="inlineStr">
        <is>
          <t>Verification &amp; Defence</t>
        </is>
      </c>
      <c r="D85" s="8" t="inlineStr">
        <is>
          <t>Ability of students to explain, defend and interrogate their own work.</t>
        </is>
      </c>
      <c r="E85" s="8" t="inlineStr">
        <is>
          <t>Anchor 0–5 from domain-specific maturity anchor using direct sampled practice/work evidence; do not infer maturity from policy statements alone.</t>
        </is>
      </c>
      <c r="F85" s="8" t="inlineStr">
        <is>
          <t>0–5: 0 absent; 1 isolated/person-dependent; 2 repeatable in limited areas; 3 institutionally structured; 4 broad/cross-functional and consistently operating; 5 continuously improved/scaled.</t>
        </is>
      </c>
      <c r="G85" s="8" t="inlineStr">
        <is>
          <t>Use outcome only when a legitimate measurable result exists; otherwise N/A.</t>
        </is>
      </c>
      <c r="H85" s="8" t="inlineStr">
        <is>
          <t>Only genuine mandate/context inapplicability with documented assessor approval; missing evidence is never N/A.</t>
        </is>
      </c>
      <c r="I85" s="8" t="inlineStr">
        <is>
          <t>—</t>
        </is>
      </c>
      <c r="J85" s="8" t="inlineStr">
        <is>
          <t>E0=0.20; E1=0.40; E2=0.65; E3=0.85; E4=1.00, subject to corroboration/independence adjustment. Report separately.</t>
        </is>
      </c>
      <c r="K85" s="8" t="inlineStr">
        <is>
          <t>No score uplift from claims alone; lock denominator/exclusions before results; sample verification; cross-check with adjacent domains; high scores require corroboration.</t>
        </is>
      </c>
      <c r="L85" s="8" t="inlineStr">
        <is>
          <t>Use primary-owner rule; shared evidence may validate multiple metrics but the same activity cannot be scored twice across domains.</t>
        </is>
      </c>
      <c r="M85" s="8" t="inlineStr">
        <is>
          <t>100*((0.45*M)+(0.30*I)+(0.25*O))/5 when O exists; otherwise 100*((0.60*M)+(0.40*I))/5.</t>
        </is>
      </c>
      <c r="N85" s="8" t="inlineStr">
        <is>
          <t>D07 methodology/data owner</t>
        </is>
      </c>
      <c r="O85" s="8" t="inlineStr">
        <is>
          <t>PROVISIONAL—pilot validation required</t>
        </is>
      </c>
    </row>
    <row r="86">
      <c r="A86" s="8" t="inlineStr">
        <is>
          <t>D07</t>
        </is>
      </c>
      <c r="B86" s="8" t="inlineStr">
        <is>
          <t>I06</t>
        </is>
      </c>
      <c r="C86" s="8" t="inlineStr">
        <is>
          <t>Feedback Intelligence</t>
        </is>
      </c>
      <c r="D86" s="8" t="inlineStr">
        <is>
          <t>Use of feedback to improve capability rather than merely correct answers.</t>
        </is>
      </c>
      <c r="E86" s="8" t="inlineStr">
        <is>
          <t>Anchor 0–5 from domain-specific maturity anchor using direct sampled practice/work evidence; do not infer maturity from policy statements alone.</t>
        </is>
      </c>
      <c r="F86" s="8" t="inlineStr">
        <is>
          <t>0–5: 0 absent; 1 isolated/person-dependent; 2 repeatable in limited areas; 3 institutionally structured; 4 broad/cross-functional and consistently operating; 5 continuously improved/scaled.</t>
        </is>
      </c>
      <c r="G86" s="8" t="inlineStr">
        <is>
          <t>Use outcome only when a legitimate measurable result exists; otherwise N/A.</t>
        </is>
      </c>
      <c r="H86" s="8" t="inlineStr">
        <is>
          <t>Only genuine mandate/context inapplicability with documented assessor approval; missing evidence is never N/A.</t>
        </is>
      </c>
      <c r="I86" s="8" t="inlineStr">
        <is>
          <t>—</t>
        </is>
      </c>
      <c r="J86" s="8" t="inlineStr">
        <is>
          <t>E0=0.20; E1=0.40; E2=0.65; E3=0.85; E4=1.00, subject to corroboration/independence adjustment. Report separately.</t>
        </is>
      </c>
      <c r="K86" s="8" t="inlineStr">
        <is>
          <t>No score uplift from claims alone; lock denominator/exclusions before results; sample verification; cross-check with adjacent domains; high scores require corroboration.</t>
        </is>
      </c>
      <c r="L86" s="8" t="inlineStr">
        <is>
          <t>Use primary-owner rule; shared evidence may validate multiple metrics but the same activity cannot be scored twice across domains.</t>
        </is>
      </c>
      <c r="M86" s="8" t="inlineStr">
        <is>
          <t>100*((0.45*M)+(0.30*I)+(0.25*O))/5 when O exists; otherwise 100*((0.60*M)+(0.40*I))/5.</t>
        </is>
      </c>
      <c r="N86" s="8" t="inlineStr">
        <is>
          <t>D07 methodology/data owner</t>
        </is>
      </c>
      <c r="O86" s="8" t="inlineStr">
        <is>
          <t>PROVISIONAL—pilot validation required</t>
        </is>
      </c>
    </row>
    <row r="87">
      <c r="A87" s="8" t="inlineStr">
        <is>
          <t>D07</t>
        </is>
      </c>
      <c r="B87" s="8" t="inlineStr">
        <is>
          <t>I07</t>
        </is>
      </c>
      <c r="C87" s="8" t="inlineStr">
        <is>
          <t>Evidence of Learning</t>
        </is>
      </c>
      <c r="D87" s="8" t="inlineStr">
        <is>
          <t>Quality of institutional evidence showing that intended learning actually occurred.</t>
        </is>
      </c>
      <c r="E87" s="8" t="inlineStr">
        <is>
          <t>Anchor 0–5 from domain-specific maturity anchor using direct sampled practice/work evidence; do not infer maturity from policy statements alone.</t>
        </is>
      </c>
      <c r="F87" s="8" t="inlineStr">
        <is>
          <t>0–5: 0 absent; 1 isolated/person-dependent; 2 repeatable in limited areas; 3 institutionally structured; 4 broad/cross-functional and consistently operating; 5 continuously improved/scaled.</t>
        </is>
      </c>
      <c r="G87" s="8" t="inlineStr">
        <is>
          <t>Use outcome only when a legitimate measurable result exists; otherwise N/A.</t>
        </is>
      </c>
      <c r="H87" s="8" t="inlineStr">
        <is>
          <t>Only genuine mandate/context inapplicability with documented assessor approval; missing evidence is never N/A.</t>
        </is>
      </c>
      <c r="I87" s="8" t="inlineStr">
        <is>
          <t>—</t>
        </is>
      </c>
      <c r="J87" s="8" t="inlineStr">
        <is>
          <t>E0=0.20; E1=0.40; E2=0.65; E3=0.85; E4=1.00, subject to corroboration/independence adjustment. Report separately.</t>
        </is>
      </c>
      <c r="K87" s="8" t="inlineStr">
        <is>
          <t>No score uplift from claims alone; lock denominator/exclusions before results; sample verification; cross-check with adjacent domains; high scores require corroboration.</t>
        </is>
      </c>
      <c r="L87" s="8" t="inlineStr">
        <is>
          <t>Use primary-owner rule; shared evidence may validate multiple metrics but the same activity cannot be scored twice across domains.</t>
        </is>
      </c>
      <c r="M87" s="8" t="inlineStr">
        <is>
          <t>100*((0.45*M)+(0.30*I)+(0.25*O))/5 when O exists; otherwise 100*((0.60*M)+(0.40*I))/5.</t>
        </is>
      </c>
      <c r="N87" s="8" t="inlineStr">
        <is>
          <t>D07 methodology/data owner</t>
        </is>
      </c>
      <c r="O87" s="8" t="inlineStr">
        <is>
          <t>PROVISIONAL—pilot validation required</t>
        </is>
      </c>
    </row>
    <row r="88">
      <c r="A88" s="8" t="inlineStr">
        <is>
          <t>D07</t>
        </is>
      </c>
      <c r="B88" s="8" t="inlineStr">
        <is>
          <t>I08</t>
        </is>
      </c>
      <c r="C88" s="8" t="inlineStr">
        <is>
          <t>Capability Outcome Measurement</t>
        </is>
      </c>
      <c r="D88" s="8" t="inlineStr">
        <is>
          <t>Extent to which learning outcomes are measured with meaningful evidence.</t>
        </is>
      </c>
      <c r="E88" s="8" t="inlineStr">
        <is>
          <t>Anchor 0–5 from domain-specific maturity anchor using direct sampled practice/work evidence; do not infer maturity from policy statements alone.</t>
        </is>
      </c>
      <c r="F88" s="8" t="inlineStr">
        <is>
          <t>0–5: 0 absent; 1 isolated/person-dependent; 2 repeatable in limited areas; 3 institutionally structured; 4 broad/cross-functional and consistently operating; 5 continuously improved/scaled.</t>
        </is>
      </c>
      <c r="G88" s="8" t="inlineStr">
        <is>
          <t>Use outcome only when a legitimate measurable result exists; otherwise N/A.</t>
        </is>
      </c>
      <c r="H88" s="8" t="inlineStr">
        <is>
          <t>Only genuine mandate/context inapplicability with documented assessor approval; missing evidence is never N/A.</t>
        </is>
      </c>
      <c r="I88" s="8" t="inlineStr">
        <is>
          <t>—</t>
        </is>
      </c>
      <c r="J88" s="8" t="inlineStr">
        <is>
          <t>E0=0.20; E1=0.40; E2=0.65; E3=0.85; E4=1.00, subject to corroboration/independence adjustment. Report separately.</t>
        </is>
      </c>
      <c r="K88" s="8" t="inlineStr">
        <is>
          <t>No score uplift from claims alone; lock denominator/exclusions before results; sample verification; cross-check with adjacent domains; high scores require corroboration.</t>
        </is>
      </c>
      <c r="L88" s="8" t="inlineStr">
        <is>
          <t>Use primary-owner rule; shared evidence may validate multiple metrics but the same activity cannot be scored twice across domains.</t>
        </is>
      </c>
      <c r="M88" s="8" t="inlineStr">
        <is>
          <t>100*((0.45*M)+(0.30*I)+(0.25*O))/5 when O exists; otherwise 100*((0.60*M)+(0.40*I))/5.</t>
        </is>
      </c>
      <c r="N88" s="8" t="inlineStr">
        <is>
          <t>D07 methodology/data owner</t>
        </is>
      </c>
      <c r="O88" s="8" t="inlineStr">
        <is>
          <t>PROVISIONAL—pilot validation required</t>
        </is>
      </c>
    </row>
    <row r="89">
      <c r="A89" s="8" t="inlineStr">
        <is>
          <t>D07</t>
        </is>
      </c>
      <c r="B89" s="8" t="inlineStr">
        <is>
          <t>I09</t>
        </is>
      </c>
      <c r="C89" s="8" t="inlineStr">
        <is>
          <t>Assessment Equity &amp; Access</t>
        </is>
      </c>
      <c r="D89" s="8" t="inlineStr">
        <is>
          <t>Ability to assess capability fairly across diverse student contexts and access conditions.</t>
        </is>
      </c>
      <c r="E89" s="8" t="inlineStr">
        <is>
          <t>Anchor 0–5 from domain-specific maturity anchor using direct sampled practice/work evidence; do not infer maturity from policy statements alone.</t>
        </is>
      </c>
      <c r="F89" s="8" t="inlineStr">
        <is>
          <t>0–5: 0 absent; 1 isolated/person-dependent; 2 repeatable in limited areas; 3 institutionally structured; 4 broad/cross-functional and consistently operating; 5 continuously improved/scaled.</t>
        </is>
      </c>
      <c r="G89" s="8" t="inlineStr">
        <is>
          <t>Use outcome only when a legitimate measurable result exists; otherwise N/A.</t>
        </is>
      </c>
      <c r="H89" s="8" t="inlineStr">
        <is>
          <t>Only genuine mandate/context inapplicability with documented assessor approval; missing evidence is never N/A.</t>
        </is>
      </c>
      <c r="I89" s="8" t="inlineStr">
        <is>
          <t>—</t>
        </is>
      </c>
      <c r="J89" s="8" t="inlineStr">
        <is>
          <t>E0=0.20; E1=0.40; E2=0.65; E3=0.85; E4=1.00, subject to corroboration/independence adjustment. Report separately.</t>
        </is>
      </c>
      <c r="K89" s="8" t="inlineStr">
        <is>
          <t>No score uplift from claims alone; lock denominator/exclusions before results; sample verification; cross-check with adjacent domains; high scores require corroboration.</t>
        </is>
      </c>
      <c r="L89" s="8" t="inlineStr">
        <is>
          <t>Use primary-owner rule; shared evidence may validate multiple metrics but the same activity cannot be scored twice across domains.</t>
        </is>
      </c>
      <c r="M89" s="8" t="inlineStr">
        <is>
          <t>100*((0.45*M)+(0.30*I)+(0.25*O))/5 when O exists; otherwise 100*((0.60*M)+(0.40*I))/5.</t>
        </is>
      </c>
      <c r="N89" s="8" t="inlineStr">
        <is>
          <t>D07 methodology/data owner</t>
        </is>
      </c>
      <c r="O89" s="8" t="inlineStr">
        <is>
          <t>PROVISIONAL—pilot validation required</t>
        </is>
      </c>
    </row>
    <row r="90">
      <c r="A90" s="8" t="inlineStr">
        <is>
          <t>D07</t>
        </is>
      </c>
      <c r="B90" s="8" t="inlineStr">
        <is>
          <t>I10</t>
        </is>
      </c>
      <c r="C90" s="8" t="inlineStr">
        <is>
          <t>Assessment Governance</t>
        </is>
      </c>
      <c r="D90" s="8" t="inlineStr">
        <is>
          <t>Institutional oversight of assessment quality, integrity and consistency.</t>
        </is>
      </c>
      <c r="E90" s="8" t="inlineStr">
        <is>
          <t>Anchor 0–5 from domain-specific maturity anchor using direct sampled practice/work evidence; do not infer maturity from policy statements alone.</t>
        </is>
      </c>
      <c r="F90" s="8" t="inlineStr">
        <is>
          <t>0–5: 0 absent; 1 isolated/person-dependent; 2 repeatable in limited areas; 3 institutionally structured; 4 broad/cross-functional and consistently operating; 5 continuously improved/scaled.</t>
        </is>
      </c>
      <c r="G90" s="8" t="inlineStr">
        <is>
          <t>Use outcome only when a legitimate measurable result exists; otherwise N/A.</t>
        </is>
      </c>
      <c r="H90" s="8" t="inlineStr">
        <is>
          <t>Only genuine mandate/context inapplicability with documented assessor approval; missing evidence is never N/A.</t>
        </is>
      </c>
      <c r="I90" s="8" t="inlineStr">
        <is>
          <t>—</t>
        </is>
      </c>
      <c r="J90" s="8" t="inlineStr">
        <is>
          <t>E0=0.20; E1=0.40; E2=0.65; E3=0.85; E4=1.00, subject to corroboration/independence adjustment. Report separately.</t>
        </is>
      </c>
      <c r="K90" s="8" t="inlineStr">
        <is>
          <t>No score uplift from claims alone; lock denominator/exclusions before results; sample verification; cross-check with adjacent domains; high scores require corroboration.</t>
        </is>
      </c>
      <c r="L90" s="8" t="inlineStr">
        <is>
          <t>Use primary-owner rule; shared evidence may validate multiple metrics but the same activity cannot be scored twice across domains.</t>
        </is>
      </c>
      <c r="M90" s="8" t="inlineStr">
        <is>
          <t>100*((0.45*M)+(0.30*I)+(0.25*O))/5 when O exists; otherwise 100*((0.60*M)+(0.40*I))/5.</t>
        </is>
      </c>
      <c r="N90" s="8" t="inlineStr">
        <is>
          <t>D07 methodology/data owner</t>
        </is>
      </c>
      <c r="O90" s="8" t="inlineStr">
        <is>
          <t>PROVISIONAL—pilot validation required</t>
        </is>
      </c>
    </row>
    <row r="91">
      <c r="A91" s="8" t="inlineStr">
        <is>
          <t>D07</t>
        </is>
      </c>
      <c r="B91" s="8" t="inlineStr">
        <is>
          <t>I11</t>
        </is>
      </c>
      <c r="C91" s="8" t="inlineStr">
        <is>
          <t>Assessment Innovation</t>
        </is>
      </c>
      <c r="D91" s="8" t="inlineStr">
        <is>
          <t>Ability to experiment with and evaluate new assessment models.</t>
        </is>
      </c>
      <c r="E91" s="8" t="inlineStr">
        <is>
          <t>Anchor 0–5 from domain-specific maturity anchor using direct sampled practice/work evidence; do not infer maturity from policy statements alone.</t>
        </is>
      </c>
      <c r="F91" s="8" t="inlineStr">
        <is>
          <t>0–5: 0 absent; 1 isolated/person-dependent; 2 repeatable in limited areas; 3 institutionally structured; 4 broad/cross-functional and consistently operating; 5 continuously improved/scaled.</t>
        </is>
      </c>
      <c r="G91" s="8" t="inlineStr">
        <is>
          <t>Use outcome only when a legitimate measurable result exists; otherwise N/A.</t>
        </is>
      </c>
      <c r="H91" s="8" t="inlineStr">
        <is>
          <t>Only genuine mandate/context inapplicability with documented assessor approval; missing evidence is never N/A.</t>
        </is>
      </c>
      <c r="I91" s="8" t="inlineStr">
        <is>
          <t>—</t>
        </is>
      </c>
      <c r="J91" s="8" t="inlineStr">
        <is>
          <t>E0=0.20; E1=0.40; E2=0.65; E3=0.85; E4=1.00, subject to corroboration/independence adjustment. Report separately.</t>
        </is>
      </c>
      <c r="K91" s="8" t="inlineStr">
        <is>
          <t>No score uplift from claims alone; lock denominator/exclusions before results; sample verification; cross-check with adjacent domains; high scores require corroboration.</t>
        </is>
      </c>
      <c r="L91" s="8" t="inlineStr">
        <is>
          <t>Use primary-owner rule; shared evidence may validate multiple metrics but the same activity cannot be scored twice across domains.</t>
        </is>
      </c>
      <c r="M91" s="8" t="inlineStr">
        <is>
          <t>100*((0.45*M)+(0.30*I)+(0.25*O))/5 when O exists; otherwise 100*((0.60*M)+(0.40*I))/5.</t>
        </is>
      </c>
      <c r="N91" s="8" t="inlineStr">
        <is>
          <t>D07 methodology/data owner</t>
        </is>
      </c>
      <c r="O91" s="8" t="inlineStr">
        <is>
          <t>PROVISIONAL—pilot validation required</t>
        </is>
      </c>
    </row>
    <row r="92">
      <c r="A92" s="8" t="inlineStr">
        <is>
          <t>D07</t>
        </is>
      </c>
      <c r="B92" s="8" t="inlineStr">
        <is>
          <t>I12</t>
        </is>
      </c>
      <c r="C92" s="8" t="inlineStr">
        <is>
          <t>Learning Evidence Analytics</t>
        </is>
      </c>
      <c r="D92" s="8" t="inlineStr">
        <is>
          <t>Use of data to identify capability gaps and improve learning design.</t>
        </is>
      </c>
      <c r="E92" s="8" t="inlineStr">
        <is>
          <t>Anchor 0–5 from domain-specific maturity anchor using direct sampled practice/work evidence; do not infer maturity from policy statements alone.</t>
        </is>
      </c>
      <c r="F92" s="8" t="inlineStr">
        <is>
          <t>0–5: 0 absent; 1 isolated/person-dependent; 2 repeatable in limited areas; 3 institutionally structured; 4 broad/cross-functional and consistently operating; 5 continuously improved/scaled.</t>
        </is>
      </c>
      <c r="G92" s="8" t="inlineStr">
        <is>
          <t>Use outcome only when a legitimate measurable result exists; otherwise N/A.</t>
        </is>
      </c>
      <c r="H92" s="8" t="inlineStr">
        <is>
          <t>Only genuine mandate/context inapplicability with documented assessor approval; missing evidence is never N/A.</t>
        </is>
      </c>
      <c r="I92" s="8" t="inlineStr">
        <is>
          <t>—</t>
        </is>
      </c>
      <c r="J92" s="8" t="inlineStr">
        <is>
          <t>E0=0.20; E1=0.40; E2=0.65; E3=0.85; E4=1.00, subject to corroboration/independence adjustment. Report separately.</t>
        </is>
      </c>
      <c r="K92" s="8" t="inlineStr">
        <is>
          <t>No score uplift from claims alone; lock denominator/exclusions before results; sample verification; cross-check with adjacent domains; high scores require corroboration.</t>
        </is>
      </c>
      <c r="L92" s="8" t="inlineStr">
        <is>
          <t>Use primary-owner rule; shared evidence may validate multiple metrics but the same activity cannot be scored twice across domains.</t>
        </is>
      </c>
      <c r="M92" s="8" t="inlineStr">
        <is>
          <t>100*((0.45*M)+(0.30*I)+(0.25*O))/5 when O exists; otherwise 100*((0.60*M)+(0.40*I))/5.</t>
        </is>
      </c>
      <c r="N92" s="8" t="inlineStr">
        <is>
          <t>D07 methodology/data owner</t>
        </is>
      </c>
      <c r="O92" s="8" t="inlineStr">
        <is>
          <t>PROVISIONAL—pilot validation required</t>
        </is>
      </c>
    </row>
    <row r="93">
      <c r="A93" s="8" t="inlineStr">
        <is>
          <t>D08</t>
        </is>
      </c>
      <c r="B93" s="8" t="inlineStr">
        <is>
          <t>I01</t>
        </is>
      </c>
      <c r="C93" s="8" t="inlineStr">
        <is>
          <t>Digital Environment Readiness</t>
        </is>
      </c>
      <c r="D93" s="8" t="inlineStr">
        <is>
          <t>Suitability of the institutional digital environment for emerging academic and administrative needs.</t>
        </is>
      </c>
      <c r="E93" s="8" t="inlineStr">
        <is>
          <t>Anchor 0–5 from domain-specific maturity anchor using direct sampled practice/work evidence; do not infer maturity from policy statements alone.</t>
        </is>
      </c>
      <c r="F93" s="8" t="inlineStr">
        <is>
          <t>0–5: 0 absent; 1 isolated/person-dependent; 2 repeatable in limited areas; 3 institutionally structured; 4 broad/cross-functional and consistently operating; 5 continuously improved/scaled.</t>
        </is>
      </c>
      <c r="G93" s="8" t="inlineStr">
        <is>
          <t>Use outcome only when a legitimate measurable result exists; otherwise N/A.</t>
        </is>
      </c>
      <c r="H93" s="8" t="inlineStr">
        <is>
          <t>Only genuine mandate/context inapplicability with documented assessor approval; missing evidence is never N/A.</t>
        </is>
      </c>
      <c r="I93" s="8" t="inlineStr">
        <is>
          <t>—</t>
        </is>
      </c>
      <c r="J93" s="8" t="inlineStr">
        <is>
          <t>E0=0.20; E1=0.40; E2=0.65; E3=0.85; E4=1.00, subject to corroboration/independence adjustment. Report separately.</t>
        </is>
      </c>
      <c r="K93" s="8" t="inlineStr">
        <is>
          <t>No score uplift from claims alone; lock denominator/exclusions before results; sample verification; cross-check with adjacent domains; high scores require corroboration.</t>
        </is>
      </c>
      <c r="L93" s="8" t="inlineStr">
        <is>
          <t>Use primary-owner rule; shared evidence may validate multiple metrics but the same activity cannot be scored twice across domains.</t>
        </is>
      </c>
      <c r="M93" s="8" t="inlineStr">
        <is>
          <t>100*((0.45*M)+(0.30*I)+(0.25*O))/5 when O exists; otherwise 100*((0.60*M)+(0.40*I))/5.</t>
        </is>
      </c>
      <c r="N93" s="8" t="inlineStr">
        <is>
          <t>D08 methodology/data owner</t>
        </is>
      </c>
      <c r="O93" s="8" t="inlineStr">
        <is>
          <t>PROVISIONAL—pilot validation required</t>
        </is>
      </c>
    </row>
    <row r="94">
      <c r="A94" s="8" t="inlineStr">
        <is>
          <t>D08</t>
        </is>
      </c>
      <c r="B94" s="8" t="inlineStr">
        <is>
          <t>I02</t>
        </is>
      </c>
      <c r="C94" s="8" t="inlineStr">
        <is>
          <t>Institutional Data Architecture</t>
        </is>
      </c>
      <c r="D94" s="8" t="inlineStr">
        <is>
          <t>Degree to which important institutional data are structured, connected and usable.</t>
        </is>
      </c>
      <c r="E94" s="8" t="inlineStr">
        <is>
          <t>Anchor 0–5 from domain-specific maturity anchor using direct sampled practice/work evidence; do not infer maturity from policy statements alone.</t>
        </is>
      </c>
      <c r="F94" s="8" t="inlineStr">
        <is>
          <t>0–5: 0 absent; 1 isolated/person-dependent; 2 repeatable in limited areas; 3 institutionally structured; 4 broad/cross-functional and consistently operating; 5 continuously improved/scaled.</t>
        </is>
      </c>
      <c r="G94" s="8" t="inlineStr">
        <is>
          <t>Use outcome only when a legitimate measurable result exists; otherwise N/A.</t>
        </is>
      </c>
      <c r="H94" s="8" t="inlineStr">
        <is>
          <t>Only genuine mandate/context inapplicability with documented assessor approval; missing evidence is never N/A.</t>
        </is>
      </c>
      <c r="I94" s="8" t="inlineStr">
        <is>
          <t>—</t>
        </is>
      </c>
      <c r="J94" s="8" t="inlineStr">
        <is>
          <t>E0=0.20; E1=0.40; E2=0.65; E3=0.85; E4=1.00, subject to corroboration/independence adjustment. Report separately.</t>
        </is>
      </c>
      <c r="K94" s="8" t="inlineStr">
        <is>
          <t>No score uplift from claims alone; lock denominator/exclusions before results; sample verification; cross-check with adjacent domains; high scores require corroboration.</t>
        </is>
      </c>
      <c r="L94" s="8" t="inlineStr">
        <is>
          <t>Use primary-owner rule; shared evidence may validate multiple metrics but the same activity cannot be scored twice across domains.</t>
        </is>
      </c>
      <c r="M94" s="8" t="inlineStr">
        <is>
          <t>100*((0.45*M)+(0.30*I)+(0.25*O))/5 when O exists; otherwise 100*((0.60*M)+(0.40*I))/5.</t>
        </is>
      </c>
      <c r="N94" s="8" t="inlineStr">
        <is>
          <t>D08 methodology/data owner</t>
        </is>
      </c>
      <c r="O94" s="8" t="inlineStr">
        <is>
          <t>PROVISIONAL—pilot validation required</t>
        </is>
      </c>
    </row>
    <row r="95">
      <c r="A95" s="8" t="inlineStr">
        <is>
          <t>D08</t>
        </is>
      </c>
      <c r="B95" s="8" t="inlineStr">
        <is>
          <t>I03</t>
        </is>
      </c>
      <c r="C95" s="8" t="inlineStr">
        <is>
          <t>Data Quality &amp; Integrity</t>
        </is>
      </c>
      <c r="D95" s="8" t="inlineStr">
        <is>
          <t>Reliability, completeness, consistency and stewardship of institutional data.</t>
        </is>
      </c>
      <c r="E95" s="8" t="inlineStr">
        <is>
          <t>Anchor 0–5 from domain-specific maturity anchor using direct sampled practice/work evidence; do not infer maturity from policy statements alone.</t>
        </is>
      </c>
      <c r="F95" s="8" t="inlineStr">
        <is>
          <t>0–5: 0 absent; 1 isolated/person-dependent; 2 repeatable in limited areas; 3 institutionally structured; 4 broad/cross-functional and consistently operating; 5 continuously improved/scaled.</t>
        </is>
      </c>
      <c r="G95" s="8" t="inlineStr">
        <is>
          <t>Use outcome only when a legitimate measurable result exists; otherwise N/A.</t>
        </is>
      </c>
      <c r="H95" s="8" t="inlineStr">
        <is>
          <t>Only genuine mandate/context inapplicability with documented assessor approval; missing evidence is never N/A.</t>
        </is>
      </c>
      <c r="I95" s="8" t="inlineStr">
        <is>
          <t>—</t>
        </is>
      </c>
      <c r="J95" s="8" t="inlineStr">
        <is>
          <t>E0=0.20; E1=0.40; E2=0.65; E3=0.85; E4=1.00, subject to corroboration/independence adjustment. Report separately.</t>
        </is>
      </c>
      <c r="K95" s="8" t="inlineStr">
        <is>
          <t>No score uplift from claims alone; lock denominator/exclusions before results; sample verification; cross-check with adjacent domains; high scores require corroboration.</t>
        </is>
      </c>
      <c r="L95" s="8" t="inlineStr">
        <is>
          <t>Use primary-owner rule; shared evidence may validate multiple metrics but the same activity cannot be scored twice across domains.</t>
        </is>
      </c>
      <c r="M95" s="8" t="inlineStr">
        <is>
          <t>100*((0.45*M)+(0.30*I)+(0.25*O))/5 when O exists; otherwise 100*((0.60*M)+(0.40*I))/5.</t>
        </is>
      </c>
      <c r="N95" s="8" t="inlineStr">
        <is>
          <t>D08 methodology/data owner</t>
        </is>
      </c>
      <c r="O95" s="8" t="inlineStr">
        <is>
          <t>PROVISIONAL—pilot validation required</t>
        </is>
      </c>
    </row>
    <row r="96">
      <c r="A96" s="8" t="inlineStr">
        <is>
          <t>D08</t>
        </is>
      </c>
      <c r="B96" s="8" t="inlineStr">
        <is>
          <t>I04</t>
        </is>
      </c>
      <c r="C96" s="8" t="inlineStr">
        <is>
          <t>System Interoperability</t>
        </is>
      </c>
      <c r="D96" s="8" t="inlineStr">
        <is>
          <t>Ability of institutional systems to exchange and use information coherently.</t>
        </is>
      </c>
      <c r="E96" s="8" t="inlineStr">
        <is>
          <t>Anchor 0–5 from domain-specific maturity anchor using direct sampled practice/work evidence; do not infer maturity from policy statements alone.</t>
        </is>
      </c>
      <c r="F96" s="8" t="inlineStr">
        <is>
          <t>0–5: 0 absent; 1 isolated/person-dependent; 2 repeatable in limited areas; 3 institutionally structured; 4 broad/cross-functional and consistently operating; 5 continuously improved/scaled.</t>
        </is>
      </c>
      <c r="G96" s="8" t="inlineStr">
        <is>
          <t>Use outcome only when a legitimate measurable result exists; otherwise N/A.</t>
        </is>
      </c>
      <c r="H96" s="8" t="inlineStr">
        <is>
          <t>Only genuine mandate/context inapplicability with documented assessor approval; missing evidence is never N/A.</t>
        </is>
      </c>
      <c r="I96" s="8" t="inlineStr">
        <is>
          <t>—</t>
        </is>
      </c>
      <c r="J96" s="8" t="inlineStr">
        <is>
          <t>E0=0.20; E1=0.40; E2=0.65; E3=0.85; E4=1.00, subject to corroboration/independence adjustment. Report separately.</t>
        </is>
      </c>
      <c r="K96" s="8" t="inlineStr">
        <is>
          <t>No score uplift from claims alone; lock denominator/exclusions before results; sample verification; cross-check with adjacent domains; high scores require corroboration.</t>
        </is>
      </c>
      <c r="L96" s="8" t="inlineStr">
        <is>
          <t>Use primary-owner rule; shared evidence may validate multiple metrics but the same activity cannot be scored twice across domains.</t>
        </is>
      </c>
      <c r="M96" s="8" t="inlineStr">
        <is>
          <t>100*((0.45*M)+(0.30*I)+(0.25*O))/5 when O exists; otherwise 100*((0.60*M)+(0.40*I))/5.</t>
        </is>
      </c>
      <c r="N96" s="8" t="inlineStr">
        <is>
          <t>D08 methodology/data owner</t>
        </is>
      </c>
      <c r="O96" s="8" t="inlineStr">
        <is>
          <t>PROVISIONAL—pilot validation required</t>
        </is>
      </c>
    </row>
    <row r="97">
      <c r="A97" s="8" t="inlineStr">
        <is>
          <t>D08</t>
        </is>
      </c>
      <c r="B97" s="8" t="inlineStr">
        <is>
          <t>I05</t>
        </is>
      </c>
      <c r="C97" s="8" t="inlineStr">
        <is>
          <t>Decision Intelligence</t>
        </is>
      </c>
      <c r="D97" s="8" t="inlineStr">
        <is>
          <t>Use of institutional data and analytics in leadership and operational decisions.</t>
        </is>
      </c>
      <c r="E97" s="8" t="inlineStr">
        <is>
          <t>Anchor 0–5 from domain-specific maturity anchor using direct sampled practice/work evidence; do not infer maturity from policy statements alone.</t>
        </is>
      </c>
      <c r="F97" s="8" t="inlineStr">
        <is>
          <t>0–5: 0 absent; 1 isolated/person-dependent; 2 repeatable in limited areas; 3 institutionally structured; 4 broad/cross-functional and consistently operating; 5 continuously improved/scaled.</t>
        </is>
      </c>
      <c r="G97" s="8" t="inlineStr">
        <is>
          <t>Use outcome only when a legitimate measurable result exists; otherwise N/A.</t>
        </is>
      </c>
      <c r="H97" s="8" t="inlineStr">
        <is>
          <t>Only genuine mandate/context inapplicability with documented assessor approval; missing evidence is never N/A.</t>
        </is>
      </c>
      <c r="I97" s="8" t="inlineStr">
        <is>
          <t>—</t>
        </is>
      </c>
      <c r="J97" s="8" t="inlineStr">
        <is>
          <t>E0=0.20; E1=0.40; E2=0.65; E3=0.85; E4=1.00, subject to corroboration/independence adjustment. Report separately.</t>
        </is>
      </c>
      <c r="K97" s="8" t="inlineStr">
        <is>
          <t>No score uplift from claims alone; lock denominator/exclusions before results; sample verification; cross-check with adjacent domains; high scores require corroboration.</t>
        </is>
      </c>
      <c r="L97" s="8" t="inlineStr">
        <is>
          <t>Use primary-owner rule; shared evidence may validate multiple metrics but the same activity cannot be scored twice across domains.</t>
        </is>
      </c>
      <c r="M97" s="8" t="inlineStr">
        <is>
          <t>100*((0.45*M)+(0.30*I)+(0.25*O))/5 when O exists; otherwise 100*((0.60*M)+(0.40*I))/5.</t>
        </is>
      </c>
      <c r="N97" s="8" t="inlineStr">
        <is>
          <t>D08 methodology/data owner</t>
        </is>
      </c>
      <c r="O97" s="8" t="inlineStr">
        <is>
          <t>PROVISIONAL—pilot validation required</t>
        </is>
      </c>
    </row>
    <row r="98">
      <c r="A98" s="8" t="inlineStr">
        <is>
          <t>D08</t>
        </is>
      </c>
      <c r="B98" s="8" t="inlineStr">
        <is>
          <t>I06</t>
        </is>
      </c>
      <c r="C98" s="8" t="inlineStr">
        <is>
          <t>AI Enablement Readiness</t>
        </is>
      </c>
      <c r="D98" s="8" t="inlineStr">
        <is>
          <t>Whether infrastructure and data can responsibly support AI-enabled activity.</t>
        </is>
      </c>
      <c r="E98" s="8" t="inlineStr">
        <is>
          <t>Anchor 0–5 from domain-specific maturity anchor using direct sampled practice/work evidence; do not infer maturity from policy statements alone.</t>
        </is>
      </c>
      <c r="F98" s="8" t="inlineStr">
        <is>
          <t>0–5: 0 absent; 1 isolated/person-dependent; 2 repeatable in limited areas; 3 institutionally structured; 4 broad/cross-functional and consistently operating; 5 continuously improved/scaled.</t>
        </is>
      </c>
      <c r="G98" s="8" t="inlineStr">
        <is>
          <t>Use outcome only when a legitimate measurable result exists; otherwise N/A.</t>
        </is>
      </c>
      <c r="H98" s="8" t="inlineStr">
        <is>
          <t>Only genuine mandate/context inapplicability with documented assessor approval; missing evidence is never N/A.</t>
        </is>
      </c>
      <c r="I98" s="8" t="inlineStr">
        <is>
          <t>—</t>
        </is>
      </c>
      <c r="J98" s="8" t="inlineStr">
        <is>
          <t>E0=0.20; E1=0.40; E2=0.65; E3=0.85; E4=1.00, subject to corroboration/independence adjustment. Report separately.</t>
        </is>
      </c>
      <c r="K98" s="8" t="inlineStr">
        <is>
          <t>No score uplift from claims alone; lock denominator/exclusions before results; sample verification; cross-check with adjacent domains; high scores require corroboration.</t>
        </is>
      </c>
      <c r="L98" s="8" t="inlineStr">
        <is>
          <t>Use primary-owner rule; shared evidence may validate multiple metrics but the same activity cannot be scored twice across domains.</t>
        </is>
      </c>
      <c r="M98" s="8" t="inlineStr">
        <is>
          <t>100*((0.45*M)+(0.30*I)+(0.25*O))/5 when O exists; otherwise 100*((0.60*M)+(0.40*I))/5.</t>
        </is>
      </c>
      <c r="N98" s="8" t="inlineStr">
        <is>
          <t>D08 methodology/data owner</t>
        </is>
      </c>
      <c r="O98" s="8" t="inlineStr">
        <is>
          <t>PROVISIONAL—pilot validation required</t>
        </is>
      </c>
    </row>
    <row r="99">
      <c r="A99" s="8" t="inlineStr">
        <is>
          <t>D08</t>
        </is>
      </c>
      <c r="B99" s="8" t="inlineStr">
        <is>
          <t>I07</t>
        </is>
      </c>
      <c r="C99" s="8" t="inlineStr">
        <is>
          <t>Cyber &amp; Information Security</t>
        </is>
      </c>
      <c r="D99" s="8" t="inlineStr">
        <is>
          <t>Protection of institutional information, systems and users.</t>
        </is>
      </c>
      <c r="E99" s="8" t="inlineStr">
        <is>
          <t>Anchor 0–5 from domain-specific maturity anchor using direct sampled practice/work evidence; do not infer maturity from policy statements alone.</t>
        </is>
      </c>
      <c r="F99" s="8" t="inlineStr">
        <is>
          <t>0–5: 0 absent; 1 isolated/person-dependent; 2 repeatable in limited areas; 3 institutionally structured; 4 broad/cross-functional and consistently operating; 5 continuously improved/scaled.</t>
        </is>
      </c>
      <c r="G99" s="8" t="inlineStr">
        <is>
          <t>Use outcome only when a legitimate measurable result exists; otherwise N/A.</t>
        </is>
      </c>
      <c r="H99" s="8" t="inlineStr">
        <is>
          <t>Only genuine mandate/context inapplicability with documented assessor approval; missing evidence is never N/A.</t>
        </is>
      </c>
      <c r="I99" s="8" t="inlineStr">
        <is>
          <t>—</t>
        </is>
      </c>
      <c r="J99" s="8" t="inlineStr">
        <is>
          <t>E0=0.20; E1=0.40; E2=0.65; E3=0.85; E4=1.00, subject to corroboration/independence adjustment. Report separately.</t>
        </is>
      </c>
      <c r="K99" s="8" t="inlineStr">
        <is>
          <t>No score uplift from claims alone; lock denominator/exclusions before results; sample verification; cross-check with adjacent domains; high scores require corroboration.</t>
        </is>
      </c>
      <c r="L99" s="8" t="inlineStr">
        <is>
          <t>Use primary-owner rule; shared evidence may validate multiple metrics but the same activity cannot be scored twice across domains.</t>
        </is>
      </c>
      <c r="M99" s="8" t="inlineStr">
        <is>
          <t>100*((0.45*M)+(0.30*I)+(0.25*O))/5 when O exists; otherwise 100*((0.60*M)+(0.40*I))/5.</t>
        </is>
      </c>
      <c r="N99" s="8" t="inlineStr">
        <is>
          <t>D08 methodology/data owner</t>
        </is>
      </c>
      <c r="O99" s="8" t="inlineStr">
        <is>
          <t>PROVISIONAL—pilot validation required</t>
        </is>
      </c>
    </row>
    <row r="100">
      <c r="A100" s="8" t="inlineStr">
        <is>
          <t>D08</t>
        </is>
      </c>
      <c r="B100" s="8" t="inlineStr">
        <is>
          <t>I08</t>
        </is>
      </c>
      <c r="C100" s="8" t="inlineStr">
        <is>
          <t>Data Privacy Readiness</t>
        </is>
      </c>
      <c r="D100" s="8" t="inlineStr">
        <is>
          <t>Controls governing sensitive student, faculty and research information.</t>
        </is>
      </c>
      <c r="E100" s="8" t="inlineStr">
        <is>
          <t>Anchor 0–5 from domain-specific maturity anchor using direct sampled practice/work evidence; do not infer maturity from policy statements alone.</t>
        </is>
      </c>
      <c r="F100" s="8" t="inlineStr">
        <is>
          <t>0–5: 0 absent; 1 isolated/person-dependent; 2 repeatable in limited areas; 3 institutionally structured; 4 broad/cross-functional and consistently operating; 5 continuously improved/scaled.</t>
        </is>
      </c>
      <c r="G100" s="8" t="inlineStr">
        <is>
          <t>Use outcome only when a legitimate measurable result exists; otherwise N/A.</t>
        </is>
      </c>
      <c r="H100" s="8" t="inlineStr">
        <is>
          <t>Only genuine mandate/context inapplicability with documented assessor approval; missing evidence is never N/A.</t>
        </is>
      </c>
      <c r="I100" s="8" t="inlineStr">
        <is>
          <t>—</t>
        </is>
      </c>
      <c r="J100" s="8" t="inlineStr">
        <is>
          <t>E0=0.20; E1=0.40; E2=0.65; E3=0.85; E4=1.00, subject to corroboration/independence adjustment. Report separately.</t>
        </is>
      </c>
      <c r="K100" s="8" t="inlineStr">
        <is>
          <t>No score uplift from claims alone; lock denominator/exclusions before results; sample verification; cross-check with adjacent domains; high scores require corroboration.</t>
        </is>
      </c>
      <c r="L100" s="8" t="inlineStr">
        <is>
          <t>Use primary-owner rule; shared evidence may validate multiple metrics but the same activity cannot be scored twice across domains.</t>
        </is>
      </c>
      <c r="M100" s="8" t="inlineStr">
        <is>
          <t>100*((0.45*M)+(0.30*I)+(0.25*O))/5 when O exists; otherwise 100*((0.60*M)+(0.40*I))/5.</t>
        </is>
      </c>
      <c r="N100" s="8" t="inlineStr">
        <is>
          <t>D08 methodology/data owner</t>
        </is>
      </c>
      <c r="O100" s="8" t="inlineStr">
        <is>
          <t>PROVISIONAL—pilot validation required</t>
        </is>
      </c>
    </row>
    <row r="101">
      <c r="A101" s="8" t="inlineStr">
        <is>
          <t>D08</t>
        </is>
      </c>
      <c r="B101" s="8" t="inlineStr">
        <is>
          <t>I09</t>
        </is>
      </c>
      <c r="C101" s="8" t="inlineStr">
        <is>
          <t>Digital Equity &amp; Access</t>
        </is>
      </c>
      <c r="D101" s="8" t="inlineStr">
        <is>
          <t>Ability to provide appropriate digital/AI access across student groups.</t>
        </is>
      </c>
      <c r="E101" s="8" t="inlineStr">
        <is>
          <t>Anchor 0–5 from domain-specific maturity anchor using direct sampled practice/work evidence; do not infer maturity from policy statements alone.</t>
        </is>
      </c>
      <c r="F101" s="8" t="inlineStr">
        <is>
          <t>0–5: 0 absent; 1 isolated/person-dependent; 2 repeatable in limited areas; 3 institutionally structured; 4 broad/cross-functional and consistently operating; 5 continuously improved/scaled.</t>
        </is>
      </c>
      <c r="G101" s="8" t="inlineStr">
        <is>
          <t>Use outcome only when a legitimate measurable result exists; otherwise N/A.</t>
        </is>
      </c>
      <c r="H101" s="8" t="inlineStr">
        <is>
          <t>Only genuine mandate/context inapplicability with documented assessor approval; missing evidence is never N/A.</t>
        </is>
      </c>
      <c r="I101" s="8" t="inlineStr">
        <is>
          <t>—</t>
        </is>
      </c>
      <c r="J101" s="8" t="inlineStr">
        <is>
          <t>E0=0.20; E1=0.40; E2=0.65; E3=0.85; E4=1.00, subject to corroboration/independence adjustment. Report separately.</t>
        </is>
      </c>
      <c r="K101" s="8" t="inlineStr">
        <is>
          <t>No score uplift from claims alone; lock denominator/exclusions before results; sample verification; cross-check with adjacent domains; high scores require corroboration.</t>
        </is>
      </c>
      <c r="L101" s="8" t="inlineStr">
        <is>
          <t>Use primary-owner rule; shared evidence may validate multiple metrics but the same activity cannot be scored twice across domains.</t>
        </is>
      </c>
      <c r="M101" s="8" t="inlineStr">
        <is>
          <t>100*((0.45*M)+(0.30*I)+(0.25*O))/5 when O exists; otherwise 100*((0.60*M)+(0.40*I))/5.</t>
        </is>
      </c>
      <c r="N101" s="8" t="inlineStr">
        <is>
          <t>D08 methodology/data owner</t>
        </is>
      </c>
      <c r="O101" s="8" t="inlineStr">
        <is>
          <t>PROVISIONAL—pilot validation required</t>
        </is>
      </c>
    </row>
    <row r="102">
      <c r="A102" s="8" t="inlineStr">
        <is>
          <t>D08</t>
        </is>
      </c>
      <c r="B102" s="8" t="inlineStr">
        <is>
          <t>I10</t>
        </is>
      </c>
      <c r="C102" s="8" t="inlineStr">
        <is>
          <t>Technology Decision Governance</t>
        </is>
      </c>
      <c r="D102" s="8" t="inlineStr">
        <is>
          <t>How technology choices are evaluated, prioritised and governed.</t>
        </is>
      </c>
      <c r="E102" s="8" t="inlineStr">
        <is>
          <t>Anchor 0–5 from domain-specific maturity anchor using direct sampled practice/work evidence; do not infer maturity from policy statements alone.</t>
        </is>
      </c>
      <c r="F102" s="8" t="inlineStr">
        <is>
          <t>0–5: 0 absent; 1 isolated/person-dependent; 2 repeatable in limited areas; 3 institutionally structured; 4 broad/cross-functional and consistently operating; 5 continuously improved/scaled.</t>
        </is>
      </c>
      <c r="G102" s="8" t="inlineStr">
        <is>
          <t>Use outcome only when a legitimate measurable result exists; otherwise N/A.</t>
        </is>
      </c>
      <c r="H102" s="8" t="inlineStr">
        <is>
          <t>Only genuine mandate/context inapplicability with documented assessor approval; missing evidence is never N/A.</t>
        </is>
      </c>
      <c r="I102" s="8" t="inlineStr">
        <is>
          <t>—</t>
        </is>
      </c>
      <c r="J102" s="8" t="inlineStr">
        <is>
          <t>E0=0.20; E1=0.40; E2=0.65; E3=0.85; E4=1.00, subject to corroboration/independence adjustment. Report separately.</t>
        </is>
      </c>
      <c r="K102" s="8" t="inlineStr">
        <is>
          <t>No score uplift from claims alone; lock denominator/exclusions before results; sample verification; cross-check with adjacent domains; high scores require corroboration.</t>
        </is>
      </c>
      <c r="L102" s="8" t="inlineStr">
        <is>
          <t>Use primary-owner rule; shared evidence may validate multiple metrics but the same activity cannot be scored twice across domains.</t>
        </is>
      </c>
      <c r="M102" s="8" t="inlineStr">
        <is>
          <t>100*((0.45*M)+(0.30*I)+(0.25*O))/5 when O exists; otherwise 100*((0.60*M)+(0.40*I))/5.</t>
        </is>
      </c>
      <c r="N102" s="8" t="inlineStr">
        <is>
          <t>D08 methodology/data owner</t>
        </is>
      </c>
      <c r="O102" s="8" t="inlineStr">
        <is>
          <t>PROVISIONAL—pilot validation required</t>
        </is>
      </c>
    </row>
    <row r="103">
      <c r="A103" s="8" t="inlineStr">
        <is>
          <t>D08</t>
        </is>
      </c>
      <c r="B103" s="8" t="inlineStr">
        <is>
          <t>I11</t>
        </is>
      </c>
      <c r="C103" s="8" t="inlineStr">
        <is>
          <t>Digital Process Maturity</t>
        </is>
      </c>
      <c r="D103" s="8" t="inlineStr">
        <is>
          <t>Extent to which institutional workflows are digitally enabled and intelligently designed.</t>
        </is>
      </c>
      <c r="E103" s="8" t="inlineStr">
        <is>
          <t>Anchor 0–5 from domain-specific maturity anchor using direct sampled practice/work evidence; do not infer maturity from policy statements alone.</t>
        </is>
      </c>
      <c r="F103" s="8" t="inlineStr">
        <is>
          <t>0–5: 0 absent; 1 isolated/person-dependent; 2 repeatable in limited areas; 3 institutionally structured; 4 broad/cross-functional and consistently operating; 5 continuously improved/scaled.</t>
        </is>
      </c>
      <c r="G103" s="8" t="inlineStr">
        <is>
          <t>Use outcome only when a legitimate measurable result exists; otherwise N/A.</t>
        </is>
      </c>
      <c r="H103" s="8" t="inlineStr">
        <is>
          <t>Only genuine mandate/context inapplicability with documented assessor approval; missing evidence is never N/A.</t>
        </is>
      </c>
      <c r="I103" s="8" t="inlineStr">
        <is>
          <t>—</t>
        </is>
      </c>
      <c r="J103" s="8" t="inlineStr">
        <is>
          <t>E0=0.20; E1=0.40; E2=0.65; E3=0.85; E4=1.00, subject to corroboration/independence adjustment. Report separately.</t>
        </is>
      </c>
      <c r="K103" s="8" t="inlineStr">
        <is>
          <t>No score uplift from claims alone; lock denominator/exclusions before results; sample verification; cross-check with adjacent domains; high scores require corroboration.</t>
        </is>
      </c>
      <c r="L103" s="8" t="inlineStr">
        <is>
          <t>Use primary-owner rule; shared evidence may validate multiple metrics but the same activity cannot be scored twice across domains.</t>
        </is>
      </c>
      <c r="M103" s="8" t="inlineStr">
        <is>
          <t>100*((0.45*M)+(0.30*I)+(0.25*O))/5 when O exists; otherwise 100*((0.60*M)+(0.40*I))/5.</t>
        </is>
      </c>
      <c r="N103" s="8" t="inlineStr">
        <is>
          <t>D08 methodology/data owner</t>
        </is>
      </c>
      <c r="O103" s="8" t="inlineStr">
        <is>
          <t>PROVISIONAL—pilot validation required</t>
        </is>
      </c>
    </row>
    <row r="104">
      <c r="A104" s="8" t="inlineStr">
        <is>
          <t>D08</t>
        </is>
      </c>
      <c r="B104" s="8" t="inlineStr">
        <is>
          <t>I12</t>
        </is>
      </c>
      <c r="C104" s="8" t="inlineStr">
        <is>
          <t>Institutional Intelligence Capability</t>
        </is>
      </c>
      <c r="D104" s="8" t="inlineStr">
        <is>
          <t>Ability to turn fragmented data into actionable institutional understanding.</t>
        </is>
      </c>
      <c r="E104" s="8" t="inlineStr">
        <is>
          <t>Anchor 0–5 from domain-specific maturity anchor using direct sampled practice/work evidence; do not infer maturity from policy statements alone.</t>
        </is>
      </c>
      <c r="F104" s="8" t="inlineStr">
        <is>
          <t>0–5: 0 absent; 1 isolated/person-dependent; 2 repeatable in limited areas; 3 institutionally structured; 4 broad/cross-functional and consistently operating; 5 continuously improved/scaled.</t>
        </is>
      </c>
      <c r="G104" s="8" t="inlineStr">
        <is>
          <t>Use outcome only when a legitimate measurable result exists; otherwise N/A.</t>
        </is>
      </c>
      <c r="H104" s="8" t="inlineStr">
        <is>
          <t>Only genuine mandate/context inapplicability with documented assessor approval; missing evidence is never N/A.</t>
        </is>
      </c>
      <c r="I104" s="8" t="inlineStr">
        <is>
          <t>—</t>
        </is>
      </c>
      <c r="J104" s="8" t="inlineStr">
        <is>
          <t>E0=0.20; E1=0.40; E2=0.65; E3=0.85; E4=1.00, subject to corroboration/independence adjustment. Report separately.</t>
        </is>
      </c>
      <c r="K104" s="8" t="inlineStr">
        <is>
          <t>No score uplift from claims alone; lock denominator/exclusions before results; sample verification; cross-check with adjacent domains; high scores require corroboration.</t>
        </is>
      </c>
      <c r="L104" s="8" t="inlineStr">
        <is>
          <t>Use primary-owner rule; shared evidence may validate multiple metrics but the same activity cannot be scored twice across domains.</t>
        </is>
      </c>
      <c r="M104" s="8" t="inlineStr">
        <is>
          <t>100*((0.45*M)+(0.30*I)+(0.25*O))/5 when O exists; otherwise 100*((0.60*M)+(0.40*I))/5.</t>
        </is>
      </c>
      <c r="N104" s="8" t="inlineStr">
        <is>
          <t>D08 methodology/data owner</t>
        </is>
      </c>
      <c r="O104" s="8" t="inlineStr">
        <is>
          <t>PROVISIONAL—pilot validation required</t>
        </is>
      </c>
    </row>
    <row r="105">
      <c r="A105" s="8" t="inlineStr">
        <is>
          <t>D09</t>
        </is>
      </c>
      <c r="B105" s="8" t="inlineStr">
        <is>
          <t>I01</t>
        </is>
      </c>
      <c r="C105" s="8" t="inlineStr">
        <is>
          <t>Employer Demand Sensing</t>
        </is>
      </c>
      <c r="D105" s="8" t="inlineStr">
        <is>
          <t>How systematically the institution understands changing employer and sector capability needs.</t>
        </is>
      </c>
      <c r="E105" s="8" t="inlineStr">
        <is>
          <t>Anchor 0–5 from domain-specific maturity anchor using direct sampled practice/work evidence; do not infer maturity from policy statements alone.</t>
        </is>
      </c>
      <c r="F105" s="8" t="inlineStr">
        <is>
          <t>0–5: 0 absent; 1 isolated/person-dependent; 2 repeatable in limited areas; 3 institutionally structured; 4 broad/cross-functional and consistently operating; 5 continuously improved/scaled.</t>
        </is>
      </c>
      <c r="G105" s="8" t="inlineStr">
        <is>
          <t>Use outcome only when a legitimate measurable result exists; otherwise N/A.</t>
        </is>
      </c>
      <c r="H105" s="8" t="inlineStr">
        <is>
          <t>Only genuine mandate/context inapplicability with documented assessor approval; missing evidence is never N/A.</t>
        </is>
      </c>
      <c r="I105" s="8" t="inlineStr">
        <is>
          <t>—</t>
        </is>
      </c>
      <c r="J105" s="8" t="inlineStr">
        <is>
          <t>E0=0.20; E1=0.40; E2=0.65; E3=0.85; E4=1.00, subject to corroboration/independence adjustment. Report separately.</t>
        </is>
      </c>
      <c r="K105" s="8" t="inlineStr">
        <is>
          <t>No score uplift from claims alone; lock denominator/exclusions before results; sample verification; cross-check with adjacent domains; high scores require corroboration.</t>
        </is>
      </c>
      <c r="L105" s="8" t="inlineStr">
        <is>
          <t>Use primary-owner rule; shared evidence may validate multiple metrics but the same activity cannot be scored twice across domains.</t>
        </is>
      </c>
      <c r="M105" s="8" t="inlineStr">
        <is>
          <t>100*((0.45*M)+(0.30*I)+(0.25*O))/5 when O exists; otherwise 100*((0.60*M)+(0.40*I))/5.</t>
        </is>
      </c>
      <c r="N105" s="8" t="inlineStr">
        <is>
          <t>D09 methodology/data owner</t>
        </is>
      </c>
      <c r="O105" s="8" t="inlineStr">
        <is>
          <t>PROVISIONAL—pilot validation required</t>
        </is>
      </c>
    </row>
    <row r="106">
      <c r="A106" s="8" t="inlineStr">
        <is>
          <t>D09</t>
        </is>
      </c>
      <c r="B106" s="8" t="inlineStr">
        <is>
          <t>I02</t>
        </is>
      </c>
      <c r="C106" s="8" t="inlineStr">
        <is>
          <t>Employability Capability Architecture</t>
        </is>
      </c>
      <c r="D106" s="8" t="inlineStr">
        <is>
          <t>Clarity of capabilities graduates are expected to possess beyond credentials.</t>
        </is>
      </c>
      <c r="E106" s="8" t="inlineStr">
        <is>
          <t>Anchor 0–5 from domain-specific maturity anchor using direct sampled practice/work evidence; do not infer maturity from policy statements alone.</t>
        </is>
      </c>
      <c r="F106" s="8" t="inlineStr">
        <is>
          <t>0–5: 0 absent; 1 isolated/person-dependent; 2 repeatable in limited areas; 3 institutionally structured; 4 broad/cross-functional and consistently operating; 5 continuously improved/scaled.</t>
        </is>
      </c>
      <c r="G106" s="8" t="inlineStr">
        <is>
          <t>Use outcome only when a legitimate measurable result exists; otherwise N/A.</t>
        </is>
      </c>
      <c r="H106" s="8" t="inlineStr">
        <is>
          <t>Only genuine mandate/context inapplicability with documented assessor approval; missing evidence is never N/A.</t>
        </is>
      </c>
      <c r="I106" s="8" t="inlineStr">
        <is>
          <t>—</t>
        </is>
      </c>
      <c r="J106" s="8" t="inlineStr">
        <is>
          <t>E0=0.20; E1=0.40; E2=0.65; E3=0.85; E4=1.00, subject to corroboration/independence adjustment. Report separately.</t>
        </is>
      </c>
      <c r="K106" s="8" t="inlineStr">
        <is>
          <t>No score uplift from claims alone; lock denominator/exclusions before results; sample verification; cross-check with adjacent domains; high scores require corroboration.</t>
        </is>
      </c>
      <c r="L106" s="8" t="inlineStr">
        <is>
          <t>Use primary-owner rule; shared evidence may validate multiple metrics but the same activity cannot be scored twice across domains.</t>
        </is>
      </c>
      <c r="M106" s="8" t="inlineStr">
        <is>
          <t>100*((0.45*M)+(0.30*I)+(0.25*O))/5 when O exists; otherwise 100*((0.60*M)+(0.40*I))/5.</t>
        </is>
      </c>
      <c r="N106" s="8" t="inlineStr">
        <is>
          <t>D09 methodology/data owner</t>
        </is>
      </c>
      <c r="O106" s="8" t="inlineStr">
        <is>
          <t>PROVISIONAL—pilot validation required</t>
        </is>
      </c>
    </row>
    <row r="107">
      <c r="A107" s="8" t="inlineStr">
        <is>
          <t>D09</t>
        </is>
      </c>
      <c r="B107" s="8" t="inlineStr">
        <is>
          <t>I03</t>
        </is>
      </c>
      <c r="C107" s="8" t="inlineStr">
        <is>
          <t>Industry-Validated Curriculum</t>
        </is>
      </c>
      <c r="D107" s="8" t="inlineStr">
        <is>
          <t>Depth of meaningful industry/professional input into programme design.</t>
        </is>
      </c>
      <c r="E107" s="8" t="inlineStr">
        <is>
          <t>Anchor 0–5 from domain-specific maturity anchor using direct sampled practice/work evidence; do not infer maturity from policy statements alone.</t>
        </is>
      </c>
      <c r="F107" s="8" t="inlineStr">
        <is>
          <t>0–5: 0 absent; 1 isolated/person-dependent; 2 repeatable in limited areas; 3 institutionally structured; 4 broad/cross-functional and consistently operating; 5 continuously improved/scaled.</t>
        </is>
      </c>
      <c r="G107" s="8" t="inlineStr">
        <is>
          <t>Use outcome only when a legitimate measurable result exists; otherwise N/A.</t>
        </is>
      </c>
      <c r="H107" s="8" t="inlineStr">
        <is>
          <t>Only genuine mandate/context inapplicability with documented assessor approval; missing evidence is never N/A.</t>
        </is>
      </c>
      <c r="I107" s="8" t="inlineStr">
        <is>
          <t>—</t>
        </is>
      </c>
      <c r="J107" s="8" t="inlineStr">
        <is>
          <t>E0=0.20; E1=0.40; E2=0.65; E3=0.85; E4=1.00, subject to corroboration/independence adjustment. Report separately.</t>
        </is>
      </c>
      <c r="K107" s="8" t="inlineStr">
        <is>
          <t>No score uplift from claims alone; lock denominator/exclusions before results; sample verification; cross-check with adjacent domains; high scores require corroboration.</t>
        </is>
      </c>
      <c r="L107" s="8" t="inlineStr">
        <is>
          <t>Use primary-owner rule; shared evidence may validate multiple metrics but the same activity cannot be scored twice across domains.</t>
        </is>
      </c>
      <c r="M107" s="8" t="inlineStr">
        <is>
          <t>100*((0.45*M)+(0.30*I)+(0.25*O))/5 when O exists; otherwise 100*((0.60*M)+(0.40*I))/5.</t>
        </is>
      </c>
      <c r="N107" s="8" t="inlineStr">
        <is>
          <t>D09 methodology/data owner</t>
        </is>
      </c>
      <c r="O107" s="8" t="inlineStr">
        <is>
          <t>PROVISIONAL—pilot validation required</t>
        </is>
      </c>
    </row>
    <row r="108">
      <c r="A108" s="8" t="inlineStr">
        <is>
          <t>D09</t>
        </is>
      </c>
      <c r="B108" s="8" t="inlineStr">
        <is>
          <t>I04</t>
        </is>
      </c>
      <c r="C108" s="8" t="inlineStr">
        <is>
          <t>Practice-Based Learning</t>
        </is>
      </c>
      <c r="D108" s="8" t="inlineStr">
        <is>
          <t>Extent of authentic projects, internships, field exposure and live problem-solving.</t>
        </is>
      </c>
      <c r="E108" s="8" t="inlineStr">
        <is>
          <t>Anchor 0–5 from domain-specific maturity anchor using direct sampled practice/work evidence; do not infer maturity from policy statements alone.</t>
        </is>
      </c>
      <c r="F108" s="8" t="inlineStr">
        <is>
          <t>0–5: 0 absent; 1 isolated/person-dependent; 2 repeatable in limited areas; 3 institutionally structured; 4 broad/cross-functional and consistently operating; 5 continuously improved/scaled.</t>
        </is>
      </c>
      <c r="G108" s="8" t="inlineStr">
        <is>
          <t>Use outcome only when a legitimate measurable result exists; otherwise N/A.</t>
        </is>
      </c>
      <c r="H108" s="8" t="inlineStr">
        <is>
          <t>Only genuine mandate/context inapplicability with documented assessor approval; missing evidence is never N/A.</t>
        </is>
      </c>
      <c r="I108" s="8" t="inlineStr">
        <is>
          <t>—</t>
        </is>
      </c>
      <c r="J108" s="8" t="inlineStr">
        <is>
          <t>E0=0.20; E1=0.40; E2=0.65; E3=0.85; E4=1.00, subject to corroboration/independence adjustment. Report separately.</t>
        </is>
      </c>
      <c r="K108" s="8" t="inlineStr">
        <is>
          <t>No score uplift from claims alone; lock denominator/exclusions before results; sample verification; cross-check with adjacent domains; high scores require corroboration.</t>
        </is>
      </c>
      <c r="L108" s="8" t="inlineStr">
        <is>
          <t>Use primary-owner rule; shared evidence may validate multiple metrics but the same activity cannot be scored twice across domains.</t>
        </is>
      </c>
      <c r="M108" s="8" t="inlineStr">
        <is>
          <t>100*((0.45*M)+(0.30*I)+(0.25*O))/5 when O exists; otherwise 100*((0.60*M)+(0.40*I))/5.</t>
        </is>
      </c>
      <c r="N108" s="8" t="inlineStr">
        <is>
          <t>D09 methodology/data owner</t>
        </is>
      </c>
      <c r="O108" s="8" t="inlineStr">
        <is>
          <t>PROVISIONAL—pilot validation required</t>
        </is>
      </c>
    </row>
    <row r="109">
      <c r="A109" s="8" t="inlineStr">
        <is>
          <t>D09</t>
        </is>
      </c>
      <c r="B109" s="8" t="inlineStr">
        <is>
          <t>I05</t>
        </is>
      </c>
      <c r="C109" s="8" t="inlineStr">
        <is>
          <t>Recruiter Confidence</t>
        </is>
      </c>
      <c r="D109" s="8" t="inlineStr">
        <is>
          <t>Strength and quality of recurring employer relationships.</t>
        </is>
      </c>
      <c r="E109" s="8" t="inlineStr">
        <is>
          <t>Anchor 0–5 from domain-specific maturity anchor using direct sampled practice/work evidence; do not infer maturity from policy statements alone.</t>
        </is>
      </c>
      <c r="F109" s="8" t="inlineStr">
        <is>
          <t>0–5: 0 absent; 1 isolated/person-dependent; 2 repeatable in limited areas; 3 institutionally structured; 4 broad/cross-functional and consistently operating; 5 continuously improved/scaled.</t>
        </is>
      </c>
      <c r="G109" s="8" t="inlineStr">
        <is>
          <t>Use outcome only when a legitimate measurable result exists; otherwise N/A.</t>
        </is>
      </c>
      <c r="H109" s="8" t="inlineStr">
        <is>
          <t>Only genuine mandate/context inapplicability with documented assessor approval; missing evidence is never N/A.</t>
        </is>
      </c>
      <c r="I109" s="8" t="inlineStr">
        <is>
          <t>—</t>
        </is>
      </c>
      <c r="J109" s="8" t="inlineStr">
        <is>
          <t>E0=0.20; E1=0.40; E2=0.65; E3=0.85; E4=1.00, subject to corroboration/independence adjustment. Report separately.</t>
        </is>
      </c>
      <c r="K109" s="8" t="inlineStr">
        <is>
          <t>No score uplift from claims alone; lock denominator/exclusions before results; sample verification; cross-check with adjacent domains; high scores require corroboration.</t>
        </is>
      </c>
      <c r="L109" s="8" t="inlineStr">
        <is>
          <t>Use primary-owner rule; shared evidence may validate multiple metrics but the same activity cannot be scored twice across domains.</t>
        </is>
      </c>
      <c r="M109" s="8" t="inlineStr">
        <is>
          <t>100*((0.45*M)+(0.30*I)+(0.25*O))/5 when O exists; otherwise 100*((0.60*M)+(0.40*I))/5.</t>
        </is>
      </c>
      <c r="N109" s="8" t="inlineStr">
        <is>
          <t>D09 methodology/data owner</t>
        </is>
      </c>
      <c r="O109" s="8" t="inlineStr">
        <is>
          <t>PROVISIONAL—pilot validation required</t>
        </is>
      </c>
    </row>
    <row r="110">
      <c r="A110" s="8" t="inlineStr">
        <is>
          <t>D09</t>
        </is>
      </c>
      <c r="B110" s="8" t="inlineStr">
        <is>
          <t>I06</t>
        </is>
      </c>
      <c r="C110" s="8" t="inlineStr">
        <is>
          <t>Placement Outcome Quality</t>
        </is>
      </c>
      <c r="D110" s="8" t="inlineStr">
        <is>
          <t>Quality, relevance and transparency of employment outcomes.</t>
        </is>
      </c>
      <c r="E110" s="8" t="inlineStr">
        <is>
          <t>Anchor 0–5 from domain-specific maturity anchor using direct sampled practice/work evidence; do not infer maturity from policy statements alone.</t>
        </is>
      </c>
      <c r="F110" s="8" t="inlineStr">
        <is>
          <t>0–5: 0 absent; 1 isolated/person-dependent; 2 repeatable in limited areas; 3 institutionally structured; 4 broad/cross-functional and consistently operating; 5 continuously improved/scaled.</t>
        </is>
      </c>
      <c r="G110" s="8" t="inlineStr">
        <is>
          <t>Use outcome only when a legitimate measurable result exists; otherwise N/A.</t>
        </is>
      </c>
      <c r="H110" s="8" t="inlineStr">
        <is>
          <t>Only genuine mandate/context inapplicability with documented assessor approval; missing evidence is never N/A.</t>
        </is>
      </c>
      <c r="I110" s="8" t="inlineStr">
        <is>
          <t>—</t>
        </is>
      </c>
      <c r="J110" s="8" t="inlineStr">
        <is>
          <t>E0=0.20; E1=0.40; E2=0.65; E3=0.85; E4=1.00, subject to corroboration/independence adjustment. Report separately.</t>
        </is>
      </c>
      <c r="K110" s="8" t="inlineStr">
        <is>
          <t>No score uplift from claims alone; lock denominator/exclusions before results; sample verification; cross-check with adjacent domains; high scores require corroboration.</t>
        </is>
      </c>
      <c r="L110" s="8" t="inlineStr">
        <is>
          <t>Use primary-owner rule; shared evidence may validate multiple metrics but the same activity cannot be scored twice across domains.</t>
        </is>
      </c>
      <c r="M110" s="8" t="inlineStr">
        <is>
          <t>100*((0.45*M)+(0.30*I)+(0.25*O))/5 when O exists; otherwise 100*((0.60*M)+(0.40*I))/5.</t>
        </is>
      </c>
      <c r="N110" s="8" t="inlineStr">
        <is>
          <t>D09 methodology/data owner</t>
        </is>
      </c>
      <c r="O110" s="8" t="inlineStr">
        <is>
          <t>PROVISIONAL—pilot validation required</t>
        </is>
      </c>
    </row>
    <row r="111">
      <c r="A111" s="8" t="inlineStr">
        <is>
          <t>D09</t>
        </is>
      </c>
      <c r="B111" s="8" t="inlineStr">
        <is>
          <t>I07</t>
        </is>
      </c>
      <c r="C111" s="8" t="inlineStr">
        <is>
          <t>Career Adaptability</t>
        </is>
      </c>
      <c r="D111" s="8" t="inlineStr">
        <is>
          <t>Preparation for changing roles, sectors and skill requirements.</t>
        </is>
      </c>
      <c r="E111" s="8" t="inlineStr">
        <is>
          <t>Anchor 0–5 from domain-specific maturity anchor using direct sampled practice/work evidence; do not infer maturity from policy statements alone.</t>
        </is>
      </c>
      <c r="F111" s="8" t="inlineStr">
        <is>
          <t>0–5: 0 absent; 1 isolated/person-dependent; 2 repeatable in limited areas; 3 institutionally structured; 4 broad/cross-functional and consistently operating; 5 continuously improved/scaled.</t>
        </is>
      </c>
      <c r="G111" s="8" t="inlineStr">
        <is>
          <t>Use outcome only when a legitimate measurable result exists; otherwise N/A.</t>
        </is>
      </c>
      <c r="H111" s="8" t="inlineStr">
        <is>
          <t>Only genuine mandate/context inapplicability with documented assessor approval; missing evidence is never N/A.</t>
        </is>
      </c>
      <c r="I111" s="8" t="inlineStr">
        <is>
          <t>—</t>
        </is>
      </c>
      <c r="J111" s="8" t="inlineStr">
        <is>
          <t>E0=0.20; E1=0.40; E2=0.65; E3=0.85; E4=1.00, subject to corroboration/independence adjustment. Report separately.</t>
        </is>
      </c>
      <c r="K111" s="8" t="inlineStr">
        <is>
          <t>No score uplift from claims alone; lock denominator/exclusions before results; sample verification; cross-check with adjacent domains; high scores require corroboration.</t>
        </is>
      </c>
      <c r="L111" s="8" t="inlineStr">
        <is>
          <t>Use primary-owner rule; shared evidence may validate multiple metrics but the same activity cannot be scored twice across domains.</t>
        </is>
      </c>
      <c r="M111" s="8" t="inlineStr">
        <is>
          <t>100*((0.45*M)+(0.30*I)+(0.25*O))/5 when O exists; otherwise 100*((0.60*M)+(0.40*I))/5.</t>
        </is>
      </c>
      <c r="N111" s="8" t="inlineStr">
        <is>
          <t>D09 methodology/data owner</t>
        </is>
      </c>
      <c r="O111" s="8" t="inlineStr">
        <is>
          <t>PROVISIONAL—pilot validation required</t>
        </is>
      </c>
    </row>
    <row r="112">
      <c r="A112" s="8" t="inlineStr">
        <is>
          <t>D09</t>
        </is>
      </c>
      <c r="B112" s="8" t="inlineStr">
        <is>
          <t>I08</t>
        </is>
      </c>
      <c r="C112" s="8" t="inlineStr">
        <is>
          <t>AI-Era Employability Readiness</t>
        </is>
      </c>
      <c r="D112" s="8" t="inlineStr">
        <is>
          <t>Preparation for AI-augmented and AI-disrupted work.</t>
        </is>
      </c>
      <c r="E112" s="8" t="inlineStr">
        <is>
          <t>Anchor 0–5 from domain-specific maturity anchor using direct sampled practice/work evidence; do not infer maturity from policy statements alone.</t>
        </is>
      </c>
      <c r="F112" s="8" t="inlineStr">
        <is>
          <t>0–5: 0 absent; 1 isolated/person-dependent; 2 repeatable in limited areas; 3 institutionally structured; 4 broad/cross-functional and consistently operating; 5 continuously improved/scaled.</t>
        </is>
      </c>
      <c r="G112" s="8" t="inlineStr">
        <is>
          <t>Use outcome only when a legitimate measurable result exists; otherwise N/A.</t>
        </is>
      </c>
      <c r="H112" s="8" t="inlineStr">
        <is>
          <t>Only genuine mandate/context inapplicability with documented assessor approval; missing evidence is never N/A.</t>
        </is>
      </c>
      <c r="I112" s="8" t="inlineStr">
        <is>
          <t>—</t>
        </is>
      </c>
      <c r="J112" s="8" t="inlineStr">
        <is>
          <t>E0=0.20; E1=0.40; E2=0.65; E3=0.85; E4=1.00, subject to corroboration/independence adjustment. Report separately.</t>
        </is>
      </c>
      <c r="K112" s="8" t="inlineStr">
        <is>
          <t>No score uplift from claims alone; lock denominator/exclusions before results; sample verification; cross-check with adjacent domains; high scores require corroboration.</t>
        </is>
      </c>
      <c r="L112" s="8" t="inlineStr">
        <is>
          <t>Use primary-owner rule; shared evidence may validate multiple metrics but the same activity cannot be scored twice across domains.</t>
        </is>
      </c>
      <c r="M112" s="8" t="inlineStr">
        <is>
          <t>100*((0.45*M)+(0.30*I)+(0.25*O))/5 when O exists; otherwise 100*((0.60*M)+(0.40*I))/5.</t>
        </is>
      </c>
      <c r="N112" s="8" t="inlineStr">
        <is>
          <t>D09 methodology/data owner</t>
        </is>
      </c>
      <c r="O112" s="8" t="inlineStr">
        <is>
          <t>PROVISIONAL—pilot validation required</t>
        </is>
      </c>
    </row>
    <row r="113">
      <c r="A113" s="8" t="inlineStr">
        <is>
          <t>D09</t>
        </is>
      </c>
      <c r="B113" s="8" t="inlineStr">
        <is>
          <t>I09</t>
        </is>
      </c>
      <c r="C113" s="8" t="inlineStr">
        <is>
          <t>Capability Signalling</t>
        </is>
      </c>
      <c r="D113" s="8" t="inlineStr">
        <is>
          <t>Student ability to demonstrate capability through portfolios, projects and evidence.</t>
        </is>
      </c>
      <c r="E113" s="8" t="inlineStr">
        <is>
          <t>Anchor 0–5 from domain-specific maturity anchor using direct sampled practice/work evidence; do not infer maturity from policy statements alone.</t>
        </is>
      </c>
      <c r="F113" s="8" t="inlineStr">
        <is>
          <t>0–5: 0 absent; 1 isolated/person-dependent; 2 repeatable in limited areas; 3 institutionally structured; 4 broad/cross-functional and consistently operating; 5 continuously improved/scaled.</t>
        </is>
      </c>
      <c r="G113" s="8" t="inlineStr">
        <is>
          <t>Use outcome only when a legitimate measurable result exists; otherwise N/A.</t>
        </is>
      </c>
      <c r="H113" s="8" t="inlineStr">
        <is>
          <t>Only genuine mandate/context inapplicability with documented assessor approval; missing evidence is never N/A.</t>
        </is>
      </c>
      <c r="I113" s="8" t="inlineStr">
        <is>
          <t>—</t>
        </is>
      </c>
      <c r="J113" s="8" t="inlineStr">
        <is>
          <t>E0=0.20; E1=0.40; E2=0.65; E3=0.85; E4=1.00, subject to corroboration/independence adjustment. Report separately.</t>
        </is>
      </c>
      <c r="K113" s="8" t="inlineStr">
        <is>
          <t>No score uplift from claims alone; lock denominator/exclusions before results; sample verification; cross-check with adjacent domains; high scores require corroboration.</t>
        </is>
      </c>
      <c r="L113" s="8" t="inlineStr">
        <is>
          <t>Use primary-owner rule; shared evidence may validate multiple metrics but the same activity cannot be scored twice across domains.</t>
        </is>
      </c>
      <c r="M113" s="8" t="inlineStr">
        <is>
          <t>100*((0.45*M)+(0.30*I)+(0.25*O))/5 when O exists; otherwise 100*((0.60*M)+(0.40*I))/5.</t>
        </is>
      </c>
      <c r="N113" s="8" t="inlineStr">
        <is>
          <t>D09 methodology/data owner</t>
        </is>
      </c>
      <c r="O113" s="8" t="inlineStr">
        <is>
          <t>PROVISIONAL—pilot validation required</t>
        </is>
      </c>
    </row>
    <row r="114">
      <c r="A114" s="8" t="inlineStr">
        <is>
          <t>D09</t>
        </is>
      </c>
      <c r="B114" s="8" t="inlineStr">
        <is>
          <t>I10</t>
        </is>
      </c>
      <c r="C114" s="8" t="inlineStr">
        <is>
          <t>Industry Co-Creation</t>
        </is>
      </c>
      <c r="D114" s="8" t="inlineStr">
        <is>
          <t>Extent to which industry participates in learning, projects, mentoring and innovation.</t>
        </is>
      </c>
      <c r="E114" s="8" t="inlineStr">
        <is>
          <t>Anchor 0–5 from domain-specific maturity anchor using direct sampled practice/work evidence; do not infer maturity from policy statements alone.</t>
        </is>
      </c>
      <c r="F114" s="8" t="inlineStr">
        <is>
          <t>0–5: 0 absent; 1 isolated/person-dependent; 2 repeatable in limited areas; 3 institutionally structured; 4 broad/cross-functional and consistently operating; 5 continuously improved/scaled.</t>
        </is>
      </c>
      <c r="G114" s="8" t="inlineStr">
        <is>
          <t>Use outcome only when a legitimate measurable result exists; otherwise N/A.</t>
        </is>
      </c>
      <c r="H114" s="8" t="inlineStr">
        <is>
          <t>Only genuine mandate/context inapplicability with documented assessor approval; missing evidence is never N/A.</t>
        </is>
      </c>
      <c r="I114" s="8" t="inlineStr">
        <is>
          <t>—</t>
        </is>
      </c>
      <c r="J114" s="8" t="inlineStr">
        <is>
          <t>E0=0.20; E1=0.40; E2=0.65; E3=0.85; E4=1.00, subject to corroboration/independence adjustment. Report separately.</t>
        </is>
      </c>
      <c r="K114" s="8" t="inlineStr">
        <is>
          <t>No score uplift from claims alone; lock denominator/exclusions before results; sample verification; cross-check with adjacent domains; high scores require corroboration.</t>
        </is>
      </c>
      <c r="L114" s="8" t="inlineStr">
        <is>
          <t>Use primary-owner rule; shared evidence may validate multiple metrics but the same activity cannot be scored twice across domains.</t>
        </is>
      </c>
      <c r="M114" s="8" t="inlineStr">
        <is>
          <t>100*((0.45*M)+(0.30*I)+(0.25*O))/5 when O exists; otherwise 100*((0.60*M)+(0.40*I))/5.</t>
        </is>
      </c>
      <c r="N114" s="8" t="inlineStr">
        <is>
          <t>D09 methodology/data owner</t>
        </is>
      </c>
      <c r="O114" s="8" t="inlineStr">
        <is>
          <t>PROVISIONAL—pilot validation required</t>
        </is>
      </c>
    </row>
    <row r="115">
      <c r="A115" s="8" t="inlineStr">
        <is>
          <t>D09</t>
        </is>
      </c>
      <c r="B115" s="8" t="inlineStr">
        <is>
          <t>I11</t>
        </is>
      </c>
      <c r="C115" s="8" t="inlineStr">
        <is>
          <t>Regional/Economic Relevance</t>
        </is>
      </c>
      <c r="D115" s="8" t="inlineStr">
        <is>
          <t>Alignment with the economic and social context in which the institution operates.</t>
        </is>
      </c>
      <c r="E115" s="8" t="inlineStr">
        <is>
          <t>Anchor 0–5 from domain-specific maturity anchor using direct sampled practice/work evidence; do not infer maturity from policy statements alone.</t>
        </is>
      </c>
      <c r="F115" s="8" t="inlineStr">
        <is>
          <t>0–5: 0 absent; 1 isolated/person-dependent; 2 repeatable in limited areas; 3 institutionally structured; 4 broad/cross-functional and consistently operating; 5 continuously improved/scaled.</t>
        </is>
      </c>
      <c r="G115" s="8" t="inlineStr">
        <is>
          <t>Use outcome only when a legitimate measurable result exists; otherwise N/A.</t>
        </is>
      </c>
      <c r="H115" s="8" t="inlineStr">
        <is>
          <t>Only genuine mandate/context inapplicability with documented assessor approval; missing evidence is never N/A.</t>
        </is>
      </c>
      <c r="I115" s="8" t="inlineStr">
        <is>
          <t>—</t>
        </is>
      </c>
      <c r="J115" s="8" t="inlineStr">
        <is>
          <t>E0=0.20; E1=0.40; E2=0.65; E3=0.85; E4=1.00, subject to corroboration/independence adjustment. Report separately.</t>
        </is>
      </c>
      <c r="K115" s="8" t="inlineStr">
        <is>
          <t>No score uplift from claims alone; lock denominator/exclusions before results; sample verification; cross-check with adjacent domains; high scores require corroboration.</t>
        </is>
      </c>
      <c r="L115" s="8" t="inlineStr">
        <is>
          <t>Use primary-owner rule; shared evidence may validate multiple metrics but the same activity cannot be scored twice across domains.</t>
        </is>
      </c>
      <c r="M115" s="8" t="inlineStr">
        <is>
          <t>100*((0.45*M)+(0.30*I)+(0.25*O))/5 when O exists; otherwise 100*((0.60*M)+(0.40*I))/5.</t>
        </is>
      </c>
      <c r="N115" s="8" t="inlineStr">
        <is>
          <t>D09 methodology/data owner</t>
        </is>
      </c>
      <c r="O115" s="8" t="inlineStr">
        <is>
          <t>PROVISIONAL—pilot validation required</t>
        </is>
      </c>
    </row>
    <row r="116">
      <c r="A116" s="8" t="inlineStr">
        <is>
          <t>D09</t>
        </is>
      </c>
      <c r="B116" s="8" t="inlineStr">
        <is>
          <t>I12</t>
        </is>
      </c>
      <c r="C116" s="8" t="inlineStr">
        <is>
          <t>Alumni Career Intelligence</t>
        </is>
      </c>
      <c r="D116" s="8" t="inlineStr">
        <is>
          <t>Use of alumni trajectories to understand and improve graduate outcomes.</t>
        </is>
      </c>
      <c r="E116" s="8" t="inlineStr">
        <is>
          <t>Anchor 0–5 from domain-specific maturity anchor using direct sampled practice/work evidence; do not infer maturity from policy statements alone.</t>
        </is>
      </c>
      <c r="F116" s="8" t="inlineStr">
        <is>
          <t>0–5: 0 absent; 1 isolated/person-dependent; 2 repeatable in limited areas; 3 institutionally structured; 4 broad/cross-functional and consistently operating; 5 continuously improved/scaled.</t>
        </is>
      </c>
      <c r="G116" s="8" t="inlineStr">
        <is>
          <t>Use outcome only when a legitimate measurable result exists; otherwise N/A.</t>
        </is>
      </c>
      <c r="H116" s="8" t="inlineStr">
        <is>
          <t>Only genuine mandate/context inapplicability with documented assessor approval; missing evidence is never N/A.</t>
        </is>
      </c>
      <c r="I116" s="8" t="inlineStr">
        <is>
          <t>—</t>
        </is>
      </c>
      <c r="J116" s="8" t="inlineStr">
        <is>
          <t>E0=0.20; E1=0.40; E2=0.65; E3=0.85; E4=1.00, subject to corroboration/independence adjustment. Report separately.</t>
        </is>
      </c>
      <c r="K116" s="8" t="inlineStr">
        <is>
          <t>No score uplift from claims alone; lock denominator/exclusions before results; sample verification; cross-check with adjacent domains; high scores require corroboration.</t>
        </is>
      </c>
      <c r="L116" s="8" t="inlineStr">
        <is>
          <t>Use primary-owner rule; shared evidence may validate multiple metrics but the same activity cannot be scored twice across domains.</t>
        </is>
      </c>
      <c r="M116" s="8" t="inlineStr">
        <is>
          <t>100*((0.45*M)+(0.30*I)+(0.25*O))/5 when O exists; otherwise 100*((0.60*M)+(0.40*I))/5.</t>
        </is>
      </c>
      <c r="N116" s="8" t="inlineStr">
        <is>
          <t>D09 methodology/data owner</t>
        </is>
      </c>
      <c r="O116" s="8" t="inlineStr">
        <is>
          <t>PROVISIONAL—pilot validation required</t>
        </is>
      </c>
    </row>
    <row r="117">
      <c r="A117" s="8" t="inlineStr">
        <is>
          <t>D10</t>
        </is>
      </c>
      <c r="B117" s="8" t="inlineStr">
        <is>
          <t>I01</t>
        </is>
      </c>
      <c r="C117" s="8" t="inlineStr">
        <is>
          <t>Research Strategy Maturity</t>
        </is>
      </c>
      <c r="D117" s="8" t="inlineStr">
        <is>
          <t>Whether research priorities are strategically defined and connected to institutional purpose and emerging needs.</t>
        </is>
      </c>
      <c r="E117" s="8" t="inlineStr">
        <is>
          <t>Anchor 0–5 from domain-specific maturity anchor using direct sampled practice/work evidence; do not infer maturity from policy statements alone.</t>
        </is>
      </c>
      <c r="F117" s="8" t="inlineStr">
        <is>
          <t>0–5: 0 absent; 1 isolated/person-dependent; 2 repeatable in limited areas; 3 institutionally structured; 4 broad/cross-functional and consistently operating; 5 continuously improved/scaled.</t>
        </is>
      </c>
      <c r="G117" s="8" t="inlineStr">
        <is>
          <t>Use outcome only when a legitimate measurable result exists; otherwise N/A.</t>
        </is>
      </c>
      <c r="H117" s="8" t="inlineStr">
        <is>
          <t>Only genuine mandate/context inapplicability with documented assessor approval; missing evidence is never N/A.</t>
        </is>
      </c>
      <c r="I117" s="8" t="inlineStr">
        <is>
          <t>—</t>
        </is>
      </c>
      <c r="J117" s="8" t="inlineStr">
        <is>
          <t>E0=0.20; E1=0.40; E2=0.65; E3=0.85; E4=1.00, subject to corroboration/independence adjustment. Report separately.</t>
        </is>
      </c>
      <c r="K117" s="8" t="inlineStr">
        <is>
          <t>No score uplift from claims alone; lock denominator/exclusions before results; sample verification; cross-check with adjacent domains; high scores require corroboration.</t>
        </is>
      </c>
      <c r="L117" s="8" t="inlineStr">
        <is>
          <t>Use primary-owner rule; shared evidence may validate multiple metrics but the same activity cannot be scored twice across domains.</t>
        </is>
      </c>
      <c r="M117" s="8" t="inlineStr">
        <is>
          <t>100*((0.45*M)+(0.30*I)+(0.25*O))/5 when O exists; otherwise 100*((0.60*M)+(0.40*I))/5.</t>
        </is>
      </c>
      <c r="N117" s="8" t="inlineStr">
        <is>
          <t>D10 methodology/data owner</t>
        </is>
      </c>
      <c r="O117" s="8" t="inlineStr">
        <is>
          <t>PROVISIONAL—pilot validation required</t>
        </is>
      </c>
    </row>
    <row r="118">
      <c r="A118" s="8" t="inlineStr">
        <is>
          <t>D10</t>
        </is>
      </c>
      <c r="B118" s="8" t="inlineStr">
        <is>
          <t>I02</t>
        </is>
      </c>
      <c r="C118" s="8" t="inlineStr">
        <is>
          <t>Research Portfolio Balance</t>
        </is>
      </c>
      <c r="D118" s="8" t="inlineStr">
        <is>
          <t>Breadth, depth, concentration and strategic coherence of the research portfolio.</t>
        </is>
      </c>
      <c r="E118" s="8" t="inlineStr">
        <is>
          <t>Anchor 0–5 from domain-specific maturity anchor using direct sampled practice/work evidence; do not infer maturity from policy statements alone.</t>
        </is>
      </c>
      <c r="F118" s="8" t="inlineStr">
        <is>
          <t>0–5: 0 absent; 1 isolated/person-dependent; 2 repeatable in limited areas; 3 institutionally structured; 4 broad/cross-functional and consistently operating; 5 continuously improved/scaled.</t>
        </is>
      </c>
      <c r="G118" s="8" t="inlineStr">
        <is>
          <t>Use outcome only when a legitimate measurable result exists; otherwise N/A.</t>
        </is>
      </c>
      <c r="H118" s="8" t="inlineStr">
        <is>
          <t>Only genuine mandate/context inapplicability with documented assessor approval; missing evidence is never N/A.</t>
        </is>
      </c>
      <c r="I118" s="8" t="inlineStr">
        <is>
          <t>—</t>
        </is>
      </c>
      <c r="J118" s="8" t="inlineStr">
        <is>
          <t>E0=0.20; E1=0.40; E2=0.65; E3=0.85; E4=1.00, subject to corroboration/independence adjustment. Report separately.</t>
        </is>
      </c>
      <c r="K118" s="8" t="inlineStr">
        <is>
          <t>No score uplift from claims alone; lock denominator/exclusions before results; sample verification; cross-check with adjacent domains; high scores require corroboration.</t>
        </is>
      </c>
      <c r="L118" s="8" t="inlineStr">
        <is>
          <t>Use primary-owner rule; shared evidence may validate multiple metrics but the same activity cannot be scored twice across domains.</t>
        </is>
      </c>
      <c r="M118" s="8" t="inlineStr">
        <is>
          <t>100*((0.45*M)+(0.30*I)+(0.25*O))/5 when O exists; otherwise 100*((0.60*M)+(0.40*I))/5.</t>
        </is>
      </c>
      <c r="N118" s="8" t="inlineStr">
        <is>
          <t>D10 methodology/data owner</t>
        </is>
      </c>
      <c r="O118" s="8" t="inlineStr">
        <is>
          <t>PROVISIONAL—pilot validation required</t>
        </is>
      </c>
    </row>
    <row r="119">
      <c r="A119" s="8" t="inlineStr">
        <is>
          <t>D10</t>
        </is>
      </c>
      <c r="B119" s="8" t="inlineStr">
        <is>
          <t>I03</t>
        </is>
      </c>
      <c r="C119" s="8" t="inlineStr">
        <is>
          <t>Interdisciplinary Research Capability</t>
        </is>
      </c>
      <c r="D119" s="8" t="inlineStr">
        <is>
          <t>Ability to bring disciplines together around meaningful questions.</t>
        </is>
      </c>
      <c r="E119" s="8" t="inlineStr">
        <is>
          <t>Anchor 0–5 from domain-specific maturity anchor using direct sampled practice/work evidence; do not infer maturity from policy statements alone.</t>
        </is>
      </c>
      <c r="F119" s="8" t="inlineStr">
        <is>
          <t>0–5: 0 absent; 1 isolated/person-dependent; 2 repeatable in limited areas; 3 institutionally structured; 4 broad/cross-functional and consistently operating; 5 continuously improved/scaled.</t>
        </is>
      </c>
      <c r="G119" s="8" t="inlineStr">
        <is>
          <t>Use outcome only when a legitimate measurable result exists; otherwise N/A.</t>
        </is>
      </c>
      <c r="H119" s="8" t="inlineStr">
        <is>
          <t>Only genuine mandate/context inapplicability with documented assessor approval; missing evidence is never N/A.</t>
        </is>
      </c>
      <c r="I119" s="8" t="inlineStr">
        <is>
          <t>—</t>
        </is>
      </c>
      <c r="J119" s="8" t="inlineStr">
        <is>
          <t>E0=0.20; E1=0.40; E2=0.65; E3=0.85; E4=1.00, subject to corroboration/independence adjustment. Report separately.</t>
        </is>
      </c>
      <c r="K119" s="8" t="inlineStr">
        <is>
          <t>No score uplift from claims alone; lock denominator/exclusions before results; sample verification; cross-check with adjacent domains; high scores require corroboration.</t>
        </is>
      </c>
      <c r="L119" s="8" t="inlineStr">
        <is>
          <t>Use primary-owner rule; shared evidence may validate multiple metrics but the same activity cannot be scored twice across domains.</t>
        </is>
      </c>
      <c r="M119" s="8" t="inlineStr">
        <is>
          <t>100*((0.45*M)+(0.30*I)+(0.25*O))/5 when O exists; otherwise 100*((0.60*M)+(0.40*I))/5.</t>
        </is>
      </c>
      <c r="N119" s="8" t="inlineStr">
        <is>
          <t>D10 methodology/data owner</t>
        </is>
      </c>
      <c r="O119" s="8" t="inlineStr">
        <is>
          <t>PROVISIONAL—pilot validation required</t>
        </is>
      </c>
    </row>
    <row r="120">
      <c r="A120" s="8" t="inlineStr">
        <is>
          <t>D10</t>
        </is>
      </c>
      <c r="B120" s="8" t="inlineStr">
        <is>
          <t>I04</t>
        </is>
      </c>
      <c r="C120" s="8" t="inlineStr">
        <is>
          <t>AI-Enabled Research Capability</t>
        </is>
      </c>
      <c r="D120" s="8" t="inlineStr">
        <is>
          <t>Responsible use of AI across discovery, analysis, experimentation and knowledge creation.</t>
        </is>
      </c>
      <c r="E120" s="8" t="inlineStr">
        <is>
          <t>Anchor 0–5 from domain-specific maturity anchor using direct sampled practice/work evidence; do not infer maturity from policy statements alone.</t>
        </is>
      </c>
      <c r="F120" s="8" t="inlineStr">
        <is>
          <t>0–5: 0 absent; 1 isolated/person-dependent; 2 repeatable in limited areas; 3 institutionally structured; 4 broad/cross-functional and consistently operating; 5 continuously improved/scaled.</t>
        </is>
      </c>
      <c r="G120" s="8" t="inlineStr">
        <is>
          <t>Use outcome only when a legitimate measurable result exists; otherwise N/A.</t>
        </is>
      </c>
      <c r="H120" s="8" t="inlineStr">
        <is>
          <t>Only genuine mandate/context inapplicability with documented assessor approval; missing evidence is never N/A.</t>
        </is>
      </c>
      <c r="I120" s="8" t="inlineStr">
        <is>
          <t>—</t>
        </is>
      </c>
      <c r="J120" s="8" t="inlineStr">
        <is>
          <t>E0=0.20; E1=0.40; E2=0.65; E3=0.85; E4=1.00, subject to corroboration/independence adjustment. Report separately.</t>
        </is>
      </c>
      <c r="K120" s="8" t="inlineStr">
        <is>
          <t>No score uplift from claims alone; lock denominator/exclusions before results; sample verification; cross-check with adjacent domains; high scores require corroboration.</t>
        </is>
      </c>
      <c r="L120" s="8" t="inlineStr">
        <is>
          <t>Use primary-owner rule; shared evidence may validate multiple metrics but the same activity cannot be scored twice across domains.</t>
        </is>
      </c>
      <c r="M120" s="8" t="inlineStr">
        <is>
          <t>100*((0.45*M)+(0.30*I)+(0.25*O))/5 when O exists; otherwise 100*((0.60*M)+(0.40*I))/5.</t>
        </is>
      </c>
      <c r="N120" s="8" t="inlineStr">
        <is>
          <t>D10 methodology/data owner</t>
        </is>
      </c>
      <c r="O120" s="8" t="inlineStr">
        <is>
          <t>PROVISIONAL—pilot validation required</t>
        </is>
      </c>
    </row>
    <row r="121">
      <c r="A121" s="8" t="inlineStr">
        <is>
          <t>D10</t>
        </is>
      </c>
      <c r="B121" s="8" t="inlineStr">
        <is>
          <t>I05</t>
        </is>
      </c>
      <c r="C121" s="8" t="inlineStr">
        <is>
          <t>Research Infrastructure Readiness</t>
        </is>
      </c>
      <c r="D121" s="8" t="inlineStr">
        <is>
          <t>Adequacy and accessibility of research infrastructure, data and tools.</t>
        </is>
      </c>
      <c r="E121" s="8" t="inlineStr">
        <is>
          <t>Anchor 0–5 from domain-specific maturity anchor using direct sampled practice/work evidence; do not infer maturity from policy statements alone.</t>
        </is>
      </c>
      <c r="F121" s="8" t="inlineStr">
        <is>
          <t>0–5: 0 absent; 1 isolated/person-dependent; 2 repeatable in limited areas; 3 institutionally structured; 4 broad/cross-functional and consistently operating; 5 continuously improved/scaled.</t>
        </is>
      </c>
      <c r="G121" s="8" t="inlineStr">
        <is>
          <t>Use outcome only when a legitimate measurable result exists; otherwise N/A.</t>
        </is>
      </c>
      <c r="H121" s="8" t="inlineStr">
        <is>
          <t>Only genuine mandate/context inapplicability with documented assessor approval; missing evidence is never N/A.</t>
        </is>
      </c>
      <c r="I121" s="8" t="inlineStr">
        <is>
          <t>—</t>
        </is>
      </c>
      <c r="J121" s="8" t="inlineStr">
        <is>
          <t>E0=0.20; E1=0.40; E2=0.65; E3=0.85; E4=1.00, subject to corroboration/independence adjustment. Report separately.</t>
        </is>
      </c>
      <c r="K121" s="8" t="inlineStr">
        <is>
          <t>No score uplift from claims alone; lock denominator/exclusions before results; sample verification; cross-check with adjacent domains; high scores require corroboration.</t>
        </is>
      </c>
      <c r="L121" s="8" t="inlineStr">
        <is>
          <t>Use primary-owner rule; shared evidence may validate multiple metrics but the same activity cannot be scored twice across domains.</t>
        </is>
      </c>
      <c r="M121" s="8" t="inlineStr">
        <is>
          <t>100*((0.45*M)+(0.30*I)+(0.25*O))/5 when O exists; otherwise 100*((0.60*M)+(0.40*I))/5.</t>
        </is>
      </c>
      <c r="N121" s="8" t="inlineStr">
        <is>
          <t>D10 methodology/data owner</t>
        </is>
      </c>
      <c r="O121" s="8" t="inlineStr">
        <is>
          <t>PROVISIONAL—pilot validation required</t>
        </is>
      </c>
    </row>
    <row r="122">
      <c r="A122" s="8" t="inlineStr">
        <is>
          <t>D10</t>
        </is>
      </c>
      <c r="B122" s="8" t="inlineStr">
        <is>
          <t>I06</t>
        </is>
      </c>
      <c r="C122" s="8" t="inlineStr">
        <is>
          <t>Researcher Capability</t>
        </is>
      </c>
      <c r="D122" s="8" t="inlineStr">
        <is>
          <t>Ability to develop and retain researchers and research-active faculty.</t>
        </is>
      </c>
      <c r="E122" s="8" t="inlineStr">
        <is>
          <t>Anchor 0–5 from domain-specific maturity anchor using direct sampled practice/work evidence; do not infer maturity from policy statements alone.</t>
        </is>
      </c>
      <c r="F122" s="8" t="inlineStr">
        <is>
          <t>0–5: 0 absent; 1 isolated/person-dependent; 2 repeatable in limited areas; 3 institutionally structured; 4 broad/cross-functional and consistently operating; 5 continuously improved/scaled.</t>
        </is>
      </c>
      <c r="G122" s="8" t="inlineStr">
        <is>
          <t>Use outcome only when a legitimate measurable result exists; otherwise N/A.</t>
        </is>
      </c>
      <c r="H122" s="8" t="inlineStr">
        <is>
          <t>Only genuine mandate/context inapplicability with documented assessor approval; missing evidence is never N/A.</t>
        </is>
      </c>
      <c r="I122" s="8" t="inlineStr">
        <is>
          <t>—</t>
        </is>
      </c>
      <c r="J122" s="8" t="inlineStr">
        <is>
          <t>E0=0.20; E1=0.40; E2=0.65; E3=0.85; E4=1.00, subject to corroboration/independence adjustment. Report separately.</t>
        </is>
      </c>
      <c r="K122" s="8" t="inlineStr">
        <is>
          <t>No score uplift from claims alone; lock denominator/exclusions before results; sample verification; cross-check with adjacent domains; high scores require corroboration.</t>
        </is>
      </c>
      <c r="L122" s="8" t="inlineStr">
        <is>
          <t>Use primary-owner rule; shared evidence may validate multiple metrics but the same activity cannot be scored twice across domains.</t>
        </is>
      </c>
      <c r="M122" s="8" t="inlineStr">
        <is>
          <t>100*((0.45*M)+(0.30*I)+(0.25*O))/5 when O exists; otherwise 100*((0.60*M)+(0.40*I))/5.</t>
        </is>
      </c>
      <c r="N122" s="8" t="inlineStr">
        <is>
          <t>D10 methodology/data owner</t>
        </is>
      </c>
      <c r="O122" s="8" t="inlineStr">
        <is>
          <t>PROVISIONAL—pilot validation required</t>
        </is>
      </c>
    </row>
    <row r="123">
      <c r="A123" s="8" t="inlineStr">
        <is>
          <t>D10</t>
        </is>
      </c>
      <c r="B123" s="8" t="inlineStr">
        <is>
          <t>I07</t>
        </is>
      </c>
      <c r="C123" s="8" t="inlineStr">
        <is>
          <t>Research Funding Capability</t>
        </is>
      </c>
      <c r="D123" s="8" t="inlineStr">
        <is>
          <t>Ability to identify, develop and secure competitive research resources.</t>
        </is>
      </c>
      <c r="E123" s="8" t="inlineStr">
        <is>
          <t>Anchor 0–5 from domain-specific maturity anchor using direct sampled practice/work evidence; do not infer maturity from policy statements alone.</t>
        </is>
      </c>
      <c r="F123" s="8" t="inlineStr">
        <is>
          <t>0–5: 0 absent; 1 isolated/person-dependent; 2 repeatable in limited areas; 3 institutionally structured; 4 broad/cross-functional and consistently operating; 5 continuously improved/scaled.</t>
        </is>
      </c>
      <c r="G123" s="8" t="inlineStr">
        <is>
          <t>Use outcome only when a legitimate measurable result exists; otherwise N/A.</t>
        </is>
      </c>
      <c r="H123" s="8" t="inlineStr">
        <is>
          <t>Only genuine mandate/context inapplicability with documented assessor approval; missing evidence is never N/A.</t>
        </is>
      </c>
      <c r="I123" s="8" t="inlineStr">
        <is>
          <t>—</t>
        </is>
      </c>
      <c r="J123" s="8" t="inlineStr">
        <is>
          <t>E0=0.20; E1=0.40; E2=0.65; E3=0.85; E4=1.00, subject to corroboration/independence adjustment. Report separately.</t>
        </is>
      </c>
      <c r="K123" s="8" t="inlineStr">
        <is>
          <t>No score uplift from claims alone; lock denominator/exclusions before results; sample verification; cross-check with adjacent domains; high scores require corroboration.</t>
        </is>
      </c>
      <c r="L123" s="8" t="inlineStr">
        <is>
          <t>Use primary-owner rule; shared evidence may validate multiple metrics but the same activity cannot be scored twice across domains.</t>
        </is>
      </c>
      <c r="M123" s="8" t="inlineStr">
        <is>
          <t>100*((0.45*M)+(0.30*I)+(0.25*O))/5 when O exists; otherwise 100*((0.60*M)+(0.40*I))/5.</t>
        </is>
      </c>
      <c r="N123" s="8" t="inlineStr">
        <is>
          <t>D10 methodology/data owner</t>
        </is>
      </c>
      <c r="O123" s="8" t="inlineStr">
        <is>
          <t>PROVISIONAL—pilot validation required</t>
        </is>
      </c>
    </row>
    <row r="124">
      <c r="A124" s="8" t="inlineStr">
        <is>
          <t>D10</t>
        </is>
      </c>
      <c r="B124" s="8" t="inlineStr">
        <is>
          <t>I08</t>
        </is>
      </c>
      <c r="C124" s="8" t="inlineStr">
        <is>
          <t>Knowledge Translation Capability</t>
        </is>
      </c>
      <c r="D124" s="8" t="inlineStr">
        <is>
          <t>Movement from research findings to application, policy, practice or public value.</t>
        </is>
      </c>
      <c r="E124" s="8" t="inlineStr">
        <is>
          <t>Anchor 0–5 from domain-specific maturity anchor using direct sampled practice/work evidence; do not infer maturity from policy statements alone.</t>
        </is>
      </c>
      <c r="F124" s="8" t="inlineStr">
        <is>
          <t>0–5: 0 absent; 1 isolated/person-dependent; 2 repeatable in limited areas; 3 institutionally structured; 4 broad/cross-functional and consistently operating; 5 continuously improved/scaled.</t>
        </is>
      </c>
      <c r="G124" s="8" t="inlineStr">
        <is>
          <t>Use outcome only when a legitimate measurable result exists; otherwise N/A.</t>
        </is>
      </c>
      <c r="H124" s="8" t="inlineStr">
        <is>
          <t>Only genuine mandate/context inapplicability with documented assessor approval; missing evidence is never N/A.</t>
        </is>
      </c>
      <c r="I124" s="8" t="inlineStr">
        <is>
          <t>—</t>
        </is>
      </c>
      <c r="J124" s="8" t="inlineStr">
        <is>
          <t>E0=0.20; E1=0.40; E2=0.65; E3=0.85; E4=1.00, subject to corroboration/independence adjustment. Report separately.</t>
        </is>
      </c>
      <c r="K124" s="8" t="inlineStr">
        <is>
          <t>No score uplift from claims alone; lock denominator/exclusions before results; sample verification; cross-check with adjacent domains; high scores require corroboration.</t>
        </is>
      </c>
      <c r="L124" s="8" t="inlineStr">
        <is>
          <t>Use primary-owner rule; shared evidence may validate multiple metrics but the same activity cannot be scored twice across domains.</t>
        </is>
      </c>
      <c r="M124" s="8" t="inlineStr">
        <is>
          <t>100*((0.45*M)+(0.30*I)+(0.25*O))/5 when O exists; otherwise 100*((0.60*M)+(0.40*I))/5.</t>
        </is>
      </c>
      <c r="N124" s="8" t="inlineStr">
        <is>
          <t>D10 methodology/data owner</t>
        </is>
      </c>
      <c r="O124" s="8" t="inlineStr">
        <is>
          <t>PROVISIONAL—pilot validation required</t>
        </is>
      </c>
    </row>
    <row r="125">
      <c r="A125" s="8" t="inlineStr">
        <is>
          <t>D10</t>
        </is>
      </c>
      <c r="B125" s="8" t="inlineStr">
        <is>
          <t>I09</t>
        </is>
      </c>
      <c r="C125" s="8" t="inlineStr">
        <is>
          <t>Industry-Linked Research</t>
        </is>
      </c>
      <c r="D125" s="8" t="inlineStr">
        <is>
          <t>Depth of meaningful research collaboration with industry and external organisations.</t>
        </is>
      </c>
      <c r="E125" s="8" t="inlineStr">
        <is>
          <t>Anchor 0–5 from domain-specific maturity anchor using direct sampled practice/work evidence; do not infer maturity from policy statements alone.</t>
        </is>
      </c>
      <c r="F125" s="8" t="inlineStr">
        <is>
          <t>0–5: 0 absent; 1 isolated/person-dependent; 2 repeatable in limited areas; 3 institutionally structured; 4 broad/cross-functional and consistently operating; 5 continuously improved/scaled.</t>
        </is>
      </c>
      <c r="G125" s="8" t="inlineStr">
        <is>
          <t>Use outcome only when a legitimate measurable result exists; otherwise N/A.</t>
        </is>
      </c>
      <c r="H125" s="8" t="inlineStr">
        <is>
          <t>Only genuine mandate/context inapplicability with documented assessor approval; missing evidence is never N/A.</t>
        </is>
      </c>
      <c r="I125" s="8" t="inlineStr">
        <is>
          <t>—</t>
        </is>
      </c>
      <c r="J125" s="8" t="inlineStr">
        <is>
          <t>E0=0.20; E1=0.40; E2=0.65; E3=0.85; E4=1.00, subject to corroboration/independence adjustment. Report separately.</t>
        </is>
      </c>
      <c r="K125" s="8" t="inlineStr">
        <is>
          <t>No score uplift from claims alone; lock denominator/exclusions before results; sample verification; cross-check with adjacent domains; high scores require corroboration.</t>
        </is>
      </c>
      <c r="L125" s="8" t="inlineStr">
        <is>
          <t>Use primary-owner rule; shared evidence may validate multiple metrics but the same activity cannot be scored twice across domains.</t>
        </is>
      </c>
      <c r="M125" s="8" t="inlineStr">
        <is>
          <t>100*((0.45*M)+(0.30*I)+(0.25*O))/5 when O exists; otherwise 100*((0.60*M)+(0.40*I))/5.</t>
        </is>
      </c>
      <c r="N125" s="8" t="inlineStr">
        <is>
          <t>D10 methodology/data owner</t>
        </is>
      </c>
      <c r="O125" s="8" t="inlineStr">
        <is>
          <t>PROVISIONAL—pilot validation required</t>
        </is>
      </c>
    </row>
    <row r="126">
      <c r="A126" s="8" t="inlineStr">
        <is>
          <t>D10</t>
        </is>
      </c>
      <c r="B126" s="8" t="inlineStr">
        <is>
          <t>I10</t>
        </is>
      </c>
      <c r="C126" s="8" t="inlineStr">
        <is>
          <t>Research-to-Innovation Pipeline</t>
        </is>
      </c>
      <c r="D126" s="8" t="inlineStr">
        <is>
          <t>Ability to move promising research toward prototypes, ventures, IP or implementation.</t>
        </is>
      </c>
      <c r="E126" s="8" t="inlineStr">
        <is>
          <t>Anchor 0–5 from domain-specific maturity anchor using direct sampled practice/work evidence; do not infer maturity from policy statements alone.</t>
        </is>
      </c>
      <c r="F126" s="8" t="inlineStr">
        <is>
          <t>0–5: 0 absent; 1 isolated/person-dependent; 2 repeatable in limited areas; 3 institutionally structured; 4 broad/cross-functional and consistently operating; 5 continuously improved/scaled.</t>
        </is>
      </c>
      <c r="G126" s="8" t="inlineStr">
        <is>
          <t>Use outcome only when a legitimate measurable result exists; otherwise N/A.</t>
        </is>
      </c>
      <c r="H126" s="8" t="inlineStr">
        <is>
          <t>Only genuine mandate/context inapplicability with documented assessor approval; missing evidence is never N/A.</t>
        </is>
      </c>
      <c r="I126" s="8" t="inlineStr">
        <is>
          <t>—</t>
        </is>
      </c>
      <c r="J126" s="8" t="inlineStr">
        <is>
          <t>E0=0.20; E1=0.40; E2=0.65; E3=0.85; E4=1.00, subject to corroboration/independence adjustment. Report separately.</t>
        </is>
      </c>
      <c r="K126" s="8" t="inlineStr">
        <is>
          <t>No score uplift from claims alone; lock denominator/exclusions before results; sample verification; cross-check with adjacent domains; high scores require corroboration.</t>
        </is>
      </c>
      <c r="L126" s="8" t="inlineStr">
        <is>
          <t>Use primary-owner rule; shared evidence may validate multiple metrics but the same activity cannot be scored twice across domains.</t>
        </is>
      </c>
      <c r="M126" s="8" t="inlineStr">
        <is>
          <t>100*((0.45*M)+(0.30*I)+(0.25*O))/5 when O exists; otherwise 100*((0.60*M)+(0.40*I))/5.</t>
        </is>
      </c>
      <c r="N126" s="8" t="inlineStr">
        <is>
          <t>D10 methodology/data owner</t>
        </is>
      </c>
      <c r="O126" s="8" t="inlineStr">
        <is>
          <t>PROVISIONAL—pilot validation required</t>
        </is>
      </c>
    </row>
    <row r="127">
      <c r="A127" s="8" t="inlineStr">
        <is>
          <t>D10</t>
        </is>
      </c>
      <c r="B127" s="8" t="inlineStr">
        <is>
          <t>I11</t>
        </is>
      </c>
      <c r="C127" s="8" t="inlineStr">
        <is>
          <t>IP &amp; Knowledge Assets</t>
        </is>
      </c>
      <c r="D127" s="8" t="inlineStr">
        <is>
          <t>Quality and strategic management of intellectual property and other knowledge assets.</t>
        </is>
      </c>
      <c r="E127" s="8" t="inlineStr">
        <is>
          <t>Anchor 0–5 from domain-specific maturity anchor using direct sampled practice/work evidence; do not infer maturity from policy statements alone.</t>
        </is>
      </c>
      <c r="F127" s="8" t="inlineStr">
        <is>
          <t>0–5: 0 absent; 1 isolated/person-dependent; 2 repeatable in limited areas; 3 institutionally structured; 4 broad/cross-functional and consistently operating; 5 continuously improved/scaled.</t>
        </is>
      </c>
      <c r="G127" s="8" t="inlineStr">
        <is>
          <t>Use outcome only when a legitimate measurable result exists; otherwise N/A.</t>
        </is>
      </c>
      <c r="H127" s="8" t="inlineStr">
        <is>
          <t>Only genuine mandate/context inapplicability with documented assessor approval; missing evidence is never N/A.</t>
        </is>
      </c>
      <c r="I127" s="8" t="inlineStr">
        <is>
          <t>—</t>
        </is>
      </c>
      <c r="J127" s="8" t="inlineStr">
        <is>
          <t>E0=0.20; E1=0.40; E2=0.65; E3=0.85; E4=1.00, subject to corroboration/independence adjustment. Report separately.</t>
        </is>
      </c>
      <c r="K127" s="8" t="inlineStr">
        <is>
          <t>No score uplift from claims alone; lock denominator/exclusions before results; sample verification; cross-check with adjacent domains; high scores require corroboration.</t>
        </is>
      </c>
      <c r="L127" s="8" t="inlineStr">
        <is>
          <t>Use primary-owner rule; shared evidence may validate multiple metrics but the same activity cannot be scored twice across domains.</t>
        </is>
      </c>
      <c r="M127" s="8" t="inlineStr">
        <is>
          <t>100*((0.45*M)+(0.30*I)+(0.25*O))/5 when O exists; otherwise 100*((0.60*M)+(0.40*I))/5.</t>
        </is>
      </c>
      <c r="N127" s="8" t="inlineStr">
        <is>
          <t>D10 methodology/data owner</t>
        </is>
      </c>
      <c r="O127" s="8" t="inlineStr">
        <is>
          <t>PROVISIONAL—pilot validation required</t>
        </is>
      </c>
    </row>
    <row r="128">
      <c r="A128" s="8" t="inlineStr">
        <is>
          <t>D10</t>
        </is>
      </c>
      <c r="B128" s="8" t="inlineStr">
        <is>
          <t>I12</t>
        </is>
      </c>
      <c r="C128" s="8" t="inlineStr">
        <is>
          <t>Research Integrity &amp; Responsible AI</t>
        </is>
      </c>
      <c r="D128" s="8" t="inlineStr">
        <is>
          <t>Integrity, reproducibility, ethics, authorship, data and responsible AI practices.</t>
        </is>
      </c>
      <c r="E128" s="8" t="inlineStr">
        <is>
          <t>Anchor 0–5 from domain-specific maturity anchor using direct sampled practice/work evidence; do not infer maturity from policy statements alone.</t>
        </is>
      </c>
      <c r="F128" s="8" t="inlineStr">
        <is>
          <t>0–5: 0 absent; 1 isolated/person-dependent; 2 repeatable in limited areas; 3 institutionally structured; 4 broad/cross-functional and consistently operating; 5 continuously improved/scaled.</t>
        </is>
      </c>
      <c r="G128" s="8" t="inlineStr">
        <is>
          <t>Use outcome only when a legitimate measurable result exists; otherwise N/A.</t>
        </is>
      </c>
      <c r="H128" s="8" t="inlineStr">
        <is>
          <t>Only genuine mandate/context inapplicability with documented assessor approval; missing evidence is never N/A.</t>
        </is>
      </c>
      <c r="I128" s="8" t="inlineStr">
        <is>
          <t>—</t>
        </is>
      </c>
      <c r="J128" s="8" t="inlineStr">
        <is>
          <t>E0=0.20; E1=0.40; E2=0.65; E3=0.85; E4=1.00, subject to corroboration/independence adjustment. Report separately.</t>
        </is>
      </c>
      <c r="K128" s="8" t="inlineStr">
        <is>
          <t>No score uplift from claims alone; lock denominator/exclusions before results; sample verification; cross-check with adjacent domains; high scores require corroboration.</t>
        </is>
      </c>
      <c r="L128" s="8" t="inlineStr">
        <is>
          <t>Use primary-owner rule; shared evidence may validate multiple metrics but the same activity cannot be scored twice across domains.</t>
        </is>
      </c>
      <c r="M128" s="8" t="inlineStr">
        <is>
          <t>100*((0.45*M)+(0.30*I)+(0.25*O))/5 when O exists; otherwise 100*((0.60*M)+(0.40*I))/5.</t>
        </is>
      </c>
      <c r="N128" s="8" t="inlineStr">
        <is>
          <t>D10 methodology/data owner</t>
        </is>
      </c>
      <c r="O128" s="8" t="inlineStr">
        <is>
          <t>PROVISIONAL—pilot validation required</t>
        </is>
      </c>
    </row>
    <row r="129">
      <c r="A129" s="8" t="inlineStr">
        <is>
          <t>D10</t>
        </is>
      </c>
      <c r="B129" s="8" t="inlineStr">
        <is>
          <t>I13</t>
        </is>
      </c>
      <c r="C129" s="8" t="inlineStr">
        <is>
          <t>Research Impact Evidence</t>
        </is>
      </c>
      <c r="D129" s="8" t="inlineStr">
        <is>
          <t>Evidence of scholarly, economic, social, technological or policy impact.</t>
        </is>
      </c>
      <c r="E129" s="8" t="inlineStr">
        <is>
          <t>Anchor 0–5 from domain-specific maturity anchor using direct sampled practice/work evidence; do not infer maturity from policy statements alone.</t>
        </is>
      </c>
      <c r="F129" s="8" t="inlineStr">
        <is>
          <t>0–5: 0 absent; 1 isolated/person-dependent; 2 repeatable in limited areas; 3 institutionally structured; 4 broad/cross-functional and consistently operating; 5 continuously improved/scaled.</t>
        </is>
      </c>
      <c r="G129" s="8" t="inlineStr">
        <is>
          <t>Use outcome only when a legitimate measurable result exists; otherwise N/A.</t>
        </is>
      </c>
      <c r="H129" s="8" t="inlineStr">
        <is>
          <t>Only genuine mandate/context inapplicability with documented assessor approval; missing evidence is never N/A.</t>
        </is>
      </c>
      <c r="I129" s="8" t="inlineStr">
        <is>
          <t>—</t>
        </is>
      </c>
      <c r="J129" s="8" t="inlineStr">
        <is>
          <t>E0=0.20; E1=0.40; E2=0.65; E3=0.85; E4=1.00, subject to corroboration/independence adjustment. Report separately.</t>
        </is>
      </c>
      <c r="K129" s="8" t="inlineStr">
        <is>
          <t>No score uplift from claims alone; lock denominator/exclusions before results; sample verification; cross-check with adjacent domains; high scores require corroboration.</t>
        </is>
      </c>
      <c r="L129" s="8" t="inlineStr">
        <is>
          <t>Use primary-owner rule; shared evidence may validate multiple metrics but the same activity cannot be scored twice across domains.</t>
        </is>
      </c>
      <c r="M129" s="8" t="inlineStr">
        <is>
          <t>100*((0.45*M)+(0.30*I)+(0.25*O))/5 when O exists; otherwise 100*((0.60*M)+(0.40*I))/5.</t>
        </is>
      </c>
      <c r="N129" s="8" t="inlineStr">
        <is>
          <t>D10 methodology/data owner</t>
        </is>
      </c>
      <c r="O129" s="8" t="inlineStr">
        <is>
          <t>PROVISIONAL—pilot validation required</t>
        </is>
      </c>
    </row>
    <row r="130">
      <c r="A130" s="8" t="inlineStr">
        <is>
          <t>D10</t>
        </is>
      </c>
      <c r="B130" s="8" t="inlineStr">
        <is>
          <t>I14</t>
        </is>
      </c>
      <c r="C130" s="8" t="inlineStr">
        <is>
          <t>Student Research Capability</t>
        </is>
      </c>
      <c r="D130" s="8" t="inlineStr">
        <is>
          <t>Extent to which students participate meaningfully in research and knowledge creation.</t>
        </is>
      </c>
      <c r="E130" s="8" t="inlineStr">
        <is>
          <t>Anchor 0–5 from domain-specific maturity anchor using direct sampled practice/work evidence; do not infer maturity from policy statements alone.</t>
        </is>
      </c>
      <c r="F130" s="8" t="inlineStr">
        <is>
          <t>0–5: 0 absent; 1 isolated/person-dependent; 2 repeatable in limited areas; 3 institutionally structured; 4 broad/cross-functional and consistently operating; 5 continuously improved/scaled.</t>
        </is>
      </c>
      <c r="G130" s="8" t="inlineStr">
        <is>
          <t>Use outcome only when a legitimate measurable result exists; otherwise N/A.</t>
        </is>
      </c>
      <c r="H130" s="8" t="inlineStr">
        <is>
          <t>Only genuine mandate/context inapplicability with documented assessor approval; missing evidence is never N/A.</t>
        </is>
      </c>
      <c r="I130" s="8" t="inlineStr">
        <is>
          <t>—</t>
        </is>
      </c>
      <c r="J130" s="8" t="inlineStr">
        <is>
          <t>E0=0.20; E1=0.40; E2=0.65; E3=0.85; E4=1.00, subject to corroboration/independence adjustment. Report separately.</t>
        </is>
      </c>
      <c r="K130" s="8" t="inlineStr">
        <is>
          <t>No score uplift from claims alone; lock denominator/exclusions before results; sample verification; cross-check with adjacent domains; high scores require corroboration.</t>
        </is>
      </c>
      <c r="L130" s="8" t="inlineStr">
        <is>
          <t>Use primary-owner rule; shared evidence may validate multiple metrics but the same activity cannot be scored twice across domains.</t>
        </is>
      </c>
      <c r="M130" s="8" t="inlineStr">
        <is>
          <t>100*((0.45*M)+(0.30*I)+(0.25*O))/5 when O exists; otherwise 100*((0.60*M)+(0.40*I))/5.</t>
        </is>
      </c>
      <c r="N130" s="8" t="inlineStr">
        <is>
          <t>D10 methodology/data owner</t>
        </is>
      </c>
      <c r="O130" s="8" t="inlineStr">
        <is>
          <t>PROVISIONAL—pilot validation required</t>
        </is>
      </c>
    </row>
    <row r="131">
      <c r="A131" s="8" t="inlineStr">
        <is>
          <t>D11</t>
        </is>
      </c>
      <c r="B131" s="8" t="inlineStr">
        <is>
          <t>I01</t>
        </is>
      </c>
      <c r="C131" s="8" t="inlineStr">
        <is>
          <t>External Change Sensing</t>
        </is>
      </c>
      <c r="D131" s="8" t="inlineStr">
        <is>
          <t>Ability to detect technological, economic, demographic, policy and learner changes.</t>
        </is>
      </c>
      <c r="E131" s="8" t="inlineStr">
        <is>
          <t>Anchor 0–5 from domain-specific maturity anchor using direct sampled practice/work evidence; do not infer maturity from policy statements alone.</t>
        </is>
      </c>
      <c r="F131" s="8" t="inlineStr">
        <is>
          <t>0–5: 0 absent; 1 isolated/person-dependent; 2 repeatable in limited areas; 3 institutionally structured; 4 broad/cross-functional and consistently operating; 5 continuously improved/scaled.</t>
        </is>
      </c>
      <c r="G131" s="8" t="inlineStr">
        <is>
          <t>Use outcome only when a legitimate measurable result exists; otherwise N/A.</t>
        </is>
      </c>
      <c r="H131" s="8" t="inlineStr">
        <is>
          <t>Only genuine mandate/context inapplicability with documented assessor approval; missing evidence is never N/A.</t>
        </is>
      </c>
      <c r="I131" s="8" t="inlineStr">
        <is>
          <t>—</t>
        </is>
      </c>
      <c r="J131" s="8" t="inlineStr">
        <is>
          <t>E0=0.20; E1=0.40; E2=0.65; E3=0.85; E4=1.00, subject to corroboration/independence adjustment. Report separately.</t>
        </is>
      </c>
      <c r="K131" s="8" t="inlineStr">
        <is>
          <t>No score uplift from claims alone; lock denominator/exclusions before results; sample verification; cross-check with adjacent domains; high scores require corroboration.</t>
        </is>
      </c>
      <c r="L131" s="8" t="inlineStr">
        <is>
          <t>Use primary-owner rule; shared evidence may validate multiple metrics but the same activity cannot be scored twice across domains.</t>
        </is>
      </c>
      <c r="M131" s="8" t="inlineStr">
        <is>
          <t>100*((0.45*M)+(0.30*I)+(0.25*O))/5 when O exists; otherwise 100*((0.60*M)+(0.40*I))/5.</t>
        </is>
      </c>
      <c r="N131" s="8" t="inlineStr">
        <is>
          <t>D11 methodology/data owner</t>
        </is>
      </c>
      <c r="O131" s="8" t="inlineStr">
        <is>
          <t>PROVISIONAL—pilot validation required</t>
        </is>
      </c>
    </row>
    <row r="132">
      <c r="A132" s="8" t="inlineStr">
        <is>
          <t>D11</t>
        </is>
      </c>
      <c r="B132" s="8" t="inlineStr">
        <is>
          <t>I02</t>
        </is>
      </c>
      <c r="C132" s="8" t="inlineStr">
        <is>
          <t>Strategic Response Agility</t>
        </is>
      </c>
      <c r="D132" s="8" t="inlineStr">
        <is>
          <t>Speed and quality with which significant changes become institutional decisions.</t>
        </is>
      </c>
      <c r="E132" s="8" t="inlineStr">
        <is>
          <t>Anchor 0–5 from domain-specific maturity anchor using direct sampled practice/work evidence; do not infer maturity from policy statements alone.</t>
        </is>
      </c>
      <c r="F132" s="8" t="inlineStr">
        <is>
          <t>0–5: 0 absent; 1 isolated/person-dependent; 2 repeatable in limited areas; 3 institutionally structured; 4 broad/cross-functional and consistently operating; 5 continuously improved/scaled.</t>
        </is>
      </c>
      <c r="G132" s="8" t="inlineStr">
        <is>
          <t>Use outcome only when a legitimate measurable result exists; otherwise N/A.</t>
        </is>
      </c>
      <c r="H132" s="8" t="inlineStr">
        <is>
          <t>Only genuine mandate/context inapplicability with documented assessor approval; missing evidence is never N/A.</t>
        </is>
      </c>
      <c r="I132" s="8" t="inlineStr">
        <is>
          <t>—</t>
        </is>
      </c>
      <c r="J132" s="8" t="inlineStr">
        <is>
          <t>E0=0.20; E1=0.40; E2=0.65; E3=0.85; E4=1.00, subject to corroboration/independence adjustment. Report separately.</t>
        </is>
      </c>
      <c r="K132" s="8" t="inlineStr">
        <is>
          <t>No score uplift from claims alone; lock denominator/exclusions before results; sample verification; cross-check with adjacent domains; high scores require corroboration.</t>
        </is>
      </c>
      <c r="L132" s="8" t="inlineStr">
        <is>
          <t>Use primary-owner rule; shared evidence may validate multiple metrics but the same activity cannot be scored twice across domains.</t>
        </is>
      </c>
      <c r="M132" s="8" t="inlineStr">
        <is>
          <t>100*((0.45*M)+(0.30*I)+(0.25*O))/5 when O exists; otherwise 100*((0.60*M)+(0.40*I))/5.</t>
        </is>
      </c>
      <c r="N132" s="8" t="inlineStr">
        <is>
          <t>D11 methodology/data owner</t>
        </is>
      </c>
      <c r="O132" s="8" t="inlineStr">
        <is>
          <t>PROVISIONAL—pilot validation required</t>
        </is>
      </c>
    </row>
    <row r="133">
      <c r="A133" s="8" t="inlineStr">
        <is>
          <t>D11</t>
        </is>
      </c>
      <c r="B133" s="8" t="inlineStr">
        <is>
          <t>I03</t>
        </is>
      </c>
      <c r="C133" s="8" t="inlineStr">
        <is>
          <t>Adaptive Decision Architecture</t>
        </is>
      </c>
      <c r="D133" s="8" t="inlineStr">
        <is>
          <t>Clarity of who can act, escalate and allocate resources when circumstances change.</t>
        </is>
      </c>
      <c r="E133" s="8" t="inlineStr">
        <is>
          <t>Anchor 0–5 from domain-specific maturity anchor using direct sampled practice/work evidence; do not infer maturity from policy statements alone.</t>
        </is>
      </c>
      <c r="F133" s="8" t="inlineStr">
        <is>
          <t>0–5: 0 absent; 1 isolated/person-dependent; 2 repeatable in limited areas; 3 institutionally structured; 4 broad/cross-functional and consistently operating; 5 continuously improved/scaled.</t>
        </is>
      </c>
      <c r="G133" s="8" t="inlineStr">
        <is>
          <t>Use outcome only when a legitimate measurable result exists; otherwise N/A.</t>
        </is>
      </c>
      <c r="H133" s="8" t="inlineStr">
        <is>
          <t>Only genuine mandate/context inapplicability with documented assessor approval; missing evidence is never N/A.</t>
        </is>
      </c>
      <c r="I133" s="8" t="inlineStr">
        <is>
          <t>—</t>
        </is>
      </c>
      <c r="J133" s="8" t="inlineStr">
        <is>
          <t>E0=0.20; E1=0.40; E2=0.65; E3=0.85; E4=1.00, subject to corroboration/independence adjustment. Report separately.</t>
        </is>
      </c>
      <c r="K133" s="8" t="inlineStr">
        <is>
          <t>No score uplift from claims alone; lock denominator/exclusions before results; sample verification; cross-check with adjacent domains; high scores require corroboration.</t>
        </is>
      </c>
      <c r="L133" s="8" t="inlineStr">
        <is>
          <t>Use primary-owner rule; shared evidence may validate multiple metrics but the same activity cannot be scored twice across domains.</t>
        </is>
      </c>
      <c r="M133" s="8" t="inlineStr">
        <is>
          <t>100*((0.45*M)+(0.30*I)+(0.25*O))/5 when O exists; otherwise 100*((0.60*M)+(0.40*I))/5.</t>
        </is>
      </c>
      <c r="N133" s="8" t="inlineStr">
        <is>
          <t>D11 methodology/data owner</t>
        </is>
      </c>
      <c r="O133" s="8" t="inlineStr">
        <is>
          <t>PROVISIONAL—pilot validation required</t>
        </is>
      </c>
    </row>
    <row r="134">
      <c r="A134" s="8" t="inlineStr">
        <is>
          <t>D11</t>
        </is>
      </c>
      <c r="B134" s="8" t="inlineStr">
        <is>
          <t>I04</t>
        </is>
      </c>
      <c r="C134" s="8" t="inlineStr">
        <is>
          <t>Resource Reallocation Agility</t>
        </is>
      </c>
      <c r="D134" s="8" t="inlineStr">
        <is>
          <t>Ability to redirect people, money, infrastructure and attention toward emerging priorities.</t>
        </is>
      </c>
      <c r="E134" s="8" t="inlineStr">
        <is>
          <t>Anchor 0–5 from domain-specific maturity anchor using direct sampled practice/work evidence; do not infer maturity from policy statements alone.</t>
        </is>
      </c>
      <c r="F134" s="8" t="inlineStr">
        <is>
          <t>0–5: 0 absent; 1 isolated/person-dependent; 2 repeatable in limited areas; 3 institutionally structured; 4 broad/cross-functional and consistently operating; 5 continuously improved/scaled.</t>
        </is>
      </c>
      <c r="G134" s="8" t="inlineStr">
        <is>
          <t>Use outcome only when a legitimate measurable result exists; otherwise N/A.</t>
        </is>
      </c>
      <c r="H134" s="8" t="inlineStr">
        <is>
          <t>Only genuine mandate/context inapplicability with documented assessor approval; missing evidence is never N/A.</t>
        </is>
      </c>
      <c r="I134" s="8" t="inlineStr">
        <is>
          <t>—</t>
        </is>
      </c>
      <c r="J134" s="8" t="inlineStr">
        <is>
          <t>E0=0.20; E1=0.40; E2=0.65; E3=0.85; E4=1.00, subject to corroboration/independence adjustment. Report separately.</t>
        </is>
      </c>
      <c r="K134" s="8" t="inlineStr">
        <is>
          <t>No score uplift from claims alone; lock denominator/exclusions before results; sample verification; cross-check with adjacent domains; high scores require corroboration.</t>
        </is>
      </c>
      <c r="L134" s="8" t="inlineStr">
        <is>
          <t>Use primary-owner rule; shared evidence may validate multiple metrics but the same activity cannot be scored twice across domains.</t>
        </is>
      </c>
      <c r="M134" s="8" t="inlineStr">
        <is>
          <t>100*((0.45*M)+(0.30*I)+(0.25*O))/5 when O exists; otherwise 100*((0.60*M)+(0.40*I))/5.</t>
        </is>
      </c>
      <c r="N134" s="8" t="inlineStr">
        <is>
          <t>D11 methodology/data owner</t>
        </is>
      </c>
      <c r="O134" s="8" t="inlineStr">
        <is>
          <t>PROVISIONAL—pilot validation required</t>
        </is>
      </c>
    </row>
    <row r="135">
      <c r="A135" s="8" t="inlineStr">
        <is>
          <t>D11</t>
        </is>
      </c>
      <c r="B135" s="8" t="inlineStr">
        <is>
          <t>I05</t>
        </is>
      </c>
      <c r="C135" s="8" t="inlineStr">
        <is>
          <t>Institutional Experimentation</t>
        </is>
      </c>
      <c r="D135" s="8" t="inlineStr">
        <is>
          <t>Ability to test new approaches without turning every experiment into a large programme.</t>
        </is>
      </c>
      <c r="E135" s="8" t="inlineStr">
        <is>
          <t>Anchor 0–5 from domain-specific maturity anchor using direct sampled practice/work evidence; do not infer maturity from policy statements alone.</t>
        </is>
      </c>
      <c r="F135" s="8" t="inlineStr">
        <is>
          <t>0–5: 0 absent; 1 isolated/person-dependent; 2 repeatable in limited areas; 3 institutionally structured; 4 broad/cross-functional and consistently operating; 5 continuously improved/scaled.</t>
        </is>
      </c>
      <c r="G135" s="8" t="inlineStr">
        <is>
          <t>Use outcome only when a legitimate measurable result exists; otherwise N/A.</t>
        </is>
      </c>
      <c r="H135" s="8" t="inlineStr">
        <is>
          <t>Only genuine mandate/context inapplicability with documented assessor approval; missing evidence is never N/A.</t>
        </is>
      </c>
      <c r="I135" s="8" t="inlineStr">
        <is>
          <t>—</t>
        </is>
      </c>
      <c r="J135" s="8" t="inlineStr">
        <is>
          <t>E0=0.20; E1=0.40; E2=0.65; E3=0.85; E4=1.00, subject to corroboration/independence adjustment. Report separately.</t>
        </is>
      </c>
      <c r="K135" s="8" t="inlineStr">
        <is>
          <t>No score uplift from claims alone; lock denominator/exclusions before results; sample verification; cross-check with adjacent domains; high scores require corroboration.</t>
        </is>
      </c>
      <c r="L135" s="8" t="inlineStr">
        <is>
          <t>Use primary-owner rule; shared evidence may validate multiple metrics but the same activity cannot be scored twice across domains.</t>
        </is>
      </c>
      <c r="M135" s="8" t="inlineStr">
        <is>
          <t>100*((0.45*M)+(0.30*I)+(0.25*O))/5 when O exists; otherwise 100*((0.60*M)+(0.40*I))/5.</t>
        </is>
      </c>
      <c r="N135" s="8" t="inlineStr">
        <is>
          <t>D11 methodology/data owner</t>
        </is>
      </c>
      <c r="O135" s="8" t="inlineStr">
        <is>
          <t>PROVISIONAL—pilot validation required</t>
        </is>
      </c>
    </row>
    <row r="136">
      <c r="A136" s="8" t="inlineStr">
        <is>
          <t>D11</t>
        </is>
      </c>
      <c r="B136" s="8" t="inlineStr">
        <is>
          <t>I06</t>
        </is>
      </c>
      <c r="C136" s="8" t="inlineStr">
        <is>
          <t>Failure-to-Learning Capability</t>
        </is>
      </c>
      <c r="D136" s="8" t="inlineStr">
        <is>
          <t>Whether unsuccessful initiatives produce institutional learning and changed practice.</t>
        </is>
      </c>
      <c r="E136" s="8" t="inlineStr">
        <is>
          <t>Anchor 0–5 from domain-specific maturity anchor using direct sampled practice/work evidence; do not infer maturity from policy statements alone.</t>
        </is>
      </c>
      <c r="F136" s="8" t="inlineStr">
        <is>
          <t>0–5: 0 absent; 1 isolated/person-dependent; 2 repeatable in limited areas; 3 institutionally structured; 4 broad/cross-functional and consistently operating; 5 continuously improved/scaled.</t>
        </is>
      </c>
      <c r="G136" s="8" t="inlineStr">
        <is>
          <t>Use outcome only when a legitimate measurable result exists; otherwise N/A.</t>
        </is>
      </c>
      <c r="H136" s="8" t="inlineStr">
        <is>
          <t>Only genuine mandate/context inapplicability with documented assessor approval; missing evidence is never N/A.</t>
        </is>
      </c>
      <c r="I136" s="8" t="inlineStr">
        <is>
          <t>—</t>
        </is>
      </c>
      <c r="J136" s="8" t="inlineStr">
        <is>
          <t>E0=0.20; E1=0.40; E2=0.65; E3=0.85; E4=1.00, subject to corroboration/independence adjustment. Report separately.</t>
        </is>
      </c>
      <c r="K136" s="8" t="inlineStr">
        <is>
          <t>No score uplift from claims alone; lock denominator/exclusions before results; sample verification; cross-check with adjacent domains; high scores require corroboration.</t>
        </is>
      </c>
      <c r="L136" s="8" t="inlineStr">
        <is>
          <t>Use primary-owner rule; shared evidence may validate multiple metrics but the same activity cannot be scored twice across domains.</t>
        </is>
      </c>
      <c r="M136" s="8" t="inlineStr">
        <is>
          <t>100*((0.45*M)+(0.30*I)+(0.25*O))/5 when O exists; otherwise 100*((0.60*M)+(0.40*I))/5.</t>
        </is>
      </c>
      <c r="N136" s="8" t="inlineStr">
        <is>
          <t>D11 methodology/data owner</t>
        </is>
      </c>
      <c r="O136" s="8" t="inlineStr">
        <is>
          <t>PROVISIONAL—pilot validation required</t>
        </is>
      </c>
    </row>
    <row r="137">
      <c r="A137" s="8" t="inlineStr">
        <is>
          <t>D11</t>
        </is>
      </c>
      <c r="B137" s="8" t="inlineStr">
        <is>
          <t>I07</t>
        </is>
      </c>
      <c r="C137" s="8" t="inlineStr">
        <is>
          <t>Change Management Capacity</t>
        </is>
      </c>
      <c r="D137" s="8" t="inlineStr">
        <is>
          <t>Ability to move people and systems through meaningful institutional change.</t>
        </is>
      </c>
      <c r="E137" s="8" t="inlineStr">
        <is>
          <t>Anchor 0–5 from domain-specific maturity anchor using direct sampled practice/work evidence; do not infer maturity from policy statements alone.</t>
        </is>
      </c>
      <c r="F137" s="8" t="inlineStr">
        <is>
          <t>0–5: 0 absent; 1 isolated/person-dependent; 2 repeatable in limited areas; 3 institutionally structured; 4 broad/cross-functional and consistently operating; 5 continuously improved/scaled.</t>
        </is>
      </c>
      <c r="G137" s="8" t="inlineStr">
        <is>
          <t>Use outcome only when a legitimate measurable result exists; otherwise N/A.</t>
        </is>
      </c>
      <c r="H137" s="8" t="inlineStr">
        <is>
          <t>Only genuine mandate/context inapplicability with documented assessor approval; missing evidence is never N/A.</t>
        </is>
      </c>
      <c r="I137" s="8" t="inlineStr">
        <is>
          <t>—</t>
        </is>
      </c>
      <c r="J137" s="8" t="inlineStr">
        <is>
          <t>E0=0.20; E1=0.40; E2=0.65; E3=0.85; E4=1.00, subject to corroboration/independence adjustment. Report separately.</t>
        </is>
      </c>
      <c r="K137" s="8" t="inlineStr">
        <is>
          <t>No score uplift from claims alone; lock denominator/exclusions before results; sample verification; cross-check with adjacent domains; high scores require corroboration.</t>
        </is>
      </c>
      <c r="L137" s="8" t="inlineStr">
        <is>
          <t>Use primary-owner rule; shared evidence may validate multiple metrics but the same activity cannot be scored twice across domains.</t>
        </is>
      </c>
      <c r="M137" s="8" t="inlineStr">
        <is>
          <t>100*((0.45*M)+(0.30*I)+(0.25*O))/5 when O exists; otherwise 100*((0.60*M)+(0.40*I))/5.</t>
        </is>
      </c>
      <c r="N137" s="8" t="inlineStr">
        <is>
          <t>D11 methodology/data owner</t>
        </is>
      </c>
      <c r="O137" s="8" t="inlineStr">
        <is>
          <t>PROVISIONAL—pilot validation required</t>
        </is>
      </c>
    </row>
    <row r="138">
      <c r="A138" s="8" t="inlineStr">
        <is>
          <t>D11</t>
        </is>
      </c>
      <c r="B138" s="8" t="inlineStr">
        <is>
          <t>I08</t>
        </is>
      </c>
      <c r="C138" s="8" t="inlineStr">
        <is>
          <t>Adaptive Leadership Alignment</t>
        </is>
      </c>
      <c r="D138" s="8" t="inlineStr">
        <is>
          <t>Extent to which leadership can align around changing priorities.</t>
        </is>
      </c>
      <c r="E138" s="8" t="inlineStr">
        <is>
          <t>Anchor 0–5 from domain-specific maturity anchor using direct sampled practice/work evidence; do not infer maturity from policy statements alone.</t>
        </is>
      </c>
      <c r="F138" s="8" t="inlineStr">
        <is>
          <t>0–5: 0 absent; 1 isolated/person-dependent; 2 repeatable in limited areas; 3 institutionally structured; 4 broad/cross-functional and consistently operating; 5 continuously improved/scaled.</t>
        </is>
      </c>
      <c r="G138" s="8" t="inlineStr">
        <is>
          <t>Use outcome only when a legitimate measurable result exists; otherwise N/A.</t>
        </is>
      </c>
      <c r="H138" s="8" t="inlineStr">
        <is>
          <t>Only genuine mandate/context inapplicability with documented assessor approval; missing evidence is never N/A.</t>
        </is>
      </c>
      <c r="I138" s="8" t="inlineStr">
        <is>
          <t>—</t>
        </is>
      </c>
      <c r="J138" s="8" t="inlineStr">
        <is>
          <t>E0=0.20; E1=0.40; E2=0.65; E3=0.85; E4=1.00, subject to corroboration/independence adjustment. Report separately.</t>
        </is>
      </c>
      <c r="K138" s="8" t="inlineStr">
        <is>
          <t>No score uplift from claims alone; lock denominator/exclusions before results; sample verification; cross-check with adjacent domains; high scores require corroboration.</t>
        </is>
      </c>
      <c r="L138" s="8" t="inlineStr">
        <is>
          <t>Use primary-owner rule; shared evidence may validate multiple metrics but the same activity cannot be scored twice across domains.</t>
        </is>
      </c>
      <c r="M138" s="8" t="inlineStr">
        <is>
          <t>100*((0.45*M)+(0.30*I)+(0.25*O))/5 when O exists; otherwise 100*((0.60*M)+(0.40*I))/5.</t>
        </is>
      </c>
      <c r="N138" s="8" t="inlineStr">
        <is>
          <t>D11 methodology/data owner</t>
        </is>
      </c>
      <c r="O138" s="8" t="inlineStr">
        <is>
          <t>PROVISIONAL—pilot validation required</t>
        </is>
      </c>
    </row>
    <row r="139">
      <c r="A139" s="8" t="inlineStr">
        <is>
          <t>D11</t>
        </is>
      </c>
      <c r="B139" s="8" t="inlineStr">
        <is>
          <t>I09</t>
        </is>
      </c>
      <c r="C139" s="8" t="inlineStr">
        <is>
          <t>Learner Signal Responsiveness</t>
        </is>
      </c>
      <c r="D139" s="8" t="inlineStr">
        <is>
          <t>Ability to detect and respond to changing student expectations and experience.</t>
        </is>
      </c>
      <c r="E139" s="8" t="inlineStr">
        <is>
          <t>Anchor 0–5 from domain-specific maturity anchor using direct sampled practice/work evidence; do not infer maturity from policy statements alone.</t>
        </is>
      </c>
      <c r="F139" s="8" t="inlineStr">
        <is>
          <t>0–5: 0 absent; 1 isolated/person-dependent; 2 repeatable in limited areas; 3 institutionally structured; 4 broad/cross-functional and consistently operating; 5 continuously improved/scaled.</t>
        </is>
      </c>
      <c r="G139" s="8" t="inlineStr">
        <is>
          <t>Use outcome only when a legitimate measurable result exists; otherwise N/A.</t>
        </is>
      </c>
      <c r="H139" s="8" t="inlineStr">
        <is>
          <t>Only genuine mandate/context inapplicability with documented assessor approval; missing evidence is never N/A.</t>
        </is>
      </c>
      <c r="I139" s="8" t="inlineStr">
        <is>
          <t>—</t>
        </is>
      </c>
      <c r="J139" s="8" t="inlineStr">
        <is>
          <t>E0=0.20; E1=0.40; E2=0.65; E3=0.85; E4=1.00, subject to corroboration/independence adjustment. Report separately.</t>
        </is>
      </c>
      <c r="K139" s="8" t="inlineStr">
        <is>
          <t>No score uplift from claims alone; lock denominator/exclusions before results; sample verification; cross-check with adjacent domains; high scores require corroboration.</t>
        </is>
      </c>
      <c r="L139" s="8" t="inlineStr">
        <is>
          <t>Use primary-owner rule; shared evidence may validate multiple metrics but the same activity cannot be scored twice across domains.</t>
        </is>
      </c>
      <c r="M139" s="8" t="inlineStr">
        <is>
          <t>100*((0.45*M)+(0.30*I)+(0.25*O))/5 when O exists; otherwise 100*((0.60*M)+(0.40*I))/5.</t>
        </is>
      </c>
      <c r="N139" s="8" t="inlineStr">
        <is>
          <t>D11 methodology/data owner</t>
        </is>
      </c>
      <c r="O139" s="8" t="inlineStr">
        <is>
          <t>PROVISIONAL—pilot validation required</t>
        </is>
      </c>
    </row>
    <row r="140">
      <c r="A140" s="8" t="inlineStr">
        <is>
          <t>D11</t>
        </is>
      </c>
      <c r="B140" s="8" t="inlineStr">
        <is>
          <t>I10</t>
        </is>
      </c>
      <c r="C140" s="8" t="inlineStr">
        <is>
          <t>Economic &amp; Workforce Responsiveness</t>
        </is>
      </c>
      <c r="D140" s="8" t="inlineStr">
        <is>
          <t>Ability to respond to changing industry and workforce conditions.</t>
        </is>
      </c>
      <c r="E140" s="8" t="inlineStr">
        <is>
          <t>Anchor 0–5 from domain-specific maturity anchor using direct sampled practice/work evidence; do not infer maturity from policy statements alone.</t>
        </is>
      </c>
      <c r="F140" s="8" t="inlineStr">
        <is>
          <t>0–5: 0 absent; 1 isolated/person-dependent; 2 repeatable in limited areas; 3 institutionally structured; 4 broad/cross-functional and consistently operating; 5 continuously improved/scaled.</t>
        </is>
      </c>
      <c r="G140" s="8" t="inlineStr">
        <is>
          <t>Use outcome only when a legitimate measurable result exists; otherwise N/A.</t>
        </is>
      </c>
      <c r="H140" s="8" t="inlineStr">
        <is>
          <t>Only genuine mandate/context inapplicability with documented assessor approval; missing evidence is never N/A.</t>
        </is>
      </c>
      <c r="I140" s="8" t="inlineStr">
        <is>
          <t>—</t>
        </is>
      </c>
      <c r="J140" s="8" t="inlineStr">
        <is>
          <t>E0=0.20; E1=0.40; E2=0.65; E3=0.85; E4=1.00, subject to corroboration/independence adjustment. Report separately.</t>
        </is>
      </c>
      <c r="K140" s="8" t="inlineStr">
        <is>
          <t>No score uplift from claims alone; lock denominator/exclusions before results; sample verification; cross-check with adjacent domains; high scores require corroboration.</t>
        </is>
      </c>
      <c r="L140" s="8" t="inlineStr">
        <is>
          <t>Use primary-owner rule; shared evidence may validate multiple metrics but the same activity cannot be scored twice across domains.</t>
        </is>
      </c>
      <c r="M140" s="8" t="inlineStr">
        <is>
          <t>100*((0.45*M)+(0.30*I)+(0.25*O))/5 when O exists; otherwise 100*((0.60*M)+(0.40*I))/5.</t>
        </is>
      </c>
      <c r="N140" s="8" t="inlineStr">
        <is>
          <t>D11 methodology/data owner</t>
        </is>
      </c>
      <c r="O140" s="8" t="inlineStr">
        <is>
          <t>PROVISIONAL—pilot validation required</t>
        </is>
      </c>
    </row>
    <row r="141">
      <c r="A141" s="8" t="inlineStr">
        <is>
          <t>D11</t>
        </is>
      </c>
      <c r="B141" s="8" t="inlineStr">
        <is>
          <t>I11</t>
        </is>
      </c>
      <c r="C141" s="8" t="inlineStr">
        <is>
          <t>Scenario Planning Capability</t>
        </is>
      </c>
      <c r="D141" s="8" t="inlineStr">
        <is>
          <t>Ability to prepare for multiple plausible futures rather than one forecast.</t>
        </is>
      </c>
      <c r="E141" s="8" t="inlineStr">
        <is>
          <t>Anchor 0–5 from domain-specific maturity anchor using direct sampled practice/work evidence; do not infer maturity from policy statements alone.</t>
        </is>
      </c>
      <c r="F141" s="8" t="inlineStr">
        <is>
          <t>0–5: 0 absent; 1 isolated/person-dependent; 2 repeatable in limited areas; 3 institutionally structured; 4 broad/cross-functional and consistently operating; 5 continuously improved/scaled.</t>
        </is>
      </c>
      <c r="G141" s="8" t="inlineStr">
        <is>
          <t>Use outcome only when a legitimate measurable result exists; otherwise N/A.</t>
        </is>
      </c>
      <c r="H141" s="8" t="inlineStr">
        <is>
          <t>Only genuine mandate/context inapplicability with documented assessor approval; missing evidence is never N/A.</t>
        </is>
      </c>
      <c r="I141" s="8" t="inlineStr">
        <is>
          <t>—</t>
        </is>
      </c>
      <c r="J141" s="8" t="inlineStr">
        <is>
          <t>E0=0.20; E1=0.40; E2=0.65; E3=0.85; E4=1.00, subject to corroboration/independence adjustment. Report separately.</t>
        </is>
      </c>
      <c r="K141" s="8" t="inlineStr">
        <is>
          <t>No score uplift from claims alone; lock denominator/exclusions before results; sample verification; cross-check with adjacent domains; high scores require corroboration.</t>
        </is>
      </c>
      <c r="L141" s="8" t="inlineStr">
        <is>
          <t>Use primary-owner rule; shared evidence may validate multiple metrics but the same activity cannot be scored twice across domains.</t>
        </is>
      </c>
      <c r="M141" s="8" t="inlineStr">
        <is>
          <t>100*((0.45*M)+(0.30*I)+(0.25*O))/5 when O exists; otherwise 100*((0.60*M)+(0.40*I))/5.</t>
        </is>
      </c>
      <c r="N141" s="8" t="inlineStr">
        <is>
          <t>D11 methodology/data owner</t>
        </is>
      </c>
      <c r="O141" s="8" t="inlineStr">
        <is>
          <t>PROVISIONAL—pilot validation required</t>
        </is>
      </c>
    </row>
    <row r="142">
      <c r="A142" s="8" t="inlineStr">
        <is>
          <t>D11</t>
        </is>
      </c>
      <c r="B142" s="8" t="inlineStr">
        <is>
          <t>I12</t>
        </is>
      </c>
      <c r="C142" s="8" t="inlineStr">
        <is>
          <t>Institutional Resilience</t>
        </is>
      </c>
      <c r="D142" s="8" t="inlineStr">
        <is>
          <t>Ability to maintain core educational quality while adapting to disruption.</t>
        </is>
      </c>
      <c r="E142" s="8" t="inlineStr">
        <is>
          <t>Anchor 0–5 from domain-specific maturity anchor using direct sampled practice/work evidence; do not infer maturity from policy statements alone.</t>
        </is>
      </c>
      <c r="F142" s="8" t="inlineStr">
        <is>
          <t>0–5: 0 absent; 1 isolated/person-dependent; 2 repeatable in limited areas; 3 institutionally structured; 4 broad/cross-functional and consistently operating; 5 continuously improved/scaled.</t>
        </is>
      </c>
      <c r="G142" s="8" t="inlineStr">
        <is>
          <t>Use outcome only when a legitimate measurable result exists; otherwise N/A.</t>
        </is>
      </c>
      <c r="H142" s="8" t="inlineStr">
        <is>
          <t>Only genuine mandate/context inapplicability with documented assessor approval; missing evidence is never N/A.</t>
        </is>
      </c>
      <c r="I142" s="8" t="inlineStr">
        <is>
          <t>—</t>
        </is>
      </c>
      <c r="J142" s="8" t="inlineStr">
        <is>
          <t>E0=0.20; E1=0.40; E2=0.65; E3=0.85; E4=1.00, subject to corroboration/independence adjustment. Report separately.</t>
        </is>
      </c>
      <c r="K142" s="8" t="inlineStr">
        <is>
          <t>No score uplift from claims alone; lock denominator/exclusions before results; sample verification; cross-check with adjacent domains; high scores require corroboration.</t>
        </is>
      </c>
      <c r="L142" s="8" t="inlineStr">
        <is>
          <t>Use primary-owner rule; shared evidence may validate multiple metrics but the same activity cannot be scored twice across domains.</t>
        </is>
      </c>
      <c r="M142" s="8" t="inlineStr">
        <is>
          <t>100*((0.45*M)+(0.30*I)+(0.25*O))/5 when O exists; otherwise 100*((0.60*M)+(0.40*I))/5.</t>
        </is>
      </c>
      <c r="N142" s="8" t="inlineStr">
        <is>
          <t>D11 methodology/data owner</t>
        </is>
      </c>
      <c r="O142" s="8" t="inlineStr">
        <is>
          <t>PROVISIONAL—pilot validation required</t>
        </is>
      </c>
    </row>
    <row r="143">
      <c r="A143" s="8" t="inlineStr">
        <is>
          <t>D11</t>
        </is>
      </c>
      <c r="B143" s="8" t="inlineStr">
        <is>
          <t>I13</t>
        </is>
      </c>
      <c r="C143" s="8" t="inlineStr">
        <is>
          <t>Institutional Learning System</t>
        </is>
      </c>
      <c r="D143" s="8" t="inlineStr">
        <is>
          <t>Ability to turn evidence, experience and external signals into repeated improvement.</t>
        </is>
      </c>
      <c r="E143" s="8" t="inlineStr">
        <is>
          <t>Anchor 0–5 from domain-specific maturity anchor using direct sampled practice/work evidence; do not infer maturity from policy statements alone.</t>
        </is>
      </c>
      <c r="F143" s="8" t="inlineStr">
        <is>
          <t>0–5: 0 absent; 1 isolated/person-dependent; 2 repeatable in limited areas; 3 institutionally structured; 4 broad/cross-functional and consistently operating; 5 continuously improved/scaled.</t>
        </is>
      </c>
      <c r="G143" s="8" t="inlineStr">
        <is>
          <t>Use outcome only when a legitimate measurable result exists; otherwise N/A.</t>
        </is>
      </c>
      <c r="H143" s="8" t="inlineStr">
        <is>
          <t>Only genuine mandate/context inapplicability with documented assessor approval; missing evidence is never N/A.</t>
        </is>
      </c>
      <c r="I143" s="8" t="inlineStr">
        <is>
          <t>—</t>
        </is>
      </c>
      <c r="J143" s="8" t="inlineStr">
        <is>
          <t>E0=0.20; E1=0.40; E2=0.65; E3=0.85; E4=1.00, subject to corroboration/independence adjustment. Report separately.</t>
        </is>
      </c>
      <c r="K143" s="8" t="inlineStr">
        <is>
          <t>No score uplift from claims alone; lock denominator/exclusions before results; sample verification; cross-check with adjacent domains; high scores require corroboration.</t>
        </is>
      </c>
      <c r="L143" s="8" t="inlineStr">
        <is>
          <t>Use primary-owner rule; shared evidence may validate multiple metrics but the same activity cannot be scored twice across domains.</t>
        </is>
      </c>
      <c r="M143" s="8" t="inlineStr">
        <is>
          <t>100*((0.45*M)+(0.30*I)+(0.25*O))/5 when O exists; otherwise 100*((0.60*M)+(0.40*I))/5.</t>
        </is>
      </c>
      <c r="N143" s="8" t="inlineStr">
        <is>
          <t>D11 methodology/data owner</t>
        </is>
      </c>
      <c r="O143" s="8" t="inlineStr">
        <is>
          <t>PROVISIONAL—pilot validation required</t>
        </is>
      </c>
    </row>
    <row r="144">
      <c r="A144" s="8" t="inlineStr">
        <is>
          <t>D11</t>
        </is>
      </c>
      <c r="B144" s="8" t="inlineStr">
        <is>
          <t>I14</t>
        </is>
      </c>
      <c r="C144" s="8" t="inlineStr">
        <is>
          <t>Future Transformation Capacity</t>
        </is>
      </c>
      <c r="D144" s="8" t="inlineStr">
        <is>
          <t>Overall ability to redesign the institution before external pressure forces change.</t>
        </is>
      </c>
      <c r="E144" s="8" t="inlineStr">
        <is>
          <t>Anchor 0–5 from domain-specific maturity anchor using direct sampled practice/work evidence; do not infer maturity from policy statements alone.</t>
        </is>
      </c>
      <c r="F144" s="8" t="inlineStr">
        <is>
          <t>0–5: 0 absent; 1 isolated/person-dependent; 2 repeatable in limited areas; 3 institutionally structured; 4 broad/cross-functional and consistently operating; 5 continuously improved/scaled.</t>
        </is>
      </c>
      <c r="G144" s="8" t="inlineStr">
        <is>
          <t>Use outcome only when a legitimate measurable result exists; otherwise N/A.</t>
        </is>
      </c>
      <c r="H144" s="8" t="inlineStr">
        <is>
          <t>Only genuine mandate/context inapplicability with documented assessor approval; missing evidence is never N/A.</t>
        </is>
      </c>
      <c r="I144" s="8" t="inlineStr">
        <is>
          <t>—</t>
        </is>
      </c>
      <c r="J144" s="8" t="inlineStr">
        <is>
          <t>E0=0.20; E1=0.40; E2=0.65; E3=0.85; E4=1.00, subject to corroboration/independence adjustment. Report separately.</t>
        </is>
      </c>
      <c r="K144" s="8" t="inlineStr">
        <is>
          <t>No score uplift from claims alone; lock denominator/exclusions before results; sample verification; cross-check with adjacent domains; high scores require corroboration.</t>
        </is>
      </c>
      <c r="L144" s="8" t="inlineStr">
        <is>
          <t>Use primary-owner rule; shared evidence may validate multiple metrics but the same activity cannot be scored twice across domains.</t>
        </is>
      </c>
      <c r="M144" s="8" t="inlineStr">
        <is>
          <t>100*((0.45*M)+(0.30*I)+(0.25*O))/5 when O exists; otherwise 100*((0.60*M)+(0.40*I))/5.</t>
        </is>
      </c>
      <c r="N144" s="8" t="inlineStr">
        <is>
          <t>D11 methodology/data owner</t>
        </is>
      </c>
      <c r="O144" s="8" t="inlineStr">
        <is>
          <t>PROVISIONAL—pilot validation required</t>
        </is>
      </c>
    </row>
  </sheetData>
  <pageMargins left="0.7" right="0.7" top="0.75" bottom="0.75" header="0.3" footer="0.3"/>
</worksheet>
</file>

<file path=xl/worksheets/sheet157.xml><?xml version="1.0" encoding="utf-8"?>
<worksheet xmlns="http://schemas.openxmlformats.org/spreadsheetml/2006/main">
  <sheetPr>
    <outlinePr summaryBelow="1" summaryRight="1"/>
    <pageSetUpPr/>
  </sheetPr>
  <dimension ref="A1:P144"/>
  <sheetViews>
    <sheetView showGridLines="0" workbookViewId="0">
      <pane ySplit="1" topLeftCell="A2" activePane="bottomLeft" state="frozen"/>
      <selection pane="bottomLeft" activeCell="A1" sqref="A1"/>
    </sheetView>
  </sheetViews>
  <sheetFormatPr baseColWidth="8" defaultRowHeight="15"/>
  <cols>
    <col width="11.140625" customWidth="1" min="1" max="1"/>
    <col width="12.140625" customWidth="1" min="2" max="2"/>
    <col width="36.140625" customWidth="1" min="3" max="3"/>
    <col width="14.140625" customWidth="1" min="4" max="4"/>
    <col width="20.140625" customWidth="1" min="5" max="5"/>
    <col width="22.140625" customWidth="1" min="6" max="6"/>
    <col width="24.140625" customWidth="1" min="7" max="7"/>
    <col width="20.140625" customWidth="1" min="8" max="8"/>
    <col width="18.140625" customWidth="1" min="9" max="9"/>
    <col width="16.140625" customWidth="1" min="10" max="10"/>
    <col width="20.140625" customWidth="1" min="11" max="11"/>
    <col width="24.140625" customWidth="1" min="14" max="14"/>
    <col width="52.140625" customWidth="1" min="16" max="16"/>
  </cols>
  <sheetData>
    <row r="1">
      <c r="A1" s="23" t="inlineStr">
        <is>
          <t>Domain</t>
        </is>
      </c>
      <c r="B1" s="23" t="inlineStr">
        <is>
          <t>Metric ID</t>
        </is>
      </c>
      <c r="C1" s="23" t="inlineStr">
        <is>
          <t>Metric</t>
        </is>
      </c>
      <c r="D1" s="23" t="inlineStr">
        <is>
          <t>Applicable?</t>
        </is>
      </c>
      <c r="E1" s="23" t="inlineStr">
        <is>
          <t>Maturity M (0-5)</t>
        </is>
      </c>
      <c r="F1" s="23" t="inlineStr">
        <is>
          <t>Implementation I (0-5)</t>
        </is>
      </c>
      <c r="G1" s="23" t="inlineStr">
        <is>
          <t>Outcome O (0-5 or N/A)</t>
        </is>
      </c>
      <c r="H1" s="23" t="inlineStr">
        <is>
          <t>Evidence Level E0-E4</t>
        </is>
      </c>
      <c r="I1" s="23" t="inlineStr">
        <is>
          <t>Corroborated?</t>
        </is>
      </c>
      <c r="J1" s="23" t="inlineStr">
        <is>
          <t>Independent?</t>
        </is>
      </c>
      <c r="K1" s="23" t="inlineStr">
        <is>
          <t>Evidence Confidence</t>
        </is>
      </c>
      <c r="L1" s="23" t="inlineStr">
        <is>
          <t>Metric Score /100</t>
        </is>
      </c>
      <c r="M1" s="23" t="inlineStr">
        <is>
          <t>Required Maturity R</t>
        </is>
      </c>
      <c r="N1" s="23" t="inlineStr">
        <is>
          <t>Transformation Distance</t>
        </is>
      </c>
      <c r="O1" s="23" t="inlineStr">
        <is>
          <t>Validation Flag</t>
        </is>
      </c>
      <c r="P1" s="23" t="inlineStr">
        <is>
          <t>Assessor Notes</t>
        </is>
      </c>
    </row>
    <row r="2">
      <c r="A2" s="8" t="inlineStr">
        <is>
          <t>D01</t>
        </is>
      </c>
      <c r="B2" s="8" t="inlineStr">
        <is>
          <t>I01</t>
        </is>
      </c>
      <c r="C2" s="8" t="inlineStr">
        <is>
          <t>Strategic AI Integration</t>
        </is>
      </c>
      <c r="D2" s="8" t="inlineStr">
        <is>
          <t>Y</t>
        </is>
      </c>
      <c r="E2" s="6" t="n"/>
      <c r="F2" s="6" t="n"/>
      <c r="G2" s="6" t="n"/>
      <c r="H2" s="8" t="inlineStr">
        <is>
          <t>E0</t>
        </is>
      </c>
      <c r="I2" s="8" t="inlineStr">
        <is>
          <t>N</t>
        </is>
      </c>
      <c r="J2" s="8" t="inlineStr">
        <is>
          <t>N</t>
        </is>
      </c>
      <c r="K2" s="6">
        <f>IF(H2="E0",0.20,IF(H2="E1",0.40,IF(H2="E2",0.65,IF(H2="E3",0.85,IF(H2="E4",1.00,0)))))</f>
        <v/>
      </c>
      <c r="L2" s="6">
        <f>IF(D2="N","",IF(OR(E2="",F2=""),"",IF(G2="N/A",100*((0.60*E2)+(0.40*F2))/5,IF(G2="",100*((0.60*E2)+(0.40*F2))/5,100*((0.45*E2)+(0.30*F2)+(0.25*G2))/5))))</f>
        <v/>
      </c>
      <c r="M2" s="6">
        <f>IF(D2="N","",IFERROR(VLOOKUP(A2,'P0-4_Required_Maturity'!$A$2:$I$12,9,FALSE),3))</f>
        <v/>
      </c>
      <c r="N2" s="6">
        <f>IF(OR(E2="",M2=""),"",M2-E2)</f>
        <v/>
      </c>
      <c r="O2" s="6">
        <f>IF(D2="N","N/A",IF(OR(E2="",F2="",H2=""),"INCOMPLETE",IF(AND(L2&gt;=80,H2="E0"),"REVIEW",IF(AND(L2&gt;=80,OR(I2="N",J2="N")),"CORROBORATION REVIEW","OK"))))</f>
        <v/>
      </c>
      <c r="P2" s="6" t="n"/>
    </row>
    <row r="3">
      <c r="A3" s="8" t="inlineStr">
        <is>
          <t>D01</t>
        </is>
      </c>
      <c r="B3" s="8" t="inlineStr">
        <is>
          <t>I02</t>
        </is>
      </c>
      <c r="C3" s="8" t="inlineStr">
        <is>
          <t>Future Foresight Maturity</t>
        </is>
      </c>
      <c r="D3" s="8" t="inlineStr">
        <is>
          <t>Y</t>
        </is>
      </c>
      <c r="E3" s="6" t="n"/>
      <c r="F3" s="6" t="n"/>
      <c r="G3" s="6" t="n"/>
      <c r="H3" s="8" t="inlineStr">
        <is>
          <t>E0</t>
        </is>
      </c>
      <c r="I3" s="8" t="inlineStr">
        <is>
          <t>N</t>
        </is>
      </c>
      <c r="J3" s="8" t="inlineStr">
        <is>
          <t>N</t>
        </is>
      </c>
      <c r="K3" s="6">
        <f>IF(H3="E0",0.20,IF(H3="E1",0.40,IF(H3="E2",0.65,IF(H3="E3",0.85,IF(H3="E4",1.00,0)))))</f>
        <v/>
      </c>
      <c r="L3" s="6">
        <f>IF(D3="N","",IF(OR(E3="",F3=""),"",IF(G3="N/A",100*((0.60*E3)+(0.40*F3))/5,IF(G3="",100*((0.60*E3)+(0.40*F3))/5,100*((0.45*E3)+(0.30*F3)+(0.25*G3))/5))))</f>
        <v/>
      </c>
      <c r="M3" s="6">
        <f>IF(D3="N","",IFERROR(VLOOKUP(A3,'P0-4_Required_Maturity'!$A$2:$I$12,9,FALSE),3))</f>
        <v/>
      </c>
      <c r="N3" s="6">
        <f>IF(OR(E3="",M3=""),"",M3-E3)</f>
        <v/>
      </c>
      <c r="O3" s="6">
        <f>IF(D3="N","N/A",IF(OR(E3="",F3="",H3=""),"INCOMPLETE",IF(AND(L3&gt;=80,H3="E0"),"REVIEW",IF(AND(L3&gt;=80,OR(I3="N",J3="N")),"CORROBORATION REVIEW","OK"))))</f>
        <v/>
      </c>
      <c r="P3" s="6" t="n"/>
    </row>
    <row r="4">
      <c r="A4" s="8" t="inlineStr">
        <is>
          <t>D01</t>
        </is>
      </c>
      <c r="B4" s="8" t="inlineStr">
        <is>
          <t>I03</t>
        </is>
      </c>
      <c r="C4" s="8" t="inlineStr">
        <is>
          <t>Strategic Translation Rate</t>
        </is>
      </c>
      <c r="D4" s="8" t="inlineStr">
        <is>
          <t>Y</t>
        </is>
      </c>
      <c r="E4" s="6" t="n"/>
      <c r="F4" s="6" t="n"/>
      <c r="G4" s="6" t="n"/>
      <c r="H4" s="8" t="inlineStr">
        <is>
          <t>E0</t>
        </is>
      </c>
      <c r="I4" s="8" t="inlineStr">
        <is>
          <t>N</t>
        </is>
      </c>
      <c r="J4" s="8" t="inlineStr">
        <is>
          <t>N</t>
        </is>
      </c>
      <c r="K4" s="6">
        <f>IF(H4="E0",0.20,IF(H4="E1",0.40,IF(H4="E2",0.65,IF(H4="E3",0.85,IF(H4="E4",1.00,0)))))</f>
        <v/>
      </c>
      <c r="L4" s="6">
        <f>IF(D4="N","",IF(OR(E4="",F4=""),"",IF(G4="N/A",100*((0.60*E4)+(0.40*F4))/5,IF(G4="",100*((0.60*E4)+(0.40*F4))/5,100*((0.45*E4)+(0.30*F4)+(0.25*G4))/5))))</f>
        <v/>
      </c>
      <c r="M4" s="6">
        <f>IF(D4="N","",IFERROR(VLOOKUP(A4,'P0-4_Required_Maturity'!$A$2:$I$12,9,FALSE),3))</f>
        <v/>
      </c>
      <c r="N4" s="6">
        <f>IF(OR(E4="",M4=""),"",M4-E4)</f>
        <v/>
      </c>
      <c r="O4" s="6">
        <f>IF(D4="N","N/A",IF(OR(E4="",F4="",H4=""),"INCOMPLETE",IF(AND(L4&gt;=80,H4="E0"),"REVIEW",IF(AND(L4&gt;=80,OR(I4="N",J4="N")),"CORROBORATION REVIEW","OK"))))</f>
        <v/>
      </c>
      <c r="P4" s="6" t="n"/>
    </row>
    <row r="5">
      <c r="A5" s="8" t="inlineStr">
        <is>
          <t>D01</t>
        </is>
      </c>
      <c r="B5" s="8" t="inlineStr">
        <is>
          <t>I04</t>
        </is>
      </c>
      <c r="C5" s="8" t="inlineStr">
        <is>
          <t>Programme Future-Review Coverage</t>
        </is>
      </c>
      <c r="D5" s="8" t="inlineStr">
        <is>
          <t>Y</t>
        </is>
      </c>
      <c r="E5" s="6" t="n"/>
      <c r="F5" s="6" t="n"/>
      <c r="G5" s="6" t="n"/>
      <c r="H5" s="8" t="inlineStr">
        <is>
          <t>E0</t>
        </is>
      </c>
      <c r="I5" s="8" t="inlineStr">
        <is>
          <t>N</t>
        </is>
      </c>
      <c r="J5" s="8" t="inlineStr">
        <is>
          <t>N</t>
        </is>
      </c>
      <c r="K5" s="6">
        <f>IF(H5="E0",0.20,IF(H5="E1",0.40,IF(H5="E2",0.65,IF(H5="E3",0.85,IF(H5="E4",1.00,0)))))</f>
        <v/>
      </c>
      <c r="L5" s="6">
        <f>IF(D5="N","",IF(OR(E5="",F5=""),"",IF(G5="N/A",100*((0.60*E5)+(0.40*F5))/5,IF(G5="",100*((0.60*E5)+(0.40*F5))/5,100*((0.45*E5)+(0.30*F5)+(0.25*G5))/5))))</f>
        <v/>
      </c>
      <c r="M5" s="6">
        <f>IF(D5="N","",IFERROR(VLOOKUP(A5,'P0-4_Required_Maturity'!$A$2:$I$12,9,FALSE),3))</f>
        <v/>
      </c>
      <c r="N5" s="6">
        <f>IF(OR(E5="",M5=""),"",M5-E5)</f>
        <v/>
      </c>
      <c r="O5" s="6">
        <f>IF(D5="N","N/A",IF(OR(E5="",F5="",H5=""),"INCOMPLETE",IF(AND(L5&gt;=80,H5="E0"),"REVIEW",IF(AND(L5&gt;=80,OR(I5="N",J5="N")),"CORROBORATION REVIEW","OK"))))</f>
        <v/>
      </c>
      <c r="P5" s="6" t="n"/>
    </row>
    <row r="6">
      <c r="A6" s="8" t="inlineStr">
        <is>
          <t>D01</t>
        </is>
      </c>
      <c r="B6" s="8" t="inlineStr">
        <is>
          <t>I05</t>
        </is>
      </c>
      <c r="C6" s="8" t="inlineStr">
        <is>
          <t>Strategic Differentiation Clarity</t>
        </is>
      </c>
      <c r="D6" s="8" t="inlineStr">
        <is>
          <t>Y</t>
        </is>
      </c>
      <c r="E6" s="6" t="n"/>
      <c r="F6" s="6" t="n"/>
      <c r="G6" s="6" t="n"/>
      <c r="H6" s="8" t="inlineStr">
        <is>
          <t>E0</t>
        </is>
      </c>
      <c r="I6" s="8" t="inlineStr">
        <is>
          <t>N</t>
        </is>
      </c>
      <c r="J6" s="8" t="inlineStr">
        <is>
          <t>N</t>
        </is>
      </c>
      <c r="K6" s="6">
        <f>IF(H6="E0",0.20,IF(H6="E1",0.40,IF(H6="E2",0.65,IF(H6="E3",0.85,IF(H6="E4",1.00,0)))))</f>
        <v/>
      </c>
      <c r="L6" s="6">
        <f>IF(D6="N","",IF(OR(E6="",F6=""),"",IF(G6="N/A",100*((0.60*E6)+(0.40*F6))/5,IF(G6="",100*((0.60*E6)+(0.40*F6))/5,100*((0.45*E6)+(0.30*F6)+(0.25*G6))/5))))</f>
        <v/>
      </c>
      <c r="M6" s="6">
        <f>IF(D6="N","",IFERROR(VLOOKUP(A6,'P0-4_Required_Maturity'!$A$2:$I$12,9,FALSE),3))</f>
        <v/>
      </c>
      <c r="N6" s="6">
        <f>IF(OR(E6="",M6=""),"",M6-E6)</f>
        <v/>
      </c>
      <c r="O6" s="6">
        <f>IF(D6="N","N/A",IF(OR(E6="",F6="",H6=""),"INCOMPLETE",IF(AND(L6&gt;=80,H6="E0"),"REVIEW",IF(AND(L6&gt;=80,OR(I6="N",J6="N")),"CORROBORATION REVIEW","OK"))))</f>
        <v/>
      </c>
      <c r="P6" s="6" t="n"/>
    </row>
    <row r="7">
      <c r="A7" s="8" t="inlineStr">
        <is>
          <t>D01</t>
        </is>
      </c>
      <c r="B7" s="8" t="inlineStr">
        <is>
          <t>I06</t>
        </is>
      </c>
      <c r="C7" s="8" t="inlineStr">
        <is>
          <t>Foresight Response Architecture</t>
        </is>
      </c>
      <c r="D7" s="8" t="inlineStr">
        <is>
          <t>Y</t>
        </is>
      </c>
      <c r="E7" s="6" t="n"/>
      <c r="F7" s="6" t="n"/>
      <c r="G7" s="6" t="n"/>
      <c r="H7" s="8" t="inlineStr">
        <is>
          <t>E0</t>
        </is>
      </c>
      <c r="I7" s="8" t="inlineStr">
        <is>
          <t>N</t>
        </is>
      </c>
      <c r="J7" s="8" t="inlineStr">
        <is>
          <t>N</t>
        </is>
      </c>
      <c r="K7" s="6">
        <f>IF(H7="E0",0.20,IF(H7="E1",0.40,IF(H7="E2",0.65,IF(H7="E3",0.85,IF(H7="E4",1.00,0)))))</f>
        <v/>
      </c>
      <c r="L7" s="6">
        <f>IF(D7="N","",IF(OR(E7="",F7=""),"",IF(G7="N/A",100*((0.60*E7)+(0.40*F7))/5,IF(G7="",100*((0.60*E7)+(0.40*F7))/5,100*((0.45*E7)+(0.30*F7)+(0.25*G7))/5))))</f>
        <v/>
      </c>
      <c r="M7" s="6">
        <f>IF(D7="N","",IFERROR(VLOOKUP(A7,'P0-4_Required_Maturity'!$A$2:$I$12,9,FALSE),3))</f>
        <v/>
      </c>
      <c r="N7" s="6">
        <f>IF(OR(E7="",M7=""),"",M7-E7)</f>
        <v/>
      </c>
      <c r="O7" s="6">
        <f>IF(D7="N","N/A",IF(OR(E7="",F7="",H7=""),"INCOMPLETE",IF(AND(L7&gt;=80,H7="E0"),"REVIEW",IF(AND(L7&gt;=80,OR(I7="N",J7="N")),"CORROBORATION REVIEW","OK"))))</f>
        <v/>
      </c>
      <c r="P7" s="6" t="n"/>
    </row>
    <row r="8">
      <c r="A8" s="8" t="inlineStr">
        <is>
          <t>D01</t>
        </is>
      </c>
      <c r="B8" s="8" t="inlineStr">
        <is>
          <t>I07</t>
        </is>
      </c>
      <c r="C8" s="8" t="inlineStr">
        <is>
          <t>Resource Alignment</t>
        </is>
      </c>
      <c r="D8" s="8" t="inlineStr">
        <is>
          <t>Y</t>
        </is>
      </c>
      <c r="E8" s="6" t="n"/>
      <c r="F8" s="6" t="n"/>
      <c r="G8" s="6" t="n"/>
      <c r="H8" s="8" t="inlineStr">
        <is>
          <t>E0</t>
        </is>
      </c>
      <c r="I8" s="8" t="inlineStr">
        <is>
          <t>N</t>
        </is>
      </c>
      <c r="J8" s="8" t="inlineStr">
        <is>
          <t>N</t>
        </is>
      </c>
      <c r="K8" s="6">
        <f>IF(H8="E0",0.20,IF(H8="E1",0.40,IF(H8="E2",0.65,IF(H8="E3",0.85,IF(H8="E4",1.00,0)))))</f>
        <v/>
      </c>
      <c r="L8" s="6">
        <f>IF(D8="N","",IF(OR(E8="",F8=""),"",IF(G8="N/A",100*((0.60*E8)+(0.40*F8))/5,IF(G8="",100*((0.60*E8)+(0.40*F8))/5,100*((0.45*E8)+(0.30*F8)+(0.25*G8))/5))))</f>
        <v/>
      </c>
      <c r="M8" s="6">
        <f>IF(D8="N","",IFERROR(VLOOKUP(A8,'P0-4_Required_Maturity'!$A$2:$I$12,9,FALSE),3))</f>
        <v/>
      </c>
      <c r="N8" s="6">
        <f>IF(OR(E8="",M8=""),"",M8-E8)</f>
        <v/>
      </c>
      <c r="O8" s="6">
        <f>IF(D8="N","N/A",IF(OR(E8="",F8="",H8=""),"INCOMPLETE",IF(AND(L8&gt;=80,H8="E0"),"REVIEW",IF(AND(L8&gt;=80,OR(I8="N",J8="N")),"CORROBORATION REVIEW","OK"))))</f>
        <v/>
      </c>
      <c r="P8" s="6" t="n"/>
    </row>
    <row r="9">
      <c r="A9" s="8" t="inlineStr">
        <is>
          <t>D01</t>
        </is>
      </c>
      <c r="B9" s="8" t="inlineStr">
        <is>
          <t>I08</t>
        </is>
      </c>
      <c r="C9" s="8" t="inlineStr">
        <is>
          <t>Leadership Alignment</t>
        </is>
      </c>
      <c r="D9" s="8" t="inlineStr">
        <is>
          <t>Y</t>
        </is>
      </c>
      <c r="E9" s="6" t="n"/>
      <c r="F9" s="6" t="n"/>
      <c r="G9" s="6" t="n"/>
      <c r="H9" s="8" t="inlineStr">
        <is>
          <t>E0</t>
        </is>
      </c>
      <c r="I9" s="8" t="inlineStr">
        <is>
          <t>N</t>
        </is>
      </c>
      <c r="J9" s="8" t="inlineStr">
        <is>
          <t>N</t>
        </is>
      </c>
      <c r="K9" s="6">
        <f>IF(H9="E0",0.20,IF(H9="E1",0.40,IF(H9="E2",0.65,IF(H9="E3",0.85,IF(H9="E4",1.00,0)))))</f>
        <v/>
      </c>
      <c r="L9" s="6">
        <f>IF(D9="N","",IF(OR(E9="",F9=""),"",IF(G9="N/A",100*((0.60*E9)+(0.40*F9))/5,IF(G9="",100*((0.60*E9)+(0.40*F9))/5,100*((0.45*E9)+(0.30*F9)+(0.25*G9))/5))))</f>
        <v/>
      </c>
      <c r="M9" s="6">
        <f>IF(D9="N","",IFERROR(VLOOKUP(A9,'P0-4_Required_Maturity'!$A$2:$I$12,9,FALSE),3))</f>
        <v/>
      </c>
      <c r="N9" s="6">
        <f>IF(OR(E9="",M9=""),"",M9-E9)</f>
        <v/>
      </c>
      <c r="O9" s="6">
        <f>IF(D9="N","N/A",IF(OR(E9="",F9="",H9=""),"INCOMPLETE",IF(AND(L9&gt;=80,H9="E0"),"REVIEW",IF(AND(L9&gt;=80,OR(I9="N",J9="N")),"CORROBORATION REVIEW","OK"))))</f>
        <v/>
      </c>
      <c r="P9" s="6" t="n"/>
    </row>
    <row r="10">
      <c r="A10" s="8" t="inlineStr">
        <is>
          <t>D01</t>
        </is>
      </c>
      <c r="B10" s="8" t="inlineStr">
        <is>
          <t>I09</t>
        </is>
      </c>
      <c r="C10" s="8" t="inlineStr">
        <is>
          <t>Experimentation Effectiveness</t>
        </is>
      </c>
      <c r="D10" s="8" t="inlineStr">
        <is>
          <t>Y</t>
        </is>
      </c>
      <c r="E10" s="6" t="n"/>
      <c r="F10" s="6" t="n"/>
      <c r="G10" s="6" t="n"/>
      <c r="H10" s="8" t="inlineStr">
        <is>
          <t>E0</t>
        </is>
      </c>
      <c r="I10" s="8" t="inlineStr">
        <is>
          <t>N</t>
        </is>
      </c>
      <c r="J10" s="8" t="inlineStr">
        <is>
          <t>N</t>
        </is>
      </c>
      <c r="K10" s="6">
        <f>IF(H10="E0",0.20,IF(H10="E1",0.40,IF(H10="E2",0.65,IF(H10="E3",0.85,IF(H10="E4",1.00,0)))))</f>
        <v/>
      </c>
      <c r="L10" s="6">
        <f>IF(D10="N","",IF(OR(E10="",F10=""),"",IF(G10="N/A",100*((0.60*E10)+(0.40*F10))/5,IF(G10="",100*((0.60*E10)+(0.40*F10))/5,100*((0.45*E10)+(0.30*F10)+(0.25*G10))/5))))</f>
        <v/>
      </c>
      <c r="M10" s="6">
        <f>IF(D10="N","",IFERROR(VLOOKUP(A10,'P0-4_Required_Maturity'!$A$2:$I$12,9,FALSE),3))</f>
        <v/>
      </c>
      <c r="N10" s="6">
        <f>IF(OR(E10="",M10=""),"",M10-E10)</f>
        <v/>
      </c>
      <c r="O10" s="6">
        <f>IF(D10="N","N/A",IF(OR(E10="",F10="",H10=""),"INCOMPLETE",IF(AND(L10&gt;=80,H10="E0"),"REVIEW",IF(AND(L10&gt;=80,OR(I10="N",J10="N")),"CORROBORATION REVIEW","OK"))))</f>
        <v/>
      </c>
      <c r="P10" s="6" t="n"/>
    </row>
    <row r="11">
      <c r="A11" s="8" t="inlineStr">
        <is>
          <t>D01</t>
        </is>
      </c>
      <c r="B11" s="8" t="inlineStr">
        <is>
          <t>I10</t>
        </is>
      </c>
      <c r="C11" s="8" t="inlineStr">
        <is>
          <t>Strategic Learning Rate</t>
        </is>
      </c>
      <c r="D11" s="8" t="inlineStr">
        <is>
          <t>Y</t>
        </is>
      </c>
      <c r="E11" s="6" t="n"/>
      <c r="F11" s="6" t="n"/>
      <c r="G11" s="6" t="n"/>
      <c r="H11" s="8" t="inlineStr">
        <is>
          <t>E0</t>
        </is>
      </c>
      <c r="I11" s="8" t="inlineStr">
        <is>
          <t>N</t>
        </is>
      </c>
      <c r="J11" s="8" t="inlineStr">
        <is>
          <t>N</t>
        </is>
      </c>
      <c r="K11" s="6">
        <f>IF(H11="E0",0.20,IF(H11="E1",0.40,IF(H11="E2",0.65,IF(H11="E3",0.85,IF(H11="E4",1.00,0)))))</f>
        <v/>
      </c>
      <c r="L11" s="6">
        <f>IF(D11="N","",IF(OR(E11="",F11=""),"",IF(G11="N/A",100*((0.60*E11)+(0.40*F11))/5,IF(G11="",100*((0.60*E11)+(0.40*F11))/5,100*((0.45*E11)+(0.30*F11)+(0.25*G11))/5))))</f>
        <v/>
      </c>
      <c r="M11" s="6">
        <f>IF(D11="N","",IFERROR(VLOOKUP(A11,'P0-4_Required_Maturity'!$A$2:$I$12,9,FALSE),3))</f>
        <v/>
      </c>
      <c r="N11" s="6">
        <f>IF(OR(E11="",M11=""),"",M11-E11)</f>
        <v/>
      </c>
      <c r="O11" s="6">
        <f>IF(D11="N","N/A",IF(OR(E11="",F11="",H11=""),"INCOMPLETE",IF(AND(L11&gt;=80,H11="E0"),"REVIEW",IF(AND(L11&gt;=80,OR(I11="N",J11="N")),"CORROBORATION REVIEW","OK"))))</f>
        <v/>
      </c>
      <c r="P11" s="6" t="n"/>
    </row>
    <row r="12">
      <c r="A12" s="8" t="inlineStr">
        <is>
          <t>D02</t>
        </is>
      </c>
      <c r="B12" s="8" t="inlineStr">
        <is>
          <t>I01</t>
        </is>
      </c>
      <c r="C12" s="8" t="inlineStr">
        <is>
          <t>Governance Ownership</t>
        </is>
      </c>
      <c r="D12" s="8" t="inlineStr">
        <is>
          <t>Y</t>
        </is>
      </c>
      <c r="E12" s="6" t="n"/>
      <c r="F12" s="6" t="n"/>
      <c r="G12" s="6" t="n"/>
      <c r="H12" s="8" t="inlineStr">
        <is>
          <t>E0</t>
        </is>
      </c>
      <c r="I12" s="8" t="inlineStr">
        <is>
          <t>N</t>
        </is>
      </c>
      <c r="J12" s="8" t="inlineStr">
        <is>
          <t>N</t>
        </is>
      </c>
      <c r="K12" s="6">
        <f>IF(H12="E0",0.20,IF(H12="E1",0.40,IF(H12="E2",0.65,IF(H12="E3",0.85,IF(H12="E4",1.00,0)))))</f>
        <v/>
      </c>
      <c r="L12" s="6">
        <f>IF(D12="N","",IF(OR(E12="",F12=""),"",IF(G12="N/A",100*((0.60*E12)+(0.40*F12))/5,IF(G12="",100*((0.60*E12)+(0.40*F12))/5,100*((0.45*E12)+(0.30*F12)+(0.25*G12))/5))))</f>
        <v/>
      </c>
      <c r="M12" s="6">
        <f>IF(D12="N","",IFERROR(VLOOKUP(A12,'P0-4_Required_Maturity'!$A$2:$I$12,9,FALSE),3))</f>
        <v/>
      </c>
      <c r="N12" s="6">
        <f>IF(OR(E12="",M12=""),"",M12-E12)</f>
        <v/>
      </c>
      <c r="O12" s="6">
        <f>IF(D12="N","N/A",IF(OR(E12="",F12="",H12=""),"INCOMPLETE",IF(AND(L12&gt;=80,H12="E0"),"REVIEW",IF(AND(L12&gt;=80,OR(I12="N",J12="N")),"CORROBORATION REVIEW","OK"))))</f>
        <v/>
      </c>
      <c r="P12" s="6" t="n"/>
    </row>
    <row r="13">
      <c r="A13" s="8" t="inlineStr">
        <is>
          <t>D02</t>
        </is>
      </c>
      <c r="B13" s="8" t="inlineStr">
        <is>
          <t>I02</t>
        </is>
      </c>
      <c r="C13" s="8" t="inlineStr">
        <is>
          <t>Decision Architecture</t>
        </is>
      </c>
      <c r="D13" s="8" t="inlineStr">
        <is>
          <t>Y</t>
        </is>
      </c>
      <c r="E13" s="6" t="n"/>
      <c r="F13" s="6" t="n"/>
      <c r="G13" s="6" t="n"/>
      <c r="H13" s="8" t="inlineStr">
        <is>
          <t>E0</t>
        </is>
      </c>
      <c r="I13" s="8" t="inlineStr">
        <is>
          <t>N</t>
        </is>
      </c>
      <c r="J13" s="8" t="inlineStr">
        <is>
          <t>N</t>
        </is>
      </c>
      <c r="K13" s="6">
        <f>IF(H13="E0",0.20,IF(H13="E1",0.40,IF(H13="E2",0.65,IF(H13="E3",0.85,IF(H13="E4",1.00,0)))))</f>
        <v/>
      </c>
      <c r="L13" s="6">
        <f>IF(D13="N","",IF(OR(E13="",F13=""),"",IF(G13="N/A",100*((0.60*E13)+(0.40*F13))/5,IF(G13="",100*((0.60*E13)+(0.40*F13))/5,100*((0.45*E13)+(0.30*F13)+(0.25*G13))/5))))</f>
        <v/>
      </c>
      <c r="M13" s="6">
        <f>IF(D13="N","",IFERROR(VLOOKUP(A13,'P0-4_Required_Maturity'!$A$2:$I$12,9,FALSE),3))</f>
        <v/>
      </c>
      <c r="N13" s="6">
        <f>IF(OR(E13="",M13=""),"",M13-E13)</f>
        <v/>
      </c>
      <c r="O13" s="6">
        <f>IF(D13="N","N/A",IF(OR(E13="",F13="",H13=""),"INCOMPLETE",IF(AND(L13&gt;=80,H13="E0"),"REVIEW",IF(AND(L13&gt;=80,OR(I13="N",J13="N")),"CORROBORATION REVIEW","OK"))))</f>
        <v/>
      </c>
      <c r="P13" s="6" t="n"/>
    </row>
    <row r="14">
      <c r="A14" s="8" t="inlineStr">
        <is>
          <t>D02</t>
        </is>
      </c>
      <c r="B14" s="8" t="inlineStr">
        <is>
          <t>I03</t>
        </is>
      </c>
      <c r="C14" s="8" t="inlineStr">
        <is>
          <t>Responsible AI Maturity</t>
        </is>
      </c>
      <c r="D14" s="8" t="inlineStr">
        <is>
          <t>Y</t>
        </is>
      </c>
      <c r="E14" s="6" t="n"/>
      <c r="F14" s="6" t="n"/>
      <c r="G14" s="6" t="n"/>
      <c r="H14" s="8" t="inlineStr">
        <is>
          <t>E0</t>
        </is>
      </c>
      <c r="I14" s="8" t="inlineStr">
        <is>
          <t>N</t>
        </is>
      </c>
      <c r="J14" s="8" t="inlineStr">
        <is>
          <t>N</t>
        </is>
      </c>
      <c r="K14" s="6">
        <f>IF(H14="E0",0.20,IF(H14="E1",0.40,IF(H14="E2",0.65,IF(H14="E3",0.85,IF(H14="E4",1.00,0)))))</f>
        <v/>
      </c>
      <c r="L14" s="6">
        <f>IF(D14="N","",IF(OR(E14="",F14=""),"",IF(G14="N/A",100*((0.60*E14)+(0.40*F14))/5,IF(G14="",100*((0.60*E14)+(0.40*F14))/5,100*((0.45*E14)+(0.30*F14)+(0.25*G14))/5))))</f>
        <v/>
      </c>
      <c r="M14" s="6">
        <f>IF(D14="N","",IFERROR(VLOOKUP(A14,'P0-4_Required_Maturity'!$A$2:$I$12,9,FALSE),3))</f>
        <v/>
      </c>
      <c r="N14" s="6">
        <f>IF(OR(E14="",M14=""),"",M14-E14)</f>
        <v/>
      </c>
      <c r="O14" s="6">
        <f>IF(D14="N","N/A",IF(OR(E14="",F14="",H14=""),"INCOMPLETE",IF(AND(L14&gt;=80,H14="E0"),"REVIEW",IF(AND(L14&gt;=80,OR(I14="N",J14="N")),"CORROBORATION REVIEW","OK"))))</f>
        <v/>
      </c>
      <c r="P14" s="6" t="n"/>
    </row>
    <row r="15">
      <c r="A15" s="8" t="inlineStr">
        <is>
          <t>D02</t>
        </is>
      </c>
      <c r="B15" s="8" t="inlineStr">
        <is>
          <t>I04</t>
        </is>
      </c>
      <c r="C15" s="8" t="inlineStr">
        <is>
          <t>Data Governance Readiness</t>
        </is>
      </c>
      <c r="D15" s="8" t="inlineStr">
        <is>
          <t>Y</t>
        </is>
      </c>
      <c r="E15" s="6" t="n"/>
      <c r="F15" s="6" t="n"/>
      <c r="G15" s="6" t="n"/>
      <c r="H15" s="8" t="inlineStr">
        <is>
          <t>E0</t>
        </is>
      </c>
      <c r="I15" s="8" t="inlineStr">
        <is>
          <t>N</t>
        </is>
      </c>
      <c r="J15" s="8" t="inlineStr">
        <is>
          <t>N</t>
        </is>
      </c>
      <c r="K15" s="6">
        <f>IF(H15="E0",0.20,IF(H15="E1",0.40,IF(H15="E2",0.65,IF(H15="E3",0.85,IF(H15="E4",1.00,0)))))</f>
        <v/>
      </c>
      <c r="L15" s="6">
        <f>IF(D15="N","",IF(OR(E15="",F15=""),"",IF(G15="N/A",100*((0.60*E15)+(0.40*F15))/5,IF(G15="",100*((0.60*E15)+(0.40*F15))/5,100*((0.45*E15)+(0.30*F15)+(0.25*G15))/5))))</f>
        <v/>
      </c>
      <c r="M15" s="6">
        <f>IF(D15="N","",IFERROR(VLOOKUP(A15,'P0-4_Required_Maturity'!$A$2:$I$12,9,FALSE),3))</f>
        <v/>
      </c>
      <c r="N15" s="6">
        <f>IF(OR(E15="",M15=""),"",M15-E15)</f>
        <v/>
      </c>
      <c r="O15" s="6">
        <f>IF(D15="N","N/A",IF(OR(E15="",F15="",H15=""),"INCOMPLETE",IF(AND(L15&gt;=80,H15="E0"),"REVIEW",IF(AND(L15&gt;=80,OR(I15="N",J15="N")),"CORROBORATION REVIEW","OK"))))</f>
        <v/>
      </c>
      <c r="P15" s="6" t="n"/>
    </row>
    <row r="16">
      <c r="A16" s="8" t="inlineStr">
        <is>
          <t>D02</t>
        </is>
      </c>
      <c r="B16" s="8" t="inlineStr">
        <is>
          <t>I05</t>
        </is>
      </c>
      <c r="C16" s="8" t="inlineStr">
        <is>
          <t>Academic Integrity Governance</t>
        </is>
      </c>
      <c r="D16" s="8" t="inlineStr">
        <is>
          <t>Y</t>
        </is>
      </c>
      <c r="E16" s="6" t="n"/>
      <c r="F16" s="6" t="n"/>
      <c r="G16" s="6" t="n"/>
      <c r="H16" s="8" t="inlineStr">
        <is>
          <t>E0</t>
        </is>
      </c>
      <c r="I16" s="8" t="inlineStr">
        <is>
          <t>N</t>
        </is>
      </c>
      <c r="J16" s="8" t="inlineStr">
        <is>
          <t>N</t>
        </is>
      </c>
      <c r="K16" s="6">
        <f>IF(H16="E0",0.20,IF(H16="E1",0.40,IF(H16="E2",0.65,IF(H16="E3",0.85,IF(H16="E4",1.00,0)))))</f>
        <v/>
      </c>
      <c r="L16" s="6">
        <f>IF(D16="N","",IF(OR(E16="",F16=""),"",IF(G16="N/A",100*((0.60*E16)+(0.40*F16))/5,IF(G16="",100*((0.60*E16)+(0.40*F16))/5,100*((0.45*E16)+(0.30*F16)+(0.25*G16))/5))))</f>
        <v/>
      </c>
      <c r="M16" s="6">
        <f>IF(D16="N","",IFERROR(VLOOKUP(A16,'P0-4_Required_Maturity'!$A$2:$I$12,9,FALSE),3))</f>
        <v/>
      </c>
      <c r="N16" s="6">
        <f>IF(OR(E16="",M16=""),"",M16-E16)</f>
        <v/>
      </c>
      <c r="O16" s="6">
        <f>IF(D16="N","N/A",IF(OR(E16="",F16="",H16=""),"INCOMPLETE",IF(AND(L16&gt;=80,H16="E0"),"REVIEW",IF(AND(L16&gt;=80,OR(I16="N",J16="N")),"CORROBORATION REVIEW","OK"))))</f>
        <v/>
      </c>
      <c r="P16" s="6" t="n"/>
    </row>
    <row r="17">
      <c r="A17" s="8" t="inlineStr">
        <is>
          <t>D02</t>
        </is>
      </c>
      <c r="B17" s="8" t="inlineStr">
        <is>
          <t>I06</t>
        </is>
      </c>
      <c r="C17" s="8" t="inlineStr">
        <is>
          <t>Assessment Governance</t>
        </is>
      </c>
      <c r="D17" s="8" t="inlineStr">
        <is>
          <t>Y</t>
        </is>
      </c>
      <c r="E17" s="6" t="n"/>
      <c r="F17" s="6" t="n"/>
      <c r="G17" s="6" t="n"/>
      <c r="H17" s="8" t="inlineStr">
        <is>
          <t>E0</t>
        </is>
      </c>
      <c r="I17" s="8" t="inlineStr">
        <is>
          <t>N</t>
        </is>
      </c>
      <c r="J17" s="8" t="inlineStr">
        <is>
          <t>N</t>
        </is>
      </c>
      <c r="K17" s="6">
        <f>IF(H17="E0",0.20,IF(H17="E1",0.40,IF(H17="E2",0.65,IF(H17="E3",0.85,IF(H17="E4",1.00,0)))))</f>
        <v/>
      </c>
      <c r="L17" s="6">
        <f>IF(D17="N","",IF(OR(E17="",F17=""),"",IF(G17="N/A",100*((0.60*E17)+(0.40*F17))/5,IF(G17="",100*((0.60*E17)+(0.40*F17))/5,100*((0.45*E17)+(0.30*F17)+(0.25*G17))/5))))</f>
        <v/>
      </c>
      <c r="M17" s="6">
        <f>IF(D17="N","",IFERROR(VLOOKUP(A17,'P0-4_Required_Maturity'!$A$2:$I$12,9,FALSE),3))</f>
        <v/>
      </c>
      <c r="N17" s="6">
        <f>IF(OR(E17="",M17=""),"",M17-E17)</f>
        <v/>
      </c>
      <c r="O17" s="6">
        <f>IF(D17="N","N/A",IF(OR(E17="",F17="",H17=""),"INCOMPLETE",IF(AND(L17&gt;=80,H17="E0"),"REVIEW",IF(AND(L17&gt;=80,OR(I17="N",J17="N")),"CORROBORATION REVIEW","OK"))))</f>
        <v/>
      </c>
      <c r="P17" s="6" t="n"/>
    </row>
    <row r="18">
      <c r="A18" s="8" t="inlineStr">
        <is>
          <t>D02</t>
        </is>
      </c>
      <c r="B18" s="8" t="inlineStr">
        <is>
          <t>I07</t>
        </is>
      </c>
      <c r="C18" s="8" t="inlineStr">
        <is>
          <t>AI Risk Management</t>
        </is>
      </c>
      <c r="D18" s="8" t="inlineStr">
        <is>
          <t>Y</t>
        </is>
      </c>
      <c r="E18" s="6" t="n"/>
      <c r="F18" s="6" t="n"/>
      <c r="G18" s="6" t="n"/>
      <c r="H18" s="8" t="inlineStr">
        <is>
          <t>E0</t>
        </is>
      </c>
      <c r="I18" s="8" t="inlineStr">
        <is>
          <t>N</t>
        </is>
      </c>
      <c r="J18" s="8" t="inlineStr">
        <is>
          <t>N</t>
        </is>
      </c>
      <c r="K18" s="6">
        <f>IF(H18="E0",0.20,IF(H18="E1",0.40,IF(H18="E2",0.65,IF(H18="E3",0.85,IF(H18="E4",1.00,0)))))</f>
        <v/>
      </c>
      <c r="L18" s="6">
        <f>IF(D18="N","",IF(OR(E18="",F18=""),"",IF(G18="N/A",100*((0.60*E18)+(0.40*F18))/5,IF(G18="",100*((0.60*E18)+(0.40*F18))/5,100*((0.45*E18)+(0.30*F18)+(0.25*G18))/5))))</f>
        <v/>
      </c>
      <c r="M18" s="6">
        <f>IF(D18="N","",IFERROR(VLOOKUP(A18,'P0-4_Required_Maturity'!$A$2:$I$12,9,FALSE),3))</f>
        <v/>
      </c>
      <c r="N18" s="6">
        <f>IF(OR(E18="",M18=""),"",M18-E18)</f>
        <v/>
      </c>
      <c r="O18" s="6">
        <f>IF(D18="N","N/A",IF(OR(E18="",F18="",H18=""),"INCOMPLETE",IF(AND(L18&gt;=80,H18="E0"),"REVIEW",IF(AND(L18&gt;=80,OR(I18="N",J18="N")),"CORROBORATION REVIEW","OK"))))</f>
        <v/>
      </c>
      <c r="P18" s="6" t="n"/>
    </row>
    <row r="19">
      <c r="A19" s="8" t="inlineStr">
        <is>
          <t>D02</t>
        </is>
      </c>
      <c r="B19" s="8" t="inlineStr">
        <is>
          <t>I08</t>
        </is>
      </c>
      <c r="C19" s="8" t="inlineStr">
        <is>
          <t>Incident Responsiveness</t>
        </is>
      </c>
      <c r="D19" s="8" t="inlineStr">
        <is>
          <t>Y</t>
        </is>
      </c>
      <c r="E19" s="6" t="n"/>
      <c r="F19" s="6" t="n"/>
      <c r="G19" s="6" t="n"/>
      <c r="H19" s="8" t="inlineStr">
        <is>
          <t>E0</t>
        </is>
      </c>
      <c r="I19" s="8" t="inlineStr">
        <is>
          <t>N</t>
        </is>
      </c>
      <c r="J19" s="8" t="inlineStr">
        <is>
          <t>N</t>
        </is>
      </c>
      <c r="K19" s="6">
        <f>IF(H19="E0",0.20,IF(H19="E1",0.40,IF(H19="E2",0.65,IF(H19="E3",0.85,IF(H19="E4",1.00,0)))))</f>
        <v/>
      </c>
      <c r="L19" s="6">
        <f>IF(D19="N","",IF(OR(E19="",F19=""),"",IF(G19="N/A",100*((0.60*E19)+(0.40*F19))/5,IF(G19="",100*((0.60*E19)+(0.40*F19))/5,100*((0.45*E19)+(0.30*F19)+(0.25*G19))/5))))</f>
        <v/>
      </c>
      <c r="M19" s="6">
        <f>IF(D19="N","",IFERROR(VLOOKUP(A19,'P0-4_Required_Maturity'!$A$2:$I$12,9,FALSE),3))</f>
        <v/>
      </c>
      <c r="N19" s="6">
        <f>IF(OR(E19="",M19=""),"",M19-E19)</f>
        <v/>
      </c>
      <c r="O19" s="6">
        <f>IF(D19="N","N/A",IF(OR(E19="",F19="",H19=""),"INCOMPLETE",IF(AND(L19&gt;=80,H19="E0"),"REVIEW",IF(AND(L19&gt;=80,OR(I19="N",J19="N")),"CORROBORATION REVIEW","OK"))))</f>
        <v/>
      </c>
      <c r="P19" s="6" t="n"/>
    </row>
    <row r="20">
      <c r="A20" s="8" t="inlineStr">
        <is>
          <t>D02</t>
        </is>
      </c>
      <c r="B20" s="8" t="inlineStr">
        <is>
          <t>I09</t>
        </is>
      </c>
      <c r="C20" s="8" t="inlineStr">
        <is>
          <t>Human Accountability</t>
        </is>
      </c>
      <c r="D20" s="8" t="inlineStr">
        <is>
          <t>Y</t>
        </is>
      </c>
      <c r="E20" s="6" t="n"/>
      <c r="F20" s="6" t="n"/>
      <c r="G20" s="6" t="n"/>
      <c r="H20" s="8" t="inlineStr">
        <is>
          <t>E0</t>
        </is>
      </c>
      <c r="I20" s="8" t="inlineStr">
        <is>
          <t>N</t>
        </is>
      </c>
      <c r="J20" s="8" t="inlineStr">
        <is>
          <t>N</t>
        </is>
      </c>
      <c r="K20" s="6">
        <f>IF(H20="E0",0.20,IF(H20="E1",0.40,IF(H20="E2",0.65,IF(H20="E3",0.85,IF(H20="E4",1.00,0)))))</f>
        <v/>
      </c>
      <c r="L20" s="6">
        <f>IF(D20="N","",IF(OR(E20="",F20=""),"",IF(G20="N/A",100*((0.60*E20)+(0.40*F20))/5,IF(G20="",100*((0.60*E20)+(0.40*F20))/5,100*((0.45*E20)+(0.30*F20)+(0.25*G20))/5))))</f>
        <v/>
      </c>
      <c r="M20" s="6">
        <f>IF(D20="N","",IFERROR(VLOOKUP(A20,'P0-4_Required_Maturity'!$A$2:$I$12,9,FALSE),3))</f>
        <v/>
      </c>
      <c r="N20" s="6">
        <f>IF(OR(E20="",M20=""),"",M20-E20)</f>
        <v/>
      </c>
      <c r="O20" s="6">
        <f>IF(D20="N","N/A",IF(OR(E20="",F20="",H20=""),"INCOMPLETE",IF(AND(L20&gt;=80,H20="E0"),"REVIEW",IF(AND(L20&gt;=80,OR(I20="N",J20="N")),"CORROBORATION REVIEW","OK"))))</f>
        <v/>
      </c>
      <c r="P20" s="6" t="n"/>
    </row>
    <row r="21">
      <c r="A21" s="8" t="inlineStr">
        <is>
          <t>D02</t>
        </is>
      </c>
      <c r="B21" s="8" t="inlineStr">
        <is>
          <t>I10</t>
        </is>
      </c>
      <c r="C21" s="8" t="inlineStr">
        <is>
          <t>Vendor/Tool Governance</t>
        </is>
      </c>
      <c r="D21" s="8" t="inlineStr">
        <is>
          <t>Y</t>
        </is>
      </c>
      <c r="E21" s="6" t="n"/>
      <c r="F21" s="6" t="n"/>
      <c r="G21" s="6" t="n"/>
      <c r="H21" s="8" t="inlineStr">
        <is>
          <t>E0</t>
        </is>
      </c>
      <c r="I21" s="8" t="inlineStr">
        <is>
          <t>N</t>
        </is>
      </c>
      <c r="J21" s="8" t="inlineStr">
        <is>
          <t>N</t>
        </is>
      </c>
      <c r="K21" s="6">
        <f>IF(H21="E0",0.20,IF(H21="E1",0.40,IF(H21="E2",0.65,IF(H21="E3",0.85,IF(H21="E4",1.00,0)))))</f>
        <v/>
      </c>
      <c r="L21" s="6">
        <f>IF(D21="N","",IF(OR(E21="",F21=""),"",IF(G21="N/A",100*((0.60*E21)+(0.40*F21))/5,IF(G21="",100*((0.60*E21)+(0.40*F21))/5,100*((0.45*E21)+(0.30*F21)+(0.25*G21))/5))))</f>
        <v/>
      </c>
      <c r="M21" s="6">
        <f>IF(D21="N","",IFERROR(VLOOKUP(A21,'P0-4_Required_Maturity'!$A$2:$I$12,9,FALSE),3))</f>
        <v/>
      </c>
      <c r="N21" s="6">
        <f>IF(OR(E21="",M21=""),"",M21-E21)</f>
        <v/>
      </c>
      <c r="O21" s="6">
        <f>IF(D21="N","N/A",IF(OR(E21="",F21="",H21=""),"INCOMPLETE",IF(AND(L21&gt;=80,H21="E0"),"REVIEW",IF(AND(L21&gt;=80,OR(I21="N",J21="N")),"CORROBORATION REVIEW","OK"))))</f>
        <v/>
      </c>
      <c r="P21" s="6" t="n"/>
    </row>
    <row r="22">
      <c r="A22" s="8" t="inlineStr">
        <is>
          <t>D02</t>
        </is>
      </c>
      <c r="B22" s="8" t="inlineStr">
        <is>
          <t>I11</t>
        </is>
      </c>
      <c r="C22" s="8" t="inlineStr">
        <is>
          <t>IP Governance</t>
        </is>
      </c>
      <c r="D22" s="8" t="inlineStr">
        <is>
          <t>Y</t>
        </is>
      </c>
      <c r="E22" s="6" t="n"/>
      <c r="F22" s="6" t="n"/>
      <c r="G22" s="6" t="n"/>
      <c r="H22" s="8" t="inlineStr">
        <is>
          <t>E0</t>
        </is>
      </c>
      <c r="I22" s="8" t="inlineStr">
        <is>
          <t>N</t>
        </is>
      </c>
      <c r="J22" s="8" t="inlineStr">
        <is>
          <t>N</t>
        </is>
      </c>
      <c r="K22" s="6">
        <f>IF(H22="E0",0.20,IF(H22="E1",0.40,IF(H22="E2",0.65,IF(H22="E3",0.85,IF(H22="E4",1.00,0)))))</f>
        <v/>
      </c>
      <c r="L22" s="6">
        <f>IF(D22="N","",IF(OR(E22="",F22=""),"",IF(G22="N/A",100*((0.60*E22)+(0.40*F22))/5,IF(G22="",100*((0.60*E22)+(0.40*F22))/5,100*((0.45*E22)+(0.30*F22)+(0.25*G22))/5))))</f>
        <v/>
      </c>
      <c r="M22" s="6">
        <f>IF(D22="N","",IFERROR(VLOOKUP(A22,'P0-4_Required_Maturity'!$A$2:$I$12,9,FALSE),3))</f>
        <v/>
      </c>
      <c r="N22" s="6">
        <f>IF(OR(E22="",M22=""),"",M22-E22)</f>
        <v/>
      </c>
      <c r="O22" s="6">
        <f>IF(D22="N","N/A",IF(OR(E22="",F22="",H22=""),"INCOMPLETE",IF(AND(L22&gt;=80,H22="E0"),"REVIEW",IF(AND(L22&gt;=80,OR(I22="N",J22="N")),"CORROBORATION REVIEW","OK"))))</f>
        <v/>
      </c>
      <c r="P22" s="6" t="n"/>
    </row>
    <row r="23">
      <c r="A23" s="8" t="inlineStr">
        <is>
          <t>D02</t>
        </is>
      </c>
      <c r="B23" s="8" t="inlineStr">
        <is>
          <t>I12</t>
        </is>
      </c>
      <c r="C23" s="8" t="inlineStr">
        <is>
          <t>Research AI Governance</t>
        </is>
      </c>
      <c r="D23" s="8" t="inlineStr">
        <is>
          <t>Y</t>
        </is>
      </c>
      <c r="E23" s="6" t="n"/>
      <c r="F23" s="6" t="n"/>
      <c r="G23" s="6" t="n"/>
      <c r="H23" s="8" t="inlineStr">
        <is>
          <t>E0</t>
        </is>
      </c>
      <c r="I23" s="8" t="inlineStr">
        <is>
          <t>N</t>
        </is>
      </c>
      <c r="J23" s="8" t="inlineStr">
        <is>
          <t>N</t>
        </is>
      </c>
      <c r="K23" s="6">
        <f>IF(H23="E0",0.20,IF(H23="E1",0.40,IF(H23="E2",0.65,IF(H23="E3",0.85,IF(H23="E4",1.00,0)))))</f>
        <v/>
      </c>
      <c r="L23" s="6">
        <f>IF(D23="N","",IF(OR(E23="",F23=""),"",IF(G23="N/A",100*((0.60*E23)+(0.40*F23))/5,IF(G23="",100*((0.60*E23)+(0.40*F23))/5,100*((0.45*E23)+(0.30*F23)+(0.25*G23))/5))))</f>
        <v/>
      </c>
      <c r="M23" s="6">
        <f>IF(D23="N","",IFERROR(VLOOKUP(A23,'P0-4_Required_Maturity'!$A$2:$I$12,9,FALSE),3))</f>
        <v/>
      </c>
      <c r="N23" s="6">
        <f>IF(OR(E23="",M23=""),"",M23-E23)</f>
        <v/>
      </c>
      <c r="O23" s="6">
        <f>IF(D23="N","N/A",IF(OR(E23="",F23="",H23=""),"INCOMPLETE",IF(AND(L23&gt;=80,H23="E0"),"REVIEW",IF(AND(L23&gt;=80,OR(I23="N",J23="N")),"CORROBORATION REVIEW","OK"))))</f>
        <v/>
      </c>
      <c r="P23" s="6" t="n"/>
    </row>
    <row r="24">
      <c r="A24" s="8" t="inlineStr">
        <is>
          <t>D02</t>
        </is>
      </c>
      <c r="B24" s="8" t="inlineStr">
        <is>
          <t>I13</t>
        </is>
      </c>
      <c r="C24" s="8" t="inlineStr">
        <is>
          <t>Governance Review Adaptability</t>
        </is>
      </c>
      <c r="D24" s="8" t="inlineStr">
        <is>
          <t>Y</t>
        </is>
      </c>
      <c r="E24" s="6" t="n"/>
      <c r="F24" s="6" t="n"/>
      <c r="G24" s="6" t="n"/>
      <c r="H24" s="8" t="inlineStr">
        <is>
          <t>E0</t>
        </is>
      </c>
      <c r="I24" s="8" t="inlineStr">
        <is>
          <t>N</t>
        </is>
      </c>
      <c r="J24" s="8" t="inlineStr">
        <is>
          <t>N</t>
        </is>
      </c>
      <c r="K24" s="6">
        <f>IF(H24="E0",0.20,IF(H24="E1",0.40,IF(H24="E2",0.65,IF(H24="E3",0.85,IF(H24="E4",1.00,0)))))</f>
        <v/>
      </c>
      <c r="L24" s="6">
        <f>IF(D24="N","",IF(OR(E24="",F24=""),"",IF(G24="N/A",100*((0.60*E24)+(0.40*F24))/5,IF(G24="",100*((0.60*E24)+(0.40*F24))/5,100*((0.45*E24)+(0.30*F24)+(0.25*G24))/5))))</f>
        <v/>
      </c>
      <c r="M24" s="6">
        <f>IF(D24="N","",IFERROR(VLOOKUP(A24,'P0-4_Required_Maturity'!$A$2:$I$12,9,FALSE),3))</f>
        <v/>
      </c>
      <c r="N24" s="6">
        <f>IF(OR(E24="",M24=""),"",M24-E24)</f>
        <v/>
      </c>
      <c r="O24" s="6">
        <f>IF(D24="N","N/A",IF(OR(E24="",F24="",H24=""),"INCOMPLETE",IF(AND(L24&gt;=80,H24="E0"),"REVIEW",IF(AND(L24&gt;=80,OR(I24="N",J24="N")),"CORROBORATION REVIEW","OK"))))</f>
        <v/>
      </c>
      <c r="P24" s="6" t="n"/>
    </row>
    <row r="25">
      <c r="A25" s="8" t="inlineStr">
        <is>
          <t>D02</t>
        </is>
      </c>
      <c r="B25" s="8" t="inlineStr">
        <is>
          <t>I14</t>
        </is>
      </c>
      <c r="C25" s="8" t="inlineStr">
        <is>
          <t>Governance Effectiveness</t>
        </is>
      </c>
      <c r="D25" s="8" t="inlineStr">
        <is>
          <t>Y</t>
        </is>
      </c>
      <c r="E25" s="6" t="n"/>
      <c r="F25" s="6" t="n"/>
      <c r="G25" s="6" t="n"/>
      <c r="H25" s="8" t="inlineStr">
        <is>
          <t>E0</t>
        </is>
      </c>
      <c r="I25" s="8" t="inlineStr">
        <is>
          <t>N</t>
        </is>
      </c>
      <c r="J25" s="8" t="inlineStr">
        <is>
          <t>N</t>
        </is>
      </c>
      <c r="K25" s="6">
        <f>IF(H25="E0",0.20,IF(H25="E1",0.40,IF(H25="E2",0.65,IF(H25="E3",0.85,IF(H25="E4",1.00,0)))))</f>
        <v/>
      </c>
      <c r="L25" s="6">
        <f>IF(D25="N","",IF(OR(E25="",F25=""),"",IF(G25="N/A",100*((0.60*E25)+(0.40*F25))/5,IF(G25="",100*((0.60*E25)+(0.40*F25))/5,100*((0.45*E25)+(0.30*F25)+(0.25*G25))/5))))</f>
        <v/>
      </c>
      <c r="M25" s="6">
        <f>IF(D25="N","",IFERROR(VLOOKUP(A25,'P0-4_Required_Maturity'!$A$2:$I$12,9,FALSE),3))</f>
        <v/>
      </c>
      <c r="N25" s="6">
        <f>IF(OR(E25="",M25=""),"",M25-E25)</f>
        <v/>
      </c>
      <c r="O25" s="6">
        <f>IF(D25="N","N/A",IF(OR(E25="",F25="",H25=""),"INCOMPLETE",IF(AND(L25&gt;=80,H25="E0"),"REVIEW",IF(AND(L25&gt;=80,OR(I25="N",J25="N")),"CORROBORATION REVIEW","OK"))))</f>
        <v/>
      </c>
      <c r="P25" s="6" t="n"/>
    </row>
    <row r="26">
      <c r="A26" s="8" t="inlineStr">
        <is>
          <t>D03</t>
        </is>
      </c>
      <c r="B26" s="8" t="inlineStr">
        <is>
          <t>I01</t>
        </is>
      </c>
      <c r="C26" s="8" t="inlineStr">
        <is>
          <t>Foundational Knowledge Depth</t>
        </is>
      </c>
      <c r="D26" s="8" t="inlineStr">
        <is>
          <t>Y</t>
        </is>
      </c>
      <c r="E26" s="6" t="n"/>
      <c r="F26" s="6" t="n"/>
      <c r="G26" s="6" t="n"/>
      <c r="H26" s="8" t="inlineStr">
        <is>
          <t>E0</t>
        </is>
      </c>
      <c r="I26" s="8" t="inlineStr">
        <is>
          <t>N</t>
        </is>
      </c>
      <c r="J26" s="8" t="inlineStr">
        <is>
          <t>N</t>
        </is>
      </c>
      <c r="K26" s="6">
        <f>IF(H26="E0",0.20,IF(H26="E1",0.40,IF(H26="E2",0.65,IF(H26="E3",0.85,IF(H26="E4",1.00,0)))))</f>
        <v/>
      </c>
      <c r="L26" s="6">
        <f>IF(D26="N","",IF(OR(E26="",F26=""),"",IF(G26="N/A",100*((0.60*E26)+(0.40*F26))/5,IF(G26="",100*((0.60*E26)+(0.40*F26))/5,100*((0.45*E26)+(0.30*F26)+(0.25*G26))/5))))</f>
        <v/>
      </c>
      <c r="M26" s="6">
        <f>IF(D26="N","",IFERROR(VLOOKUP(A26,'P0-4_Required_Maturity'!$A$2:$I$12,9,FALSE),3))</f>
        <v/>
      </c>
      <c r="N26" s="6">
        <f>IF(OR(E26="",M26=""),"",M26-E26)</f>
        <v/>
      </c>
      <c r="O26" s="6">
        <f>IF(D26="N","N/A",IF(OR(E26="",F26="",H26=""),"INCOMPLETE",IF(AND(L26&gt;=80,H26="E0"),"REVIEW",IF(AND(L26&gt;=80,OR(I26="N",J26="N")),"CORROBORATION REVIEW","OK"))))</f>
        <v/>
      </c>
      <c r="P26" s="6" t="n"/>
    </row>
    <row r="27">
      <c r="A27" s="8" t="inlineStr">
        <is>
          <t>D03</t>
        </is>
      </c>
      <c r="B27" s="8" t="inlineStr">
        <is>
          <t>I02</t>
        </is>
      </c>
      <c r="C27" s="8" t="inlineStr">
        <is>
          <t>Critical Reasoning Development</t>
        </is>
      </c>
      <c r="D27" s="8" t="inlineStr">
        <is>
          <t>Y</t>
        </is>
      </c>
      <c r="E27" s="6" t="n"/>
      <c r="F27" s="6" t="n"/>
      <c r="G27" s="6" t="n"/>
      <c r="H27" s="8" t="inlineStr">
        <is>
          <t>E0</t>
        </is>
      </c>
      <c r="I27" s="8" t="inlineStr">
        <is>
          <t>N</t>
        </is>
      </c>
      <c r="J27" s="8" t="inlineStr">
        <is>
          <t>N</t>
        </is>
      </c>
      <c r="K27" s="6">
        <f>IF(H27="E0",0.20,IF(H27="E1",0.40,IF(H27="E2",0.65,IF(H27="E3",0.85,IF(H27="E4",1.00,0)))))</f>
        <v/>
      </c>
      <c r="L27" s="6">
        <f>IF(D27="N","",IF(OR(E27="",F27=""),"",IF(G27="N/A",100*((0.60*E27)+(0.40*F27))/5,IF(G27="",100*((0.60*E27)+(0.40*F27))/5,100*((0.45*E27)+(0.30*F27)+(0.25*G27))/5))))</f>
        <v/>
      </c>
      <c r="M27" s="6">
        <f>IF(D27="N","",IFERROR(VLOOKUP(A27,'P0-4_Required_Maturity'!$A$2:$I$12,9,FALSE),3))</f>
        <v/>
      </c>
      <c r="N27" s="6">
        <f>IF(OR(E27="",M27=""),"",M27-E27)</f>
        <v/>
      </c>
      <c r="O27" s="6">
        <f>IF(D27="N","N/A",IF(OR(E27="",F27="",H27=""),"INCOMPLETE",IF(AND(L27&gt;=80,H27="E0"),"REVIEW",IF(AND(L27&gt;=80,OR(I27="N",J27="N")),"CORROBORATION REVIEW","OK"))))</f>
        <v/>
      </c>
      <c r="P27" s="6" t="n"/>
    </row>
    <row r="28">
      <c r="A28" s="8" t="inlineStr">
        <is>
          <t>D03</t>
        </is>
      </c>
      <c r="B28" s="8" t="inlineStr">
        <is>
          <t>I03</t>
        </is>
      </c>
      <c r="C28" s="8" t="inlineStr">
        <is>
          <t>Question Formulation</t>
        </is>
      </c>
      <c r="D28" s="8" t="inlineStr">
        <is>
          <t>Y</t>
        </is>
      </c>
      <c r="E28" s="6" t="n"/>
      <c r="F28" s="6" t="n"/>
      <c r="G28" s="6" t="n"/>
      <c r="H28" s="8" t="inlineStr">
        <is>
          <t>E0</t>
        </is>
      </c>
      <c r="I28" s="8" t="inlineStr">
        <is>
          <t>N</t>
        </is>
      </c>
      <c r="J28" s="8" t="inlineStr">
        <is>
          <t>N</t>
        </is>
      </c>
      <c r="K28" s="6">
        <f>IF(H28="E0",0.20,IF(H28="E1",0.40,IF(H28="E2",0.65,IF(H28="E3",0.85,IF(H28="E4",1.00,0)))))</f>
        <v/>
      </c>
      <c r="L28" s="6">
        <f>IF(D28="N","",IF(OR(E28="",F28=""),"",IF(G28="N/A",100*((0.60*E28)+(0.40*F28))/5,IF(G28="",100*((0.60*E28)+(0.40*F28))/5,100*((0.45*E28)+(0.30*F28)+(0.25*G28))/5))))</f>
        <v/>
      </c>
      <c r="M28" s="6">
        <f>IF(D28="N","",IFERROR(VLOOKUP(A28,'P0-4_Required_Maturity'!$A$2:$I$12,9,FALSE),3))</f>
        <v/>
      </c>
      <c r="N28" s="6">
        <f>IF(OR(E28="",M28=""),"",M28-E28)</f>
        <v/>
      </c>
      <c r="O28" s="6">
        <f>IF(D28="N","N/A",IF(OR(E28="",F28="",H28=""),"INCOMPLETE",IF(AND(L28&gt;=80,H28="E0"),"REVIEW",IF(AND(L28&gt;=80,OR(I28="N",J28="N")),"CORROBORATION REVIEW","OK"))))</f>
        <v/>
      </c>
      <c r="P28" s="6" t="n"/>
    </row>
    <row r="29">
      <c r="A29" s="8" t="inlineStr">
        <is>
          <t>D03</t>
        </is>
      </c>
      <c r="B29" s="8" t="inlineStr">
        <is>
          <t>I04</t>
        </is>
      </c>
      <c r="C29" s="8" t="inlineStr">
        <is>
          <t>Analytical Reasoning</t>
        </is>
      </c>
      <c r="D29" s="8" t="inlineStr">
        <is>
          <t>Y</t>
        </is>
      </c>
      <c r="E29" s="6" t="n"/>
      <c r="F29" s="6" t="n"/>
      <c r="G29" s="6" t="n"/>
      <c r="H29" s="8" t="inlineStr">
        <is>
          <t>E0</t>
        </is>
      </c>
      <c r="I29" s="8" t="inlineStr">
        <is>
          <t>N</t>
        </is>
      </c>
      <c r="J29" s="8" t="inlineStr">
        <is>
          <t>N</t>
        </is>
      </c>
      <c r="K29" s="6">
        <f>IF(H29="E0",0.20,IF(H29="E1",0.40,IF(H29="E2",0.65,IF(H29="E3",0.85,IF(H29="E4",1.00,0)))))</f>
        <v/>
      </c>
      <c r="L29" s="6">
        <f>IF(D29="N","",IF(OR(E29="",F29=""),"",IF(G29="N/A",100*((0.60*E29)+(0.40*F29))/5,IF(G29="",100*((0.60*E29)+(0.40*F29))/5,100*((0.45*E29)+(0.30*F29)+(0.25*G29))/5))))</f>
        <v/>
      </c>
      <c r="M29" s="6">
        <f>IF(D29="N","",IFERROR(VLOOKUP(A29,'P0-4_Required_Maturity'!$A$2:$I$12,9,FALSE),3))</f>
        <v/>
      </c>
      <c r="N29" s="6">
        <f>IF(OR(E29="",M29=""),"",M29-E29)</f>
        <v/>
      </c>
      <c r="O29" s="6">
        <f>IF(D29="N","N/A",IF(OR(E29="",F29="",H29=""),"INCOMPLETE",IF(AND(L29&gt;=80,H29="E0"),"REVIEW",IF(AND(L29&gt;=80,OR(I29="N",J29="N")),"CORROBORATION REVIEW","OK"))))</f>
        <v/>
      </c>
      <c r="P29" s="6" t="n"/>
    </row>
    <row r="30">
      <c r="A30" s="8" t="inlineStr">
        <is>
          <t>D03</t>
        </is>
      </c>
      <c r="B30" s="8" t="inlineStr">
        <is>
          <t>I05</t>
        </is>
      </c>
      <c r="C30" s="8" t="inlineStr">
        <is>
          <t>Problem Formulation</t>
        </is>
      </c>
      <c r="D30" s="8" t="inlineStr">
        <is>
          <t>Y</t>
        </is>
      </c>
      <c r="E30" s="6" t="n"/>
      <c r="F30" s="6" t="n"/>
      <c r="G30" s="6" t="n"/>
      <c r="H30" s="8" t="inlineStr">
        <is>
          <t>E0</t>
        </is>
      </c>
      <c r="I30" s="8" t="inlineStr">
        <is>
          <t>N</t>
        </is>
      </c>
      <c r="J30" s="8" t="inlineStr">
        <is>
          <t>N</t>
        </is>
      </c>
      <c r="K30" s="6">
        <f>IF(H30="E0",0.20,IF(H30="E1",0.40,IF(H30="E2",0.65,IF(H30="E3",0.85,IF(H30="E4",1.00,0)))))</f>
        <v/>
      </c>
      <c r="L30" s="6">
        <f>IF(D30="N","",IF(OR(E30="",F30=""),"",IF(G30="N/A",100*((0.60*E30)+(0.40*F30))/5,IF(G30="",100*((0.60*E30)+(0.40*F30))/5,100*((0.45*E30)+(0.30*F30)+(0.25*G30))/5))))</f>
        <v/>
      </c>
      <c r="M30" s="6">
        <f>IF(D30="N","",IFERROR(VLOOKUP(A30,'P0-4_Required_Maturity'!$A$2:$I$12,9,FALSE),3))</f>
        <v/>
      </c>
      <c r="N30" s="6">
        <f>IF(OR(E30="",M30=""),"",M30-E30)</f>
        <v/>
      </c>
      <c r="O30" s="6">
        <f>IF(D30="N","N/A",IF(OR(E30="",F30="",H30=""),"INCOMPLETE",IF(AND(L30&gt;=80,H30="E0"),"REVIEW",IF(AND(L30&gt;=80,OR(I30="N",J30="N")),"CORROBORATION REVIEW","OK"))))</f>
        <v/>
      </c>
      <c r="P30" s="6" t="n"/>
    </row>
    <row r="31">
      <c r="A31" s="8" t="inlineStr">
        <is>
          <t>D03</t>
        </is>
      </c>
      <c r="B31" s="8" t="inlineStr">
        <is>
          <t>I06</t>
        </is>
      </c>
      <c r="C31" s="8" t="inlineStr">
        <is>
          <t>Creativity &amp; Originality</t>
        </is>
      </c>
      <c r="D31" s="8" t="inlineStr">
        <is>
          <t>Y</t>
        </is>
      </c>
      <c r="E31" s="6" t="n"/>
      <c r="F31" s="6" t="n"/>
      <c r="G31" s="6" t="n"/>
      <c r="H31" s="8" t="inlineStr">
        <is>
          <t>E0</t>
        </is>
      </c>
      <c r="I31" s="8" t="inlineStr">
        <is>
          <t>N</t>
        </is>
      </c>
      <c r="J31" s="8" t="inlineStr">
        <is>
          <t>N</t>
        </is>
      </c>
      <c r="K31" s="6">
        <f>IF(H31="E0",0.20,IF(H31="E1",0.40,IF(H31="E2",0.65,IF(H31="E3",0.85,IF(H31="E4",1.00,0)))))</f>
        <v/>
      </c>
      <c r="L31" s="6">
        <f>IF(D31="N","",IF(OR(E31="",F31=""),"",IF(G31="N/A",100*((0.60*E31)+(0.40*F31))/5,IF(G31="",100*((0.60*E31)+(0.40*F31))/5,100*((0.45*E31)+(0.30*F31)+(0.25*G31))/5))))</f>
        <v/>
      </c>
      <c r="M31" s="6">
        <f>IF(D31="N","",IFERROR(VLOOKUP(A31,'P0-4_Required_Maturity'!$A$2:$I$12,9,FALSE),3))</f>
        <v/>
      </c>
      <c r="N31" s="6">
        <f>IF(OR(E31="",M31=""),"",M31-E31)</f>
        <v/>
      </c>
      <c r="O31" s="6">
        <f>IF(D31="N","N/A",IF(OR(E31="",F31="",H31=""),"INCOMPLETE",IF(AND(L31&gt;=80,H31="E0"),"REVIEW",IF(AND(L31&gt;=80,OR(I31="N",J31="N")),"CORROBORATION REVIEW","OK"))))</f>
        <v/>
      </c>
      <c r="P31" s="6" t="n"/>
    </row>
    <row r="32">
      <c r="A32" s="8" t="inlineStr">
        <is>
          <t>D03</t>
        </is>
      </c>
      <c r="B32" s="8" t="inlineStr">
        <is>
          <t>I07</t>
        </is>
      </c>
      <c r="C32" s="8" t="inlineStr">
        <is>
          <t>Judgement Capability</t>
        </is>
      </c>
      <c r="D32" s="8" t="inlineStr">
        <is>
          <t>Y</t>
        </is>
      </c>
      <c r="E32" s="6" t="n"/>
      <c r="F32" s="6" t="n"/>
      <c r="G32" s="6" t="n"/>
      <c r="H32" s="8" t="inlineStr">
        <is>
          <t>E0</t>
        </is>
      </c>
      <c r="I32" s="8" t="inlineStr">
        <is>
          <t>N</t>
        </is>
      </c>
      <c r="J32" s="8" t="inlineStr">
        <is>
          <t>N</t>
        </is>
      </c>
      <c r="K32" s="6">
        <f>IF(H32="E0",0.20,IF(H32="E1",0.40,IF(H32="E2",0.65,IF(H32="E3",0.85,IF(H32="E4",1.00,0)))))</f>
        <v/>
      </c>
      <c r="L32" s="6">
        <f>IF(D32="N","",IF(OR(E32="",F32=""),"",IF(G32="N/A",100*((0.60*E32)+(0.40*F32))/5,IF(G32="",100*((0.60*E32)+(0.40*F32))/5,100*((0.45*E32)+(0.30*F32)+(0.25*G32))/5))))</f>
        <v/>
      </c>
      <c r="M32" s="6">
        <f>IF(D32="N","",IFERROR(VLOOKUP(A32,'P0-4_Required_Maturity'!$A$2:$I$12,9,FALSE),3))</f>
        <v/>
      </c>
      <c r="N32" s="6">
        <f>IF(OR(E32="",M32=""),"",M32-E32)</f>
        <v/>
      </c>
      <c r="O32" s="6">
        <f>IF(D32="N","N/A",IF(OR(E32="",F32="",H32=""),"INCOMPLETE",IF(AND(L32&gt;=80,H32="E0"),"REVIEW",IF(AND(L32&gt;=80,OR(I32="N",J32="N")),"CORROBORATION REVIEW","OK"))))</f>
        <v/>
      </c>
      <c r="P32" s="6" t="n"/>
    </row>
    <row r="33">
      <c r="A33" s="8" t="inlineStr">
        <is>
          <t>D03</t>
        </is>
      </c>
      <c r="B33" s="8" t="inlineStr">
        <is>
          <t>I08</t>
        </is>
      </c>
      <c r="C33" s="8" t="inlineStr">
        <is>
          <t>AI Verification Capability</t>
        </is>
      </c>
      <c r="D33" s="8" t="inlineStr">
        <is>
          <t>Y</t>
        </is>
      </c>
      <c r="E33" s="6" t="n"/>
      <c r="F33" s="6" t="n"/>
      <c r="G33" s="6" t="n"/>
      <c r="H33" s="8" t="inlineStr">
        <is>
          <t>E0</t>
        </is>
      </c>
      <c r="I33" s="8" t="inlineStr">
        <is>
          <t>N</t>
        </is>
      </c>
      <c r="J33" s="8" t="inlineStr">
        <is>
          <t>N</t>
        </is>
      </c>
      <c r="K33" s="6">
        <f>IF(H33="E0",0.20,IF(H33="E1",0.40,IF(H33="E2",0.65,IF(H33="E3",0.85,IF(H33="E4",1.00,0)))))</f>
        <v/>
      </c>
      <c r="L33" s="6">
        <f>IF(D33="N","",IF(OR(E33="",F33=""),"",IF(G33="N/A",100*((0.60*E33)+(0.40*F33))/5,IF(G33="",100*((0.60*E33)+(0.40*F33))/5,100*((0.45*E33)+(0.30*F33)+(0.25*G33))/5))))</f>
        <v/>
      </c>
      <c r="M33" s="6">
        <f>IF(D33="N","",IFERROR(VLOOKUP(A33,'P0-4_Required_Maturity'!$A$2:$I$12,9,FALSE),3))</f>
        <v/>
      </c>
      <c r="N33" s="6">
        <f>IF(OR(E33="",M33=""),"",M33-E33)</f>
        <v/>
      </c>
      <c r="O33" s="6">
        <f>IF(D33="N","N/A",IF(OR(E33="",F33="",H33=""),"INCOMPLETE",IF(AND(L33&gt;=80,H33="E0"),"REVIEW",IF(AND(L33&gt;=80,OR(I33="N",J33="N")),"CORROBORATION REVIEW","OK"))))</f>
        <v/>
      </c>
      <c r="P33" s="6" t="n"/>
    </row>
    <row r="34">
      <c r="A34" s="8" t="inlineStr">
        <is>
          <t>D03</t>
        </is>
      </c>
      <c r="B34" s="8" t="inlineStr">
        <is>
          <t>I09</t>
        </is>
      </c>
      <c r="C34" s="8" t="inlineStr">
        <is>
          <t>Metacognitive Capability</t>
        </is>
      </c>
      <c r="D34" s="8" t="inlineStr">
        <is>
          <t>Y</t>
        </is>
      </c>
      <c r="E34" s="6" t="n"/>
      <c r="F34" s="6" t="n"/>
      <c r="G34" s="6" t="n"/>
      <c r="H34" s="8" t="inlineStr">
        <is>
          <t>E0</t>
        </is>
      </c>
      <c r="I34" s="8" t="inlineStr">
        <is>
          <t>N</t>
        </is>
      </c>
      <c r="J34" s="8" t="inlineStr">
        <is>
          <t>N</t>
        </is>
      </c>
      <c r="K34" s="6">
        <f>IF(H34="E0",0.20,IF(H34="E1",0.40,IF(H34="E2",0.65,IF(H34="E3",0.85,IF(H34="E4",1.00,0)))))</f>
        <v/>
      </c>
      <c r="L34" s="6">
        <f>IF(D34="N","",IF(OR(E34="",F34=""),"",IF(G34="N/A",100*((0.60*E34)+(0.40*F34))/5,IF(G34="",100*((0.60*E34)+(0.40*F34))/5,100*((0.45*E34)+(0.30*F34)+(0.25*G34))/5))))</f>
        <v/>
      </c>
      <c r="M34" s="6">
        <f>IF(D34="N","",IFERROR(VLOOKUP(A34,'P0-4_Required_Maturity'!$A$2:$I$12,9,FALSE),3))</f>
        <v/>
      </c>
      <c r="N34" s="6">
        <f>IF(OR(E34="",M34=""),"",M34-E34)</f>
        <v/>
      </c>
      <c r="O34" s="6">
        <f>IF(D34="N","N/A",IF(OR(E34="",F34="",H34=""),"INCOMPLETE",IF(AND(L34&gt;=80,H34="E0"),"REVIEW",IF(AND(L34&gt;=80,OR(I34="N",J34="N")),"CORROBORATION REVIEW","OK"))))</f>
        <v/>
      </c>
      <c r="P34" s="6" t="n"/>
    </row>
    <row r="35">
      <c r="A35" s="8" t="inlineStr">
        <is>
          <t>D03</t>
        </is>
      </c>
      <c r="B35" s="8" t="inlineStr">
        <is>
          <t>I10</t>
        </is>
      </c>
      <c r="C35" s="8" t="inlineStr">
        <is>
          <t>Human-AI Collaboration</t>
        </is>
      </c>
      <c r="D35" s="8" t="inlineStr">
        <is>
          <t>Y</t>
        </is>
      </c>
      <c r="E35" s="6" t="n"/>
      <c r="F35" s="6" t="n"/>
      <c r="G35" s="6" t="n"/>
      <c r="H35" s="8" t="inlineStr">
        <is>
          <t>E0</t>
        </is>
      </c>
      <c r="I35" s="8" t="inlineStr">
        <is>
          <t>N</t>
        </is>
      </c>
      <c r="J35" s="8" t="inlineStr">
        <is>
          <t>N</t>
        </is>
      </c>
      <c r="K35" s="6">
        <f>IF(H35="E0",0.20,IF(H35="E1",0.40,IF(H35="E2",0.65,IF(H35="E3",0.85,IF(H35="E4",1.00,0)))))</f>
        <v/>
      </c>
      <c r="L35" s="6">
        <f>IF(D35="N","",IF(OR(E35="",F35=""),"",IF(G35="N/A",100*((0.60*E35)+(0.40*F35))/5,IF(G35="",100*((0.60*E35)+(0.40*F35))/5,100*((0.45*E35)+(0.30*F35)+(0.25*G35))/5))))</f>
        <v/>
      </c>
      <c r="M35" s="6">
        <f>IF(D35="N","",IFERROR(VLOOKUP(A35,'P0-4_Required_Maturity'!$A$2:$I$12,9,FALSE),3))</f>
        <v/>
      </c>
      <c r="N35" s="6">
        <f>IF(OR(E35="",M35=""),"",M35-E35)</f>
        <v/>
      </c>
      <c r="O35" s="6">
        <f>IF(D35="N","N/A",IF(OR(E35="",F35="",H35=""),"INCOMPLETE",IF(AND(L35&gt;=80,H35="E0"),"REVIEW",IF(AND(L35&gt;=80,OR(I35="N",J35="N")),"CORROBORATION REVIEW","OK"))))</f>
        <v/>
      </c>
      <c r="P35" s="6" t="n"/>
    </row>
    <row r="36">
      <c r="A36" s="8" t="inlineStr">
        <is>
          <t>D03</t>
        </is>
      </c>
      <c r="B36" s="8" t="inlineStr">
        <is>
          <t>I11</t>
        </is>
      </c>
      <c r="C36" s="8" t="inlineStr">
        <is>
          <t>Communication &amp; Defence</t>
        </is>
      </c>
      <c r="D36" s="8" t="inlineStr">
        <is>
          <t>Y</t>
        </is>
      </c>
      <c r="E36" s="6" t="n"/>
      <c r="F36" s="6" t="n"/>
      <c r="G36" s="6" t="n"/>
      <c r="H36" s="8" t="inlineStr">
        <is>
          <t>E0</t>
        </is>
      </c>
      <c r="I36" s="8" t="inlineStr">
        <is>
          <t>N</t>
        </is>
      </c>
      <c r="J36" s="8" t="inlineStr">
        <is>
          <t>N</t>
        </is>
      </c>
      <c r="K36" s="6">
        <f>IF(H36="E0",0.20,IF(H36="E1",0.40,IF(H36="E2",0.65,IF(H36="E3",0.85,IF(H36="E4",1.00,0)))))</f>
        <v/>
      </c>
      <c r="L36" s="6">
        <f>IF(D36="N","",IF(OR(E36="",F36=""),"",IF(G36="N/A",100*((0.60*E36)+(0.40*F36))/5,IF(G36="",100*((0.60*E36)+(0.40*F36))/5,100*((0.45*E36)+(0.30*F36)+(0.25*G36))/5))))</f>
        <v/>
      </c>
      <c r="M36" s="6">
        <f>IF(D36="N","",IFERROR(VLOOKUP(A36,'P0-4_Required_Maturity'!$A$2:$I$12,9,FALSE),3))</f>
        <v/>
      </c>
      <c r="N36" s="6">
        <f>IF(OR(E36="",M36=""),"",M36-E36)</f>
        <v/>
      </c>
      <c r="O36" s="6">
        <f>IF(D36="N","N/A",IF(OR(E36="",F36="",H36=""),"INCOMPLETE",IF(AND(L36&gt;=80,H36="E0"),"REVIEW",IF(AND(L36&gt;=80,OR(I36="N",J36="N")),"CORROBORATION REVIEW","OK"))))</f>
        <v/>
      </c>
      <c r="P36" s="6" t="n"/>
    </row>
    <row r="37">
      <c r="A37" s="8" t="inlineStr">
        <is>
          <t>D03</t>
        </is>
      </c>
      <c r="B37" s="8" t="inlineStr">
        <is>
          <t>I12</t>
        </is>
      </c>
      <c r="C37" s="8" t="inlineStr">
        <is>
          <t>Collaboration Capability</t>
        </is>
      </c>
      <c r="D37" s="8" t="inlineStr">
        <is>
          <t>Y</t>
        </is>
      </c>
      <c r="E37" s="6" t="n"/>
      <c r="F37" s="6" t="n"/>
      <c r="G37" s="6" t="n"/>
      <c r="H37" s="8" t="inlineStr">
        <is>
          <t>E0</t>
        </is>
      </c>
      <c r="I37" s="8" t="inlineStr">
        <is>
          <t>N</t>
        </is>
      </c>
      <c r="J37" s="8" t="inlineStr">
        <is>
          <t>N</t>
        </is>
      </c>
      <c r="K37" s="6">
        <f>IF(H37="E0",0.20,IF(H37="E1",0.40,IF(H37="E2",0.65,IF(H37="E3",0.85,IF(H37="E4",1.00,0)))))</f>
        <v/>
      </c>
      <c r="L37" s="6">
        <f>IF(D37="N","",IF(OR(E37="",F37=""),"",IF(G37="N/A",100*((0.60*E37)+(0.40*F37))/5,IF(G37="",100*((0.60*E37)+(0.40*F37))/5,100*((0.45*E37)+(0.30*F37)+(0.25*G37))/5))))</f>
        <v/>
      </c>
      <c r="M37" s="6">
        <f>IF(D37="N","",IFERROR(VLOOKUP(A37,'P0-4_Required_Maturity'!$A$2:$I$12,9,FALSE),3))</f>
        <v/>
      </c>
      <c r="N37" s="6">
        <f>IF(OR(E37="",M37=""),"",M37-E37)</f>
        <v/>
      </c>
      <c r="O37" s="6">
        <f>IF(D37="N","N/A",IF(OR(E37="",F37="",H37=""),"INCOMPLETE",IF(AND(L37&gt;=80,H37="E0"),"REVIEW",IF(AND(L37&gt;=80,OR(I37="N",J37="N")),"CORROBORATION REVIEW","OK"))))</f>
        <v/>
      </c>
      <c r="P37" s="6" t="n"/>
    </row>
    <row r="38">
      <c r="A38" s="8" t="inlineStr">
        <is>
          <t>D03</t>
        </is>
      </c>
      <c r="B38" s="8" t="inlineStr">
        <is>
          <t>I13</t>
        </is>
      </c>
      <c r="C38" s="8" t="inlineStr">
        <is>
          <t>Practical Capability</t>
        </is>
      </c>
      <c r="D38" s="8" t="inlineStr">
        <is>
          <t>Y</t>
        </is>
      </c>
      <c r="E38" s="6" t="n"/>
      <c r="F38" s="6" t="n"/>
      <c r="G38" s="6" t="n"/>
      <c r="H38" s="8" t="inlineStr">
        <is>
          <t>E0</t>
        </is>
      </c>
      <c r="I38" s="8" t="inlineStr">
        <is>
          <t>N</t>
        </is>
      </c>
      <c r="J38" s="8" t="inlineStr">
        <is>
          <t>N</t>
        </is>
      </c>
      <c r="K38" s="6">
        <f>IF(H38="E0",0.20,IF(H38="E1",0.40,IF(H38="E2",0.65,IF(H38="E3",0.85,IF(H38="E4",1.00,0)))))</f>
        <v/>
      </c>
      <c r="L38" s="6">
        <f>IF(D38="N","",IF(OR(E38="",F38=""),"",IF(G38="N/A",100*((0.60*E38)+(0.40*F38))/5,IF(G38="",100*((0.60*E38)+(0.40*F38))/5,100*((0.45*E38)+(0.30*F38)+(0.25*G38))/5))))</f>
        <v/>
      </c>
      <c r="M38" s="6">
        <f>IF(D38="N","",IFERROR(VLOOKUP(A38,'P0-4_Required_Maturity'!$A$2:$I$12,9,FALSE),3))</f>
        <v/>
      </c>
      <c r="N38" s="6">
        <f>IF(OR(E38="",M38=""),"",M38-E38)</f>
        <v/>
      </c>
      <c r="O38" s="6">
        <f>IF(D38="N","N/A",IF(OR(E38="",F38="",H38=""),"INCOMPLETE",IF(AND(L38&gt;=80,H38="E0"),"REVIEW",IF(AND(L38&gt;=80,OR(I38="N",J38="N")),"CORROBORATION REVIEW","OK"))))</f>
        <v/>
      </c>
      <c r="P38" s="6" t="n"/>
    </row>
    <row r="39">
      <c r="A39" s="8" t="inlineStr">
        <is>
          <t>D03</t>
        </is>
      </c>
      <c r="B39" s="8" t="inlineStr">
        <is>
          <t>I14</t>
        </is>
      </c>
      <c r="C39" s="8" t="inlineStr">
        <is>
          <t>Ethical/Social Judgement</t>
        </is>
      </c>
      <c r="D39" s="8" t="inlineStr">
        <is>
          <t>Y</t>
        </is>
      </c>
      <c r="E39" s="6" t="n"/>
      <c r="F39" s="6" t="n"/>
      <c r="G39" s="6" t="n"/>
      <c r="H39" s="8" t="inlineStr">
        <is>
          <t>E0</t>
        </is>
      </c>
      <c r="I39" s="8" t="inlineStr">
        <is>
          <t>N</t>
        </is>
      </c>
      <c r="J39" s="8" t="inlineStr">
        <is>
          <t>N</t>
        </is>
      </c>
      <c r="K39" s="6">
        <f>IF(H39="E0",0.20,IF(H39="E1",0.40,IF(H39="E2",0.65,IF(H39="E3",0.85,IF(H39="E4",1.00,0)))))</f>
        <v/>
      </c>
      <c r="L39" s="6">
        <f>IF(D39="N","",IF(OR(E39="",F39=""),"",IF(G39="N/A",100*((0.60*E39)+(0.40*F39))/5,IF(G39="",100*((0.60*E39)+(0.40*F39))/5,100*((0.45*E39)+(0.30*F39)+(0.25*G39))/5))))</f>
        <v/>
      </c>
      <c r="M39" s="6">
        <f>IF(D39="N","",IFERROR(VLOOKUP(A39,'P0-4_Required_Maturity'!$A$2:$I$12,9,FALSE),3))</f>
        <v/>
      </c>
      <c r="N39" s="6">
        <f>IF(OR(E39="",M39=""),"",M39-E39)</f>
        <v/>
      </c>
      <c r="O39" s="6">
        <f>IF(D39="N","N/A",IF(OR(E39="",F39="",H39=""),"INCOMPLETE",IF(AND(L39&gt;=80,H39="E0"),"REVIEW",IF(AND(L39&gt;=80,OR(I39="N",J39="N")),"CORROBORATION REVIEW","OK"))))</f>
        <v/>
      </c>
      <c r="P39" s="6" t="n"/>
    </row>
    <row r="40">
      <c r="A40" s="8" t="inlineStr">
        <is>
          <t>D03</t>
        </is>
      </c>
      <c r="B40" s="8" t="inlineStr">
        <is>
          <t>I15</t>
        </is>
      </c>
      <c r="C40" s="8" t="inlineStr">
        <is>
          <t>Intellectual Agency</t>
        </is>
      </c>
      <c r="D40" s="8" t="inlineStr">
        <is>
          <t>Y</t>
        </is>
      </c>
      <c r="E40" s="6" t="n"/>
      <c r="F40" s="6" t="n"/>
      <c r="G40" s="6" t="n"/>
      <c r="H40" s="8" t="inlineStr">
        <is>
          <t>E0</t>
        </is>
      </c>
      <c r="I40" s="8" t="inlineStr">
        <is>
          <t>N</t>
        </is>
      </c>
      <c r="J40" s="8" t="inlineStr">
        <is>
          <t>N</t>
        </is>
      </c>
      <c r="K40" s="6">
        <f>IF(H40="E0",0.20,IF(H40="E1",0.40,IF(H40="E2",0.65,IF(H40="E3",0.85,IF(H40="E4",1.00,0)))))</f>
        <v/>
      </c>
      <c r="L40" s="6">
        <f>IF(D40="N","",IF(OR(E40="",F40=""),"",IF(G40="N/A",100*((0.60*E40)+(0.40*F40))/5,IF(G40="",100*((0.60*E40)+(0.40*F40))/5,100*((0.45*E40)+(0.30*F40)+(0.25*G40))/5))))</f>
        <v/>
      </c>
      <c r="M40" s="6">
        <f>IF(D40="N","",IFERROR(VLOOKUP(A40,'P0-4_Required_Maturity'!$A$2:$I$12,9,FALSE),3))</f>
        <v/>
      </c>
      <c r="N40" s="6">
        <f>IF(OR(E40="",M40=""),"",M40-E40)</f>
        <v/>
      </c>
      <c r="O40" s="6">
        <f>IF(D40="N","N/A",IF(OR(E40="",F40="",H40=""),"INCOMPLETE",IF(AND(L40&gt;=80,H40="E0"),"REVIEW",IF(AND(L40&gt;=80,OR(I40="N",J40="N")),"CORROBORATION REVIEW","OK"))))</f>
        <v/>
      </c>
      <c r="P40" s="6" t="n"/>
    </row>
    <row r="41">
      <c r="A41" s="8" t="inlineStr">
        <is>
          <t>D03</t>
        </is>
      </c>
      <c r="B41" s="8" t="inlineStr">
        <is>
          <t>I16</t>
        </is>
      </c>
      <c r="C41" s="8" t="inlineStr">
        <is>
          <t>Transfer Capability</t>
        </is>
      </c>
      <c r="D41" s="8" t="inlineStr">
        <is>
          <t>Y</t>
        </is>
      </c>
      <c r="E41" s="6" t="n"/>
      <c r="F41" s="6" t="n"/>
      <c r="G41" s="6" t="n"/>
      <c r="H41" s="8" t="inlineStr">
        <is>
          <t>E0</t>
        </is>
      </c>
      <c r="I41" s="8" t="inlineStr">
        <is>
          <t>N</t>
        </is>
      </c>
      <c r="J41" s="8" t="inlineStr">
        <is>
          <t>N</t>
        </is>
      </c>
      <c r="K41" s="6">
        <f>IF(H41="E0",0.20,IF(H41="E1",0.40,IF(H41="E2",0.65,IF(H41="E3",0.85,IF(H41="E4",1.00,0)))))</f>
        <v/>
      </c>
      <c r="L41" s="6">
        <f>IF(D41="N","",IF(OR(E41="",F41=""),"",IF(G41="N/A",100*((0.60*E41)+(0.40*F41))/5,IF(G41="",100*((0.60*E41)+(0.40*F41))/5,100*((0.45*E41)+(0.30*F41)+(0.25*G41))/5))))</f>
        <v/>
      </c>
      <c r="M41" s="6">
        <f>IF(D41="N","",IFERROR(VLOOKUP(A41,'P0-4_Required_Maturity'!$A$2:$I$12,9,FALSE),3))</f>
        <v/>
      </c>
      <c r="N41" s="6">
        <f>IF(OR(E41="",M41=""),"",M41-E41)</f>
        <v/>
      </c>
      <c r="O41" s="6">
        <f>IF(D41="N","N/A",IF(OR(E41="",F41="",H41=""),"INCOMPLETE",IF(AND(L41&gt;=80,H41="E0"),"REVIEW",IF(AND(L41&gt;=80,OR(I41="N",J41="N")),"CORROBORATION REVIEW","OK"))))</f>
        <v/>
      </c>
      <c r="P41" s="6" t="n"/>
    </row>
    <row r="42">
      <c r="A42" s="8" t="inlineStr">
        <is>
          <t>D03</t>
        </is>
      </c>
      <c r="B42" s="8" t="inlineStr">
        <is>
          <t>I17</t>
        </is>
      </c>
      <c r="C42" s="8" t="inlineStr">
        <is>
          <t>Non-Technical Discipline AI Capability</t>
        </is>
      </c>
      <c r="D42" s="8" t="inlineStr">
        <is>
          <t>Y</t>
        </is>
      </c>
      <c r="E42" s="6" t="n"/>
      <c r="F42" s="6" t="n"/>
      <c r="G42" s="6" t="n"/>
      <c r="H42" s="8" t="inlineStr">
        <is>
          <t>E0</t>
        </is>
      </c>
      <c r="I42" s="8" t="inlineStr">
        <is>
          <t>N</t>
        </is>
      </c>
      <c r="J42" s="8" t="inlineStr">
        <is>
          <t>N</t>
        </is>
      </c>
      <c r="K42" s="6">
        <f>IF(H42="E0",0.20,IF(H42="E1",0.40,IF(H42="E2",0.65,IF(H42="E3",0.85,IF(H42="E4",1.00,0)))))</f>
        <v/>
      </c>
      <c r="L42" s="6">
        <f>IF(D42="N","",IF(OR(E42="",F42=""),"",IF(G42="N/A",100*((0.60*E42)+(0.40*F42))/5,IF(G42="",100*((0.60*E42)+(0.40*F42))/5,100*((0.45*E42)+(0.30*F42)+(0.25*G42))/5))))</f>
        <v/>
      </c>
      <c r="M42" s="6">
        <f>IF(D42="N","",IFERROR(VLOOKUP(A42,'P0-4_Required_Maturity'!$A$2:$I$12,9,FALSE),3))</f>
        <v/>
      </c>
      <c r="N42" s="6">
        <f>IF(OR(E42="",M42=""),"",M42-E42)</f>
        <v/>
      </c>
      <c r="O42" s="6">
        <f>IF(D42="N","N/A",IF(OR(E42="",F42="",H42=""),"INCOMPLETE",IF(AND(L42&gt;=80,H42="E0"),"REVIEW",IF(AND(L42&gt;=80,OR(I42="N",J42="N")),"CORROBORATION REVIEW","OK"))))</f>
        <v/>
      </c>
      <c r="P42" s="6" t="n"/>
    </row>
    <row r="43">
      <c r="A43" s="8" t="inlineStr">
        <is>
          <t>D04</t>
        </is>
      </c>
      <c r="B43" s="8" t="inlineStr">
        <is>
          <t>I01</t>
        </is>
      </c>
      <c r="C43" s="8" t="inlineStr">
        <is>
          <t>Curriculum Sensing Maturity</t>
        </is>
      </c>
      <c r="D43" s="8" t="inlineStr">
        <is>
          <t>Y</t>
        </is>
      </c>
      <c r="E43" s="6" t="n"/>
      <c r="F43" s="6" t="n"/>
      <c r="G43" s="6" t="n"/>
      <c r="H43" s="8" t="inlineStr">
        <is>
          <t>E0</t>
        </is>
      </c>
      <c r="I43" s="8" t="inlineStr">
        <is>
          <t>N</t>
        </is>
      </c>
      <c r="J43" s="8" t="inlineStr">
        <is>
          <t>N</t>
        </is>
      </c>
      <c r="K43" s="6">
        <f>IF(H43="E0",0.20,IF(H43="E1",0.40,IF(H43="E2",0.65,IF(H43="E3",0.85,IF(H43="E4",1.00,0)))))</f>
        <v/>
      </c>
      <c r="L43" s="6">
        <f>IF(D43="N","",IF(OR(E43="",F43=""),"",IF(G43="N/A",100*((0.60*E43)+(0.40*F43))/5,IF(G43="",100*((0.60*E43)+(0.40*F43))/5,100*((0.45*E43)+(0.30*F43)+(0.25*G43))/5))))</f>
        <v/>
      </c>
      <c r="M43" s="6">
        <f>IF(D43="N","",IFERROR(VLOOKUP(A43,'P0-4_Required_Maturity'!$A$2:$I$12,9,FALSE),3))</f>
        <v/>
      </c>
      <c r="N43" s="6">
        <f>IF(OR(E43="",M43=""),"",M43-E43)</f>
        <v/>
      </c>
      <c r="O43" s="6">
        <f>IF(D43="N","N/A",IF(OR(E43="",F43="",H43=""),"INCOMPLETE",IF(AND(L43&gt;=80,H43="E0"),"REVIEW",IF(AND(L43&gt;=80,OR(I43="N",J43="N")),"CORROBORATION REVIEW","OK"))))</f>
        <v/>
      </c>
      <c r="P43" s="6" t="n"/>
    </row>
    <row r="44">
      <c r="A44" s="8" t="inlineStr">
        <is>
          <t>D04</t>
        </is>
      </c>
      <c r="B44" s="8" t="inlineStr">
        <is>
          <t>I02</t>
        </is>
      </c>
      <c r="C44" s="8" t="inlineStr">
        <is>
          <t>Future Learning Outcome Alignment</t>
        </is>
      </c>
      <c r="D44" s="8" t="inlineStr">
        <is>
          <t>Y</t>
        </is>
      </c>
      <c r="E44" s="6" t="n"/>
      <c r="F44" s="6" t="n"/>
      <c r="G44" s="6" t="n"/>
      <c r="H44" s="8" t="inlineStr">
        <is>
          <t>E0</t>
        </is>
      </c>
      <c r="I44" s="8" t="inlineStr">
        <is>
          <t>N</t>
        </is>
      </c>
      <c r="J44" s="8" t="inlineStr">
        <is>
          <t>N</t>
        </is>
      </c>
      <c r="K44" s="6">
        <f>IF(H44="E0",0.20,IF(H44="E1",0.40,IF(H44="E2",0.65,IF(H44="E3",0.85,IF(H44="E4",1.00,0)))))</f>
        <v/>
      </c>
      <c r="L44" s="6">
        <f>IF(D44="N","",IF(OR(E44="",F44=""),"",IF(G44="N/A",100*((0.60*E44)+(0.40*F44))/5,IF(G44="",100*((0.60*E44)+(0.40*F44))/5,100*((0.45*E44)+(0.30*F44)+(0.25*G44))/5))))</f>
        <v/>
      </c>
      <c r="M44" s="6">
        <f>IF(D44="N","",IFERROR(VLOOKUP(A44,'P0-4_Required_Maturity'!$A$2:$I$12,9,FALSE),3))</f>
        <v/>
      </c>
      <c r="N44" s="6">
        <f>IF(OR(E44="",M44=""),"",M44-E44)</f>
        <v/>
      </c>
      <c r="O44" s="6">
        <f>IF(D44="N","N/A",IF(OR(E44="",F44="",H44=""),"INCOMPLETE",IF(AND(L44&gt;=80,H44="E0"),"REVIEW",IF(AND(L44&gt;=80,OR(I44="N",J44="N")),"CORROBORATION REVIEW","OK"))))</f>
        <v/>
      </c>
      <c r="P44" s="6" t="n"/>
    </row>
    <row r="45">
      <c r="A45" s="8" t="inlineStr">
        <is>
          <t>D04</t>
        </is>
      </c>
      <c r="B45" s="8" t="inlineStr">
        <is>
          <t>I03</t>
        </is>
      </c>
      <c r="C45" s="8" t="inlineStr">
        <is>
          <t>Programme Review Effectiveness</t>
        </is>
      </c>
      <c r="D45" s="8" t="inlineStr">
        <is>
          <t>Y</t>
        </is>
      </c>
      <c r="E45" s="6" t="n"/>
      <c r="F45" s="6" t="n"/>
      <c r="G45" s="6" t="n"/>
      <c r="H45" s="8" t="inlineStr">
        <is>
          <t>E0</t>
        </is>
      </c>
      <c r="I45" s="8" t="inlineStr">
        <is>
          <t>N</t>
        </is>
      </c>
      <c r="J45" s="8" t="inlineStr">
        <is>
          <t>N</t>
        </is>
      </c>
      <c r="K45" s="6">
        <f>IF(H45="E0",0.20,IF(H45="E1",0.40,IF(H45="E2",0.65,IF(H45="E3",0.85,IF(H45="E4",1.00,0)))))</f>
        <v/>
      </c>
      <c r="L45" s="6">
        <f>IF(D45="N","",IF(OR(E45="",F45=""),"",IF(G45="N/A",100*((0.60*E45)+(0.40*F45))/5,IF(G45="",100*((0.60*E45)+(0.40*F45))/5,100*((0.45*E45)+(0.30*F45)+(0.25*G45))/5))))</f>
        <v/>
      </c>
      <c r="M45" s="6">
        <f>IF(D45="N","",IFERROR(VLOOKUP(A45,'P0-4_Required_Maturity'!$A$2:$I$12,9,FALSE),3))</f>
        <v/>
      </c>
      <c r="N45" s="6">
        <f>IF(OR(E45="",M45=""),"",M45-E45)</f>
        <v/>
      </c>
      <c r="O45" s="6">
        <f>IF(D45="N","N/A",IF(OR(E45="",F45="",H45=""),"INCOMPLETE",IF(AND(L45&gt;=80,H45="E0"),"REVIEW",IF(AND(L45&gt;=80,OR(I45="N",J45="N")),"CORROBORATION REVIEW","OK"))))</f>
        <v/>
      </c>
      <c r="P45" s="6" t="n"/>
    </row>
    <row r="46">
      <c r="A46" s="8" t="inlineStr">
        <is>
          <t>D04</t>
        </is>
      </c>
      <c r="B46" s="8" t="inlineStr">
        <is>
          <t>I04</t>
        </is>
      </c>
      <c r="C46" s="8" t="inlineStr">
        <is>
          <t>Disciplinary AI Integration Depth</t>
        </is>
      </c>
      <c r="D46" s="8" t="inlineStr">
        <is>
          <t>Y</t>
        </is>
      </c>
      <c r="E46" s="6" t="n"/>
      <c r="F46" s="6" t="n"/>
      <c r="G46" s="6" t="n"/>
      <c r="H46" s="8" t="inlineStr">
        <is>
          <t>E0</t>
        </is>
      </c>
      <c r="I46" s="8" t="inlineStr">
        <is>
          <t>N</t>
        </is>
      </c>
      <c r="J46" s="8" t="inlineStr">
        <is>
          <t>N</t>
        </is>
      </c>
      <c r="K46" s="6">
        <f>IF(H46="E0",0.20,IF(H46="E1",0.40,IF(H46="E2",0.65,IF(H46="E3",0.85,IF(H46="E4",1.00,0)))))</f>
        <v/>
      </c>
      <c r="L46" s="6">
        <f>IF(D46="N","",IF(OR(E46="",F46=""),"",IF(G46="N/A",100*((0.60*E46)+(0.40*F46))/5,IF(G46="",100*((0.60*E46)+(0.40*F46))/5,100*((0.45*E46)+(0.30*F46)+(0.25*G46))/5))))</f>
        <v/>
      </c>
      <c r="M46" s="6">
        <f>IF(D46="N","",IFERROR(VLOOKUP(A46,'P0-4_Required_Maturity'!$A$2:$I$12,9,FALSE),3))</f>
        <v/>
      </c>
      <c r="N46" s="6">
        <f>IF(OR(E46="",M46=""),"",M46-E46)</f>
        <v/>
      </c>
      <c r="O46" s="6">
        <f>IF(D46="N","N/A",IF(OR(E46="",F46="",H46=""),"INCOMPLETE",IF(AND(L46&gt;=80,H46="E0"),"REVIEW",IF(AND(L46&gt;=80,OR(I46="N",J46="N")),"CORROBORATION REVIEW","OK"))))</f>
        <v/>
      </c>
      <c r="P46" s="6" t="n"/>
    </row>
    <row r="47">
      <c r="A47" s="8" t="inlineStr">
        <is>
          <t>D04</t>
        </is>
      </c>
      <c r="B47" s="8" t="inlineStr">
        <is>
          <t>I05</t>
        </is>
      </c>
      <c r="C47" s="8" t="inlineStr">
        <is>
          <t>Content Obsolescence Response</t>
        </is>
      </c>
      <c r="D47" s="8" t="inlineStr">
        <is>
          <t>Y</t>
        </is>
      </c>
      <c r="E47" s="6" t="n"/>
      <c r="F47" s="6" t="n"/>
      <c r="G47" s="6" t="n"/>
      <c r="H47" s="8" t="inlineStr">
        <is>
          <t>E0</t>
        </is>
      </c>
      <c r="I47" s="8" t="inlineStr">
        <is>
          <t>N</t>
        </is>
      </c>
      <c r="J47" s="8" t="inlineStr">
        <is>
          <t>N</t>
        </is>
      </c>
      <c r="K47" s="6">
        <f>IF(H47="E0",0.20,IF(H47="E1",0.40,IF(H47="E2",0.65,IF(H47="E3",0.85,IF(H47="E4",1.00,0)))))</f>
        <v/>
      </c>
      <c r="L47" s="6">
        <f>IF(D47="N","",IF(OR(E47="",F47=""),"",IF(G47="N/A",100*((0.60*E47)+(0.40*F47))/5,IF(G47="",100*((0.60*E47)+(0.40*F47))/5,100*((0.45*E47)+(0.30*F47)+(0.25*G47))/5))))</f>
        <v/>
      </c>
      <c r="M47" s="6">
        <f>IF(D47="N","",IFERROR(VLOOKUP(A47,'P0-4_Required_Maturity'!$A$2:$I$12,9,FALSE),3))</f>
        <v/>
      </c>
      <c r="N47" s="6">
        <f>IF(OR(E47="",M47=""),"",M47-E47)</f>
        <v/>
      </c>
      <c r="O47" s="6">
        <f>IF(D47="N","N/A",IF(OR(E47="",F47="",H47=""),"INCOMPLETE",IF(AND(L47&gt;=80,H47="E0"),"REVIEW",IF(AND(L47&gt;=80,OR(I47="N",J47="N")),"CORROBORATION REVIEW","OK"))))</f>
        <v/>
      </c>
      <c r="P47" s="6" t="n"/>
    </row>
    <row r="48">
      <c r="A48" s="8" t="inlineStr">
        <is>
          <t>D04</t>
        </is>
      </c>
      <c r="B48" s="8" t="inlineStr">
        <is>
          <t>I06</t>
        </is>
      </c>
      <c r="C48" s="8" t="inlineStr">
        <is>
          <t>Experiential Learning Strength</t>
        </is>
      </c>
      <c r="D48" s="8" t="inlineStr">
        <is>
          <t>Y</t>
        </is>
      </c>
      <c r="E48" s="6" t="n"/>
      <c r="F48" s="6" t="n"/>
      <c r="G48" s="6" t="n"/>
      <c r="H48" s="8" t="inlineStr">
        <is>
          <t>E0</t>
        </is>
      </c>
      <c r="I48" s="8" t="inlineStr">
        <is>
          <t>N</t>
        </is>
      </c>
      <c r="J48" s="8" t="inlineStr">
        <is>
          <t>N</t>
        </is>
      </c>
      <c r="K48" s="6">
        <f>IF(H48="E0",0.20,IF(H48="E1",0.40,IF(H48="E2",0.65,IF(H48="E3",0.85,IF(H48="E4",1.00,0)))))</f>
        <v/>
      </c>
      <c r="L48" s="6">
        <f>IF(D48="N","",IF(OR(E48="",F48=""),"",IF(G48="N/A",100*((0.60*E48)+(0.40*F48))/5,IF(G48="",100*((0.60*E48)+(0.40*F48))/5,100*((0.45*E48)+(0.30*F48)+(0.25*G48))/5))))</f>
        <v/>
      </c>
      <c r="M48" s="6">
        <f>IF(D48="N","",IFERROR(VLOOKUP(A48,'P0-4_Required_Maturity'!$A$2:$I$12,9,FALSE),3))</f>
        <v/>
      </c>
      <c r="N48" s="6">
        <f>IF(OR(E48="",M48=""),"",M48-E48)</f>
        <v/>
      </c>
      <c r="O48" s="6">
        <f>IF(D48="N","N/A",IF(OR(E48="",F48="",H48=""),"INCOMPLETE",IF(AND(L48&gt;=80,H48="E0"),"REVIEW",IF(AND(L48&gt;=80,OR(I48="N",J48="N")),"CORROBORATION REVIEW","OK"))))</f>
        <v/>
      </c>
      <c r="P48" s="6" t="n"/>
    </row>
    <row r="49">
      <c r="A49" s="8" t="inlineStr">
        <is>
          <t>D04</t>
        </is>
      </c>
      <c r="B49" s="8" t="inlineStr">
        <is>
          <t>I07</t>
        </is>
      </c>
      <c r="C49" s="8" t="inlineStr">
        <is>
          <t>Interdisciplinary Flexibility</t>
        </is>
      </c>
      <c r="D49" s="8" t="inlineStr">
        <is>
          <t>Y</t>
        </is>
      </c>
      <c r="E49" s="6" t="n"/>
      <c r="F49" s="6" t="n"/>
      <c r="G49" s="6" t="n"/>
      <c r="H49" s="8" t="inlineStr">
        <is>
          <t>E0</t>
        </is>
      </c>
      <c r="I49" s="8" t="inlineStr">
        <is>
          <t>N</t>
        </is>
      </c>
      <c r="J49" s="8" t="inlineStr">
        <is>
          <t>N</t>
        </is>
      </c>
      <c r="K49" s="6">
        <f>IF(H49="E0",0.20,IF(H49="E1",0.40,IF(H49="E2",0.65,IF(H49="E3",0.85,IF(H49="E4",1.00,0)))))</f>
        <v/>
      </c>
      <c r="L49" s="6">
        <f>IF(D49="N","",IF(OR(E49="",F49=""),"",IF(G49="N/A",100*((0.60*E49)+(0.40*F49))/5,IF(G49="",100*((0.60*E49)+(0.40*F49))/5,100*((0.45*E49)+(0.30*F49)+(0.25*G49))/5))))</f>
        <v/>
      </c>
      <c r="M49" s="6">
        <f>IF(D49="N","",IFERROR(VLOOKUP(A49,'P0-4_Required_Maturity'!$A$2:$I$12,9,FALSE),3))</f>
        <v/>
      </c>
      <c r="N49" s="6">
        <f>IF(OR(E49="",M49=""),"",M49-E49)</f>
        <v/>
      </c>
      <c r="O49" s="6">
        <f>IF(D49="N","N/A",IF(OR(E49="",F49="",H49=""),"INCOMPLETE",IF(AND(L49&gt;=80,H49="E0"),"REVIEW",IF(AND(L49&gt;=80,OR(I49="N",J49="N")),"CORROBORATION REVIEW","OK"))))</f>
        <v/>
      </c>
      <c r="P49" s="6" t="n"/>
    </row>
    <row r="50">
      <c r="A50" s="8" t="inlineStr">
        <is>
          <t>D04</t>
        </is>
      </c>
      <c r="B50" s="8" t="inlineStr">
        <is>
          <t>I08</t>
        </is>
      </c>
      <c r="C50" s="8" t="inlineStr">
        <is>
          <t>Programme Agility</t>
        </is>
      </c>
      <c r="D50" s="8" t="inlineStr">
        <is>
          <t>Y</t>
        </is>
      </c>
      <c r="E50" s="6" t="n"/>
      <c r="F50" s="6" t="n"/>
      <c r="G50" s="6" t="n"/>
      <c r="H50" s="8" t="inlineStr">
        <is>
          <t>E0</t>
        </is>
      </c>
      <c r="I50" s="8" t="inlineStr">
        <is>
          <t>N</t>
        </is>
      </c>
      <c r="J50" s="8" t="inlineStr">
        <is>
          <t>N</t>
        </is>
      </c>
      <c r="K50" s="6">
        <f>IF(H50="E0",0.20,IF(H50="E1",0.40,IF(H50="E2",0.65,IF(H50="E3",0.85,IF(H50="E4",1.00,0)))))</f>
        <v/>
      </c>
      <c r="L50" s="6">
        <f>IF(D50="N","",IF(OR(E50="",F50=""),"",IF(G50="N/A",100*((0.60*E50)+(0.40*F50))/5,IF(G50="",100*((0.60*E50)+(0.40*F50))/5,100*((0.45*E50)+(0.30*F50)+(0.25*G50))/5))))</f>
        <v/>
      </c>
      <c r="M50" s="6">
        <f>IF(D50="N","",IFERROR(VLOOKUP(A50,'P0-4_Required_Maturity'!$A$2:$I$12,9,FALSE),3))</f>
        <v/>
      </c>
      <c r="N50" s="6">
        <f>IF(OR(E50="",M50=""),"",M50-E50)</f>
        <v/>
      </c>
      <c r="O50" s="6">
        <f>IF(D50="N","N/A",IF(OR(E50="",F50="",H50=""),"INCOMPLETE",IF(AND(L50&gt;=80,H50="E0"),"REVIEW",IF(AND(L50&gt;=80,OR(I50="N",J50="N")),"CORROBORATION REVIEW","OK"))))</f>
        <v/>
      </c>
      <c r="P50" s="6" t="n"/>
    </row>
    <row r="51">
      <c r="A51" s="8" t="inlineStr">
        <is>
          <t>D04</t>
        </is>
      </c>
      <c r="B51" s="8" t="inlineStr">
        <is>
          <t>I09</t>
        </is>
      </c>
      <c r="C51" s="8" t="inlineStr">
        <is>
          <t>External Validation Strength</t>
        </is>
      </c>
      <c r="D51" s="8" t="inlineStr">
        <is>
          <t>Y</t>
        </is>
      </c>
      <c r="E51" s="6" t="n"/>
      <c r="F51" s="6" t="n"/>
      <c r="G51" s="6" t="n"/>
      <c r="H51" s="8" t="inlineStr">
        <is>
          <t>E0</t>
        </is>
      </c>
      <c r="I51" s="8" t="inlineStr">
        <is>
          <t>N</t>
        </is>
      </c>
      <c r="J51" s="8" t="inlineStr">
        <is>
          <t>N</t>
        </is>
      </c>
      <c r="K51" s="6">
        <f>IF(H51="E0",0.20,IF(H51="E1",0.40,IF(H51="E2",0.65,IF(H51="E3",0.85,IF(H51="E4",1.00,0)))))</f>
        <v/>
      </c>
      <c r="L51" s="6">
        <f>IF(D51="N","",IF(OR(E51="",F51=""),"",IF(G51="N/A",100*((0.60*E51)+(0.40*F51))/5,IF(G51="",100*((0.60*E51)+(0.40*F51))/5,100*((0.45*E51)+(0.30*F51)+(0.25*G51))/5))))</f>
        <v/>
      </c>
      <c r="M51" s="6">
        <f>IF(D51="N","",IFERROR(VLOOKUP(A51,'P0-4_Required_Maturity'!$A$2:$I$12,9,FALSE),3))</f>
        <v/>
      </c>
      <c r="N51" s="6">
        <f>IF(OR(E51="",M51=""),"",M51-E51)</f>
        <v/>
      </c>
      <c r="O51" s="6">
        <f>IF(D51="N","N/A",IF(OR(E51="",F51="",H51=""),"INCOMPLETE",IF(AND(L51&gt;=80,H51="E0"),"REVIEW",IF(AND(L51&gt;=80,OR(I51="N",J51="N")),"CORROBORATION REVIEW","OK"))))</f>
        <v/>
      </c>
      <c r="P51" s="6" t="n"/>
    </row>
    <row r="52">
      <c r="A52" s="8" t="inlineStr">
        <is>
          <t>D04</t>
        </is>
      </c>
      <c r="B52" s="8" t="inlineStr">
        <is>
          <t>I10</t>
        </is>
      </c>
      <c r="C52" s="8" t="inlineStr">
        <is>
          <t>External Learning Ecosystem</t>
        </is>
      </c>
      <c r="D52" s="8" t="inlineStr">
        <is>
          <t>Y</t>
        </is>
      </c>
      <c r="E52" s="6" t="n"/>
      <c r="F52" s="6" t="n"/>
      <c r="G52" s="6" t="n"/>
      <c r="H52" s="8" t="inlineStr">
        <is>
          <t>E0</t>
        </is>
      </c>
      <c r="I52" s="8" t="inlineStr">
        <is>
          <t>N</t>
        </is>
      </c>
      <c r="J52" s="8" t="inlineStr">
        <is>
          <t>N</t>
        </is>
      </c>
      <c r="K52" s="6">
        <f>IF(H52="E0",0.20,IF(H52="E1",0.40,IF(H52="E2",0.65,IF(H52="E3",0.85,IF(H52="E4",1.00,0)))))</f>
        <v/>
      </c>
      <c r="L52" s="6">
        <f>IF(D52="N","",IF(OR(E52="",F52=""),"",IF(G52="N/A",100*((0.60*E52)+(0.40*F52))/5,IF(G52="",100*((0.60*E52)+(0.40*F52))/5,100*((0.45*E52)+(0.30*F52)+(0.25*G52))/5))))</f>
        <v/>
      </c>
      <c r="M52" s="6">
        <f>IF(D52="N","",IFERROR(VLOOKUP(A52,'P0-4_Required_Maturity'!$A$2:$I$12,9,FALSE),3))</f>
        <v/>
      </c>
      <c r="N52" s="6">
        <f>IF(OR(E52="",M52=""),"",M52-E52)</f>
        <v/>
      </c>
      <c r="O52" s="6">
        <f>IF(D52="N","N/A",IF(OR(E52="",F52="",H52=""),"INCOMPLETE",IF(AND(L52&gt;=80,H52="E0"),"REVIEW",IF(AND(L52&gt;=80,OR(I52="N",J52="N")),"CORROBORATION REVIEW","OK"))))</f>
        <v/>
      </c>
      <c r="P52" s="6" t="n"/>
    </row>
    <row r="53">
      <c r="A53" s="8" t="inlineStr">
        <is>
          <t>D04</t>
        </is>
      </c>
      <c r="B53" s="8" t="inlineStr">
        <is>
          <t>I11</t>
        </is>
      </c>
      <c r="C53" s="8" t="inlineStr">
        <is>
          <t>Transfer Capability</t>
        </is>
      </c>
      <c r="D53" s="8" t="inlineStr">
        <is>
          <t>Y</t>
        </is>
      </c>
      <c r="E53" s="6" t="n"/>
      <c r="F53" s="6" t="n"/>
      <c r="G53" s="6" t="n"/>
      <c r="H53" s="8" t="inlineStr">
        <is>
          <t>E0</t>
        </is>
      </c>
      <c r="I53" s="8" t="inlineStr">
        <is>
          <t>N</t>
        </is>
      </c>
      <c r="J53" s="8" t="inlineStr">
        <is>
          <t>N</t>
        </is>
      </c>
      <c r="K53" s="6">
        <f>IF(H53="E0",0.20,IF(H53="E1",0.40,IF(H53="E2",0.65,IF(H53="E3",0.85,IF(H53="E4",1.00,0)))))</f>
        <v/>
      </c>
      <c r="L53" s="6">
        <f>IF(D53="N","",IF(OR(E53="",F53=""),"",IF(G53="N/A",100*((0.60*E53)+(0.40*F53))/5,IF(G53="",100*((0.60*E53)+(0.40*F53))/5,100*((0.45*E53)+(0.30*F53)+(0.25*G53))/5))))</f>
        <v/>
      </c>
      <c r="M53" s="6">
        <f>IF(D53="N","",IFERROR(VLOOKUP(A53,'P0-4_Required_Maturity'!$A$2:$I$12,9,FALSE),3))</f>
        <v/>
      </c>
      <c r="N53" s="6">
        <f>IF(OR(E53="",M53=""),"",M53-E53)</f>
        <v/>
      </c>
      <c r="O53" s="6">
        <f>IF(D53="N","N/A",IF(OR(E53="",F53="",H53=""),"INCOMPLETE",IF(AND(L53&gt;=80,H53="E0"),"REVIEW",IF(AND(L53&gt;=80,OR(I53="N",J53="N")),"CORROBORATION REVIEW","OK"))))</f>
        <v/>
      </c>
      <c r="P53" s="6" t="n"/>
    </row>
    <row r="54">
      <c r="A54" s="8" t="inlineStr">
        <is>
          <t>D04</t>
        </is>
      </c>
      <c r="B54" s="8" t="inlineStr">
        <is>
          <t>I12</t>
        </is>
      </c>
      <c r="C54" s="8" t="inlineStr">
        <is>
          <t>Portfolio Foresight</t>
        </is>
      </c>
      <c r="D54" s="8" t="inlineStr">
        <is>
          <t>Y</t>
        </is>
      </c>
      <c r="E54" s="6" t="n"/>
      <c r="F54" s="6" t="n"/>
      <c r="G54" s="6" t="n"/>
      <c r="H54" s="8" t="inlineStr">
        <is>
          <t>E0</t>
        </is>
      </c>
      <c r="I54" s="8" t="inlineStr">
        <is>
          <t>N</t>
        </is>
      </c>
      <c r="J54" s="8" t="inlineStr">
        <is>
          <t>N</t>
        </is>
      </c>
      <c r="K54" s="6">
        <f>IF(H54="E0",0.20,IF(H54="E1",0.40,IF(H54="E2",0.65,IF(H54="E3",0.85,IF(H54="E4",1.00,0)))))</f>
        <v/>
      </c>
      <c r="L54" s="6">
        <f>IF(D54="N","",IF(OR(E54="",F54=""),"",IF(G54="N/A",100*((0.60*E54)+(0.40*F54))/5,IF(G54="",100*((0.60*E54)+(0.40*F54))/5,100*((0.45*E54)+(0.30*F54)+(0.25*G54))/5))))</f>
        <v/>
      </c>
      <c r="M54" s="6">
        <f>IF(D54="N","",IFERROR(VLOOKUP(A54,'P0-4_Required_Maturity'!$A$2:$I$12,9,FALSE),3))</f>
        <v/>
      </c>
      <c r="N54" s="6">
        <f>IF(OR(E54="",M54=""),"",M54-E54)</f>
        <v/>
      </c>
      <c r="O54" s="6">
        <f>IF(D54="N","N/A",IF(OR(E54="",F54="",H54=""),"INCOMPLETE",IF(AND(L54&gt;=80,H54="E0"),"REVIEW",IF(AND(L54&gt;=80,OR(I54="N",J54="N")),"CORROBORATION REVIEW","OK"))))</f>
        <v/>
      </c>
      <c r="P54" s="6" t="n"/>
    </row>
    <row r="55">
      <c r="A55" s="8" t="inlineStr">
        <is>
          <t>D05</t>
        </is>
      </c>
      <c r="B55" s="8" t="inlineStr">
        <is>
          <t>I01</t>
        </is>
      </c>
      <c r="C55" s="8" t="inlineStr">
        <is>
          <t>Faculty AI Literacy Maturity</t>
        </is>
      </c>
      <c r="D55" s="8" t="inlineStr">
        <is>
          <t>Y</t>
        </is>
      </c>
      <c r="E55" s="6" t="n"/>
      <c r="F55" s="6" t="n"/>
      <c r="G55" s="6" t="n"/>
      <c r="H55" s="8" t="inlineStr">
        <is>
          <t>E0</t>
        </is>
      </c>
      <c r="I55" s="8" t="inlineStr">
        <is>
          <t>N</t>
        </is>
      </c>
      <c r="J55" s="8" t="inlineStr">
        <is>
          <t>N</t>
        </is>
      </c>
      <c r="K55" s="6">
        <f>IF(H55="E0",0.20,IF(H55="E1",0.40,IF(H55="E2",0.65,IF(H55="E3",0.85,IF(H55="E4",1.00,0)))))</f>
        <v/>
      </c>
      <c r="L55" s="6">
        <f>IF(D55="N","",IF(OR(E55="",F55=""),"",IF(G55="N/A",100*((0.60*E55)+(0.40*F55))/5,IF(G55="",100*((0.60*E55)+(0.40*F55))/5,100*((0.45*E55)+(0.30*F55)+(0.25*G55))/5))))</f>
        <v/>
      </c>
      <c r="M55" s="6">
        <f>IF(D55="N","",IFERROR(VLOOKUP(A55,'P0-4_Required_Maturity'!$A$2:$I$12,9,FALSE),3))</f>
        <v/>
      </c>
      <c r="N55" s="6">
        <f>IF(OR(E55="",M55=""),"",M55-E55)</f>
        <v/>
      </c>
      <c r="O55" s="6">
        <f>IF(D55="N","N/A",IF(OR(E55="",F55="",H55=""),"INCOMPLETE",IF(AND(L55&gt;=80,H55="E0"),"REVIEW",IF(AND(L55&gt;=80,OR(I55="N",J55="N")),"CORROBORATION REVIEW","OK"))))</f>
        <v/>
      </c>
      <c r="P55" s="6" t="n"/>
    </row>
    <row r="56">
      <c r="A56" s="8" t="inlineStr">
        <is>
          <t>D05</t>
        </is>
      </c>
      <c r="B56" s="8" t="inlineStr">
        <is>
          <t>I02</t>
        </is>
      </c>
      <c r="C56" s="8" t="inlineStr">
        <is>
          <t>Discipline-Specific AI Practice</t>
        </is>
      </c>
      <c r="D56" s="8" t="inlineStr">
        <is>
          <t>Y</t>
        </is>
      </c>
      <c r="E56" s="6" t="n"/>
      <c r="F56" s="6" t="n"/>
      <c r="G56" s="6" t="n"/>
      <c r="H56" s="8" t="inlineStr">
        <is>
          <t>E0</t>
        </is>
      </c>
      <c r="I56" s="8" t="inlineStr">
        <is>
          <t>N</t>
        </is>
      </c>
      <c r="J56" s="8" t="inlineStr">
        <is>
          <t>N</t>
        </is>
      </c>
      <c r="K56" s="6">
        <f>IF(H56="E0",0.20,IF(H56="E1",0.40,IF(H56="E2",0.65,IF(H56="E3",0.85,IF(H56="E4",1.00,0)))))</f>
        <v/>
      </c>
      <c r="L56" s="6">
        <f>IF(D56="N","",IF(OR(E56="",F56=""),"",IF(G56="N/A",100*((0.60*E56)+(0.40*F56))/5,IF(G56="",100*((0.60*E56)+(0.40*F56))/5,100*((0.45*E56)+(0.30*F56)+(0.25*G56))/5))))</f>
        <v/>
      </c>
      <c r="M56" s="6">
        <f>IF(D56="N","",IFERROR(VLOOKUP(A56,'P0-4_Required_Maturity'!$A$2:$I$12,9,FALSE),3))</f>
        <v/>
      </c>
      <c r="N56" s="6">
        <f>IF(OR(E56="",M56=""),"",M56-E56)</f>
        <v/>
      </c>
      <c r="O56" s="6">
        <f>IF(D56="N","N/A",IF(OR(E56="",F56="",H56=""),"INCOMPLETE",IF(AND(L56&gt;=80,H56="E0"),"REVIEW",IF(AND(L56&gt;=80,OR(I56="N",J56="N")),"CORROBORATION REVIEW","OK"))))</f>
        <v/>
      </c>
      <c r="P56" s="6" t="n"/>
    </row>
    <row r="57">
      <c r="A57" s="8" t="inlineStr">
        <is>
          <t>D05</t>
        </is>
      </c>
      <c r="B57" s="8" t="inlineStr">
        <is>
          <t>I03</t>
        </is>
      </c>
      <c r="C57" s="8" t="inlineStr">
        <is>
          <t>AI-Enhanced Pedagogy</t>
        </is>
      </c>
      <c r="D57" s="8" t="inlineStr">
        <is>
          <t>Y</t>
        </is>
      </c>
      <c r="E57" s="6" t="n"/>
      <c r="F57" s="6" t="n"/>
      <c r="G57" s="6" t="n"/>
      <c r="H57" s="8" t="inlineStr">
        <is>
          <t>E0</t>
        </is>
      </c>
      <c r="I57" s="8" t="inlineStr">
        <is>
          <t>N</t>
        </is>
      </c>
      <c r="J57" s="8" t="inlineStr">
        <is>
          <t>N</t>
        </is>
      </c>
      <c r="K57" s="6">
        <f>IF(H57="E0",0.20,IF(H57="E1",0.40,IF(H57="E2",0.65,IF(H57="E3",0.85,IF(H57="E4",1.00,0)))))</f>
        <v/>
      </c>
      <c r="L57" s="6">
        <f>IF(D57="N","",IF(OR(E57="",F57=""),"",IF(G57="N/A",100*((0.60*E57)+(0.40*F57))/5,IF(G57="",100*((0.60*E57)+(0.40*F57))/5,100*((0.45*E57)+(0.30*F57)+(0.25*G57))/5))))</f>
        <v/>
      </c>
      <c r="M57" s="6">
        <f>IF(D57="N","",IFERROR(VLOOKUP(A57,'P0-4_Required_Maturity'!$A$2:$I$12,9,FALSE),3))</f>
        <v/>
      </c>
      <c r="N57" s="6">
        <f>IF(OR(E57="",M57=""),"",M57-E57)</f>
        <v/>
      </c>
      <c r="O57" s="6">
        <f>IF(D57="N","N/A",IF(OR(E57="",F57="",H57=""),"INCOMPLETE",IF(AND(L57&gt;=80,H57="E0"),"REVIEW",IF(AND(L57&gt;=80,OR(I57="N",J57="N")),"CORROBORATION REVIEW","OK"))))</f>
        <v/>
      </c>
      <c r="P57" s="6" t="n"/>
    </row>
    <row r="58">
      <c r="A58" s="8" t="inlineStr">
        <is>
          <t>D05</t>
        </is>
      </c>
      <c r="B58" s="8" t="inlineStr">
        <is>
          <t>I04</t>
        </is>
      </c>
      <c r="C58" s="8" t="inlineStr">
        <is>
          <t>Assessment Redesign Capability</t>
        </is>
      </c>
      <c r="D58" s="8" t="inlineStr">
        <is>
          <t>Y</t>
        </is>
      </c>
      <c r="E58" s="6" t="n"/>
      <c r="F58" s="6" t="n"/>
      <c r="G58" s="6" t="n"/>
      <c r="H58" s="8" t="inlineStr">
        <is>
          <t>E0</t>
        </is>
      </c>
      <c r="I58" s="8" t="inlineStr">
        <is>
          <t>N</t>
        </is>
      </c>
      <c r="J58" s="8" t="inlineStr">
        <is>
          <t>N</t>
        </is>
      </c>
      <c r="K58" s="6">
        <f>IF(H58="E0",0.20,IF(H58="E1",0.40,IF(H58="E2",0.65,IF(H58="E3",0.85,IF(H58="E4",1.00,0)))))</f>
        <v/>
      </c>
      <c r="L58" s="6">
        <f>IF(D58="N","",IF(OR(E58="",F58=""),"",IF(G58="N/A",100*((0.60*E58)+(0.40*F58))/5,IF(G58="",100*((0.60*E58)+(0.40*F58))/5,100*((0.45*E58)+(0.30*F58)+(0.25*G58))/5))))</f>
        <v/>
      </c>
      <c r="M58" s="6">
        <f>IF(D58="N","",IFERROR(VLOOKUP(A58,'P0-4_Required_Maturity'!$A$2:$I$12,9,FALSE),3))</f>
        <v/>
      </c>
      <c r="N58" s="6">
        <f>IF(OR(E58="",M58=""),"",M58-E58)</f>
        <v/>
      </c>
      <c r="O58" s="6">
        <f>IF(D58="N","N/A",IF(OR(E58="",F58="",H58=""),"INCOMPLETE",IF(AND(L58&gt;=80,H58="E0"),"REVIEW",IF(AND(L58&gt;=80,OR(I58="N",J58="N")),"CORROBORATION REVIEW","OK"))))</f>
        <v/>
      </c>
      <c r="P58" s="6" t="n"/>
    </row>
    <row r="59">
      <c r="A59" s="8" t="inlineStr">
        <is>
          <t>D05</t>
        </is>
      </c>
      <c r="B59" s="8" t="inlineStr">
        <is>
          <t>I05</t>
        </is>
      </c>
      <c r="C59" s="8" t="inlineStr">
        <is>
          <t>Faculty Learning &amp; Development Effectiveness</t>
        </is>
      </c>
      <c r="D59" s="8" t="inlineStr">
        <is>
          <t>Y</t>
        </is>
      </c>
      <c r="E59" s="6" t="n"/>
      <c r="F59" s="6" t="n"/>
      <c r="G59" s="6" t="n"/>
      <c r="H59" s="8" t="inlineStr">
        <is>
          <t>E0</t>
        </is>
      </c>
      <c r="I59" s="8" t="inlineStr">
        <is>
          <t>N</t>
        </is>
      </c>
      <c r="J59" s="8" t="inlineStr">
        <is>
          <t>N</t>
        </is>
      </c>
      <c r="K59" s="6">
        <f>IF(H59="E0",0.20,IF(H59="E1",0.40,IF(H59="E2",0.65,IF(H59="E3",0.85,IF(H59="E4",1.00,0)))))</f>
        <v/>
      </c>
      <c r="L59" s="6">
        <f>IF(D59="N","",IF(OR(E59="",F59=""),"",IF(G59="N/A",100*((0.60*E59)+(0.40*F59))/5,IF(G59="",100*((0.60*E59)+(0.40*F59))/5,100*((0.45*E59)+(0.30*F59)+(0.25*G59))/5))))</f>
        <v/>
      </c>
      <c r="M59" s="6">
        <f>IF(D59="N","",IFERROR(VLOOKUP(A59,'P0-4_Required_Maturity'!$A$2:$I$12,9,FALSE),3))</f>
        <v/>
      </c>
      <c r="N59" s="6">
        <f>IF(OR(E59="",M59=""),"",M59-E59)</f>
        <v/>
      </c>
      <c r="O59" s="6">
        <f>IF(D59="N","N/A",IF(OR(E59="",F59="",H59=""),"INCOMPLETE",IF(AND(L59&gt;=80,H59="E0"),"REVIEW",IF(AND(L59&gt;=80,OR(I59="N",J59="N")),"CORROBORATION REVIEW","OK"))))</f>
        <v/>
      </c>
      <c r="P59" s="6" t="n"/>
    </row>
    <row r="60">
      <c r="A60" s="8" t="inlineStr">
        <is>
          <t>D05</t>
        </is>
      </c>
      <c r="B60" s="8" t="inlineStr">
        <is>
          <t>I06</t>
        </is>
      </c>
      <c r="C60" s="8" t="inlineStr">
        <is>
          <t>Peer Learning &amp; Communities</t>
        </is>
      </c>
      <c r="D60" s="8" t="inlineStr">
        <is>
          <t>Y</t>
        </is>
      </c>
      <c r="E60" s="6" t="n"/>
      <c r="F60" s="6" t="n"/>
      <c r="G60" s="6" t="n"/>
      <c r="H60" s="8" t="inlineStr">
        <is>
          <t>E0</t>
        </is>
      </c>
      <c r="I60" s="8" t="inlineStr">
        <is>
          <t>N</t>
        </is>
      </c>
      <c r="J60" s="8" t="inlineStr">
        <is>
          <t>N</t>
        </is>
      </c>
      <c r="K60" s="6">
        <f>IF(H60="E0",0.20,IF(H60="E1",0.40,IF(H60="E2",0.65,IF(H60="E3",0.85,IF(H60="E4",1.00,0)))))</f>
        <v/>
      </c>
      <c r="L60" s="6">
        <f>IF(D60="N","",IF(OR(E60="",F60=""),"",IF(G60="N/A",100*((0.60*E60)+(0.40*F60))/5,IF(G60="",100*((0.60*E60)+(0.40*F60))/5,100*((0.45*E60)+(0.30*F60)+(0.25*G60))/5))))</f>
        <v/>
      </c>
      <c r="M60" s="6">
        <f>IF(D60="N","",IFERROR(VLOOKUP(A60,'P0-4_Required_Maturity'!$A$2:$I$12,9,FALSE),3))</f>
        <v/>
      </c>
      <c r="N60" s="6">
        <f>IF(OR(E60="",M60=""),"",M60-E60)</f>
        <v/>
      </c>
      <c r="O60" s="6">
        <f>IF(D60="N","N/A",IF(OR(E60="",F60="",H60=""),"INCOMPLETE",IF(AND(L60&gt;=80,H60="E0"),"REVIEW",IF(AND(L60&gt;=80,OR(I60="N",J60="N")),"CORROBORATION REVIEW","OK"))))</f>
        <v/>
      </c>
      <c r="P60" s="6" t="n"/>
    </row>
    <row r="61">
      <c r="A61" s="8" t="inlineStr">
        <is>
          <t>D05</t>
        </is>
      </c>
      <c r="B61" s="8" t="inlineStr">
        <is>
          <t>I07</t>
        </is>
      </c>
      <c r="C61" s="8" t="inlineStr">
        <is>
          <t>AI Research &amp; Knowledge Creation</t>
        </is>
      </c>
      <c r="D61" s="8" t="inlineStr">
        <is>
          <t>Y</t>
        </is>
      </c>
      <c r="E61" s="6" t="n"/>
      <c r="F61" s="6" t="n"/>
      <c r="G61" s="6" t="n"/>
      <c r="H61" s="8" t="inlineStr">
        <is>
          <t>E0</t>
        </is>
      </c>
      <c r="I61" s="8" t="inlineStr">
        <is>
          <t>N</t>
        </is>
      </c>
      <c r="J61" s="8" t="inlineStr">
        <is>
          <t>N</t>
        </is>
      </c>
      <c r="K61" s="6">
        <f>IF(H61="E0",0.20,IF(H61="E1",0.40,IF(H61="E2",0.65,IF(H61="E3",0.85,IF(H61="E4",1.00,0)))))</f>
        <v/>
      </c>
      <c r="L61" s="6">
        <f>IF(D61="N","",IF(OR(E61="",F61=""),"",IF(G61="N/A",100*((0.60*E61)+(0.40*F61))/5,IF(G61="",100*((0.60*E61)+(0.40*F61))/5,100*((0.45*E61)+(0.30*F61)+(0.25*G61))/5))))</f>
        <v/>
      </c>
      <c r="M61" s="6">
        <f>IF(D61="N","",IFERROR(VLOOKUP(A61,'P0-4_Required_Maturity'!$A$2:$I$12,9,FALSE),3))</f>
        <v/>
      </c>
      <c r="N61" s="6">
        <f>IF(OR(E61="",M61=""),"",M61-E61)</f>
        <v/>
      </c>
      <c r="O61" s="6">
        <f>IF(D61="N","N/A",IF(OR(E61="",F61="",H61=""),"INCOMPLETE",IF(AND(L61&gt;=80,H61="E0"),"REVIEW",IF(AND(L61&gt;=80,OR(I61="N",J61="N")),"CORROBORATION REVIEW","OK"))))</f>
        <v/>
      </c>
      <c r="P61" s="6" t="n"/>
    </row>
    <row r="62">
      <c r="A62" s="8" t="inlineStr">
        <is>
          <t>D05</t>
        </is>
      </c>
      <c r="B62" s="8" t="inlineStr">
        <is>
          <t>I08</t>
        </is>
      </c>
      <c r="C62" s="8" t="inlineStr">
        <is>
          <t>Academic Role Redesign</t>
        </is>
      </c>
      <c r="D62" s="8" t="inlineStr">
        <is>
          <t>Y</t>
        </is>
      </c>
      <c r="E62" s="6" t="n"/>
      <c r="F62" s="6" t="n"/>
      <c r="G62" s="6" t="n"/>
      <c r="H62" s="8" t="inlineStr">
        <is>
          <t>E0</t>
        </is>
      </c>
      <c r="I62" s="8" t="inlineStr">
        <is>
          <t>N</t>
        </is>
      </c>
      <c r="J62" s="8" t="inlineStr">
        <is>
          <t>N</t>
        </is>
      </c>
      <c r="K62" s="6">
        <f>IF(H62="E0",0.20,IF(H62="E1",0.40,IF(H62="E2",0.65,IF(H62="E3",0.85,IF(H62="E4",1.00,0)))))</f>
        <v/>
      </c>
      <c r="L62" s="6">
        <f>IF(D62="N","",IF(OR(E62="",F62=""),"",IF(G62="N/A",100*((0.60*E62)+(0.40*F62))/5,IF(G62="",100*((0.60*E62)+(0.40*F62))/5,100*((0.45*E62)+(0.30*F62)+(0.25*G62))/5))))</f>
        <v/>
      </c>
      <c r="M62" s="6">
        <f>IF(D62="N","",IFERROR(VLOOKUP(A62,'P0-4_Required_Maturity'!$A$2:$I$12,9,FALSE),3))</f>
        <v/>
      </c>
      <c r="N62" s="6">
        <f>IF(OR(E62="",M62=""),"",M62-E62)</f>
        <v/>
      </c>
      <c r="O62" s="6">
        <f>IF(D62="N","N/A",IF(OR(E62="",F62="",H62=""),"INCOMPLETE",IF(AND(L62&gt;=80,H62="E0"),"REVIEW",IF(AND(L62&gt;=80,OR(I62="N",J62="N")),"CORROBORATION REVIEW","OK"))))</f>
        <v/>
      </c>
      <c r="P62" s="6" t="n"/>
    </row>
    <row r="63">
      <c r="A63" s="8" t="inlineStr">
        <is>
          <t>D05</t>
        </is>
      </c>
      <c r="B63" s="8" t="inlineStr">
        <is>
          <t>I09</t>
        </is>
      </c>
      <c r="C63" s="8" t="inlineStr">
        <is>
          <t>Workload &amp; Workflow Transformation</t>
        </is>
      </c>
      <c r="D63" s="8" t="inlineStr">
        <is>
          <t>Y</t>
        </is>
      </c>
      <c r="E63" s="6" t="n"/>
      <c r="F63" s="6" t="n"/>
      <c r="G63" s="6" t="n"/>
      <c r="H63" s="8" t="inlineStr">
        <is>
          <t>E0</t>
        </is>
      </c>
      <c r="I63" s="8" t="inlineStr">
        <is>
          <t>N</t>
        </is>
      </c>
      <c r="J63" s="8" t="inlineStr">
        <is>
          <t>N</t>
        </is>
      </c>
      <c r="K63" s="6">
        <f>IF(H63="E0",0.20,IF(H63="E1",0.40,IF(H63="E2",0.65,IF(H63="E3",0.85,IF(H63="E4",1.00,0)))))</f>
        <v/>
      </c>
      <c r="L63" s="6">
        <f>IF(D63="N","",IF(OR(E63="",F63=""),"",IF(G63="N/A",100*((0.60*E63)+(0.40*F63))/5,IF(G63="",100*((0.60*E63)+(0.40*F63))/5,100*((0.45*E63)+(0.30*F63)+(0.25*G63))/5))))</f>
        <v/>
      </c>
      <c r="M63" s="6">
        <f>IF(D63="N","",IFERROR(VLOOKUP(A63,'P0-4_Required_Maturity'!$A$2:$I$12,9,FALSE),3))</f>
        <v/>
      </c>
      <c r="N63" s="6">
        <f>IF(OR(E63="",M63=""),"",M63-E63)</f>
        <v/>
      </c>
      <c r="O63" s="6">
        <f>IF(D63="N","N/A",IF(OR(E63="",F63="",H63=""),"INCOMPLETE",IF(AND(L63&gt;=80,H63="E0"),"REVIEW",IF(AND(L63&gt;=80,OR(I63="N",J63="N")),"CORROBORATION REVIEW","OK"))))</f>
        <v/>
      </c>
      <c r="P63" s="6" t="n"/>
    </row>
    <row r="64">
      <c r="A64" s="8" t="inlineStr">
        <is>
          <t>D05</t>
        </is>
      </c>
      <c r="B64" s="8" t="inlineStr">
        <is>
          <t>I10</t>
        </is>
      </c>
      <c r="C64" s="8" t="inlineStr">
        <is>
          <t>Faculty Support Infrastructure</t>
        </is>
      </c>
      <c r="D64" s="8" t="inlineStr">
        <is>
          <t>Y</t>
        </is>
      </c>
      <c r="E64" s="6" t="n"/>
      <c r="F64" s="6" t="n"/>
      <c r="G64" s="6" t="n"/>
      <c r="H64" s="8" t="inlineStr">
        <is>
          <t>E0</t>
        </is>
      </c>
      <c r="I64" s="8" t="inlineStr">
        <is>
          <t>N</t>
        </is>
      </c>
      <c r="J64" s="8" t="inlineStr">
        <is>
          <t>N</t>
        </is>
      </c>
      <c r="K64" s="6">
        <f>IF(H64="E0",0.20,IF(H64="E1",0.40,IF(H64="E2",0.65,IF(H64="E3",0.85,IF(H64="E4",1.00,0)))))</f>
        <v/>
      </c>
      <c r="L64" s="6">
        <f>IF(D64="N","",IF(OR(E64="",F64=""),"",IF(G64="N/A",100*((0.60*E64)+(0.40*F64))/5,IF(G64="",100*((0.60*E64)+(0.40*F64))/5,100*((0.45*E64)+(0.30*F64)+(0.25*G64))/5))))</f>
        <v/>
      </c>
      <c r="M64" s="6">
        <f>IF(D64="N","",IFERROR(VLOOKUP(A64,'P0-4_Required_Maturity'!$A$2:$I$12,9,FALSE),3))</f>
        <v/>
      </c>
      <c r="N64" s="6">
        <f>IF(OR(E64="",M64=""),"",M64-E64)</f>
        <v/>
      </c>
      <c r="O64" s="6">
        <f>IF(D64="N","N/A",IF(OR(E64="",F64="",H64=""),"INCOMPLETE",IF(AND(L64&gt;=80,H64="E0"),"REVIEW",IF(AND(L64&gt;=80,OR(I64="N",J64="N")),"CORROBORATION REVIEW","OK"))))</f>
        <v/>
      </c>
      <c r="P64" s="6" t="n"/>
    </row>
    <row r="65">
      <c r="A65" s="8" t="inlineStr">
        <is>
          <t>D05</t>
        </is>
      </c>
      <c r="B65" s="8" t="inlineStr">
        <is>
          <t>I11</t>
        </is>
      </c>
      <c r="C65" s="8" t="inlineStr">
        <is>
          <t>Academic Leadership for AI</t>
        </is>
      </c>
      <c r="D65" s="8" t="inlineStr">
        <is>
          <t>Y</t>
        </is>
      </c>
      <c r="E65" s="6" t="n"/>
      <c r="F65" s="6" t="n"/>
      <c r="G65" s="6" t="n"/>
      <c r="H65" s="8" t="inlineStr">
        <is>
          <t>E0</t>
        </is>
      </c>
      <c r="I65" s="8" t="inlineStr">
        <is>
          <t>N</t>
        </is>
      </c>
      <c r="J65" s="8" t="inlineStr">
        <is>
          <t>N</t>
        </is>
      </c>
      <c r="K65" s="6">
        <f>IF(H65="E0",0.20,IF(H65="E1",0.40,IF(H65="E2",0.65,IF(H65="E3",0.85,IF(H65="E4",1.00,0)))))</f>
        <v/>
      </c>
      <c r="L65" s="6">
        <f>IF(D65="N","",IF(OR(E65="",F65=""),"",IF(G65="N/A",100*((0.60*E65)+(0.40*F65))/5,IF(G65="",100*((0.60*E65)+(0.40*F65))/5,100*((0.45*E65)+(0.30*F65)+(0.25*G65))/5))))</f>
        <v/>
      </c>
      <c r="M65" s="6">
        <f>IF(D65="N","",IFERROR(VLOOKUP(A65,'P0-4_Required_Maturity'!$A$2:$I$12,9,FALSE),3))</f>
        <v/>
      </c>
      <c r="N65" s="6">
        <f>IF(OR(E65="",M65=""),"",M65-E65)</f>
        <v/>
      </c>
      <c r="O65" s="6">
        <f>IF(D65="N","N/A",IF(OR(E65="",F65="",H65=""),"INCOMPLETE",IF(AND(L65&gt;=80,H65="E0"),"REVIEW",IF(AND(L65&gt;=80,OR(I65="N",J65="N")),"CORROBORATION REVIEW","OK"))))</f>
        <v/>
      </c>
      <c r="P65" s="6" t="n"/>
    </row>
    <row r="66">
      <c r="A66" s="8" t="inlineStr">
        <is>
          <t>D05</t>
        </is>
      </c>
      <c r="B66" s="8" t="inlineStr">
        <is>
          <t>I12</t>
        </is>
      </c>
      <c r="C66" s="8" t="inlineStr">
        <is>
          <t>Faculty Adoption Learning Loop</t>
        </is>
      </c>
      <c r="D66" s="8" t="inlineStr">
        <is>
          <t>Y</t>
        </is>
      </c>
      <c r="E66" s="6" t="n"/>
      <c r="F66" s="6" t="n"/>
      <c r="G66" s="6" t="n"/>
      <c r="H66" s="8" t="inlineStr">
        <is>
          <t>E0</t>
        </is>
      </c>
      <c r="I66" s="8" t="inlineStr">
        <is>
          <t>N</t>
        </is>
      </c>
      <c r="J66" s="8" t="inlineStr">
        <is>
          <t>N</t>
        </is>
      </c>
      <c r="K66" s="6">
        <f>IF(H66="E0",0.20,IF(H66="E1",0.40,IF(H66="E2",0.65,IF(H66="E3",0.85,IF(H66="E4",1.00,0)))))</f>
        <v/>
      </c>
      <c r="L66" s="6">
        <f>IF(D66="N","",IF(OR(E66="",F66=""),"",IF(G66="N/A",100*((0.60*E66)+(0.40*F66))/5,IF(G66="",100*((0.60*E66)+(0.40*F66))/5,100*((0.45*E66)+(0.30*F66)+(0.25*G66))/5))))</f>
        <v/>
      </c>
      <c r="M66" s="6">
        <f>IF(D66="N","",IFERROR(VLOOKUP(A66,'P0-4_Required_Maturity'!$A$2:$I$12,9,FALSE),3))</f>
        <v/>
      </c>
      <c r="N66" s="6">
        <f>IF(OR(E66="",M66=""),"",M66-E66)</f>
        <v/>
      </c>
      <c r="O66" s="6">
        <f>IF(D66="N","N/A",IF(OR(E66="",F66="",H66=""),"INCOMPLETE",IF(AND(L66&gt;=80,H66="E0"),"REVIEW",IF(AND(L66&gt;=80,OR(I66="N",J66="N")),"CORROBORATION REVIEW","OK"))))</f>
        <v/>
      </c>
      <c r="P66" s="6" t="n"/>
    </row>
    <row r="67">
      <c r="A67" s="8" t="inlineStr">
        <is>
          <t>D06</t>
        </is>
      </c>
      <c r="B67" s="8" t="inlineStr">
        <is>
          <t>I01</t>
        </is>
      </c>
      <c r="C67" s="8" t="inlineStr">
        <is>
          <t>Student AI Literacy</t>
        </is>
      </c>
      <c r="D67" s="8" t="inlineStr">
        <is>
          <t>Y</t>
        </is>
      </c>
      <c r="E67" s="6" t="n"/>
      <c r="F67" s="6" t="n"/>
      <c r="G67" s="6" t="n"/>
      <c r="H67" s="8" t="inlineStr">
        <is>
          <t>E0</t>
        </is>
      </c>
      <c r="I67" s="8" t="inlineStr">
        <is>
          <t>N</t>
        </is>
      </c>
      <c r="J67" s="8" t="inlineStr">
        <is>
          <t>N</t>
        </is>
      </c>
      <c r="K67" s="6">
        <f>IF(H67="E0",0.20,IF(H67="E1",0.40,IF(H67="E2",0.65,IF(H67="E3",0.85,IF(H67="E4",1.00,0)))))</f>
        <v/>
      </c>
      <c r="L67" s="6">
        <f>IF(D67="N","",IF(OR(E67="",F67=""),"",IF(G67="N/A",100*((0.60*E67)+(0.40*F67))/5,IF(G67="",100*((0.60*E67)+(0.40*F67))/5,100*((0.45*E67)+(0.30*F67)+(0.25*G67))/5))))</f>
        <v/>
      </c>
      <c r="M67" s="6">
        <f>IF(D67="N","",IFERROR(VLOOKUP(A67,'P0-4_Required_Maturity'!$A$2:$I$12,9,FALSE),3))</f>
        <v/>
      </c>
      <c r="N67" s="6">
        <f>IF(OR(E67="",M67=""),"",M67-E67)</f>
        <v/>
      </c>
      <c r="O67" s="6">
        <f>IF(D67="N","N/A",IF(OR(E67="",F67="",H67=""),"INCOMPLETE",IF(AND(L67&gt;=80,H67="E0"),"REVIEW",IF(AND(L67&gt;=80,OR(I67="N",J67="N")),"CORROBORATION REVIEW","OK"))))</f>
        <v/>
      </c>
      <c r="P67" s="6" t="n"/>
    </row>
    <row r="68">
      <c r="A68" s="8" t="inlineStr">
        <is>
          <t>D06</t>
        </is>
      </c>
      <c r="B68" s="8" t="inlineStr">
        <is>
          <t>I02</t>
        </is>
      </c>
      <c r="C68" s="8" t="inlineStr">
        <is>
          <t>Critical AI Evaluation</t>
        </is>
      </c>
      <c r="D68" s="8" t="inlineStr">
        <is>
          <t>Y</t>
        </is>
      </c>
      <c r="E68" s="6" t="n"/>
      <c r="F68" s="6" t="n"/>
      <c r="G68" s="6" t="n"/>
      <c r="H68" s="8" t="inlineStr">
        <is>
          <t>E0</t>
        </is>
      </c>
      <c r="I68" s="8" t="inlineStr">
        <is>
          <t>N</t>
        </is>
      </c>
      <c r="J68" s="8" t="inlineStr">
        <is>
          <t>N</t>
        </is>
      </c>
      <c r="K68" s="6">
        <f>IF(H68="E0",0.20,IF(H68="E1",0.40,IF(H68="E2",0.65,IF(H68="E3",0.85,IF(H68="E4",1.00,0)))))</f>
        <v/>
      </c>
      <c r="L68" s="6">
        <f>IF(D68="N","",IF(OR(E68="",F68=""),"",IF(G68="N/A",100*((0.60*E68)+(0.40*F68))/5,IF(G68="",100*((0.60*E68)+(0.40*F68))/5,100*((0.45*E68)+(0.30*F68)+(0.25*G68))/5))))</f>
        <v/>
      </c>
      <c r="M68" s="6">
        <f>IF(D68="N","",IFERROR(VLOOKUP(A68,'P0-4_Required_Maturity'!$A$2:$I$12,9,FALSE),3))</f>
        <v/>
      </c>
      <c r="N68" s="6">
        <f>IF(OR(E68="",M68=""),"",M68-E68)</f>
        <v/>
      </c>
      <c r="O68" s="6">
        <f>IF(D68="N","N/A",IF(OR(E68="",F68="",H68=""),"INCOMPLETE",IF(AND(L68&gt;=80,H68="E0"),"REVIEW",IF(AND(L68&gt;=80,OR(I68="N",J68="N")),"CORROBORATION REVIEW","OK"))))</f>
        <v/>
      </c>
      <c r="P68" s="6" t="n"/>
    </row>
    <row r="69">
      <c r="A69" s="8" t="inlineStr">
        <is>
          <t>D06</t>
        </is>
      </c>
      <c r="B69" s="8" t="inlineStr">
        <is>
          <t>I03</t>
        </is>
      </c>
      <c r="C69" s="8" t="inlineStr">
        <is>
          <t>Learning Agency</t>
        </is>
      </c>
      <c r="D69" s="8" t="inlineStr">
        <is>
          <t>Y</t>
        </is>
      </c>
      <c r="E69" s="6" t="n"/>
      <c r="F69" s="6" t="n"/>
      <c r="G69" s="6" t="n"/>
      <c r="H69" s="8" t="inlineStr">
        <is>
          <t>E0</t>
        </is>
      </c>
      <c r="I69" s="8" t="inlineStr">
        <is>
          <t>N</t>
        </is>
      </c>
      <c r="J69" s="8" t="inlineStr">
        <is>
          <t>N</t>
        </is>
      </c>
      <c r="K69" s="6">
        <f>IF(H69="E0",0.20,IF(H69="E1",0.40,IF(H69="E2",0.65,IF(H69="E3",0.85,IF(H69="E4",1.00,0)))))</f>
        <v/>
      </c>
      <c r="L69" s="6">
        <f>IF(D69="N","",IF(OR(E69="",F69=""),"",IF(G69="N/A",100*((0.60*E69)+(0.40*F69))/5,IF(G69="",100*((0.60*E69)+(0.40*F69))/5,100*((0.45*E69)+(0.30*F69)+(0.25*G69))/5))))</f>
        <v/>
      </c>
      <c r="M69" s="6">
        <f>IF(D69="N","",IFERROR(VLOOKUP(A69,'P0-4_Required_Maturity'!$A$2:$I$12,9,FALSE),3))</f>
        <v/>
      </c>
      <c r="N69" s="6">
        <f>IF(OR(E69="",M69=""),"",M69-E69)</f>
        <v/>
      </c>
      <c r="O69" s="6">
        <f>IF(D69="N","N/A",IF(OR(E69="",F69="",H69=""),"INCOMPLETE",IF(AND(L69&gt;=80,H69="E0"),"REVIEW",IF(AND(L69&gt;=80,OR(I69="N",J69="N")),"CORROBORATION REVIEW","OK"))))</f>
        <v/>
      </c>
      <c r="P69" s="6" t="n"/>
    </row>
    <row r="70">
      <c r="A70" s="8" t="inlineStr">
        <is>
          <t>D06</t>
        </is>
      </c>
      <c r="B70" s="8" t="inlineStr">
        <is>
          <t>I04</t>
        </is>
      </c>
      <c r="C70" s="8" t="inlineStr">
        <is>
          <t>Independent Intellectual Agency</t>
        </is>
      </c>
      <c r="D70" s="8" t="inlineStr">
        <is>
          <t>Y</t>
        </is>
      </c>
      <c r="E70" s="6" t="n"/>
      <c r="F70" s="6" t="n"/>
      <c r="G70" s="6" t="n"/>
      <c r="H70" s="8" t="inlineStr">
        <is>
          <t>E0</t>
        </is>
      </c>
      <c r="I70" s="8" t="inlineStr">
        <is>
          <t>N</t>
        </is>
      </c>
      <c r="J70" s="8" t="inlineStr">
        <is>
          <t>N</t>
        </is>
      </c>
      <c r="K70" s="6">
        <f>IF(H70="E0",0.20,IF(H70="E1",0.40,IF(H70="E2",0.65,IF(H70="E3",0.85,IF(H70="E4",1.00,0)))))</f>
        <v/>
      </c>
      <c r="L70" s="6">
        <f>IF(D70="N","",IF(OR(E70="",F70=""),"",IF(G70="N/A",100*((0.60*E70)+(0.40*F70))/5,IF(G70="",100*((0.60*E70)+(0.40*F70))/5,100*((0.45*E70)+(0.30*F70)+(0.25*G70))/5))))</f>
        <v/>
      </c>
      <c r="M70" s="6">
        <f>IF(D70="N","",IFERROR(VLOOKUP(A70,'P0-4_Required_Maturity'!$A$2:$I$12,9,FALSE),3))</f>
        <v/>
      </c>
      <c r="N70" s="6">
        <f>IF(OR(E70="",M70=""),"",M70-E70)</f>
        <v/>
      </c>
      <c r="O70" s="6">
        <f>IF(D70="N","N/A",IF(OR(E70="",F70="",H70=""),"INCOMPLETE",IF(AND(L70&gt;=80,H70="E0"),"REVIEW",IF(AND(L70&gt;=80,OR(I70="N",J70="N")),"CORROBORATION REVIEW","OK"))))</f>
        <v/>
      </c>
      <c r="P70" s="6" t="n"/>
    </row>
    <row r="71">
      <c r="A71" s="8" t="inlineStr">
        <is>
          <t>D06</t>
        </is>
      </c>
      <c r="B71" s="8" t="inlineStr">
        <is>
          <t>I05</t>
        </is>
      </c>
      <c r="C71" s="8" t="inlineStr">
        <is>
          <t>Communication &amp; Defence</t>
        </is>
      </c>
      <c r="D71" s="8" t="inlineStr">
        <is>
          <t>Y</t>
        </is>
      </c>
      <c r="E71" s="6" t="n"/>
      <c r="F71" s="6" t="n"/>
      <c r="G71" s="6" t="n"/>
      <c r="H71" s="8" t="inlineStr">
        <is>
          <t>E0</t>
        </is>
      </c>
      <c r="I71" s="8" t="inlineStr">
        <is>
          <t>N</t>
        </is>
      </c>
      <c r="J71" s="8" t="inlineStr">
        <is>
          <t>N</t>
        </is>
      </c>
      <c r="K71" s="6">
        <f>IF(H71="E0",0.20,IF(H71="E1",0.40,IF(H71="E2",0.65,IF(H71="E3",0.85,IF(H71="E4",1.00,0)))))</f>
        <v/>
      </c>
      <c r="L71" s="6">
        <f>IF(D71="N","",IF(OR(E71="",F71=""),"",IF(G71="N/A",100*((0.60*E71)+(0.40*F71))/5,IF(G71="",100*((0.60*E71)+(0.40*F71))/5,100*((0.45*E71)+(0.30*F71)+(0.25*G71))/5))))</f>
        <v/>
      </c>
      <c r="M71" s="6">
        <f>IF(D71="N","",IFERROR(VLOOKUP(A71,'P0-4_Required_Maturity'!$A$2:$I$12,9,FALSE),3))</f>
        <v/>
      </c>
      <c r="N71" s="6">
        <f>IF(OR(E71="",M71=""),"",M71-E71)</f>
        <v/>
      </c>
      <c r="O71" s="6">
        <f>IF(D71="N","N/A",IF(OR(E71="",F71="",H71=""),"INCOMPLETE",IF(AND(L71&gt;=80,H71="E0"),"REVIEW",IF(AND(L71&gt;=80,OR(I71="N",J71="N")),"CORROBORATION REVIEW","OK"))))</f>
        <v/>
      </c>
      <c r="P71" s="6" t="n"/>
    </row>
    <row r="72">
      <c r="A72" s="8" t="inlineStr">
        <is>
          <t>D06</t>
        </is>
      </c>
      <c r="B72" s="8" t="inlineStr">
        <is>
          <t>I06</t>
        </is>
      </c>
      <c r="C72" s="8" t="inlineStr">
        <is>
          <t>Collaboration Capability</t>
        </is>
      </c>
      <c r="D72" s="8" t="inlineStr">
        <is>
          <t>Y</t>
        </is>
      </c>
      <c r="E72" s="6" t="n"/>
      <c r="F72" s="6" t="n"/>
      <c r="G72" s="6" t="n"/>
      <c r="H72" s="8" t="inlineStr">
        <is>
          <t>E0</t>
        </is>
      </c>
      <c r="I72" s="8" t="inlineStr">
        <is>
          <t>N</t>
        </is>
      </c>
      <c r="J72" s="8" t="inlineStr">
        <is>
          <t>N</t>
        </is>
      </c>
      <c r="K72" s="6">
        <f>IF(H72="E0",0.20,IF(H72="E1",0.40,IF(H72="E2",0.65,IF(H72="E3",0.85,IF(H72="E4",1.00,0)))))</f>
        <v/>
      </c>
      <c r="L72" s="6">
        <f>IF(D72="N","",IF(OR(E72="",F72=""),"",IF(G72="N/A",100*((0.60*E72)+(0.40*F72))/5,IF(G72="",100*((0.60*E72)+(0.40*F72))/5,100*((0.45*E72)+(0.30*F72)+(0.25*G72))/5))))</f>
        <v/>
      </c>
      <c r="M72" s="6">
        <f>IF(D72="N","",IFERROR(VLOOKUP(A72,'P0-4_Required_Maturity'!$A$2:$I$12,9,FALSE),3))</f>
        <v/>
      </c>
      <c r="N72" s="6">
        <f>IF(OR(E72="",M72=""),"",M72-E72)</f>
        <v/>
      </c>
      <c r="O72" s="6">
        <f>IF(D72="N","N/A",IF(OR(E72="",F72="",H72=""),"INCOMPLETE",IF(AND(L72&gt;=80,H72="E0"),"REVIEW",IF(AND(L72&gt;=80,OR(I72="N",J72="N")),"CORROBORATION REVIEW","OK"))))</f>
        <v/>
      </c>
      <c r="P72" s="6" t="n"/>
    </row>
    <row r="73">
      <c r="A73" s="8" t="inlineStr">
        <is>
          <t>D06</t>
        </is>
      </c>
      <c r="B73" s="8" t="inlineStr">
        <is>
          <t>I07</t>
        </is>
      </c>
      <c r="C73" s="8" t="inlineStr">
        <is>
          <t>Practical Capability</t>
        </is>
      </c>
      <c r="D73" s="8" t="inlineStr">
        <is>
          <t>Y</t>
        </is>
      </c>
      <c r="E73" s="6" t="n"/>
      <c r="F73" s="6" t="n"/>
      <c r="G73" s="6" t="n"/>
      <c r="H73" s="8" t="inlineStr">
        <is>
          <t>E0</t>
        </is>
      </c>
      <c r="I73" s="8" t="inlineStr">
        <is>
          <t>N</t>
        </is>
      </c>
      <c r="J73" s="8" t="inlineStr">
        <is>
          <t>N</t>
        </is>
      </c>
      <c r="K73" s="6">
        <f>IF(H73="E0",0.20,IF(H73="E1",0.40,IF(H73="E2",0.65,IF(H73="E3",0.85,IF(H73="E4",1.00,0)))))</f>
        <v/>
      </c>
      <c r="L73" s="6">
        <f>IF(D73="N","",IF(OR(E73="",F73=""),"",IF(G73="N/A",100*((0.60*E73)+(0.40*F73))/5,IF(G73="",100*((0.60*E73)+(0.40*F73))/5,100*((0.45*E73)+(0.30*F73)+(0.25*G73))/5))))</f>
        <v/>
      </c>
      <c r="M73" s="6">
        <f>IF(D73="N","",IFERROR(VLOOKUP(A73,'P0-4_Required_Maturity'!$A$2:$I$12,9,FALSE),3))</f>
        <v/>
      </c>
      <c r="N73" s="6">
        <f>IF(OR(E73="",M73=""),"",M73-E73)</f>
        <v/>
      </c>
      <c r="O73" s="6">
        <f>IF(D73="N","N/A",IF(OR(E73="",F73="",H73=""),"INCOMPLETE",IF(AND(L73&gt;=80,H73="E0"),"REVIEW",IF(AND(L73&gt;=80,OR(I73="N",J73="N")),"CORROBORATION REVIEW","OK"))))</f>
        <v/>
      </c>
      <c r="P73" s="6" t="n"/>
    </row>
    <row r="74">
      <c r="A74" s="8" t="inlineStr">
        <is>
          <t>D06</t>
        </is>
      </c>
      <c r="B74" s="8" t="inlineStr">
        <is>
          <t>I08</t>
        </is>
      </c>
      <c r="C74" s="8" t="inlineStr">
        <is>
          <t>Career Adaptability</t>
        </is>
      </c>
      <c r="D74" s="8" t="inlineStr">
        <is>
          <t>Y</t>
        </is>
      </c>
      <c r="E74" s="6" t="n"/>
      <c r="F74" s="6" t="n"/>
      <c r="G74" s="6" t="n"/>
      <c r="H74" s="8" t="inlineStr">
        <is>
          <t>E0</t>
        </is>
      </c>
      <c r="I74" s="8" t="inlineStr">
        <is>
          <t>N</t>
        </is>
      </c>
      <c r="J74" s="8" t="inlineStr">
        <is>
          <t>N</t>
        </is>
      </c>
      <c r="K74" s="6">
        <f>IF(H74="E0",0.20,IF(H74="E1",0.40,IF(H74="E2",0.65,IF(H74="E3",0.85,IF(H74="E4",1.00,0)))))</f>
        <v/>
      </c>
      <c r="L74" s="6">
        <f>IF(D74="N","",IF(OR(E74="",F74=""),"",IF(G74="N/A",100*((0.60*E74)+(0.40*F74))/5,IF(G74="",100*((0.60*E74)+(0.40*F74))/5,100*((0.45*E74)+(0.30*F74)+(0.25*G74))/5))))</f>
        <v/>
      </c>
      <c r="M74" s="6">
        <f>IF(D74="N","",IFERROR(VLOOKUP(A74,'P0-4_Required_Maturity'!$A$2:$I$12,9,FALSE),3))</f>
        <v/>
      </c>
      <c r="N74" s="6">
        <f>IF(OR(E74="",M74=""),"",M74-E74)</f>
        <v/>
      </c>
      <c r="O74" s="6">
        <f>IF(D74="N","N/A",IF(OR(E74="",F74="",H74=""),"INCOMPLETE",IF(AND(L74&gt;=80,H74="E0"),"REVIEW",IF(AND(L74&gt;=80,OR(I74="N",J74="N")),"CORROBORATION REVIEW","OK"))))</f>
        <v/>
      </c>
      <c r="P74" s="6" t="n"/>
    </row>
    <row r="75">
      <c r="A75" s="8" t="inlineStr">
        <is>
          <t>D06</t>
        </is>
      </c>
      <c r="B75" s="8" t="inlineStr">
        <is>
          <t>I09</t>
        </is>
      </c>
      <c r="C75" s="8" t="inlineStr">
        <is>
          <t>Portfolio &amp; Capability Signalling</t>
        </is>
      </c>
      <c r="D75" s="8" t="inlineStr">
        <is>
          <t>Y</t>
        </is>
      </c>
      <c r="E75" s="6" t="n"/>
      <c r="F75" s="6" t="n"/>
      <c r="G75" s="6" t="n"/>
      <c r="H75" s="8" t="inlineStr">
        <is>
          <t>E0</t>
        </is>
      </c>
      <c r="I75" s="8" t="inlineStr">
        <is>
          <t>N</t>
        </is>
      </c>
      <c r="J75" s="8" t="inlineStr">
        <is>
          <t>N</t>
        </is>
      </c>
      <c r="K75" s="6">
        <f>IF(H75="E0",0.20,IF(H75="E1",0.40,IF(H75="E2",0.65,IF(H75="E3",0.85,IF(H75="E4",1.00,0)))))</f>
        <v/>
      </c>
      <c r="L75" s="6">
        <f>IF(D75="N","",IF(OR(E75="",F75=""),"",IF(G75="N/A",100*((0.60*E75)+(0.40*F75))/5,IF(G75="",100*((0.60*E75)+(0.40*F75))/5,100*((0.45*E75)+(0.30*F75)+(0.25*G75))/5))))</f>
        <v/>
      </c>
      <c r="M75" s="6">
        <f>IF(D75="N","",IFERROR(VLOOKUP(A75,'P0-4_Required_Maturity'!$A$2:$I$12,9,FALSE),3))</f>
        <v/>
      </c>
      <c r="N75" s="6">
        <f>IF(OR(E75="",M75=""),"",M75-E75)</f>
        <v/>
      </c>
      <c r="O75" s="6">
        <f>IF(D75="N","N/A",IF(OR(E75="",F75="",H75=""),"INCOMPLETE",IF(AND(L75&gt;=80,H75="E0"),"REVIEW",IF(AND(L75&gt;=80,OR(I75="N",J75="N")),"CORROBORATION REVIEW","OK"))))</f>
        <v/>
      </c>
      <c r="P75" s="6" t="n"/>
    </row>
    <row r="76">
      <c r="A76" s="8" t="inlineStr">
        <is>
          <t>D06</t>
        </is>
      </c>
      <c r="B76" s="8" t="inlineStr">
        <is>
          <t>I10</t>
        </is>
      </c>
      <c r="C76" s="8" t="inlineStr">
        <is>
          <t>Problem Solving &amp; Transfer</t>
        </is>
      </c>
      <c r="D76" s="8" t="inlineStr">
        <is>
          <t>Y</t>
        </is>
      </c>
      <c r="E76" s="6" t="n"/>
      <c r="F76" s="6" t="n"/>
      <c r="G76" s="6" t="n"/>
      <c r="H76" s="8" t="inlineStr">
        <is>
          <t>E0</t>
        </is>
      </c>
      <c r="I76" s="8" t="inlineStr">
        <is>
          <t>N</t>
        </is>
      </c>
      <c r="J76" s="8" t="inlineStr">
        <is>
          <t>N</t>
        </is>
      </c>
      <c r="K76" s="6">
        <f>IF(H76="E0",0.20,IF(H76="E1",0.40,IF(H76="E2",0.65,IF(H76="E3",0.85,IF(H76="E4",1.00,0)))))</f>
        <v/>
      </c>
      <c r="L76" s="6">
        <f>IF(D76="N","",IF(OR(E76="",F76=""),"",IF(G76="N/A",100*((0.60*E76)+(0.40*F76))/5,IF(G76="",100*((0.60*E76)+(0.40*F76))/5,100*((0.45*E76)+(0.30*F76)+(0.25*G76))/5))))</f>
        <v/>
      </c>
      <c r="M76" s="6">
        <f>IF(D76="N","",IFERROR(VLOOKUP(A76,'P0-4_Required_Maturity'!$A$2:$I$12,9,FALSE),3))</f>
        <v/>
      </c>
      <c r="N76" s="6">
        <f>IF(OR(E76="",M76=""),"",M76-E76)</f>
        <v/>
      </c>
      <c r="O76" s="6">
        <f>IF(D76="N","N/A",IF(OR(E76="",F76="",H76=""),"INCOMPLETE",IF(AND(L76&gt;=80,H76="E0"),"REVIEW",IF(AND(L76&gt;=80,OR(I76="N",J76="N")),"CORROBORATION REVIEW","OK"))))</f>
        <v/>
      </c>
      <c r="P76" s="6" t="n"/>
    </row>
    <row r="77">
      <c r="A77" s="8" t="inlineStr">
        <is>
          <t>D06</t>
        </is>
      </c>
      <c r="B77" s="8" t="inlineStr">
        <is>
          <t>I11</t>
        </is>
      </c>
      <c r="C77" s="8" t="inlineStr">
        <is>
          <t>Creator &amp; Entrepreneurial Agency</t>
        </is>
      </c>
      <c r="D77" s="8" t="inlineStr">
        <is>
          <t>Y</t>
        </is>
      </c>
      <c r="E77" s="6" t="n"/>
      <c r="F77" s="6" t="n"/>
      <c r="G77" s="6" t="n"/>
      <c r="H77" s="8" t="inlineStr">
        <is>
          <t>E0</t>
        </is>
      </c>
      <c r="I77" s="8" t="inlineStr">
        <is>
          <t>N</t>
        </is>
      </c>
      <c r="J77" s="8" t="inlineStr">
        <is>
          <t>N</t>
        </is>
      </c>
      <c r="K77" s="6">
        <f>IF(H77="E0",0.20,IF(H77="E1",0.40,IF(H77="E2",0.65,IF(H77="E3",0.85,IF(H77="E4",1.00,0)))))</f>
        <v/>
      </c>
      <c r="L77" s="6">
        <f>IF(D77="N","",IF(OR(E77="",F77=""),"",IF(G77="N/A",100*((0.60*E77)+(0.40*F77))/5,IF(G77="",100*((0.60*E77)+(0.40*F77))/5,100*((0.45*E77)+(0.30*F77)+(0.25*G77))/5))))</f>
        <v/>
      </c>
      <c r="M77" s="6">
        <f>IF(D77="N","",IFERROR(VLOOKUP(A77,'P0-4_Required_Maturity'!$A$2:$I$12,9,FALSE),3))</f>
        <v/>
      </c>
      <c r="N77" s="6">
        <f>IF(OR(E77="",M77=""),"",M77-E77)</f>
        <v/>
      </c>
      <c r="O77" s="6">
        <f>IF(D77="N","N/A",IF(OR(E77="",F77="",H77=""),"INCOMPLETE",IF(AND(L77&gt;=80,H77="E0"),"REVIEW",IF(AND(L77&gt;=80,OR(I77="N",J77="N")),"CORROBORATION REVIEW","OK"))))</f>
        <v/>
      </c>
      <c r="P77" s="6" t="n"/>
    </row>
    <row r="78">
      <c r="A78" s="8" t="inlineStr">
        <is>
          <t>D06</t>
        </is>
      </c>
      <c r="B78" s="8" t="inlineStr">
        <is>
          <t>I12</t>
        </is>
      </c>
      <c r="C78" s="8" t="inlineStr">
        <is>
          <t>Digital Citizenship &amp; Responsible Use</t>
        </is>
      </c>
      <c r="D78" s="8" t="inlineStr">
        <is>
          <t>Y</t>
        </is>
      </c>
      <c r="E78" s="6" t="n"/>
      <c r="F78" s="6" t="n"/>
      <c r="G78" s="6" t="n"/>
      <c r="H78" s="8" t="inlineStr">
        <is>
          <t>E0</t>
        </is>
      </c>
      <c r="I78" s="8" t="inlineStr">
        <is>
          <t>N</t>
        </is>
      </c>
      <c r="J78" s="8" t="inlineStr">
        <is>
          <t>N</t>
        </is>
      </c>
      <c r="K78" s="6">
        <f>IF(H78="E0",0.20,IF(H78="E1",0.40,IF(H78="E2",0.65,IF(H78="E3",0.85,IF(H78="E4",1.00,0)))))</f>
        <v/>
      </c>
      <c r="L78" s="6">
        <f>IF(D78="N","",IF(OR(E78="",F78=""),"",IF(G78="N/A",100*((0.60*E78)+(0.40*F78))/5,IF(G78="",100*((0.60*E78)+(0.40*F78))/5,100*((0.45*E78)+(0.30*F78)+(0.25*G78))/5))))</f>
        <v/>
      </c>
      <c r="M78" s="6">
        <f>IF(D78="N","",IFERROR(VLOOKUP(A78,'P0-4_Required_Maturity'!$A$2:$I$12,9,FALSE),3))</f>
        <v/>
      </c>
      <c r="N78" s="6">
        <f>IF(OR(E78="",M78=""),"",M78-E78)</f>
        <v/>
      </c>
      <c r="O78" s="6">
        <f>IF(D78="N","N/A",IF(OR(E78="",F78="",H78=""),"INCOMPLETE",IF(AND(L78&gt;=80,H78="E0"),"REVIEW",IF(AND(L78&gt;=80,OR(I78="N",J78="N")),"CORROBORATION REVIEW","OK"))))</f>
        <v/>
      </c>
      <c r="P78" s="6" t="n"/>
    </row>
    <row r="79">
      <c r="A79" s="8" t="inlineStr">
        <is>
          <t>D06</t>
        </is>
      </c>
      <c r="B79" s="8" t="inlineStr">
        <is>
          <t>I13</t>
        </is>
      </c>
      <c r="C79" s="8" t="inlineStr">
        <is>
          <t>Equitable AI Access</t>
        </is>
      </c>
      <c r="D79" s="8" t="inlineStr">
        <is>
          <t>Y</t>
        </is>
      </c>
      <c r="E79" s="6" t="n"/>
      <c r="F79" s="6" t="n"/>
      <c r="G79" s="6" t="n"/>
      <c r="H79" s="8" t="inlineStr">
        <is>
          <t>E0</t>
        </is>
      </c>
      <c r="I79" s="8" t="inlineStr">
        <is>
          <t>N</t>
        </is>
      </c>
      <c r="J79" s="8" t="inlineStr">
        <is>
          <t>N</t>
        </is>
      </c>
      <c r="K79" s="6">
        <f>IF(H79="E0",0.20,IF(H79="E1",0.40,IF(H79="E2",0.65,IF(H79="E3",0.85,IF(H79="E4",1.00,0)))))</f>
        <v/>
      </c>
      <c r="L79" s="6">
        <f>IF(D79="N","",IF(OR(E79="",F79=""),"",IF(G79="N/A",100*((0.60*E79)+(0.40*F79))/5,IF(G79="",100*((0.60*E79)+(0.40*F79))/5,100*((0.45*E79)+(0.30*F79)+(0.25*G79))/5))))</f>
        <v/>
      </c>
      <c r="M79" s="6">
        <f>IF(D79="N","",IFERROR(VLOOKUP(A79,'P0-4_Required_Maturity'!$A$2:$I$12,9,FALSE),3))</f>
        <v/>
      </c>
      <c r="N79" s="6">
        <f>IF(OR(E79="",M79=""),"",M79-E79)</f>
        <v/>
      </c>
      <c r="O79" s="6">
        <f>IF(D79="N","N/A",IF(OR(E79="",F79="",H79=""),"INCOMPLETE",IF(AND(L79&gt;=80,H79="E0"),"REVIEW",IF(AND(L79&gt;=80,OR(I79="N",J79="N")),"CORROBORATION REVIEW","OK"))))</f>
        <v/>
      </c>
      <c r="P79" s="6" t="n"/>
    </row>
    <row r="80">
      <c r="A80" s="8" t="inlineStr">
        <is>
          <t>D06</t>
        </is>
      </c>
      <c r="B80" s="8" t="inlineStr">
        <is>
          <t>I14</t>
        </is>
      </c>
      <c r="C80" s="8" t="inlineStr">
        <is>
          <t>Student Voice &amp; Feedback Loop</t>
        </is>
      </c>
      <c r="D80" s="8" t="inlineStr">
        <is>
          <t>Y</t>
        </is>
      </c>
      <c r="E80" s="6" t="n"/>
      <c r="F80" s="6" t="n"/>
      <c r="G80" s="6" t="n"/>
      <c r="H80" s="8" t="inlineStr">
        <is>
          <t>E0</t>
        </is>
      </c>
      <c r="I80" s="8" t="inlineStr">
        <is>
          <t>N</t>
        </is>
      </c>
      <c r="J80" s="8" t="inlineStr">
        <is>
          <t>N</t>
        </is>
      </c>
      <c r="K80" s="6">
        <f>IF(H80="E0",0.20,IF(H80="E1",0.40,IF(H80="E2",0.65,IF(H80="E3",0.85,IF(H80="E4",1.00,0)))))</f>
        <v/>
      </c>
      <c r="L80" s="6">
        <f>IF(D80="N","",IF(OR(E80="",F80=""),"",IF(G80="N/A",100*((0.60*E80)+(0.40*F80))/5,IF(G80="",100*((0.60*E80)+(0.40*F80))/5,100*((0.45*E80)+(0.30*F80)+(0.25*G80))/5))))</f>
        <v/>
      </c>
      <c r="M80" s="6">
        <f>IF(D80="N","",IFERROR(VLOOKUP(A80,'P0-4_Required_Maturity'!$A$2:$I$12,9,FALSE),3))</f>
        <v/>
      </c>
      <c r="N80" s="6">
        <f>IF(OR(E80="",M80=""),"",M80-E80)</f>
        <v/>
      </c>
      <c r="O80" s="6">
        <f>IF(D80="N","N/A",IF(OR(E80="",F80="",H80=""),"INCOMPLETE",IF(AND(L80&gt;=80,H80="E0"),"REVIEW",IF(AND(L80&gt;=80,OR(I80="N",J80="N")),"CORROBORATION REVIEW","OK"))))</f>
        <v/>
      </c>
      <c r="P80" s="6" t="n"/>
    </row>
    <row r="81">
      <c r="A81" s="8" t="inlineStr">
        <is>
          <t>D07</t>
        </is>
      </c>
      <c r="B81" s="8" t="inlineStr">
        <is>
          <t>I01</t>
        </is>
      </c>
      <c r="C81" s="8" t="inlineStr">
        <is>
          <t>Assessment Design Maturity</t>
        </is>
      </c>
      <c r="D81" s="8" t="inlineStr">
        <is>
          <t>Y</t>
        </is>
      </c>
      <c r="E81" s="6" t="n"/>
      <c r="F81" s="6" t="n"/>
      <c r="G81" s="6" t="n"/>
      <c r="H81" s="8" t="inlineStr">
        <is>
          <t>E0</t>
        </is>
      </c>
      <c r="I81" s="8" t="inlineStr">
        <is>
          <t>N</t>
        </is>
      </c>
      <c r="J81" s="8" t="inlineStr">
        <is>
          <t>N</t>
        </is>
      </c>
      <c r="K81" s="6">
        <f>IF(H81="E0",0.20,IF(H81="E1",0.40,IF(H81="E2",0.65,IF(H81="E3",0.85,IF(H81="E4",1.00,0)))))</f>
        <v/>
      </c>
      <c r="L81" s="6">
        <f>IF(D81="N","",IF(OR(E81="",F81=""),"",IF(G81="N/A",100*((0.60*E81)+(0.40*F81))/5,IF(G81="",100*((0.60*E81)+(0.40*F81))/5,100*((0.45*E81)+(0.30*F81)+(0.25*G81))/5))))</f>
        <v/>
      </c>
      <c r="M81" s="6">
        <f>IF(D81="N","",IFERROR(VLOOKUP(A81,'P0-4_Required_Maturity'!$A$2:$I$12,9,FALSE),3))</f>
        <v/>
      </c>
      <c r="N81" s="6">
        <f>IF(OR(E81="",M81=""),"",M81-E81)</f>
        <v/>
      </c>
      <c r="O81" s="6">
        <f>IF(D81="N","N/A",IF(OR(E81="",F81="",H81=""),"INCOMPLETE",IF(AND(L81&gt;=80,H81="E0"),"REVIEW",IF(AND(L81&gt;=80,OR(I81="N",J81="N")),"CORROBORATION REVIEW","OK"))))</f>
        <v/>
      </c>
      <c r="P81" s="6" t="n"/>
    </row>
    <row r="82">
      <c r="A82" s="8" t="inlineStr">
        <is>
          <t>D07</t>
        </is>
      </c>
      <c r="B82" s="8" t="inlineStr">
        <is>
          <t>I02</t>
        </is>
      </c>
      <c r="C82" s="8" t="inlineStr">
        <is>
          <t>Cognitive Demonstration Depth</t>
        </is>
      </c>
      <c r="D82" s="8" t="inlineStr">
        <is>
          <t>Y</t>
        </is>
      </c>
      <c r="E82" s="6" t="n"/>
      <c r="F82" s="6" t="n"/>
      <c r="G82" s="6" t="n"/>
      <c r="H82" s="8" t="inlineStr">
        <is>
          <t>E0</t>
        </is>
      </c>
      <c r="I82" s="8" t="inlineStr">
        <is>
          <t>N</t>
        </is>
      </c>
      <c r="J82" s="8" t="inlineStr">
        <is>
          <t>N</t>
        </is>
      </c>
      <c r="K82" s="6">
        <f>IF(H82="E0",0.20,IF(H82="E1",0.40,IF(H82="E2",0.65,IF(H82="E3",0.85,IF(H82="E4",1.00,0)))))</f>
        <v/>
      </c>
      <c r="L82" s="6">
        <f>IF(D82="N","",IF(OR(E82="",F82=""),"",IF(G82="N/A",100*((0.60*E82)+(0.40*F82))/5,IF(G82="",100*((0.60*E82)+(0.40*F82))/5,100*((0.45*E82)+(0.30*F82)+(0.25*G82))/5))))</f>
        <v/>
      </c>
      <c r="M82" s="6">
        <f>IF(D82="N","",IFERROR(VLOOKUP(A82,'P0-4_Required_Maturity'!$A$2:$I$12,9,FALSE),3))</f>
        <v/>
      </c>
      <c r="N82" s="6">
        <f>IF(OR(E82="",M82=""),"",M82-E82)</f>
        <v/>
      </c>
      <c r="O82" s="6">
        <f>IF(D82="N","N/A",IF(OR(E82="",F82="",H82=""),"INCOMPLETE",IF(AND(L82&gt;=80,H82="E0"),"REVIEW",IF(AND(L82&gt;=80,OR(I82="N",J82="N")),"CORROBORATION REVIEW","OK"))))</f>
        <v/>
      </c>
      <c r="P82" s="6" t="n"/>
    </row>
    <row r="83">
      <c r="A83" s="8" t="inlineStr">
        <is>
          <t>D07</t>
        </is>
      </c>
      <c r="B83" s="8" t="inlineStr">
        <is>
          <t>I03</t>
        </is>
      </c>
      <c r="C83" s="8" t="inlineStr">
        <is>
          <t>Authenticity of Demonstration</t>
        </is>
      </c>
      <c r="D83" s="8" t="inlineStr">
        <is>
          <t>Y</t>
        </is>
      </c>
      <c r="E83" s="6" t="n"/>
      <c r="F83" s="6" t="n"/>
      <c r="G83" s="6" t="n"/>
      <c r="H83" s="8" t="inlineStr">
        <is>
          <t>E0</t>
        </is>
      </c>
      <c r="I83" s="8" t="inlineStr">
        <is>
          <t>N</t>
        </is>
      </c>
      <c r="J83" s="8" t="inlineStr">
        <is>
          <t>N</t>
        </is>
      </c>
      <c r="K83" s="6">
        <f>IF(H83="E0",0.20,IF(H83="E1",0.40,IF(H83="E2",0.65,IF(H83="E3",0.85,IF(H83="E4",1.00,0)))))</f>
        <v/>
      </c>
      <c r="L83" s="6">
        <f>IF(D83="N","",IF(OR(E83="",F83=""),"",IF(G83="N/A",100*((0.60*E83)+(0.40*F83))/5,IF(G83="",100*((0.60*E83)+(0.40*F83))/5,100*((0.45*E83)+(0.30*F83)+(0.25*G83))/5))))</f>
        <v/>
      </c>
      <c r="M83" s="6">
        <f>IF(D83="N","",IFERROR(VLOOKUP(A83,'P0-4_Required_Maturity'!$A$2:$I$12,9,FALSE),3))</f>
        <v/>
      </c>
      <c r="N83" s="6">
        <f>IF(OR(E83="",M83=""),"",M83-E83)</f>
        <v/>
      </c>
      <c r="O83" s="6">
        <f>IF(D83="N","N/A",IF(OR(E83="",F83="",H83=""),"INCOMPLETE",IF(AND(L83&gt;=80,H83="E0"),"REVIEW",IF(AND(L83&gt;=80,OR(I83="N",J83="N")),"CORROBORATION REVIEW","OK"))))</f>
        <v/>
      </c>
      <c r="P83" s="6" t="n"/>
    </row>
    <row r="84">
      <c r="A84" s="8" t="inlineStr">
        <is>
          <t>D07</t>
        </is>
      </c>
      <c r="B84" s="8" t="inlineStr">
        <is>
          <t>I04</t>
        </is>
      </c>
      <c r="C84" s="8" t="inlineStr">
        <is>
          <t>AI-Aware Assessment Maturity</t>
        </is>
      </c>
      <c r="D84" s="8" t="inlineStr">
        <is>
          <t>Y</t>
        </is>
      </c>
      <c r="E84" s="6" t="n"/>
      <c r="F84" s="6" t="n"/>
      <c r="G84" s="6" t="n"/>
      <c r="H84" s="8" t="inlineStr">
        <is>
          <t>E0</t>
        </is>
      </c>
      <c r="I84" s="8" t="inlineStr">
        <is>
          <t>N</t>
        </is>
      </c>
      <c r="J84" s="8" t="inlineStr">
        <is>
          <t>N</t>
        </is>
      </c>
      <c r="K84" s="6">
        <f>IF(H84="E0",0.20,IF(H84="E1",0.40,IF(H84="E2",0.65,IF(H84="E3",0.85,IF(H84="E4",1.00,0)))))</f>
        <v/>
      </c>
      <c r="L84" s="6">
        <f>IF(D84="N","",IF(OR(E84="",F84=""),"",IF(G84="N/A",100*((0.60*E84)+(0.40*F84))/5,IF(G84="",100*((0.60*E84)+(0.40*F84))/5,100*((0.45*E84)+(0.30*F84)+(0.25*G84))/5))))</f>
        <v/>
      </c>
      <c r="M84" s="6">
        <f>IF(D84="N","",IFERROR(VLOOKUP(A84,'P0-4_Required_Maturity'!$A$2:$I$12,9,FALSE),3))</f>
        <v/>
      </c>
      <c r="N84" s="6">
        <f>IF(OR(E84="",M84=""),"",M84-E84)</f>
        <v/>
      </c>
      <c r="O84" s="6">
        <f>IF(D84="N","N/A",IF(OR(E84="",F84="",H84=""),"INCOMPLETE",IF(AND(L84&gt;=80,H84="E0"),"REVIEW",IF(AND(L84&gt;=80,OR(I84="N",J84="N")),"CORROBORATION REVIEW","OK"))))</f>
        <v/>
      </c>
      <c r="P84" s="6" t="n"/>
    </row>
    <row r="85">
      <c r="A85" s="8" t="inlineStr">
        <is>
          <t>D07</t>
        </is>
      </c>
      <c r="B85" s="8" t="inlineStr">
        <is>
          <t>I05</t>
        </is>
      </c>
      <c r="C85" s="8" t="inlineStr">
        <is>
          <t>Verification &amp; Defence</t>
        </is>
      </c>
      <c r="D85" s="8" t="inlineStr">
        <is>
          <t>Y</t>
        </is>
      </c>
      <c r="E85" s="6" t="n"/>
      <c r="F85" s="6" t="n"/>
      <c r="G85" s="6" t="n"/>
      <c r="H85" s="8" t="inlineStr">
        <is>
          <t>E0</t>
        </is>
      </c>
      <c r="I85" s="8" t="inlineStr">
        <is>
          <t>N</t>
        </is>
      </c>
      <c r="J85" s="8" t="inlineStr">
        <is>
          <t>N</t>
        </is>
      </c>
      <c r="K85" s="6">
        <f>IF(H85="E0",0.20,IF(H85="E1",0.40,IF(H85="E2",0.65,IF(H85="E3",0.85,IF(H85="E4",1.00,0)))))</f>
        <v/>
      </c>
      <c r="L85" s="6">
        <f>IF(D85="N","",IF(OR(E85="",F85=""),"",IF(G85="N/A",100*((0.60*E85)+(0.40*F85))/5,IF(G85="",100*((0.60*E85)+(0.40*F85))/5,100*((0.45*E85)+(0.30*F85)+(0.25*G85))/5))))</f>
        <v/>
      </c>
      <c r="M85" s="6">
        <f>IF(D85="N","",IFERROR(VLOOKUP(A85,'P0-4_Required_Maturity'!$A$2:$I$12,9,FALSE),3))</f>
        <v/>
      </c>
      <c r="N85" s="6">
        <f>IF(OR(E85="",M85=""),"",M85-E85)</f>
        <v/>
      </c>
      <c r="O85" s="6">
        <f>IF(D85="N","N/A",IF(OR(E85="",F85="",H85=""),"INCOMPLETE",IF(AND(L85&gt;=80,H85="E0"),"REVIEW",IF(AND(L85&gt;=80,OR(I85="N",J85="N")),"CORROBORATION REVIEW","OK"))))</f>
        <v/>
      </c>
      <c r="P85" s="6" t="n"/>
    </row>
    <row r="86">
      <c r="A86" s="8" t="inlineStr">
        <is>
          <t>D07</t>
        </is>
      </c>
      <c r="B86" s="8" t="inlineStr">
        <is>
          <t>I06</t>
        </is>
      </c>
      <c r="C86" s="8" t="inlineStr">
        <is>
          <t>Feedback Intelligence</t>
        </is>
      </c>
      <c r="D86" s="8" t="inlineStr">
        <is>
          <t>Y</t>
        </is>
      </c>
      <c r="E86" s="6" t="n"/>
      <c r="F86" s="6" t="n"/>
      <c r="G86" s="6" t="n"/>
      <c r="H86" s="8" t="inlineStr">
        <is>
          <t>E0</t>
        </is>
      </c>
      <c r="I86" s="8" t="inlineStr">
        <is>
          <t>N</t>
        </is>
      </c>
      <c r="J86" s="8" t="inlineStr">
        <is>
          <t>N</t>
        </is>
      </c>
      <c r="K86" s="6">
        <f>IF(H86="E0",0.20,IF(H86="E1",0.40,IF(H86="E2",0.65,IF(H86="E3",0.85,IF(H86="E4",1.00,0)))))</f>
        <v/>
      </c>
      <c r="L86" s="6">
        <f>IF(D86="N","",IF(OR(E86="",F86=""),"",IF(G86="N/A",100*((0.60*E86)+(0.40*F86))/5,IF(G86="",100*((0.60*E86)+(0.40*F86))/5,100*((0.45*E86)+(0.30*F86)+(0.25*G86))/5))))</f>
        <v/>
      </c>
      <c r="M86" s="6">
        <f>IF(D86="N","",IFERROR(VLOOKUP(A86,'P0-4_Required_Maturity'!$A$2:$I$12,9,FALSE),3))</f>
        <v/>
      </c>
      <c r="N86" s="6">
        <f>IF(OR(E86="",M86=""),"",M86-E86)</f>
        <v/>
      </c>
      <c r="O86" s="6">
        <f>IF(D86="N","N/A",IF(OR(E86="",F86="",H86=""),"INCOMPLETE",IF(AND(L86&gt;=80,H86="E0"),"REVIEW",IF(AND(L86&gt;=80,OR(I86="N",J86="N")),"CORROBORATION REVIEW","OK"))))</f>
        <v/>
      </c>
      <c r="P86" s="6" t="n"/>
    </row>
    <row r="87">
      <c r="A87" s="8" t="inlineStr">
        <is>
          <t>D07</t>
        </is>
      </c>
      <c r="B87" s="8" t="inlineStr">
        <is>
          <t>I07</t>
        </is>
      </c>
      <c r="C87" s="8" t="inlineStr">
        <is>
          <t>Evidence of Learning</t>
        </is>
      </c>
      <c r="D87" s="8" t="inlineStr">
        <is>
          <t>Y</t>
        </is>
      </c>
      <c r="E87" s="6" t="n"/>
      <c r="F87" s="6" t="n"/>
      <c r="G87" s="6" t="n"/>
      <c r="H87" s="8" t="inlineStr">
        <is>
          <t>E0</t>
        </is>
      </c>
      <c r="I87" s="8" t="inlineStr">
        <is>
          <t>N</t>
        </is>
      </c>
      <c r="J87" s="8" t="inlineStr">
        <is>
          <t>N</t>
        </is>
      </c>
      <c r="K87" s="6">
        <f>IF(H87="E0",0.20,IF(H87="E1",0.40,IF(H87="E2",0.65,IF(H87="E3",0.85,IF(H87="E4",1.00,0)))))</f>
        <v/>
      </c>
      <c r="L87" s="6">
        <f>IF(D87="N","",IF(OR(E87="",F87=""),"",IF(G87="N/A",100*((0.60*E87)+(0.40*F87))/5,IF(G87="",100*((0.60*E87)+(0.40*F87))/5,100*((0.45*E87)+(0.30*F87)+(0.25*G87))/5))))</f>
        <v/>
      </c>
      <c r="M87" s="6">
        <f>IF(D87="N","",IFERROR(VLOOKUP(A87,'P0-4_Required_Maturity'!$A$2:$I$12,9,FALSE),3))</f>
        <v/>
      </c>
      <c r="N87" s="6">
        <f>IF(OR(E87="",M87=""),"",M87-E87)</f>
        <v/>
      </c>
      <c r="O87" s="6">
        <f>IF(D87="N","N/A",IF(OR(E87="",F87="",H87=""),"INCOMPLETE",IF(AND(L87&gt;=80,H87="E0"),"REVIEW",IF(AND(L87&gt;=80,OR(I87="N",J87="N")),"CORROBORATION REVIEW","OK"))))</f>
        <v/>
      </c>
      <c r="P87" s="6" t="n"/>
    </row>
    <row r="88">
      <c r="A88" s="8" t="inlineStr">
        <is>
          <t>D07</t>
        </is>
      </c>
      <c r="B88" s="8" t="inlineStr">
        <is>
          <t>I08</t>
        </is>
      </c>
      <c r="C88" s="8" t="inlineStr">
        <is>
          <t>Capability Outcome Measurement</t>
        </is>
      </c>
      <c r="D88" s="8" t="inlineStr">
        <is>
          <t>Y</t>
        </is>
      </c>
      <c r="E88" s="6" t="n"/>
      <c r="F88" s="6" t="n"/>
      <c r="G88" s="6" t="n"/>
      <c r="H88" s="8" t="inlineStr">
        <is>
          <t>E0</t>
        </is>
      </c>
      <c r="I88" s="8" t="inlineStr">
        <is>
          <t>N</t>
        </is>
      </c>
      <c r="J88" s="8" t="inlineStr">
        <is>
          <t>N</t>
        </is>
      </c>
      <c r="K88" s="6">
        <f>IF(H88="E0",0.20,IF(H88="E1",0.40,IF(H88="E2",0.65,IF(H88="E3",0.85,IF(H88="E4",1.00,0)))))</f>
        <v/>
      </c>
      <c r="L88" s="6">
        <f>IF(D88="N","",IF(OR(E88="",F88=""),"",IF(G88="N/A",100*((0.60*E88)+(0.40*F88))/5,IF(G88="",100*((0.60*E88)+(0.40*F88))/5,100*((0.45*E88)+(0.30*F88)+(0.25*G88))/5))))</f>
        <v/>
      </c>
      <c r="M88" s="6">
        <f>IF(D88="N","",IFERROR(VLOOKUP(A88,'P0-4_Required_Maturity'!$A$2:$I$12,9,FALSE),3))</f>
        <v/>
      </c>
      <c r="N88" s="6">
        <f>IF(OR(E88="",M88=""),"",M88-E88)</f>
        <v/>
      </c>
      <c r="O88" s="6">
        <f>IF(D88="N","N/A",IF(OR(E88="",F88="",H88=""),"INCOMPLETE",IF(AND(L88&gt;=80,H88="E0"),"REVIEW",IF(AND(L88&gt;=80,OR(I88="N",J88="N")),"CORROBORATION REVIEW","OK"))))</f>
        <v/>
      </c>
      <c r="P88" s="6" t="n"/>
    </row>
    <row r="89">
      <c r="A89" s="8" t="inlineStr">
        <is>
          <t>D07</t>
        </is>
      </c>
      <c r="B89" s="8" t="inlineStr">
        <is>
          <t>I09</t>
        </is>
      </c>
      <c r="C89" s="8" t="inlineStr">
        <is>
          <t>Assessment Equity &amp; Access</t>
        </is>
      </c>
      <c r="D89" s="8" t="inlineStr">
        <is>
          <t>Y</t>
        </is>
      </c>
      <c r="E89" s="6" t="n"/>
      <c r="F89" s="6" t="n"/>
      <c r="G89" s="6" t="n"/>
      <c r="H89" s="8" t="inlineStr">
        <is>
          <t>E0</t>
        </is>
      </c>
      <c r="I89" s="8" t="inlineStr">
        <is>
          <t>N</t>
        </is>
      </c>
      <c r="J89" s="8" t="inlineStr">
        <is>
          <t>N</t>
        </is>
      </c>
      <c r="K89" s="6">
        <f>IF(H89="E0",0.20,IF(H89="E1",0.40,IF(H89="E2",0.65,IF(H89="E3",0.85,IF(H89="E4",1.00,0)))))</f>
        <v/>
      </c>
      <c r="L89" s="6">
        <f>IF(D89="N","",IF(OR(E89="",F89=""),"",IF(G89="N/A",100*((0.60*E89)+(0.40*F89))/5,IF(G89="",100*((0.60*E89)+(0.40*F89))/5,100*((0.45*E89)+(0.30*F89)+(0.25*G89))/5))))</f>
        <v/>
      </c>
      <c r="M89" s="6">
        <f>IF(D89="N","",IFERROR(VLOOKUP(A89,'P0-4_Required_Maturity'!$A$2:$I$12,9,FALSE),3))</f>
        <v/>
      </c>
      <c r="N89" s="6">
        <f>IF(OR(E89="",M89=""),"",M89-E89)</f>
        <v/>
      </c>
      <c r="O89" s="6">
        <f>IF(D89="N","N/A",IF(OR(E89="",F89="",H89=""),"INCOMPLETE",IF(AND(L89&gt;=80,H89="E0"),"REVIEW",IF(AND(L89&gt;=80,OR(I89="N",J89="N")),"CORROBORATION REVIEW","OK"))))</f>
        <v/>
      </c>
      <c r="P89" s="6" t="n"/>
    </row>
    <row r="90">
      <c r="A90" s="8" t="inlineStr">
        <is>
          <t>D07</t>
        </is>
      </c>
      <c r="B90" s="8" t="inlineStr">
        <is>
          <t>I10</t>
        </is>
      </c>
      <c r="C90" s="8" t="inlineStr">
        <is>
          <t>Assessment Governance</t>
        </is>
      </c>
      <c r="D90" s="8" t="inlineStr">
        <is>
          <t>Y</t>
        </is>
      </c>
      <c r="E90" s="6" t="n"/>
      <c r="F90" s="6" t="n"/>
      <c r="G90" s="6" t="n"/>
      <c r="H90" s="8" t="inlineStr">
        <is>
          <t>E0</t>
        </is>
      </c>
      <c r="I90" s="8" t="inlineStr">
        <is>
          <t>N</t>
        </is>
      </c>
      <c r="J90" s="8" t="inlineStr">
        <is>
          <t>N</t>
        </is>
      </c>
      <c r="K90" s="6">
        <f>IF(H90="E0",0.20,IF(H90="E1",0.40,IF(H90="E2",0.65,IF(H90="E3",0.85,IF(H90="E4",1.00,0)))))</f>
        <v/>
      </c>
      <c r="L90" s="6">
        <f>IF(D90="N","",IF(OR(E90="",F90=""),"",IF(G90="N/A",100*((0.60*E90)+(0.40*F90))/5,IF(G90="",100*((0.60*E90)+(0.40*F90))/5,100*((0.45*E90)+(0.30*F90)+(0.25*G90))/5))))</f>
        <v/>
      </c>
      <c r="M90" s="6">
        <f>IF(D90="N","",IFERROR(VLOOKUP(A90,'P0-4_Required_Maturity'!$A$2:$I$12,9,FALSE),3))</f>
        <v/>
      </c>
      <c r="N90" s="6">
        <f>IF(OR(E90="",M90=""),"",M90-E90)</f>
        <v/>
      </c>
      <c r="O90" s="6">
        <f>IF(D90="N","N/A",IF(OR(E90="",F90="",H90=""),"INCOMPLETE",IF(AND(L90&gt;=80,H90="E0"),"REVIEW",IF(AND(L90&gt;=80,OR(I90="N",J90="N")),"CORROBORATION REVIEW","OK"))))</f>
        <v/>
      </c>
      <c r="P90" s="6" t="n"/>
    </row>
    <row r="91">
      <c r="A91" s="8" t="inlineStr">
        <is>
          <t>D07</t>
        </is>
      </c>
      <c r="B91" s="8" t="inlineStr">
        <is>
          <t>I11</t>
        </is>
      </c>
      <c r="C91" s="8" t="inlineStr">
        <is>
          <t>Assessment Innovation</t>
        </is>
      </c>
      <c r="D91" s="8" t="inlineStr">
        <is>
          <t>Y</t>
        </is>
      </c>
      <c r="E91" s="6" t="n"/>
      <c r="F91" s="6" t="n"/>
      <c r="G91" s="6" t="n"/>
      <c r="H91" s="8" t="inlineStr">
        <is>
          <t>E0</t>
        </is>
      </c>
      <c r="I91" s="8" t="inlineStr">
        <is>
          <t>N</t>
        </is>
      </c>
      <c r="J91" s="8" t="inlineStr">
        <is>
          <t>N</t>
        </is>
      </c>
      <c r="K91" s="6">
        <f>IF(H91="E0",0.20,IF(H91="E1",0.40,IF(H91="E2",0.65,IF(H91="E3",0.85,IF(H91="E4",1.00,0)))))</f>
        <v/>
      </c>
      <c r="L91" s="6">
        <f>IF(D91="N","",IF(OR(E91="",F91=""),"",IF(G91="N/A",100*((0.60*E91)+(0.40*F91))/5,IF(G91="",100*((0.60*E91)+(0.40*F91))/5,100*((0.45*E91)+(0.30*F91)+(0.25*G91))/5))))</f>
        <v/>
      </c>
      <c r="M91" s="6">
        <f>IF(D91="N","",IFERROR(VLOOKUP(A91,'P0-4_Required_Maturity'!$A$2:$I$12,9,FALSE),3))</f>
        <v/>
      </c>
      <c r="N91" s="6">
        <f>IF(OR(E91="",M91=""),"",M91-E91)</f>
        <v/>
      </c>
      <c r="O91" s="6">
        <f>IF(D91="N","N/A",IF(OR(E91="",F91="",H91=""),"INCOMPLETE",IF(AND(L91&gt;=80,H91="E0"),"REVIEW",IF(AND(L91&gt;=80,OR(I91="N",J91="N")),"CORROBORATION REVIEW","OK"))))</f>
        <v/>
      </c>
      <c r="P91" s="6" t="n"/>
    </row>
    <row r="92">
      <c r="A92" s="8" t="inlineStr">
        <is>
          <t>D07</t>
        </is>
      </c>
      <c r="B92" s="8" t="inlineStr">
        <is>
          <t>I12</t>
        </is>
      </c>
      <c r="C92" s="8" t="inlineStr">
        <is>
          <t>Learning Evidence Analytics</t>
        </is>
      </c>
      <c r="D92" s="8" t="inlineStr">
        <is>
          <t>Y</t>
        </is>
      </c>
      <c r="E92" s="6" t="n"/>
      <c r="F92" s="6" t="n"/>
      <c r="G92" s="6" t="n"/>
      <c r="H92" s="8" t="inlineStr">
        <is>
          <t>E0</t>
        </is>
      </c>
      <c r="I92" s="8" t="inlineStr">
        <is>
          <t>N</t>
        </is>
      </c>
      <c r="J92" s="8" t="inlineStr">
        <is>
          <t>N</t>
        </is>
      </c>
      <c r="K92" s="6">
        <f>IF(H92="E0",0.20,IF(H92="E1",0.40,IF(H92="E2",0.65,IF(H92="E3",0.85,IF(H92="E4",1.00,0)))))</f>
        <v/>
      </c>
      <c r="L92" s="6">
        <f>IF(D92="N","",IF(OR(E92="",F92=""),"",IF(G92="N/A",100*((0.60*E92)+(0.40*F92))/5,IF(G92="",100*((0.60*E92)+(0.40*F92))/5,100*((0.45*E92)+(0.30*F92)+(0.25*G92))/5))))</f>
        <v/>
      </c>
      <c r="M92" s="6">
        <f>IF(D92="N","",IFERROR(VLOOKUP(A92,'P0-4_Required_Maturity'!$A$2:$I$12,9,FALSE),3))</f>
        <v/>
      </c>
      <c r="N92" s="6">
        <f>IF(OR(E92="",M92=""),"",M92-E92)</f>
        <v/>
      </c>
      <c r="O92" s="6">
        <f>IF(D92="N","N/A",IF(OR(E92="",F92="",H92=""),"INCOMPLETE",IF(AND(L92&gt;=80,H92="E0"),"REVIEW",IF(AND(L92&gt;=80,OR(I92="N",J92="N")),"CORROBORATION REVIEW","OK"))))</f>
        <v/>
      </c>
      <c r="P92" s="6" t="n"/>
    </row>
    <row r="93">
      <c r="A93" s="8" t="inlineStr">
        <is>
          <t>D08</t>
        </is>
      </c>
      <c r="B93" s="8" t="inlineStr">
        <is>
          <t>I01</t>
        </is>
      </c>
      <c r="C93" s="8" t="inlineStr">
        <is>
          <t>Digital Environment Readiness</t>
        </is>
      </c>
      <c r="D93" s="8" t="inlineStr">
        <is>
          <t>Y</t>
        </is>
      </c>
      <c r="E93" s="6" t="n"/>
      <c r="F93" s="6" t="n"/>
      <c r="G93" s="6" t="n"/>
      <c r="H93" s="8" t="inlineStr">
        <is>
          <t>E0</t>
        </is>
      </c>
      <c r="I93" s="8" t="inlineStr">
        <is>
          <t>N</t>
        </is>
      </c>
      <c r="J93" s="8" t="inlineStr">
        <is>
          <t>N</t>
        </is>
      </c>
      <c r="K93" s="6">
        <f>IF(H93="E0",0.20,IF(H93="E1",0.40,IF(H93="E2",0.65,IF(H93="E3",0.85,IF(H93="E4",1.00,0)))))</f>
        <v/>
      </c>
      <c r="L93" s="6">
        <f>IF(D93="N","",IF(OR(E93="",F93=""),"",IF(G93="N/A",100*((0.60*E93)+(0.40*F93))/5,IF(G93="",100*((0.60*E93)+(0.40*F93))/5,100*((0.45*E93)+(0.30*F93)+(0.25*G93))/5))))</f>
        <v/>
      </c>
      <c r="M93" s="6">
        <f>IF(D93="N","",IFERROR(VLOOKUP(A93,'P0-4_Required_Maturity'!$A$2:$I$12,9,FALSE),3))</f>
        <v/>
      </c>
      <c r="N93" s="6">
        <f>IF(OR(E93="",M93=""),"",M93-E93)</f>
        <v/>
      </c>
      <c r="O93" s="6">
        <f>IF(D93="N","N/A",IF(OR(E93="",F93="",H93=""),"INCOMPLETE",IF(AND(L93&gt;=80,H93="E0"),"REVIEW",IF(AND(L93&gt;=80,OR(I93="N",J93="N")),"CORROBORATION REVIEW","OK"))))</f>
        <v/>
      </c>
      <c r="P93" s="6" t="n"/>
    </row>
    <row r="94">
      <c r="A94" s="8" t="inlineStr">
        <is>
          <t>D08</t>
        </is>
      </c>
      <c r="B94" s="8" t="inlineStr">
        <is>
          <t>I02</t>
        </is>
      </c>
      <c r="C94" s="8" t="inlineStr">
        <is>
          <t>Institutional Data Architecture</t>
        </is>
      </c>
      <c r="D94" s="8" t="inlineStr">
        <is>
          <t>Y</t>
        </is>
      </c>
      <c r="E94" s="6" t="n"/>
      <c r="F94" s="6" t="n"/>
      <c r="G94" s="6" t="n"/>
      <c r="H94" s="8" t="inlineStr">
        <is>
          <t>E0</t>
        </is>
      </c>
      <c r="I94" s="8" t="inlineStr">
        <is>
          <t>N</t>
        </is>
      </c>
      <c r="J94" s="8" t="inlineStr">
        <is>
          <t>N</t>
        </is>
      </c>
      <c r="K94" s="6">
        <f>IF(H94="E0",0.20,IF(H94="E1",0.40,IF(H94="E2",0.65,IF(H94="E3",0.85,IF(H94="E4",1.00,0)))))</f>
        <v/>
      </c>
      <c r="L94" s="6">
        <f>IF(D94="N","",IF(OR(E94="",F94=""),"",IF(G94="N/A",100*((0.60*E94)+(0.40*F94))/5,IF(G94="",100*((0.60*E94)+(0.40*F94))/5,100*((0.45*E94)+(0.30*F94)+(0.25*G94))/5))))</f>
        <v/>
      </c>
      <c r="M94" s="6">
        <f>IF(D94="N","",IFERROR(VLOOKUP(A94,'P0-4_Required_Maturity'!$A$2:$I$12,9,FALSE),3))</f>
        <v/>
      </c>
      <c r="N94" s="6">
        <f>IF(OR(E94="",M94=""),"",M94-E94)</f>
        <v/>
      </c>
      <c r="O94" s="6">
        <f>IF(D94="N","N/A",IF(OR(E94="",F94="",H94=""),"INCOMPLETE",IF(AND(L94&gt;=80,H94="E0"),"REVIEW",IF(AND(L94&gt;=80,OR(I94="N",J94="N")),"CORROBORATION REVIEW","OK"))))</f>
        <v/>
      </c>
      <c r="P94" s="6" t="n"/>
    </row>
    <row r="95">
      <c r="A95" s="8" t="inlineStr">
        <is>
          <t>D08</t>
        </is>
      </c>
      <c r="B95" s="8" t="inlineStr">
        <is>
          <t>I03</t>
        </is>
      </c>
      <c r="C95" s="8" t="inlineStr">
        <is>
          <t>Data Quality &amp; Integrity</t>
        </is>
      </c>
      <c r="D95" s="8" t="inlineStr">
        <is>
          <t>Y</t>
        </is>
      </c>
      <c r="E95" s="6" t="n"/>
      <c r="F95" s="6" t="n"/>
      <c r="G95" s="6" t="n"/>
      <c r="H95" s="8" t="inlineStr">
        <is>
          <t>E0</t>
        </is>
      </c>
      <c r="I95" s="8" t="inlineStr">
        <is>
          <t>N</t>
        </is>
      </c>
      <c r="J95" s="8" t="inlineStr">
        <is>
          <t>N</t>
        </is>
      </c>
      <c r="K95" s="6">
        <f>IF(H95="E0",0.20,IF(H95="E1",0.40,IF(H95="E2",0.65,IF(H95="E3",0.85,IF(H95="E4",1.00,0)))))</f>
        <v/>
      </c>
      <c r="L95" s="6">
        <f>IF(D95="N","",IF(OR(E95="",F95=""),"",IF(G95="N/A",100*((0.60*E95)+(0.40*F95))/5,IF(G95="",100*((0.60*E95)+(0.40*F95))/5,100*((0.45*E95)+(0.30*F95)+(0.25*G95))/5))))</f>
        <v/>
      </c>
      <c r="M95" s="6">
        <f>IF(D95="N","",IFERROR(VLOOKUP(A95,'P0-4_Required_Maturity'!$A$2:$I$12,9,FALSE),3))</f>
        <v/>
      </c>
      <c r="N95" s="6">
        <f>IF(OR(E95="",M95=""),"",M95-E95)</f>
        <v/>
      </c>
      <c r="O95" s="6">
        <f>IF(D95="N","N/A",IF(OR(E95="",F95="",H95=""),"INCOMPLETE",IF(AND(L95&gt;=80,H95="E0"),"REVIEW",IF(AND(L95&gt;=80,OR(I95="N",J95="N")),"CORROBORATION REVIEW","OK"))))</f>
        <v/>
      </c>
      <c r="P95" s="6" t="n"/>
    </row>
    <row r="96">
      <c r="A96" s="8" t="inlineStr">
        <is>
          <t>D08</t>
        </is>
      </c>
      <c r="B96" s="8" t="inlineStr">
        <is>
          <t>I04</t>
        </is>
      </c>
      <c r="C96" s="8" t="inlineStr">
        <is>
          <t>System Interoperability</t>
        </is>
      </c>
      <c r="D96" s="8" t="inlineStr">
        <is>
          <t>Y</t>
        </is>
      </c>
      <c r="E96" s="6" t="n"/>
      <c r="F96" s="6" t="n"/>
      <c r="G96" s="6" t="n"/>
      <c r="H96" s="8" t="inlineStr">
        <is>
          <t>E0</t>
        </is>
      </c>
      <c r="I96" s="8" t="inlineStr">
        <is>
          <t>N</t>
        </is>
      </c>
      <c r="J96" s="8" t="inlineStr">
        <is>
          <t>N</t>
        </is>
      </c>
      <c r="K96" s="6">
        <f>IF(H96="E0",0.20,IF(H96="E1",0.40,IF(H96="E2",0.65,IF(H96="E3",0.85,IF(H96="E4",1.00,0)))))</f>
        <v/>
      </c>
      <c r="L96" s="6">
        <f>IF(D96="N","",IF(OR(E96="",F96=""),"",IF(G96="N/A",100*((0.60*E96)+(0.40*F96))/5,IF(G96="",100*((0.60*E96)+(0.40*F96))/5,100*((0.45*E96)+(0.30*F96)+(0.25*G96))/5))))</f>
        <v/>
      </c>
      <c r="M96" s="6">
        <f>IF(D96="N","",IFERROR(VLOOKUP(A96,'P0-4_Required_Maturity'!$A$2:$I$12,9,FALSE),3))</f>
        <v/>
      </c>
      <c r="N96" s="6">
        <f>IF(OR(E96="",M96=""),"",M96-E96)</f>
        <v/>
      </c>
      <c r="O96" s="6">
        <f>IF(D96="N","N/A",IF(OR(E96="",F96="",H96=""),"INCOMPLETE",IF(AND(L96&gt;=80,H96="E0"),"REVIEW",IF(AND(L96&gt;=80,OR(I96="N",J96="N")),"CORROBORATION REVIEW","OK"))))</f>
        <v/>
      </c>
      <c r="P96" s="6" t="n"/>
    </row>
    <row r="97">
      <c r="A97" s="8" t="inlineStr">
        <is>
          <t>D08</t>
        </is>
      </c>
      <c r="B97" s="8" t="inlineStr">
        <is>
          <t>I05</t>
        </is>
      </c>
      <c r="C97" s="8" t="inlineStr">
        <is>
          <t>Decision Intelligence</t>
        </is>
      </c>
      <c r="D97" s="8" t="inlineStr">
        <is>
          <t>Y</t>
        </is>
      </c>
      <c r="E97" s="6" t="n"/>
      <c r="F97" s="6" t="n"/>
      <c r="G97" s="6" t="n"/>
      <c r="H97" s="8" t="inlineStr">
        <is>
          <t>E0</t>
        </is>
      </c>
      <c r="I97" s="8" t="inlineStr">
        <is>
          <t>N</t>
        </is>
      </c>
      <c r="J97" s="8" t="inlineStr">
        <is>
          <t>N</t>
        </is>
      </c>
      <c r="K97" s="6">
        <f>IF(H97="E0",0.20,IF(H97="E1",0.40,IF(H97="E2",0.65,IF(H97="E3",0.85,IF(H97="E4",1.00,0)))))</f>
        <v/>
      </c>
      <c r="L97" s="6">
        <f>IF(D97="N","",IF(OR(E97="",F97=""),"",IF(G97="N/A",100*((0.60*E97)+(0.40*F97))/5,IF(G97="",100*((0.60*E97)+(0.40*F97))/5,100*((0.45*E97)+(0.30*F97)+(0.25*G97))/5))))</f>
        <v/>
      </c>
      <c r="M97" s="6">
        <f>IF(D97="N","",IFERROR(VLOOKUP(A97,'P0-4_Required_Maturity'!$A$2:$I$12,9,FALSE),3))</f>
        <v/>
      </c>
      <c r="N97" s="6">
        <f>IF(OR(E97="",M97=""),"",M97-E97)</f>
        <v/>
      </c>
      <c r="O97" s="6">
        <f>IF(D97="N","N/A",IF(OR(E97="",F97="",H97=""),"INCOMPLETE",IF(AND(L97&gt;=80,H97="E0"),"REVIEW",IF(AND(L97&gt;=80,OR(I97="N",J97="N")),"CORROBORATION REVIEW","OK"))))</f>
        <v/>
      </c>
      <c r="P97" s="6" t="n"/>
    </row>
    <row r="98">
      <c r="A98" s="8" t="inlineStr">
        <is>
          <t>D08</t>
        </is>
      </c>
      <c r="B98" s="8" t="inlineStr">
        <is>
          <t>I06</t>
        </is>
      </c>
      <c r="C98" s="8" t="inlineStr">
        <is>
          <t>AI Enablement Readiness</t>
        </is>
      </c>
      <c r="D98" s="8" t="inlineStr">
        <is>
          <t>Y</t>
        </is>
      </c>
      <c r="E98" s="6" t="n"/>
      <c r="F98" s="6" t="n"/>
      <c r="G98" s="6" t="n"/>
      <c r="H98" s="8" t="inlineStr">
        <is>
          <t>E0</t>
        </is>
      </c>
      <c r="I98" s="8" t="inlineStr">
        <is>
          <t>N</t>
        </is>
      </c>
      <c r="J98" s="8" t="inlineStr">
        <is>
          <t>N</t>
        </is>
      </c>
      <c r="K98" s="6">
        <f>IF(H98="E0",0.20,IF(H98="E1",0.40,IF(H98="E2",0.65,IF(H98="E3",0.85,IF(H98="E4",1.00,0)))))</f>
        <v/>
      </c>
      <c r="L98" s="6">
        <f>IF(D98="N","",IF(OR(E98="",F98=""),"",IF(G98="N/A",100*((0.60*E98)+(0.40*F98))/5,IF(G98="",100*((0.60*E98)+(0.40*F98))/5,100*((0.45*E98)+(0.30*F98)+(0.25*G98))/5))))</f>
        <v/>
      </c>
      <c r="M98" s="6">
        <f>IF(D98="N","",IFERROR(VLOOKUP(A98,'P0-4_Required_Maturity'!$A$2:$I$12,9,FALSE),3))</f>
        <v/>
      </c>
      <c r="N98" s="6">
        <f>IF(OR(E98="",M98=""),"",M98-E98)</f>
        <v/>
      </c>
      <c r="O98" s="6">
        <f>IF(D98="N","N/A",IF(OR(E98="",F98="",H98=""),"INCOMPLETE",IF(AND(L98&gt;=80,H98="E0"),"REVIEW",IF(AND(L98&gt;=80,OR(I98="N",J98="N")),"CORROBORATION REVIEW","OK"))))</f>
        <v/>
      </c>
      <c r="P98" s="6" t="n"/>
    </row>
    <row r="99">
      <c r="A99" s="8" t="inlineStr">
        <is>
          <t>D08</t>
        </is>
      </c>
      <c r="B99" s="8" t="inlineStr">
        <is>
          <t>I07</t>
        </is>
      </c>
      <c r="C99" s="8" t="inlineStr">
        <is>
          <t>Cyber &amp; Information Security</t>
        </is>
      </c>
      <c r="D99" s="8" t="inlineStr">
        <is>
          <t>Y</t>
        </is>
      </c>
      <c r="E99" s="6" t="n"/>
      <c r="F99" s="6" t="n"/>
      <c r="G99" s="6" t="n"/>
      <c r="H99" s="8" t="inlineStr">
        <is>
          <t>E0</t>
        </is>
      </c>
      <c r="I99" s="8" t="inlineStr">
        <is>
          <t>N</t>
        </is>
      </c>
      <c r="J99" s="8" t="inlineStr">
        <is>
          <t>N</t>
        </is>
      </c>
      <c r="K99" s="6">
        <f>IF(H99="E0",0.20,IF(H99="E1",0.40,IF(H99="E2",0.65,IF(H99="E3",0.85,IF(H99="E4",1.00,0)))))</f>
        <v/>
      </c>
      <c r="L99" s="6">
        <f>IF(D99="N","",IF(OR(E99="",F99=""),"",IF(G99="N/A",100*((0.60*E99)+(0.40*F99))/5,IF(G99="",100*((0.60*E99)+(0.40*F99))/5,100*((0.45*E99)+(0.30*F99)+(0.25*G99))/5))))</f>
        <v/>
      </c>
      <c r="M99" s="6">
        <f>IF(D99="N","",IFERROR(VLOOKUP(A99,'P0-4_Required_Maturity'!$A$2:$I$12,9,FALSE),3))</f>
        <v/>
      </c>
      <c r="N99" s="6">
        <f>IF(OR(E99="",M99=""),"",M99-E99)</f>
        <v/>
      </c>
      <c r="O99" s="6">
        <f>IF(D99="N","N/A",IF(OR(E99="",F99="",H99=""),"INCOMPLETE",IF(AND(L99&gt;=80,H99="E0"),"REVIEW",IF(AND(L99&gt;=80,OR(I99="N",J99="N")),"CORROBORATION REVIEW","OK"))))</f>
        <v/>
      </c>
      <c r="P99" s="6" t="n"/>
    </row>
    <row r="100">
      <c r="A100" s="8" t="inlineStr">
        <is>
          <t>D08</t>
        </is>
      </c>
      <c r="B100" s="8" t="inlineStr">
        <is>
          <t>I08</t>
        </is>
      </c>
      <c r="C100" s="8" t="inlineStr">
        <is>
          <t>Data Privacy Readiness</t>
        </is>
      </c>
      <c r="D100" s="8" t="inlineStr">
        <is>
          <t>Y</t>
        </is>
      </c>
      <c r="E100" s="6" t="n"/>
      <c r="F100" s="6" t="n"/>
      <c r="G100" s="6" t="n"/>
      <c r="H100" s="8" t="inlineStr">
        <is>
          <t>E0</t>
        </is>
      </c>
      <c r="I100" s="8" t="inlineStr">
        <is>
          <t>N</t>
        </is>
      </c>
      <c r="J100" s="8" t="inlineStr">
        <is>
          <t>N</t>
        </is>
      </c>
      <c r="K100" s="6">
        <f>IF(H100="E0",0.20,IF(H100="E1",0.40,IF(H100="E2",0.65,IF(H100="E3",0.85,IF(H100="E4",1.00,0)))))</f>
        <v/>
      </c>
      <c r="L100" s="6">
        <f>IF(D100="N","",IF(OR(E100="",F100=""),"",IF(G100="N/A",100*((0.60*E100)+(0.40*F100))/5,IF(G100="",100*((0.60*E100)+(0.40*F100))/5,100*((0.45*E100)+(0.30*F100)+(0.25*G100))/5))))</f>
        <v/>
      </c>
      <c r="M100" s="6">
        <f>IF(D100="N","",IFERROR(VLOOKUP(A100,'P0-4_Required_Maturity'!$A$2:$I$12,9,FALSE),3))</f>
        <v/>
      </c>
      <c r="N100" s="6">
        <f>IF(OR(E100="",M100=""),"",M100-E100)</f>
        <v/>
      </c>
      <c r="O100" s="6">
        <f>IF(D100="N","N/A",IF(OR(E100="",F100="",H100=""),"INCOMPLETE",IF(AND(L100&gt;=80,H100="E0"),"REVIEW",IF(AND(L100&gt;=80,OR(I100="N",J100="N")),"CORROBORATION REVIEW","OK"))))</f>
        <v/>
      </c>
      <c r="P100" s="6" t="n"/>
    </row>
    <row r="101">
      <c r="A101" s="8" t="inlineStr">
        <is>
          <t>D08</t>
        </is>
      </c>
      <c r="B101" s="8" t="inlineStr">
        <is>
          <t>I09</t>
        </is>
      </c>
      <c r="C101" s="8" t="inlineStr">
        <is>
          <t>Digital Equity &amp; Access</t>
        </is>
      </c>
      <c r="D101" s="8" t="inlineStr">
        <is>
          <t>Y</t>
        </is>
      </c>
      <c r="E101" s="6" t="n"/>
      <c r="F101" s="6" t="n"/>
      <c r="G101" s="6" t="n"/>
      <c r="H101" s="8" t="inlineStr">
        <is>
          <t>E0</t>
        </is>
      </c>
      <c r="I101" s="8" t="inlineStr">
        <is>
          <t>N</t>
        </is>
      </c>
      <c r="J101" s="8" t="inlineStr">
        <is>
          <t>N</t>
        </is>
      </c>
      <c r="K101" s="6">
        <f>IF(H101="E0",0.20,IF(H101="E1",0.40,IF(H101="E2",0.65,IF(H101="E3",0.85,IF(H101="E4",1.00,0)))))</f>
        <v/>
      </c>
      <c r="L101" s="6">
        <f>IF(D101="N","",IF(OR(E101="",F101=""),"",IF(G101="N/A",100*((0.60*E101)+(0.40*F101))/5,IF(G101="",100*((0.60*E101)+(0.40*F101))/5,100*((0.45*E101)+(0.30*F101)+(0.25*G101))/5))))</f>
        <v/>
      </c>
      <c r="M101" s="6">
        <f>IF(D101="N","",IFERROR(VLOOKUP(A101,'P0-4_Required_Maturity'!$A$2:$I$12,9,FALSE),3))</f>
        <v/>
      </c>
      <c r="N101" s="6">
        <f>IF(OR(E101="",M101=""),"",M101-E101)</f>
        <v/>
      </c>
      <c r="O101" s="6">
        <f>IF(D101="N","N/A",IF(OR(E101="",F101="",H101=""),"INCOMPLETE",IF(AND(L101&gt;=80,H101="E0"),"REVIEW",IF(AND(L101&gt;=80,OR(I101="N",J101="N")),"CORROBORATION REVIEW","OK"))))</f>
        <v/>
      </c>
      <c r="P101" s="6" t="n"/>
    </row>
    <row r="102">
      <c r="A102" s="8" t="inlineStr">
        <is>
          <t>D08</t>
        </is>
      </c>
      <c r="B102" s="8" t="inlineStr">
        <is>
          <t>I10</t>
        </is>
      </c>
      <c r="C102" s="8" t="inlineStr">
        <is>
          <t>Technology Decision Governance</t>
        </is>
      </c>
      <c r="D102" s="8" t="inlineStr">
        <is>
          <t>Y</t>
        </is>
      </c>
      <c r="E102" s="6" t="n"/>
      <c r="F102" s="6" t="n"/>
      <c r="G102" s="6" t="n"/>
      <c r="H102" s="8" t="inlineStr">
        <is>
          <t>E0</t>
        </is>
      </c>
      <c r="I102" s="8" t="inlineStr">
        <is>
          <t>N</t>
        </is>
      </c>
      <c r="J102" s="8" t="inlineStr">
        <is>
          <t>N</t>
        </is>
      </c>
      <c r="K102" s="6">
        <f>IF(H102="E0",0.20,IF(H102="E1",0.40,IF(H102="E2",0.65,IF(H102="E3",0.85,IF(H102="E4",1.00,0)))))</f>
        <v/>
      </c>
      <c r="L102" s="6">
        <f>IF(D102="N","",IF(OR(E102="",F102=""),"",IF(G102="N/A",100*((0.60*E102)+(0.40*F102))/5,IF(G102="",100*((0.60*E102)+(0.40*F102))/5,100*((0.45*E102)+(0.30*F102)+(0.25*G102))/5))))</f>
        <v/>
      </c>
      <c r="M102" s="6">
        <f>IF(D102="N","",IFERROR(VLOOKUP(A102,'P0-4_Required_Maturity'!$A$2:$I$12,9,FALSE),3))</f>
        <v/>
      </c>
      <c r="N102" s="6">
        <f>IF(OR(E102="",M102=""),"",M102-E102)</f>
        <v/>
      </c>
      <c r="O102" s="6">
        <f>IF(D102="N","N/A",IF(OR(E102="",F102="",H102=""),"INCOMPLETE",IF(AND(L102&gt;=80,H102="E0"),"REVIEW",IF(AND(L102&gt;=80,OR(I102="N",J102="N")),"CORROBORATION REVIEW","OK"))))</f>
        <v/>
      </c>
      <c r="P102" s="6" t="n"/>
    </row>
    <row r="103">
      <c r="A103" s="8" t="inlineStr">
        <is>
          <t>D08</t>
        </is>
      </c>
      <c r="B103" s="8" t="inlineStr">
        <is>
          <t>I11</t>
        </is>
      </c>
      <c r="C103" s="8" t="inlineStr">
        <is>
          <t>Digital Process Maturity</t>
        </is>
      </c>
      <c r="D103" s="8" t="inlineStr">
        <is>
          <t>Y</t>
        </is>
      </c>
      <c r="E103" s="6" t="n"/>
      <c r="F103" s="6" t="n"/>
      <c r="G103" s="6" t="n"/>
      <c r="H103" s="8" t="inlineStr">
        <is>
          <t>E0</t>
        </is>
      </c>
      <c r="I103" s="8" t="inlineStr">
        <is>
          <t>N</t>
        </is>
      </c>
      <c r="J103" s="8" t="inlineStr">
        <is>
          <t>N</t>
        </is>
      </c>
      <c r="K103" s="6">
        <f>IF(H103="E0",0.20,IF(H103="E1",0.40,IF(H103="E2",0.65,IF(H103="E3",0.85,IF(H103="E4",1.00,0)))))</f>
        <v/>
      </c>
      <c r="L103" s="6">
        <f>IF(D103="N","",IF(OR(E103="",F103=""),"",IF(G103="N/A",100*((0.60*E103)+(0.40*F103))/5,IF(G103="",100*((0.60*E103)+(0.40*F103))/5,100*((0.45*E103)+(0.30*F103)+(0.25*G103))/5))))</f>
        <v/>
      </c>
      <c r="M103" s="6">
        <f>IF(D103="N","",IFERROR(VLOOKUP(A103,'P0-4_Required_Maturity'!$A$2:$I$12,9,FALSE),3))</f>
        <v/>
      </c>
      <c r="N103" s="6">
        <f>IF(OR(E103="",M103=""),"",M103-E103)</f>
        <v/>
      </c>
      <c r="O103" s="6">
        <f>IF(D103="N","N/A",IF(OR(E103="",F103="",H103=""),"INCOMPLETE",IF(AND(L103&gt;=80,H103="E0"),"REVIEW",IF(AND(L103&gt;=80,OR(I103="N",J103="N")),"CORROBORATION REVIEW","OK"))))</f>
        <v/>
      </c>
      <c r="P103" s="6" t="n"/>
    </row>
    <row r="104">
      <c r="A104" s="8" t="inlineStr">
        <is>
          <t>D08</t>
        </is>
      </c>
      <c r="B104" s="8" t="inlineStr">
        <is>
          <t>I12</t>
        </is>
      </c>
      <c r="C104" s="8" t="inlineStr">
        <is>
          <t>Institutional Intelligence Capability</t>
        </is>
      </c>
      <c r="D104" s="8" t="inlineStr">
        <is>
          <t>Y</t>
        </is>
      </c>
      <c r="E104" s="6" t="n"/>
      <c r="F104" s="6" t="n"/>
      <c r="G104" s="6" t="n"/>
      <c r="H104" s="8" t="inlineStr">
        <is>
          <t>E0</t>
        </is>
      </c>
      <c r="I104" s="8" t="inlineStr">
        <is>
          <t>N</t>
        </is>
      </c>
      <c r="J104" s="8" t="inlineStr">
        <is>
          <t>N</t>
        </is>
      </c>
      <c r="K104" s="6">
        <f>IF(H104="E0",0.20,IF(H104="E1",0.40,IF(H104="E2",0.65,IF(H104="E3",0.85,IF(H104="E4",1.00,0)))))</f>
        <v/>
      </c>
      <c r="L104" s="6">
        <f>IF(D104="N","",IF(OR(E104="",F104=""),"",IF(G104="N/A",100*((0.60*E104)+(0.40*F104))/5,IF(G104="",100*((0.60*E104)+(0.40*F104))/5,100*((0.45*E104)+(0.30*F104)+(0.25*G104))/5))))</f>
        <v/>
      </c>
      <c r="M104" s="6">
        <f>IF(D104="N","",IFERROR(VLOOKUP(A104,'P0-4_Required_Maturity'!$A$2:$I$12,9,FALSE),3))</f>
        <v/>
      </c>
      <c r="N104" s="6">
        <f>IF(OR(E104="",M104=""),"",M104-E104)</f>
        <v/>
      </c>
      <c r="O104" s="6">
        <f>IF(D104="N","N/A",IF(OR(E104="",F104="",H104=""),"INCOMPLETE",IF(AND(L104&gt;=80,H104="E0"),"REVIEW",IF(AND(L104&gt;=80,OR(I104="N",J104="N")),"CORROBORATION REVIEW","OK"))))</f>
        <v/>
      </c>
      <c r="P104" s="6" t="n"/>
    </row>
    <row r="105">
      <c r="A105" s="8" t="inlineStr">
        <is>
          <t>D09</t>
        </is>
      </c>
      <c r="B105" s="8" t="inlineStr">
        <is>
          <t>I01</t>
        </is>
      </c>
      <c r="C105" s="8" t="inlineStr">
        <is>
          <t>Employer Demand Sensing</t>
        </is>
      </c>
      <c r="D105" s="8" t="inlineStr">
        <is>
          <t>Y</t>
        </is>
      </c>
      <c r="E105" s="6" t="n"/>
      <c r="F105" s="6" t="n"/>
      <c r="G105" s="6" t="n"/>
      <c r="H105" s="8" t="inlineStr">
        <is>
          <t>E0</t>
        </is>
      </c>
      <c r="I105" s="8" t="inlineStr">
        <is>
          <t>N</t>
        </is>
      </c>
      <c r="J105" s="8" t="inlineStr">
        <is>
          <t>N</t>
        </is>
      </c>
      <c r="K105" s="6">
        <f>IF(H105="E0",0.20,IF(H105="E1",0.40,IF(H105="E2",0.65,IF(H105="E3",0.85,IF(H105="E4",1.00,0)))))</f>
        <v/>
      </c>
      <c r="L105" s="6">
        <f>IF(D105="N","",IF(OR(E105="",F105=""),"",IF(G105="N/A",100*((0.60*E105)+(0.40*F105))/5,IF(G105="",100*((0.60*E105)+(0.40*F105))/5,100*((0.45*E105)+(0.30*F105)+(0.25*G105))/5))))</f>
        <v/>
      </c>
      <c r="M105" s="6">
        <f>IF(D105="N","",IFERROR(VLOOKUP(A105,'P0-4_Required_Maturity'!$A$2:$I$12,9,FALSE),3))</f>
        <v/>
      </c>
      <c r="N105" s="6">
        <f>IF(OR(E105="",M105=""),"",M105-E105)</f>
        <v/>
      </c>
      <c r="O105" s="6">
        <f>IF(D105="N","N/A",IF(OR(E105="",F105="",H105=""),"INCOMPLETE",IF(AND(L105&gt;=80,H105="E0"),"REVIEW",IF(AND(L105&gt;=80,OR(I105="N",J105="N")),"CORROBORATION REVIEW","OK"))))</f>
        <v/>
      </c>
      <c r="P105" s="6" t="n"/>
    </row>
    <row r="106">
      <c r="A106" s="8" t="inlineStr">
        <is>
          <t>D09</t>
        </is>
      </c>
      <c r="B106" s="8" t="inlineStr">
        <is>
          <t>I02</t>
        </is>
      </c>
      <c r="C106" s="8" t="inlineStr">
        <is>
          <t>Employability Capability Architecture</t>
        </is>
      </c>
      <c r="D106" s="8" t="inlineStr">
        <is>
          <t>Y</t>
        </is>
      </c>
      <c r="E106" s="6" t="n"/>
      <c r="F106" s="6" t="n"/>
      <c r="G106" s="6" t="n"/>
      <c r="H106" s="8" t="inlineStr">
        <is>
          <t>E0</t>
        </is>
      </c>
      <c r="I106" s="8" t="inlineStr">
        <is>
          <t>N</t>
        </is>
      </c>
      <c r="J106" s="8" t="inlineStr">
        <is>
          <t>N</t>
        </is>
      </c>
      <c r="K106" s="6">
        <f>IF(H106="E0",0.20,IF(H106="E1",0.40,IF(H106="E2",0.65,IF(H106="E3",0.85,IF(H106="E4",1.00,0)))))</f>
        <v/>
      </c>
      <c r="L106" s="6">
        <f>IF(D106="N","",IF(OR(E106="",F106=""),"",IF(G106="N/A",100*((0.60*E106)+(0.40*F106))/5,IF(G106="",100*((0.60*E106)+(0.40*F106))/5,100*((0.45*E106)+(0.30*F106)+(0.25*G106))/5))))</f>
        <v/>
      </c>
      <c r="M106" s="6">
        <f>IF(D106="N","",IFERROR(VLOOKUP(A106,'P0-4_Required_Maturity'!$A$2:$I$12,9,FALSE),3))</f>
        <v/>
      </c>
      <c r="N106" s="6">
        <f>IF(OR(E106="",M106=""),"",M106-E106)</f>
        <v/>
      </c>
      <c r="O106" s="6">
        <f>IF(D106="N","N/A",IF(OR(E106="",F106="",H106=""),"INCOMPLETE",IF(AND(L106&gt;=80,H106="E0"),"REVIEW",IF(AND(L106&gt;=80,OR(I106="N",J106="N")),"CORROBORATION REVIEW","OK"))))</f>
        <v/>
      </c>
      <c r="P106" s="6" t="n"/>
    </row>
    <row r="107">
      <c r="A107" s="8" t="inlineStr">
        <is>
          <t>D09</t>
        </is>
      </c>
      <c r="B107" s="8" t="inlineStr">
        <is>
          <t>I03</t>
        </is>
      </c>
      <c r="C107" s="8" t="inlineStr">
        <is>
          <t>Industry-Validated Curriculum</t>
        </is>
      </c>
      <c r="D107" s="8" t="inlineStr">
        <is>
          <t>Y</t>
        </is>
      </c>
      <c r="E107" s="6" t="n"/>
      <c r="F107" s="6" t="n"/>
      <c r="G107" s="6" t="n"/>
      <c r="H107" s="8" t="inlineStr">
        <is>
          <t>E0</t>
        </is>
      </c>
      <c r="I107" s="8" t="inlineStr">
        <is>
          <t>N</t>
        </is>
      </c>
      <c r="J107" s="8" t="inlineStr">
        <is>
          <t>N</t>
        </is>
      </c>
      <c r="K107" s="6">
        <f>IF(H107="E0",0.20,IF(H107="E1",0.40,IF(H107="E2",0.65,IF(H107="E3",0.85,IF(H107="E4",1.00,0)))))</f>
        <v/>
      </c>
      <c r="L107" s="6">
        <f>IF(D107="N","",IF(OR(E107="",F107=""),"",IF(G107="N/A",100*((0.60*E107)+(0.40*F107))/5,IF(G107="",100*((0.60*E107)+(0.40*F107))/5,100*((0.45*E107)+(0.30*F107)+(0.25*G107))/5))))</f>
        <v/>
      </c>
      <c r="M107" s="6">
        <f>IF(D107="N","",IFERROR(VLOOKUP(A107,'P0-4_Required_Maturity'!$A$2:$I$12,9,FALSE),3))</f>
        <v/>
      </c>
      <c r="N107" s="6">
        <f>IF(OR(E107="",M107=""),"",M107-E107)</f>
        <v/>
      </c>
      <c r="O107" s="6">
        <f>IF(D107="N","N/A",IF(OR(E107="",F107="",H107=""),"INCOMPLETE",IF(AND(L107&gt;=80,H107="E0"),"REVIEW",IF(AND(L107&gt;=80,OR(I107="N",J107="N")),"CORROBORATION REVIEW","OK"))))</f>
        <v/>
      </c>
      <c r="P107" s="6" t="n"/>
    </row>
    <row r="108">
      <c r="A108" s="8" t="inlineStr">
        <is>
          <t>D09</t>
        </is>
      </c>
      <c r="B108" s="8" t="inlineStr">
        <is>
          <t>I04</t>
        </is>
      </c>
      <c r="C108" s="8" t="inlineStr">
        <is>
          <t>Practice-Based Learning</t>
        </is>
      </c>
      <c r="D108" s="8" t="inlineStr">
        <is>
          <t>Y</t>
        </is>
      </c>
      <c r="E108" s="6" t="n"/>
      <c r="F108" s="6" t="n"/>
      <c r="G108" s="6" t="n"/>
      <c r="H108" s="8" t="inlineStr">
        <is>
          <t>E0</t>
        </is>
      </c>
      <c r="I108" s="8" t="inlineStr">
        <is>
          <t>N</t>
        </is>
      </c>
      <c r="J108" s="8" t="inlineStr">
        <is>
          <t>N</t>
        </is>
      </c>
      <c r="K108" s="6">
        <f>IF(H108="E0",0.20,IF(H108="E1",0.40,IF(H108="E2",0.65,IF(H108="E3",0.85,IF(H108="E4",1.00,0)))))</f>
        <v/>
      </c>
      <c r="L108" s="6">
        <f>IF(D108="N","",IF(OR(E108="",F108=""),"",IF(G108="N/A",100*((0.60*E108)+(0.40*F108))/5,IF(G108="",100*((0.60*E108)+(0.40*F108))/5,100*((0.45*E108)+(0.30*F108)+(0.25*G108))/5))))</f>
        <v/>
      </c>
      <c r="M108" s="6">
        <f>IF(D108="N","",IFERROR(VLOOKUP(A108,'P0-4_Required_Maturity'!$A$2:$I$12,9,FALSE),3))</f>
        <v/>
      </c>
      <c r="N108" s="6">
        <f>IF(OR(E108="",M108=""),"",M108-E108)</f>
        <v/>
      </c>
      <c r="O108" s="6">
        <f>IF(D108="N","N/A",IF(OR(E108="",F108="",H108=""),"INCOMPLETE",IF(AND(L108&gt;=80,H108="E0"),"REVIEW",IF(AND(L108&gt;=80,OR(I108="N",J108="N")),"CORROBORATION REVIEW","OK"))))</f>
        <v/>
      </c>
      <c r="P108" s="6" t="n"/>
    </row>
    <row r="109">
      <c r="A109" s="8" t="inlineStr">
        <is>
          <t>D09</t>
        </is>
      </c>
      <c r="B109" s="8" t="inlineStr">
        <is>
          <t>I05</t>
        </is>
      </c>
      <c r="C109" s="8" t="inlineStr">
        <is>
          <t>Recruiter Confidence</t>
        </is>
      </c>
      <c r="D109" s="8" t="inlineStr">
        <is>
          <t>Y</t>
        </is>
      </c>
      <c r="E109" s="6" t="n"/>
      <c r="F109" s="6" t="n"/>
      <c r="G109" s="6" t="n"/>
      <c r="H109" s="8" t="inlineStr">
        <is>
          <t>E0</t>
        </is>
      </c>
      <c r="I109" s="8" t="inlineStr">
        <is>
          <t>N</t>
        </is>
      </c>
      <c r="J109" s="8" t="inlineStr">
        <is>
          <t>N</t>
        </is>
      </c>
      <c r="K109" s="6">
        <f>IF(H109="E0",0.20,IF(H109="E1",0.40,IF(H109="E2",0.65,IF(H109="E3",0.85,IF(H109="E4",1.00,0)))))</f>
        <v/>
      </c>
      <c r="L109" s="6">
        <f>IF(D109="N","",IF(OR(E109="",F109=""),"",IF(G109="N/A",100*((0.60*E109)+(0.40*F109))/5,IF(G109="",100*((0.60*E109)+(0.40*F109))/5,100*((0.45*E109)+(0.30*F109)+(0.25*G109))/5))))</f>
        <v/>
      </c>
      <c r="M109" s="6">
        <f>IF(D109="N","",IFERROR(VLOOKUP(A109,'P0-4_Required_Maturity'!$A$2:$I$12,9,FALSE),3))</f>
        <v/>
      </c>
      <c r="N109" s="6">
        <f>IF(OR(E109="",M109=""),"",M109-E109)</f>
        <v/>
      </c>
      <c r="O109" s="6">
        <f>IF(D109="N","N/A",IF(OR(E109="",F109="",H109=""),"INCOMPLETE",IF(AND(L109&gt;=80,H109="E0"),"REVIEW",IF(AND(L109&gt;=80,OR(I109="N",J109="N")),"CORROBORATION REVIEW","OK"))))</f>
        <v/>
      </c>
      <c r="P109" s="6" t="n"/>
    </row>
    <row r="110">
      <c r="A110" s="8" t="inlineStr">
        <is>
          <t>D09</t>
        </is>
      </c>
      <c r="B110" s="8" t="inlineStr">
        <is>
          <t>I06</t>
        </is>
      </c>
      <c r="C110" s="8" t="inlineStr">
        <is>
          <t>Placement Outcome Quality</t>
        </is>
      </c>
      <c r="D110" s="8" t="inlineStr">
        <is>
          <t>Y</t>
        </is>
      </c>
      <c r="E110" s="6" t="n"/>
      <c r="F110" s="6" t="n"/>
      <c r="G110" s="6" t="n"/>
      <c r="H110" s="8" t="inlineStr">
        <is>
          <t>E0</t>
        </is>
      </c>
      <c r="I110" s="8" t="inlineStr">
        <is>
          <t>N</t>
        </is>
      </c>
      <c r="J110" s="8" t="inlineStr">
        <is>
          <t>N</t>
        </is>
      </c>
      <c r="K110" s="6">
        <f>IF(H110="E0",0.20,IF(H110="E1",0.40,IF(H110="E2",0.65,IF(H110="E3",0.85,IF(H110="E4",1.00,0)))))</f>
        <v/>
      </c>
      <c r="L110" s="6">
        <f>IF(D110="N","",IF(OR(E110="",F110=""),"",IF(G110="N/A",100*((0.60*E110)+(0.40*F110))/5,IF(G110="",100*((0.60*E110)+(0.40*F110))/5,100*((0.45*E110)+(0.30*F110)+(0.25*G110))/5))))</f>
        <v/>
      </c>
      <c r="M110" s="6">
        <f>IF(D110="N","",IFERROR(VLOOKUP(A110,'P0-4_Required_Maturity'!$A$2:$I$12,9,FALSE),3))</f>
        <v/>
      </c>
      <c r="N110" s="6">
        <f>IF(OR(E110="",M110=""),"",M110-E110)</f>
        <v/>
      </c>
      <c r="O110" s="6">
        <f>IF(D110="N","N/A",IF(OR(E110="",F110="",H110=""),"INCOMPLETE",IF(AND(L110&gt;=80,H110="E0"),"REVIEW",IF(AND(L110&gt;=80,OR(I110="N",J110="N")),"CORROBORATION REVIEW","OK"))))</f>
        <v/>
      </c>
      <c r="P110" s="6" t="n"/>
    </row>
    <row r="111">
      <c r="A111" s="8" t="inlineStr">
        <is>
          <t>D09</t>
        </is>
      </c>
      <c r="B111" s="8" t="inlineStr">
        <is>
          <t>I07</t>
        </is>
      </c>
      <c r="C111" s="8" t="inlineStr">
        <is>
          <t>Career Adaptability</t>
        </is>
      </c>
      <c r="D111" s="8" t="inlineStr">
        <is>
          <t>Y</t>
        </is>
      </c>
      <c r="E111" s="6" t="n"/>
      <c r="F111" s="6" t="n"/>
      <c r="G111" s="6" t="n"/>
      <c r="H111" s="8" t="inlineStr">
        <is>
          <t>E0</t>
        </is>
      </c>
      <c r="I111" s="8" t="inlineStr">
        <is>
          <t>N</t>
        </is>
      </c>
      <c r="J111" s="8" t="inlineStr">
        <is>
          <t>N</t>
        </is>
      </c>
      <c r="K111" s="6">
        <f>IF(H111="E0",0.20,IF(H111="E1",0.40,IF(H111="E2",0.65,IF(H111="E3",0.85,IF(H111="E4",1.00,0)))))</f>
        <v/>
      </c>
      <c r="L111" s="6">
        <f>IF(D111="N","",IF(OR(E111="",F111=""),"",IF(G111="N/A",100*((0.60*E111)+(0.40*F111))/5,IF(G111="",100*((0.60*E111)+(0.40*F111))/5,100*((0.45*E111)+(0.30*F111)+(0.25*G111))/5))))</f>
        <v/>
      </c>
      <c r="M111" s="6">
        <f>IF(D111="N","",IFERROR(VLOOKUP(A111,'P0-4_Required_Maturity'!$A$2:$I$12,9,FALSE),3))</f>
        <v/>
      </c>
      <c r="N111" s="6">
        <f>IF(OR(E111="",M111=""),"",M111-E111)</f>
        <v/>
      </c>
      <c r="O111" s="6">
        <f>IF(D111="N","N/A",IF(OR(E111="",F111="",H111=""),"INCOMPLETE",IF(AND(L111&gt;=80,H111="E0"),"REVIEW",IF(AND(L111&gt;=80,OR(I111="N",J111="N")),"CORROBORATION REVIEW","OK"))))</f>
        <v/>
      </c>
      <c r="P111" s="6" t="n"/>
    </row>
    <row r="112">
      <c r="A112" s="8" t="inlineStr">
        <is>
          <t>D09</t>
        </is>
      </c>
      <c r="B112" s="8" t="inlineStr">
        <is>
          <t>I08</t>
        </is>
      </c>
      <c r="C112" s="8" t="inlineStr">
        <is>
          <t>AI-Era Employability Readiness</t>
        </is>
      </c>
      <c r="D112" s="8" t="inlineStr">
        <is>
          <t>Y</t>
        </is>
      </c>
      <c r="E112" s="6" t="n"/>
      <c r="F112" s="6" t="n"/>
      <c r="G112" s="6" t="n"/>
      <c r="H112" s="8" t="inlineStr">
        <is>
          <t>E0</t>
        </is>
      </c>
      <c r="I112" s="8" t="inlineStr">
        <is>
          <t>N</t>
        </is>
      </c>
      <c r="J112" s="8" t="inlineStr">
        <is>
          <t>N</t>
        </is>
      </c>
      <c r="K112" s="6">
        <f>IF(H112="E0",0.20,IF(H112="E1",0.40,IF(H112="E2",0.65,IF(H112="E3",0.85,IF(H112="E4",1.00,0)))))</f>
        <v/>
      </c>
      <c r="L112" s="6">
        <f>IF(D112="N","",IF(OR(E112="",F112=""),"",IF(G112="N/A",100*((0.60*E112)+(0.40*F112))/5,IF(G112="",100*((0.60*E112)+(0.40*F112))/5,100*((0.45*E112)+(0.30*F112)+(0.25*G112))/5))))</f>
        <v/>
      </c>
      <c r="M112" s="6">
        <f>IF(D112="N","",IFERROR(VLOOKUP(A112,'P0-4_Required_Maturity'!$A$2:$I$12,9,FALSE),3))</f>
        <v/>
      </c>
      <c r="N112" s="6">
        <f>IF(OR(E112="",M112=""),"",M112-E112)</f>
        <v/>
      </c>
      <c r="O112" s="6">
        <f>IF(D112="N","N/A",IF(OR(E112="",F112="",H112=""),"INCOMPLETE",IF(AND(L112&gt;=80,H112="E0"),"REVIEW",IF(AND(L112&gt;=80,OR(I112="N",J112="N")),"CORROBORATION REVIEW","OK"))))</f>
        <v/>
      </c>
      <c r="P112" s="6" t="n"/>
    </row>
    <row r="113">
      <c r="A113" s="8" t="inlineStr">
        <is>
          <t>D09</t>
        </is>
      </c>
      <c r="B113" s="8" t="inlineStr">
        <is>
          <t>I09</t>
        </is>
      </c>
      <c r="C113" s="8" t="inlineStr">
        <is>
          <t>Capability Signalling</t>
        </is>
      </c>
      <c r="D113" s="8" t="inlineStr">
        <is>
          <t>Y</t>
        </is>
      </c>
      <c r="E113" s="6" t="n"/>
      <c r="F113" s="6" t="n"/>
      <c r="G113" s="6" t="n"/>
      <c r="H113" s="8" t="inlineStr">
        <is>
          <t>E0</t>
        </is>
      </c>
      <c r="I113" s="8" t="inlineStr">
        <is>
          <t>N</t>
        </is>
      </c>
      <c r="J113" s="8" t="inlineStr">
        <is>
          <t>N</t>
        </is>
      </c>
      <c r="K113" s="6">
        <f>IF(H113="E0",0.20,IF(H113="E1",0.40,IF(H113="E2",0.65,IF(H113="E3",0.85,IF(H113="E4",1.00,0)))))</f>
        <v/>
      </c>
      <c r="L113" s="6">
        <f>IF(D113="N","",IF(OR(E113="",F113=""),"",IF(G113="N/A",100*((0.60*E113)+(0.40*F113))/5,IF(G113="",100*((0.60*E113)+(0.40*F113))/5,100*((0.45*E113)+(0.30*F113)+(0.25*G113))/5))))</f>
        <v/>
      </c>
      <c r="M113" s="6">
        <f>IF(D113="N","",IFERROR(VLOOKUP(A113,'P0-4_Required_Maturity'!$A$2:$I$12,9,FALSE),3))</f>
        <v/>
      </c>
      <c r="N113" s="6">
        <f>IF(OR(E113="",M113=""),"",M113-E113)</f>
        <v/>
      </c>
      <c r="O113" s="6">
        <f>IF(D113="N","N/A",IF(OR(E113="",F113="",H113=""),"INCOMPLETE",IF(AND(L113&gt;=80,H113="E0"),"REVIEW",IF(AND(L113&gt;=80,OR(I113="N",J113="N")),"CORROBORATION REVIEW","OK"))))</f>
        <v/>
      </c>
      <c r="P113" s="6" t="n"/>
    </row>
    <row r="114">
      <c r="A114" s="8" t="inlineStr">
        <is>
          <t>D09</t>
        </is>
      </c>
      <c r="B114" s="8" t="inlineStr">
        <is>
          <t>I10</t>
        </is>
      </c>
      <c r="C114" s="8" t="inlineStr">
        <is>
          <t>Industry Co-Creation</t>
        </is>
      </c>
      <c r="D114" s="8" t="inlineStr">
        <is>
          <t>Y</t>
        </is>
      </c>
      <c r="E114" s="6" t="n"/>
      <c r="F114" s="6" t="n"/>
      <c r="G114" s="6" t="n"/>
      <c r="H114" s="8" t="inlineStr">
        <is>
          <t>E0</t>
        </is>
      </c>
      <c r="I114" s="8" t="inlineStr">
        <is>
          <t>N</t>
        </is>
      </c>
      <c r="J114" s="8" t="inlineStr">
        <is>
          <t>N</t>
        </is>
      </c>
      <c r="K114" s="6">
        <f>IF(H114="E0",0.20,IF(H114="E1",0.40,IF(H114="E2",0.65,IF(H114="E3",0.85,IF(H114="E4",1.00,0)))))</f>
        <v/>
      </c>
      <c r="L114" s="6">
        <f>IF(D114="N","",IF(OR(E114="",F114=""),"",IF(G114="N/A",100*((0.60*E114)+(0.40*F114))/5,IF(G114="",100*((0.60*E114)+(0.40*F114))/5,100*((0.45*E114)+(0.30*F114)+(0.25*G114))/5))))</f>
        <v/>
      </c>
      <c r="M114" s="6">
        <f>IF(D114="N","",IFERROR(VLOOKUP(A114,'P0-4_Required_Maturity'!$A$2:$I$12,9,FALSE),3))</f>
        <v/>
      </c>
      <c r="N114" s="6">
        <f>IF(OR(E114="",M114=""),"",M114-E114)</f>
        <v/>
      </c>
      <c r="O114" s="6">
        <f>IF(D114="N","N/A",IF(OR(E114="",F114="",H114=""),"INCOMPLETE",IF(AND(L114&gt;=80,H114="E0"),"REVIEW",IF(AND(L114&gt;=80,OR(I114="N",J114="N")),"CORROBORATION REVIEW","OK"))))</f>
        <v/>
      </c>
      <c r="P114" s="6" t="n"/>
    </row>
    <row r="115">
      <c r="A115" s="8" t="inlineStr">
        <is>
          <t>D09</t>
        </is>
      </c>
      <c r="B115" s="8" t="inlineStr">
        <is>
          <t>I11</t>
        </is>
      </c>
      <c r="C115" s="8" t="inlineStr">
        <is>
          <t>Regional/Economic Relevance</t>
        </is>
      </c>
      <c r="D115" s="8" t="inlineStr">
        <is>
          <t>Y</t>
        </is>
      </c>
      <c r="E115" s="6" t="n"/>
      <c r="F115" s="6" t="n"/>
      <c r="G115" s="6" t="n"/>
      <c r="H115" s="8" t="inlineStr">
        <is>
          <t>E0</t>
        </is>
      </c>
      <c r="I115" s="8" t="inlineStr">
        <is>
          <t>N</t>
        </is>
      </c>
      <c r="J115" s="8" t="inlineStr">
        <is>
          <t>N</t>
        </is>
      </c>
      <c r="K115" s="6">
        <f>IF(H115="E0",0.20,IF(H115="E1",0.40,IF(H115="E2",0.65,IF(H115="E3",0.85,IF(H115="E4",1.00,0)))))</f>
        <v/>
      </c>
      <c r="L115" s="6">
        <f>IF(D115="N","",IF(OR(E115="",F115=""),"",IF(G115="N/A",100*((0.60*E115)+(0.40*F115))/5,IF(G115="",100*((0.60*E115)+(0.40*F115))/5,100*((0.45*E115)+(0.30*F115)+(0.25*G115))/5))))</f>
        <v/>
      </c>
      <c r="M115" s="6">
        <f>IF(D115="N","",IFERROR(VLOOKUP(A115,'P0-4_Required_Maturity'!$A$2:$I$12,9,FALSE),3))</f>
        <v/>
      </c>
      <c r="N115" s="6">
        <f>IF(OR(E115="",M115=""),"",M115-E115)</f>
        <v/>
      </c>
      <c r="O115" s="6">
        <f>IF(D115="N","N/A",IF(OR(E115="",F115="",H115=""),"INCOMPLETE",IF(AND(L115&gt;=80,H115="E0"),"REVIEW",IF(AND(L115&gt;=80,OR(I115="N",J115="N")),"CORROBORATION REVIEW","OK"))))</f>
        <v/>
      </c>
      <c r="P115" s="6" t="n"/>
    </row>
    <row r="116">
      <c r="A116" s="8" t="inlineStr">
        <is>
          <t>D09</t>
        </is>
      </c>
      <c r="B116" s="8" t="inlineStr">
        <is>
          <t>I12</t>
        </is>
      </c>
      <c r="C116" s="8" t="inlineStr">
        <is>
          <t>Alumni Career Intelligence</t>
        </is>
      </c>
      <c r="D116" s="8" t="inlineStr">
        <is>
          <t>Y</t>
        </is>
      </c>
      <c r="E116" s="6" t="n"/>
      <c r="F116" s="6" t="n"/>
      <c r="G116" s="6" t="n"/>
      <c r="H116" s="8" t="inlineStr">
        <is>
          <t>E0</t>
        </is>
      </c>
      <c r="I116" s="8" t="inlineStr">
        <is>
          <t>N</t>
        </is>
      </c>
      <c r="J116" s="8" t="inlineStr">
        <is>
          <t>N</t>
        </is>
      </c>
      <c r="K116" s="6">
        <f>IF(H116="E0",0.20,IF(H116="E1",0.40,IF(H116="E2",0.65,IF(H116="E3",0.85,IF(H116="E4",1.00,0)))))</f>
        <v/>
      </c>
      <c r="L116" s="6">
        <f>IF(D116="N","",IF(OR(E116="",F116=""),"",IF(G116="N/A",100*((0.60*E116)+(0.40*F116))/5,IF(G116="",100*((0.60*E116)+(0.40*F116))/5,100*((0.45*E116)+(0.30*F116)+(0.25*G116))/5))))</f>
        <v/>
      </c>
      <c r="M116" s="6">
        <f>IF(D116="N","",IFERROR(VLOOKUP(A116,'P0-4_Required_Maturity'!$A$2:$I$12,9,FALSE),3))</f>
        <v/>
      </c>
      <c r="N116" s="6">
        <f>IF(OR(E116="",M116=""),"",M116-E116)</f>
        <v/>
      </c>
      <c r="O116" s="6">
        <f>IF(D116="N","N/A",IF(OR(E116="",F116="",H116=""),"INCOMPLETE",IF(AND(L116&gt;=80,H116="E0"),"REVIEW",IF(AND(L116&gt;=80,OR(I116="N",J116="N")),"CORROBORATION REVIEW","OK"))))</f>
        <v/>
      </c>
      <c r="P116" s="6" t="n"/>
    </row>
    <row r="117">
      <c r="A117" s="8" t="inlineStr">
        <is>
          <t>D10</t>
        </is>
      </c>
      <c r="B117" s="8" t="inlineStr">
        <is>
          <t>I01</t>
        </is>
      </c>
      <c r="C117" s="8" t="inlineStr">
        <is>
          <t>Research Strategy Maturity</t>
        </is>
      </c>
      <c r="D117" s="8" t="inlineStr">
        <is>
          <t>Y</t>
        </is>
      </c>
      <c r="E117" s="6" t="n"/>
      <c r="F117" s="6" t="n"/>
      <c r="G117" s="6" t="n"/>
      <c r="H117" s="8" t="inlineStr">
        <is>
          <t>E0</t>
        </is>
      </c>
      <c r="I117" s="8" t="inlineStr">
        <is>
          <t>N</t>
        </is>
      </c>
      <c r="J117" s="8" t="inlineStr">
        <is>
          <t>N</t>
        </is>
      </c>
      <c r="K117" s="6">
        <f>IF(H117="E0",0.20,IF(H117="E1",0.40,IF(H117="E2",0.65,IF(H117="E3",0.85,IF(H117="E4",1.00,0)))))</f>
        <v/>
      </c>
      <c r="L117" s="6">
        <f>IF(D117="N","",IF(OR(E117="",F117=""),"",IF(G117="N/A",100*((0.60*E117)+(0.40*F117))/5,IF(G117="",100*((0.60*E117)+(0.40*F117))/5,100*((0.45*E117)+(0.30*F117)+(0.25*G117))/5))))</f>
        <v/>
      </c>
      <c r="M117" s="6">
        <f>IF(D117="N","",IFERROR(VLOOKUP(A117,'P0-4_Required_Maturity'!$A$2:$I$12,9,FALSE),3))</f>
        <v/>
      </c>
      <c r="N117" s="6">
        <f>IF(OR(E117="",M117=""),"",M117-E117)</f>
        <v/>
      </c>
      <c r="O117" s="6">
        <f>IF(D117="N","N/A",IF(OR(E117="",F117="",H117=""),"INCOMPLETE",IF(AND(L117&gt;=80,H117="E0"),"REVIEW",IF(AND(L117&gt;=80,OR(I117="N",J117="N")),"CORROBORATION REVIEW","OK"))))</f>
        <v/>
      </c>
      <c r="P117" s="6" t="n"/>
    </row>
    <row r="118">
      <c r="A118" s="8" t="inlineStr">
        <is>
          <t>D10</t>
        </is>
      </c>
      <c r="B118" s="8" t="inlineStr">
        <is>
          <t>I02</t>
        </is>
      </c>
      <c r="C118" s="8" t="inlineStr">
        <is>
          <t>Research Portfolio Balance</t>
        </is>
      </c>
      <c r="D118" s="8" t="inlineStr">
        <is>
          <t>Y</t>
        </is>
      </c>
      <c r="E118" s="6" t="n"/>
      <c r="F118" s="6" t="n"/>
      <c r="G118" s="6" t="n"/>
      <c r="H118" s="8" t="inlineStr">
        <is>
          <t>E0</t>
        </is>
      </c>
      <c r="I118" s="8" t="inlineStr">
        <is>
          <t>N</t>
        </is>
      </c>
      <c r="J118" s="8" t="inlineStr">
        <is>
          <t>N</t>
        </is>
      </c>
      <c r="K118" s="6">
        <f>IF(H118="E0",0.20,IF(H118="E1",0.40,IF(H118="E2",0.65,IF(H118="E3",0.85,IF(H118="E4",1.00,0)))))</f>
        <v/>
      </c>
      <c r="L118" s="6">
        <f>IF(D118="N","",IF(OR(E118="",F118=""),"",IF(G118="N/A",100*((0.60*E118)+(0.40*F118))/5,IF(G118="",100*((0.60*E118)+(0.40*F118))/5,100*((0.45*E118)+(0.30*F118)+(0.25*G118))/5))))</f>
        <v/>
      </c>
      <c r="M118" s="6">
        <f>IF(D118="N","",IFERROR(VLOOKUP(A118,'P0-4_Required_Maturity'!$A$2:$I$12,9,FALSE),3))</f>
        <v/>
      </c>
      <c r="N118" s="6">
        <f>IF(OR(E118="",M118=""),"",M118-E118)</f>
        <v/>
      </c>
      <c r="O118" s="6">
        <f>IF(D118="N","N/A",IF(OR(E118="",F118="",H118=""),"INCOMPLETE",IF(AND(L118&gt;=80,H118="E0"),"REVIEW",IF(AND(L118&gt;=80,OR(I118="N",J118="N")),"CORROBORATION REVIEW","OK"))))</f>
        <v/>
      </c>
      <c r="P118" s="6" t="n"/>
    </row>
    <row r="119">
      <c r="A119" s="8" t="inlineStr">
        <is>
          <t>D10</t>
        </is>
      </c>
      <c r="B119" s="8" t="inlineStr">
        <is>
          <t>I03</t>
        </is>
      </c>
      <c r="C119" s="8" t="inlineStr">
        <is>
          <t>Interdisciplinary Research Capability</t>
        </is>
      </c>
      <c r="D119" s="8" t="inlineStr">
        <is>
          <t>Y</t>
        </is>
      </c>
      <c r="E119" s="6" t="n"/>
      <c r="F119" s="6" t="n"/>
      <c r="G119" s="6" t="n"/>
      <c r="H119" s="8" t="inlineStr">
        <is>
          <t>E0</t>
        </is>
      </c>
      <c r="I119" s="8" t="inlineStr">
        <is>
          <t>N</t>
        </is>
      </c>
      <c r="J119" s="8" t="inlineStr">
        <is>
          <t>N</t>
        </is>
      </c>
      <c r="K119" s="6">
        <f>IF(H119="E0",0.20,IF(H119="E1",0.40,IF(H119="E2",0.65,IF(H119="E3",0.85,IF(H119="E4",1.00,0)))))</f>
        <v/>
      </c>
      <c r="L119" s="6">
        <f>IF(D119="N","",IF(OR(E119="",F119=""),"",IF(G119="N/A",100*((0.60*E119)+(0.40*F119))/5,IF(G119="",100*((0.60*E119)+(0.40*F119))/5,100*((0.45*E119)+(0.30*F119)+(0.25*G119))/5))))</f>
        <v/>
      </c>
      <c r="M119" s="6">
        <f>IF(D119="N","",IFERROR(VLOOKUP(A119,'P0-4_Required_Maturity'!$A$2:$I$12,9,FALSE),3))</f>
        <v/>
      </c>
      <c r="N119" s="6">
        <f>IF(OR(E119="",M119=""),"",M119-E119)</f>
        <v/>
      </c>
      <c r="O119" s="6">
        <f>IF(D119="N","N/A",IF(OR(E119="",F119="",H119=""),"INCOMPLETE",IF(AND(L119&gt;=80,H119="E0"),"REVIEW",IF(AND(L119&gt;=80,OR(I119="N",J119="N")),"CORROBORATION REVIEW","OK"))))</f>
        <v/>
      </c>
      <c r="P119" s="6" t="n"/>
    </row>
    <row r="120">
      <c r="A120" s="8" t="inlineStr">
        <is>
          <t>D10</t>
        </is>
      </c>
      <c r="B120" s="8" t="inlineStr">
        <is>
          <t>I04</t>
        </is>
      </c>
      <c r="C120" s="8" t="inlineStr">
        <is>
          <t>AI-Enabled Research Capability</t>
        </is>
      </c>
      <c r="D120" s="8" t="inlineStr">
        <is>
          <t>Y</t>
        </is>
      </c>
      <c r="E120" s="6" t="n"/>
      <c r="F120" s="6" t="n"/>
      <c r="G120" s="6" t="n"/>
      <c r="H120" s="8" t="inlineStr">
        <is>
          <t>E0</t>
        </is>
      </c>
      <c r="I120" s="8" t="inlineStr">
        <is>
          <t>N</t>
        </is>
      </c>
      <c r="J120" s="8" t="inlineStr">
        <is>
          <t>N</t>
        </is>
      </c>
      <c r="K120" s="6">
        <f>IF(H120="E0",0.20,IF(H120="E1",0.40,IF(H120="E2",0.65,IF(H120="E3",0.85,IF(H120="E4",1.00,0)))))</f>
        <v/>
      </c>
      <c r="L120" s="6">
        <f>IF(D120="N","",IF(OR(E120="",F120=""),"",IF(G120="N/A",100*((0.60*E120)+(0.40*F120))/5,IF(G120="",100*((0.60*E120)+(0.40*F120))/5,100*((0.45*E120)+(0.30*F120)+(0.25*G120))/5))))</f>
        <v/>
      </c>
      <c r="M120" s="6">
        <f>IF(D120="N","",IFERROR(VLOOKUP(A120,'P0-4_Required_Maturity'!$A$2:$I$12,9,FALSE),3))</f>
        <v/>
      </c>
      <c r="N120" s="6">
        <f>IF(OR(E120="",M120=""),"",M120-E120)</f>
        <v/>
      </c>
      <c r="O120" s="6">
        <f>IF(D120="N","N/A",IF(OR(E120="",F120="",H120=""),"INCOMPLETE",IF(AND(L120&gt;=80,H120="E0"),"REVIEW",IF(AND(L120&gt;=80,OR(I120="N",J120="N")),"CORROBORATION REVIEW","OK"))))</f>
        <v/>
      </c>
      <c r="P120" s="6" t="n"/>
    </row>
    <row r="121">
      <c r="A121" s="8" t="inlineStr">
        <is>
          <t>D10</t>
        </is>
      </c>
      <c r="B121" s="8" t="inlineStr">
        <is>
          <t>I05</t>
        </is>
      </c>
      <c r="C121" s="8" t="inlineStr">
        <is>
          <t>Research Infrastructure Readiness</t>
        </is>
      </c>
      <c r="D121" s="8" t="inlineStr">
        <is>
          <t>Y</t>
        </is>
      </c>
      <c r="E121" s="6" t="n"/>
      <c r="F121" s="6" t="n"/>
      <c r="G121" s="6" t="n"/>
      <c r="H121" s="8" t="inlineStr">
        <is>
          <t>E0</t>
        </is>
      </c>
      <c r="I121" s="8" t="inlineStr">
        <is>
          <t>N</t>
        </is>
      </c>
      <c r="J121" s="8" t="inlineStr">
        <is>
          <t>N</t>
        </is>
      </c>
      <c r="K121" s="6">
        <f>IF(H121="E0",0.20,IF(H121="E1",0.40,IF(H121="E2",0.65,IF(H121="E3",0.85,IF(H121="E4",1.00,0)))))</f>
        <v/>
      </c>
      <c r="L121" s="6">
        <f>IF(D121="N","",IF(OR(E121="",F121=""),"",IF(G121="N/A",100*((0.60*E121)+(0.40*F121))/5,IF(G121="",100*((0.60*E121)+(0.40*F121))/5,100*((0.45*E121)+(0.30*F121)+(0.25*G121))/5))))</f>
        <v/>
      </c>
      <c r="M121" s="6">
        <f>IF(D121="N","",IFERROR(VLOOKUP(A121,'P0-4_Required_Maturity'!$A$2:$I$12,9,FALSE),3))</f>
        <v/>
      </c>
      <c r="N121" s="6">
        <f>IF(OR(E121="",M121=""),"",M121-E121)</f>
        <v/>
      </c>
      <c r="O121" s="6">
        <f>IF(D121="N","N/A",IF(OR(E121="",F121="",H121=""),"INCOMPLETE",IF(AND(L121&gt;=80,H121="E0"),"REVIEW",IF(AND(L121&gt;=80,OR(I121="N",J121="N")),"CORROBORATION REVIEW","OK"))))</f>
        <v/>
      </c>
      <c r="P121" s="6" t="n"/>
    </row>
    <row r="122">
      <c r="A122" s="8" t="inlineStr">
        <is>
          <t>D10</t>
        </is>
      </c>
      <c r="B122" s="8" t="inlineStr">
        <is>
          <t>I06</t>
        </is>
      </c>
      <c r="C122" s="8" t="inlineStr">
        <is>
          <t>Researcher Capability</t>
        </is>
      </c>
      <c r="D122" s="8" t="inlineStr">
        <is>
          <t>Y</t>
        </is>
      </c>
      <c r="E122" s="6" t="n"/>
      <c r="F122" s="6" t="n"/>
      <c r="G122" s="6" t="n"/>
      <c r="H122" s="8" t="inlineStr">
        <is>
          <t>E0</t>
        </is>
      </c>
      <c r="I122" s="8" t="inlineStr">
        <is>
          <t>N</t>
        </is>
      </c>
      <c r="J122" s="8" t="inlineStr">
        <is>
          <t>N</t>
        </is>
      </c>
      <c r="K122" s="6">
        <f>IF(H122="E0",0.20,IF(H122="E1",0.40,IF(H122="E2",0.65,IF(H122="E3",0.85,IF(H122="E4",1.00,0)))))</f>
        <v/>
      </c>
      <c r="L122" s="6">
        <f>IF(D122="N","",IF(OR(E122="",F122=""),"",IF(G122="N/A",100*((0.60*E122)+(0.40*F122))/5,IF(G122="",100*((0.60*E122)+(0.40*F122))/5,100*((0.45*E122)+(0.30*F122)+(0.25*G122))/5))))</f>
        <v/>
      </c>
      <c r="M122" s="6">
        <f>IF(D122="N","",IFERROR(VLOOKUP(A122,'P0-4_Required_Maturity'!$A$2:$I$12,9,FALSE),3))</f>
        <v/>
      </c>
      <c r="N122" s="6">
        <f>IF(OR(E122="",M122=""),"",M122-E122)</f>
        <v/>
      </c>
      <c r="O122" s="6">
        <f>IF(D122="N","N/A",IF(OR(E122="",F122="",H122=""),"INCOMPLETE",IF(AND(L122&gt;=80,H122="E0"),"REVIEW",IF(AND(L122&gt;=80,OR(I122="N",J122="N")),"CORROBORATION REVIEW","OK"))))</f>
        <v/>
      </c>
      <c r="P122" s="6" t="n"/>
    </row>
    <row r="123">
      <c r="A123" s="8" t="inlineStr">
        <is>
          <t>D10</t>
        </is>
      </c>
      <c r="B123" s="8" t="inlineStr">
        <is>
          <t>I07</t>
        </is>
      </c>
      <c r="C123" s="8" t="inlineStr">
        <is>
          <t>Research Funding Capability</t>
        </is>
      </c>
      <c r="D123" s="8" t="inlineStr">
        <is>
          <t>Y</t>
        </is>
      </c>
      <c r="E123" s="6" t="n"/>
      <c r="F123" s="6" t="n"/>
      <c r="G123" s="6" t="n"/>
      <c r="H123" s="8" t="inlineStr">
        <is>
          <t>E0</t>
        </is>
      </c>
      <c r="I123" s="8" t="inlineStr">
        <is>
          <t>N</t>
        </is>
      </c>
      <c r="J123" s="8" t="inlineStr">
        <is>
          <t>N</t>
        </is>
      </c>
      <c r="K123" s="6">
        <f>IF(H123="E0",0.20,IF(H123="E1",0.40,IF(H123="E2",0.65,IF(H123="E3",0.85,IF(H123="E4",1.00,0)))))</f>
        <v/>
      </c>
      <c r="L123" s="6">
        <f>IF(D123="N","",IF(OR(E123="",F123=""),"",IF(G123="N/A",100*((0.60*E123)+(0.40*F123))/5,IF(G123="",100*((0.60*E123)+(0.40*F123))/5,100*((0.45*E123)+(0.30*F123)+(0.25*G123))/5))))</f>
        <v/>
      </c>
      <c r="M123" s="6">
        <f>IF(D123="N","",IFERROR(VLOOKUP(A123,'P0-4_Required_Maturity'!$A$2:$I$12,9,FALSE),3))</f>
        <v/>
      </c>
      <c r="N123" s="6">
        <f>IF(OR(E123="",M123=""),"",M123-E123)</f>
        <v/>
      </c>
      <c r="O123" s="6">
        <f>IF(D123="N","N/A",IF(OR(E123="",F123="",H123=""),"INCOMPLETE",IF(AND(L123&gt;=80,H123="E0"),"REVIEW",IF(AND(L123&gt;=80,OR(I123="N",J123="N")),"CORROBORATION REVIEW","OK"))))</f>
        <v/>
      </c>
      <c r="P123" s="6" t="n"/>
    </row>
    <row r="124">
      <c r="A124" s="8" t="inlineStr">
        <is>
          <t>D10</t>
        </is>
      </c>
      <c r="B124" s="8" t="inlineStr">
        <is>
          <t>I08</t>
        </is>
      </c>
      <c r="C124" s="8" t="inlineStr">
        <is>
          <t>Knowledge Translation Capability</t>
        </is>
      </c>
      <c r="D124" s="8" t="inlineStr">
        <is>
          <t>Y</t>
        </is>
      </c>
      <c r="E124" s="6" t="n"/>
      <c r="F124" s="6" t="n"/>
      <c r="G124" s="6" t="n"/>
      <c r="H124" s="8" t="inlineStr">
        <is>
          <t>E0</t>
        </is>
      </c>
      <c r="I124" s="8" t="inlineStr">
        <is>
          <t>N</t>
        </is>
      </c>
      <c r="J124" s="8" t="inlineStr">
        <is>
          <t>N</t>
        </is>
      </c>
      <c r="K124" s="6">
        <f>IF(H124="E0",0.20,IF(H124="E1",0.40,IF(H124="E2",0.65,IF(H124="E3",0.85,IF(H124="E4",1.00,0)))))</f>
        <v/>
      </c>
      <c r="L124" s="6">
        <f>IF(D124="N","",IF(OR(E124="",F124=""),"",IF(G124="N/A",100*((0.60*E124)+(0.40*F124))/5,IF(G124="",100*((0.60*E124)+(0.40*F124))/5,100*((0.45*E124)+(0.30*F124)+(0.25*G124))/5))))</f>
        <v/>
      </c>
      <c r="M124" s="6">
        <f>IF(D124="N","",IFERROR(VLOOKUP(A124,'P0-4_Required_Maturity'!$A$2:$I$12,9,FALSE),3))</f>
        <v/>
      </c>
      <c r="N124" s="6">
        <f>IF(OR(E124="",M124=""),"",M124-E124)</f>
        <v/>
      </c>
      <c r="O124" s="6">
        <f>IF(D124="N","N/A",IF(OR(E124="",F124="",H124=""),"INCOMPLETE",IF(AND(L124&gt;=80,H124="E0"),"REVIEW",IF(AND(L124&gt;=80,OR(I124="N",J124="N")),"CORROBORATION REVIEW","OK"))))</f>
        <v/>
      </c>
      <c r="P124" s="6" t="n"/>
    </row>
    <row r="125">
      <c r="A125" s="8" t="inlineStr">
        <is>
          <t>D10</t>
        </is>
      </c>
      <c r="B125" s="8" t="inlineStr">
        <is>
          <t>I09</t>
        </is>
      </c>
      <c r="C125" s="8" t="inlineStr">
        <is>
          <t>Industry-Linked Research</t>
        </is>
      </c>
      <c r="D125" s="8" t="inlineStr">
        <is>
          <t>Y</t>
        </is>
      </c>
      <c r="E125" s="6" t="n"/>
      <c r="F125" s="6" t="n"/>
      <c r="G125" s="6" t="n"/>
      <c r="H125" s="8" t="inlineStr">
        <is>
          <t>E0</t>
        </is>
      </c>
      <c r="I125" s="8" t="inlineStr">
        <is>
          <t>N</t>
        </is>
      </c>
      <c r="J125" s="8" t="inlineStr">
        <is>
          <t>N</t>
        </is>
      </c>
      <c r="K125" s="6">
        <f>IF(H125="E0",0.20,IF(H125="E1",0.40,IF(H125="E2",0.65,IF(H125="E3",0.85,IF(H125="E4",1.00,0)))))</f>
        <v/>
      </c>
      <c r="L125" s="6">
        <f>IF(D125="N","",IF(OR(E125="",F125=""),"",IF(G125="N/A",100*((0.60*E125)+(0.40*F125))/5,IF(G125="",100*((0.60*E125)+(0.40*F125))/5,100*((0.45*E125)+(0.30*F125)+(0.25*G125))/5))))</f>
        <v/>
      </c>
      <c r="M125" s="6">
        <f>IF(D125="N","",IFERROR(VLOOKUP(A125,'P0-4_Required_Maturity'!$A$2:$I$12,9,FALSE),3))</f>
        <v/>
      </c>
      <c r="N125" s="6">
        <f>IF(OR(E125="",M125=""),"",M125-E125)</f>
        <v/>
      </c>
      <c r="O125" s="6">
        <f>IF(D125="N","N/A",IF(OR(E125="",F125="",H125=""),"INCOMPLETE",IF(AND(L125&gt;=80,H125="E0"),"REVIEW",IF(AND(L125&gt;=80,OR(I125="N",J125="N")),"CORROBORATION REVIEW","OK"))))</f>
        <v/>
      </c>
      <c r="P125" s="6" t="n"/>
    </row>
    <row r="126">
      <c r="A126" s="8" t="inlineStr">
        <is>
          <t>D10</t>
        </is>
      </c>
      <c r="B126" s="8" t="inlineStr">
        <is>
          <t>I10</t>
        </is>
      </c>
      <c r="C126" s="8" t="inlineStr">
        <is>
          <t>Research-to-Innovation Pipeline</t>
        </is>
      </c>
      <c r="D126" s="8" t="inlineStr">
        <is>
          <t>Y</t>
        </is>
      </c>
      <c r="E126" s="6" t="n"/>
      <c r="F126" s="6" t="n"/>
      <c r="G126" s="6" t="n"/>
      <c r="H126" s="8" t="inlineStr">
        <is>
          <t>E0</t>
        </is>
      </c>
      <c r="I126" s="8" t="inlineStr">
        <is>
          <t>N</t>
        </is>
      </c>
      <c r="J126" s="8" t="inlineStr">
        <is>
          <t>N</t>
        </is>
      </c>
      <c r="K126" s="6">
        <f>IF(H126="E0",0.20,IF(H126="E1",0.40,IF(H126="E2",0.65,IF(H126="E3",0.85,IF(H126="E4",1.00,0)))))</f>
        <v/>
      </c>
      <c r="L126" s="6">
        <f>IF(D126="N","",IF(OR(E126="",F126=""),"",IF(G126="N/A",100*((0.60*E126)+(0.40*F126))/5,IF(G126="",100*((0.60*E126)+(0.40*F126))/5,100*((0.45*E126)+(0.30*F126)+(0.25*G126))/5))))</f>
        <v/>
      </c>
      <c r="M126" s="6">
        <f>IF(D126="N","",IFERROR(VLOOKUP(A126,'P0-4_Required_Maturity'!$A$2:$I$12,9,FALSE),3))</f>
        <v/>
      </c>
      <c r="N126" s="6">
        <f>IF(OR(E126="",M126=""),"",M126-E126)</f>
        <v/>
      </c>
      <c r="O126" s="6">
        <f>IF(D126="N","N/A",IF(OR(E126="",F126="",H126=""),"INCOMPLETE",IF(AND(L126&gt;=80,H126="E0"),"REVIEW",IF(AND(L126&gt;=80,OR(I126="N",J126="N")),"CORROBORATION REVIEW","OK"))))</f>
        <v/>
      </c>
      <c r="P126" s="6" t="n"/>
    </row>
    <row r="127">
      <c r="A127" s="8" t="inlineStr">
        <is>
          <t>D10</t>
        </is>
      </c>
      <c r="B127" s="8" t="inlineStr">
        <is>
          <t>I11</t>
        </is>
      </c>
      <c r="C127" s="8" t="inlineStr">
        <is>
          <t>IP &amp; Knowledge Assets</t>
        </is>
      </c>
      <c r="D127" s="8" t="inlineStr">
        <is>
          <t>Y</t>
        </is>
      </c>
      <c r="E127" s="6" t="n"/>
      <c r="F127" s="6" t="n"/>
      <c r="G127" s="6" t="n"/>
      <c r="H127" s="8" t="inlineStr">
        <is>
          <t>E0</t>
        </is>
      </c>
      <c r="I127" s="8" t="inlineStr">
        <is>
          <t>N</t>
        </is>
      </c>
      <c r="J127" s="8" t="inlineStr">
        <is>
          <t>N</t>
        </is>
      </c>
      <c r="K127" s="6">
        <f>IF(H127="E0",0.20,IF(H127="E1",0.40,IF(H127="E2",0.65,IF(H127="E3",0.85,IF(H127="E4",1.00,0)))))</f>
        <v/>
      </c>
      <c r="L127" s="6">
        <f>IF(D127="N","",IF(OR(E127="",F127=""),"",IF(G127="N/A",100*((0.60*E127)+(0.40*F127))/5,IF(G127="",100*((0.60*E127)+(0.40*F127))/5,100*((0.45*E127)+(0.30*F127)+(0.25*G127))/5))))</f>
        <v/>
      </c>
      <c r="M127" s="6">
        <f>IF(D127="N","",IFERROR(VLOOKUP(A127,'P0-4_Required_Maturity'!$A$2:$I$12,9,FALSE),3))</f>
        <v/>
      </c>
      <c r="N127" s="6">
        <f>IF(OR(E127="",M127=""),"",M127-E127)</f>
        <v/>
      </c>
      <c r="O127" s="6">
        <f>IF(D127="N","N/A",IF(OR(E127="",F127="",H127=""),"INCOMPLETE",IF(AND(L127&gt;=80,H127="E0"),"REVIEW",IF(AND(L127&gt;=80,OR(I127="N",J127="N")),"CORROBORATION REVIEW","OK"))))</f>
        <v/>
      </c>
      <c r="P127" s="6" t="n"/>
    </row>
    <row r="128">
      <c r="A128" s="8" t="inlineStr">
        <is>
          <t>D10</t>
        </is>
      </c>
      <c r="B128" s="8" t="inlineStr">
        <is>
          <t>I12</t>
        </is>
      </c>
      <c r="C128" s="8" t="inlineStr">
        <is>
          <t>Research Integrity &amp; Responsible AI</t>
        </is>
      </c>
      <c r="D128" s="8" t="inlineStr">
        <is>
          <t>Y</t>
        </is>
      </c>
      <c r="E128" s="6" t="n"/>
      <c r="F128" s="6" t="n"/>
      <c r="G128" s="6" t="n"/>
      <c r="H128" s="8" t="inlineStr">
        <is>
          <t>E0</t>
        </is>
      </c>
      <c r="I128" s="8" t="inlineStr">
        <is>
          <t>N</t>
        </is>
      </c>
      <c r="J128" s="8" t="inlineStr">
        <is>
          <t>N</t>
        </is>
      </c>
      <c r="K128" s="6">
        <f>IF(H128="E0",0.20,IF(H128="E1",0.40,IF(H128="E2",0.65,IF(H128="E3",0.85,IF(H128="E4",1.00,0)))))</f>
        <v/>
      </c>
      <c r="L128" s="6">
        <f>IF(D128="N","",IF(OR(E128="",F128=""),"",IF(G128="N/A",100*((0.60*E128)+(0.40*F128))/5,IF(G128="",100*((0.60*E128)+(0.40*F128))/5,100*((0.45*E128)+(0.30*F128)+(0.25*G128))/5))))</f>
        <v/>
      </c>
      <c r="M128" s="6">
        <f>IF(D128="N","",IFERROR(VLOOKUP(A128,'P0-4_Required_Maturity'!$A$2:$I$12,9,FALSE),3))</f>
        <v/>
      </c>
      <c r="N128" s="6">
        <f>IF(OR(E128="",M128=""),"",M128-E128)</f>
        <v/>
      </c>
      <c r="O128" s="6">
        <f>IF(D128="N","N/A",IF(OR(E128="",F128="",H128=""),"INCOMPLETE",IF(AND(L128&gt;=80,H128="E0"),"REVIEW",IF(AND(L128&gt;=80,OR(I128="N",J128="N")),"CORROBORATION REVIEW","OK"))))</f>
        <v/>
      </c>
      <c r="P128" s="6" t="n"/>
    </row>
    <row r="129">
      <c r="A129" s="8" t="inlineStr">
        <is>
          <t>D10</t>
        </is>
      </c>
      <c r="B129" s="8" t="inlineStr">
        <is>
          <t>I13</t>
        </is>
      </c>
      <c r="C129" s="8" t="inlineStr">
        <is>
          <t>Research Impact Evidence</t>
        </is>
      </c>
      <c r="D129" s="8" t="inlineStr">
        <is>
          <t>Y</t>
        </is>
      </c>
      <c r="E129" s="6" t="n"/>
      <c r="F129" s="6" t="n"/>
      <c r="G129" s="6" t="n"/>
      <c r="H129" s="8" t="inlineStr">
        <is>
          <t>E0</t>
        </is>
      </c>
      <c r="I129" s="8" t="inlineStr">
        <is>
          <t>N</t>
        </is>
      </c>
      <c r="J129" s="8" t="inlineStr">
        <is>
          <t>N</t>
        </is>
      </c>
      <c r="K129" s="6">
        <f>IF(H129="E0",0.20,IF(H129="E1",0.40,IF(H129="E2",0.65,IF(H129="E3",0.85,IF(H129="E4",1.00,0)))))</f>
        <v/>
      </c>
      <c r="L129" s="6">
        <f>IF(D129="N","",IF(OR(E129="",F129=""),"",IF(G129="N/A",100*((0.60*E129)+(0.40*F129))/5,IF(G129="",100*((0.60*E129)+(0.40*F129))/5,100*((0.45*E129)+(0.30*F129)+(0.25*G129))/5))))</f>
        <v/>
      </c>
      <c r="M129" s="6">
        <f>IF(D129="N","",IFERROR(VLOOKUP(A129,'P0-4_Required_Maturity'!$A$2:$I$12,9,FALSE),3))</f>
        <v/>
      </c>
      <c r="N129" s="6">
        <f>IF(OR(E129="",M129=""),"",M129-E129)</f>
        <v/>
      </c>
      <c r="O129" s="6">
        <f>IF(D129="N","N/A",IF(OR(E129="",F129="",H129=""),"INCOMPLETE",IF(AND(L129&gt;=80,H129="E0"),"REVIEW",IF(AND(L129&gt;=80,OR(I129="N",J129="N")),"CORROBORATION REVIEW","OK"))))</f>
        <v/>
      </c>
      <c r="P129" s="6" t="n"/>
    </row>
    <row r="130">
      <c r="A130" s="8" t="inlineStr">
        <is>
          <t>D10</t>
        </is>
      </c>
      <c r="B130" s="8" t="inlineStr">
        <is>
          <t>I14</t>
        </is>
      </c>
      <c r="C130" s="8" t="inlineStr">
        <is>
          <t>Student Research Capability</t>
        </is>
      </c>
      <c r="D130" s="8" t="inlineStr">
        <is>
          <t>Y</t>
        </is>
      </c>
      <c r="E130" s="6" t="n"/>
      <c r="F130" s="6" t="n"/>
      <c r="G130" s="6" t="n"/>
      <c r="H130" s="8" t="inlineStr">
        <is>
          <t>E0</t>
        </is>
      </c>
      <c r="I130" s="8" t="inlineStr">
        <is>
          <t>N</t>
        </is>
      </c>
      <c r="J130" s="8" t="inlineStr">
        <is>
          <t>N</t>
        </is>
      </c>
      <c r="K130" s="6">
        <f>IF(H130="E0",0.20,IF(H130="E1",0.40,IF(H130="E2",0.65,IF(H130="E3",0.85,IF(H130="E4",1.00,0)))))</f>
        <v/>
      </c>
      <c r="L130" s="6">
        <f>IF(D130="N","",IF(OR(E130="",F130=""),"",IF(G130="N/A",100*((0.60*E130)+(0.40*F130))/5,IF(G130="",100*((0.60*E130)+(0.40*F130))/5,100*((0.45*E130)+(0.30*F130)+(0.25*G130))/5))))</f>
        <v/>
      </c>
      <c r="M130" s="6">
        <f>IF(D130="N","",IFERROR(VLOOKUP(A130,'P0-4_Required_Maturity'!$A$2:$I$12,9,FALSE),3))</f>
        <v/>
      </c>
      <c r="N130" s="6">
        <f>IF(OR(E130="",M130=""),"",M130-E130)</f>
        <v/>
      </c>
      <c r="O130" s="6">
        <f>IF(D130="N","N/A",IF(OR(E130="",F130="",H130=""),"INCOMPLETE",IF(AND(L130&gt;=80,H130="E0"),"REVIEW",IF(AND(L130&gt;=80,OR(I130="N",J130="N")),"CORROBORATION REVIEW","OK"))))</f>
        <v/>
      </c>
      <c r="P130" s="6" t="n"/>
    </row>
    <row r="131">
      <c r="A131" s="8" t="inlineStr">
        <is>
          <t>D11</t>
        </is>
      </c>
      <c r="B131" s="8" t="inlineStr">
        <is>
          <t>I01</t>
        </is>
      </c>
      <c r="C131" s="8" t="inlineStr">
        <is>
          <t>External Change Sensing</t>
        </is>
      </c>
      <c r="D131" s="8" t="inlineStr">
        <is>
          <t>Y</t>
        </is>
      </c>
      <c r="E131" s="6" t="n"/>
      <c r="F131" s="6" t="n"/>
      <c r="G131" s="6" t="n"/>
      <c r="H131" s="8" t="inlineStr">
        <is>
          <t>E0</t>
        </is>
      </c>
      <c r="I131" s="8" t="inlineStr">
        <is>
          <t>N</t>
        </is>
      </c>
      <c r="J131" s="8" t="inlineStr">
        <is>
          <t>N</t>
        </is>
      </c>
      <c r="K131" s="6">
        <f>IF(H131="E0",0.20,IF(H131="E1",0.40,IF(H131="E2",0.65,IF(H131="E3",0.85,IF(H131="E4",1.00,0)))))</f>
        <v/>
      </c>
      <c r="L131" s="6">
        <f>IF(D131="N","",IF(OR(E131="",F131=""),"",IF(G131="N/A",100*((0.60*E131)+(0.40*F131))/5,IF(G131="",100*((0.60*E131)+(0.40*F131))/5,100*((0.45*E131)+(0.30*F131)+(0.25*G131))/5))))</f>
        <v/>
      </c>
      <c r="M131" s="6">
        <f>IF(D131="N","",IFERROR(VLOOKUP(A131,'P0-4_Required_Maturity'!$A$2:$I$12,9,FALSE),3))</f>
        <v/>
      </c>
      <c r="N131" s="6">
        <f>IF(OR(E131="",M131=""),"",M131-E131)</f>
        <v/>
      </c>
      <c r="O131" s="6">
        <f>IF(D131="N","N/A",IF(OR(E131="",F131="",H131=""),"INCOMPLETE",IF(AND(L131&gt;=80,H131="E0"),"REVIEW",IF(AND(L131&gt;=80,OR(I131="N",J131="N")),"CORROBORATION REVIEW","OK"))))</f>
        <v/>
      </c>
      <c r="P131" s="6" t="n"/>
    </row>
    <row r="132">
      <c r="A132" s="8" t="inlineStr">
        <is>
          <t>D11</t>
        </is>
      </c>
      <c r="B132" s="8" t="inlineStr">
        <is>
          <t>I02</t>
        </is>
      </c>
      <c r="C132" s="8" t="inlineStr">
        <is>
          <t>Strategic Response Agility</t>
        </is>
      </c>
      <c r="D132" s="8" t="inlineStr">
        <is>
          <t>Y</t>
        </is>
      </c>
      <c r="E132" s="6" t="n"/>
      <c r="F132" s="6" t="n"/>
      <c r="G132" s="6" t="n"/>
      <c r="H132" s="8" t="inlineStr">
        <is>
          <t>E0</t>
        </is>
      </c>
      <c r="I132" s="8" t="inlineStr">
        <is>
          <t>N</t>
        </is>
      </c>
      <c r="J132" s="8" t="inlineStr">
        <is>
          <t>N</t>
        </is>
      </c>
      <c r="K132" s="6">
        <f>IF(H132="E0",0.20,IF(H132="E1",0.40,IF(H132="E2",0.65,IF(H132="E3",0.85,IF(H132="E4",1.00,0)))))</f>
        <v/>
      </c>
      <c r="L132" s="6">
        <f>IF(D132="N","",IF(OR(E132="",F132=""),"",IF(G132="N/A",100*((0.60*E132)+(0.40*F132))/5,IF(G132="",100*((0.60*E132)+(0.40*F132))/5,100*((0.45*E132)+(0.30*F132)+(0.25*G132))/5))))</f>
        <v/>
      </c>
      <c r="M132" s="6">
        <f>IF(D132="N","",IFERROR(VLOOKUP(A132,'P0-4_Required_Maturity'!$A$2:$I$12,9,FALSE),3))</f>
        <v/>
      </c>
      <c r="N132" s="6">
        <f>IF(OR(E132="",M132=""),"",M132-E132)</f>
        <v/>
      </c>
      <c r="O132" s="6">
        <f>IF(D132="N","N/A",IF(OR(E132="",F132="",H132=""),"INCOMPLETE",IF(AND(L132&gt;=80,H132="E0"),"REVIEW",IF(AND(L132&gt;=80,OR(I132="N",J132="N")),"CORROBORATION REVIEW","OK"))))</f>
        <v/>
      </c>
      <c r="P132" s="6" t="n"/>
    </row>
    <row r="133">
      <c r="A133" s="8" t="inlineStr">
        <is>
          <t>D11</t>
        </is>
      </c>
      <c r="B133" s="8" t="inlineStr">
        <is>
          <t>I03</t>
        </is>
      </c>
      <c r="C133" s="8" t="inlineStr">
        <is>
          <t>Adaptive Decision Architecture</t>
        </is>
      </c>
      <c r="D133" s="8" t="inlineStr">
        <is>
          <t>Y</t>
        </is>
      </c>
      <c r="E133" s="6" t="n"/>
      <c r="F133" s="6" t="n"/>
      <c r="G133" s="6" t="n"/>
      <c r="H133" s="8" t="inlineStr">
        <is>
          <t>E0</t>
        </is>
      </c>
      <c r="I133" s="8" t="inlineStr">
        <is>
          <t>N</t>
        </is>
      </c>
      <c r="J133" s="8" t="inlineStr">
        <is>
          <t>N</t>
        </is>
      </c>
      <c r="K133" s="6">
        <f>IF(H133="E0",0.20,IF(H133="E1",0.40,IF(H133="E2",0.65,IF(H133="E3",0.85,IF(H133="E4",1.00,0)))))</f>
        <v/>
      </c>
      <c r="L133" s="6">
        <f>IF(D133="N","",IF(OR(E133="",F133=""),"",IF(G133="N/A",100*((0.60*E133)+(0.40*F133))/5,IF(G133="",100*((0.60*E133)+(0.40*F133))/5,100*((0.45*E133)+(0.30*F133)+(0.25*G133))/5))))</f>
        <v/>
      </c>
      <c r="M133" s="6">
        <f>IF(D133="N","",IFERROR(VLOOKUP(A133,'P0-4_Required_Maturity'!$A$2:$I$12,9,FALSE),3))</f>
        <v/>
      </c>
      <c r="N133" s="6">
        <f>IF(OR(E133="",M133=""),"",M133-E133)</f>
        <v/>
      </c>
      <c r="O133" s="6">
        <f>IF(D133="N","N/A",IF(OR(E133="",F133="",H133=""),"INCOMPLETE",IF(AND(L133&gt;=80,H133="E0"),"REVIEW",IF(AND(L133&gt;=80,OR(I133="N",J133="N")),"CORROBORATION REVIEW","OK"))))</f>
        <v/>
      </c>
      <c r="P133" s="6" t="n"/>
    </row>
    <row r="134">
      <c r="A134" s="8" t="inlineStr">
        <is>
          <t>D11</t>
        </is>
      </c>
      <c r="B134" s="8" t="inlineStr">
        <is>
          <t>I04</t>
        </is>
      </c>
      <c r="C134" s="8" t="inlineStr">
        <is>
          <t>Resource Reallocation Agility</t>
        </is>
      </c>
      <c r="D134" s="8" t="inlineStr">
        <is>
          <t>Y</t>
        </is>
      </c>
      <c r="E134" s="6" t="n"/>
      <c r="F134" s="6" t="n"/>
      <c r="G134" s="6" t="n"/>
      <c r="H134" s="8" t="inlineStr">
        <is>
          <t>E0</t>
        </is>
      </c>
      <c r="I134" s="8" t="inlineStr">
        <is>
          <t>N</t>
        </is>
      </c>
      <c r="J134" s="8" t="inlineStr">
        <is>
          <t>N</t>
        </is>
      </c>
      <c r="K134" s="6">
        <f>IF(H134="E0",0.20,IF(H134="E1",0.40,IF(H134="E2",0.65,IF(H134="E3",0.85,IF(H134="E4",1.00,0)))))</f>
        <v/>
      </c>
      <c r="L134" s="6">
        <f>IF(D134="N","",IF(OR(E134="",F134=""),"",IF(G134="N/A",100*((0.60*E134)+(0.40*F134))/5,IF(G134="",100*((0.60*E134)+(0.40*F134))/5,100*((0.45*E134)+(0.30*F134)+(0.25*G134))/5))))</f>
        <v/>
      </c>
      <c r="M134" s="6">
        <f>IF(D134="N","",IFERROR(VLOOKUP(A134,'P0-4_Required_Maturity'!$A$2:$I$12,9,FALSE),3))</f>
        <v/>
      </c>
      <c r="N134" s="6">
        <f>IF(OR(E134="",M134=""),"",M134-E134)</f>
        <v/>
      </c>
      <c r="O134" s="6">
        <f>IF(D134="N","N/A",IF(OR(E134="",F134="",H134=""),"INCOMPLETE",IF(AND(L134&gt;=80,H134="E0"),"REVIEW",IF(AND(L134&gt;=80,OR(I134="N",J134="N")),"CORROBORATION REVIEW","OK"))))</f>
        <v/>
      </c>
      <c r="P134" s="6" t="n"/>
    </row>
    <row r="135">
      <c r="A135" s="8" t="inlineStr">
        <is>
          <t>D11</t>
        </is>
      </c>
      <c r="B135" s="8" t="inlineStr">
        <is>
          <t>I05</t>
        </is>
      </c>
      <c r="C135" s="8" t="inlineStr">
        <is>
          <t>Institutional Experimentation</t>
        </is>
      </c>
      <c r="D135" s="8" t="inlineStr">
        <is>
          <t>Y</t>
        </is>
      </c>
      <c r="E135" s="6" t="n"/>
      <c r="F135" s="6" t="n"/>
      <c r="G135" s="6" t="n"/>
      <c r="H135" s="8" t="inlineStr">
        <is>
          <t>E0</t>
        </is>
      </c>
      <c r="I135" s="8" t="inlineStr">
        <is>
          <t>N</t>
        </is>
      </c>
      <c r="J135" s="8" t="inlineStr">
        <is>
          <t>N</t>
        </is>
      </c>
      <c r="K135" s="6">
        <f>IF(H135="E0",0.20,IF(H135="E1",0.40,IF(H135="E2",0.65,IF(H135="E3",0.85,IF(H135="E4",1.00,0)))))</f>
        <v/>
      </c>
      <c r="L135" s="6">
        <f>IF(D135="N","",IF(OR(E135="",F135=""),"",IF(G135="N/A",100*((0.60*E135)+(0.40*F135))/5,IF(G135="",100*((0.60*E135)+(0.40*F135))/5,100*((0.45*E135)+(0.30*F135)+(0.25*G135))/5))))</f>
        <v/>
      </c>
      <c r="M135" s="6">
        <f>IF(D135="N","",IFERROR(VLOOKUP(A135,'P0-4_Required_Maturity'!$A$2:$I$12,9,FALSE),3))</f>
        <v/>
      </c>
      <c r="N135" s="6">
        <f>IF(OR(E135="",M135=""),"",M135-E135)</f>
        <v/>
      </c>
      <c r="O135" s="6">
        <f>IF(D135="N","N/A",IF(OR(E135="",F135="",H135=""),"INCOMPLETE",IF(AND(L135&gt;=80,H135="E0"),"REVIEW",IF(AND(L135&gt;=80,OR(I135="N",J135="N")),"CORROBORATION REVIEW","OK"))))</f>
        <v/>
      </c>
      <c r="P135" s="6" t="n"/>
    </row>
    <row r="136">
      <c r="A136" s="8" t="inlineStr">
        <is>
          <t>D11</t>
        </is>
      </c>
      <c r="B136" s="8" t="inlineStr">
        <is>
          <t>I06</t>
        </is>
      </c>
      <c r="C136" s="8" t="inlineStr">
        <is>
          <t>Failure-to-Learning Capability</t>
        </is>
      </c>
      <c r="D136" s="8" t="inlineStr">
        <is>
          <t>Y</t>
        </is>
      </c>
      <c r="E136" s="6" t="n"/>
      <c r="F136" s="6" t="n"/>
      <c r="G136" s="6" t="n"/>
      <c r="H136" s="8" t="inlineStr">
        <is>
          <t>E0</t>
        </is>
      </c>
      <c r="I136" s="8" t="inlineStr">
        <is>
          <t>N</t>
        </is>
      </c>
      <c r="J136" s="8" t="inlineStr">
        <is>
          <t>N</t>
        </is>
      </c>
      <c r="K136" s="6">
        <f>IF(H136="E0",0.20,IF(H136="E1",0.40,IF(H136="E2",0.65,IF(H136="E3",0.85,IF(H136="E4",1.00,0)))))</f>
        <v/>
      </c>
      <c r="L136" s="6">
        <f>IF(D136="N","",IF(OR(E136="",F136=""),"",IF(G136="N/A",100*((0.60*E136)+(0.40*F136))/5,IF(G136="",100*((0.60*E136)+(0.40*F136))/5,100*((0.45*E136)+(0.30*F136)+(0.25*G136))/5))))</f>
        <v/>
      </c>
      <c r="M136" s="6">
        <f>IF(D136="N","",IFERROR(VLOOKUP(A136,'P0-4_Required_Maturity'!$A$2:$I$12,9,FALSE),3))</f>
        <v/>
      </c>
      <c r="N136" s="6">
        <f>IF(OR(E136="",M136=""),"",M136-E136)</f>
        <v/>
      </c>
      <c r="O136" s="6">
        <f>IF(D136="N","N/A",IF(OR(E136="",F136="",H136=""),"INCOMPLETE",IF(AND(L136&gt;=80,H136="E0"),"REVIEW",IF(AND(L136&gt;=80,OR(I136="N",J136="N")),"CORROBORATION REVIEW","OK"))))</f>
        <v/>
      </c>
      <c r="P136" s="6" t="n"/>
    </row>
    <row r="137">
      <c r="A137" s="8" t="inlineStr">
        <is>
          <t>D11</t>
        </is>
      </c>
      <c r="B137" s="8" t="inlineStr">
        <is>
          <t>I07</t>
        </is>
      </c>
      <c r="C137" s="8" t="inlineStr">
        <is>
          <t>Change Management Capacity</t>
        </is>
      </c>
      <c r="D137" s="8" t="inlineStr">
        <is>
          <t>Y</t>
        </is>
      </c>
      <c r="E137" s="6" t="n"/>
      <c r="F137" s="6" t="n"/>
      <c r="G137" s="6" t="n"/>
      <c r="H137" s="8" t="inlineStr">
        <is>
          <t>E0</t>
        </is>
      </c>
      <c r="I137" s="8" t="inlineStr">
        <is>
          <t>N</t>
        </is>
      </c>
      <c r="J137" s="8" t="inlineStr">
        <is>
          <t>N</t>
        </is>
      </c>
      <c r="K137" s="6">
        <f>IF(H137="E0",0.20,IF(H137="E1",0.40,IF(H137="E2",0.65,IF(H137="E3",0.85,IF(H137="E4",1.00,0)))))</f>
        <v/>
      </c>
      <c r="L137" s="6">
        <f>IF(D137="N","",IF(OR(E137="",F137=""),"",IF(G137="N/A",100*((0.60*E137)+(0.40*F137))/5,IF(G137="",100*((0.60*E137)+(0.40*F137))/5,100*((0.45*E137)+(0.30*F137)+(0.25*G137))/5))))</f>
        <v/>
      </c>
      <c r="M137" s="6">
        <f>IF(D137="N","",IFERROR(VLOOKUP(A137,'P0-4_Required_Maturity'!$A$2:$I$12,9,FALSE),3))</f>
        <v/>
      </c>
      <c r="N137" s="6">
        <f>IF(OR(E137="",M137=""),"",M137-E137)</f>
        <v/>
      </c>
      <c r="O137" s="6">
        <f>IF(D137="N","N/A",IF(OR(E137="",F137="",H137=""),"INCOMPLETE",IF(AND(L137&gt;=80,H137="E0"),"REVIEW",IF(AND(L137&gt;=80,OR(I137="N",J137="N")),"CORROBORATION REVIEW","OK"))))</f>
        <v/>
      </c>
      <c r="P137" s="6" t="n"/>
    </row>
    <row r="138">
      <c r="A138" s="8" t="inlineStr">
        <is>
          <t>D11</t>
        </is>
      </c>
      <c r="B138" s="8" t="inlineStr">
        <is>
          <t>I08</t>
        </is>
      </c>
      <c r="C138" s="8" t="inlineStr">
        <is>
          <t>Adaptive Leadership Alignment</t>
        </is>
      </c>
      <c r="D138" s="8" t="inlineStr">
        <is>
          <t>Y</t>
        </is>
      </c>
      <c r="E138" s="6" t="n"/>
      <c r="F138" s="6" t="n"/>
      <c r="G138" s="6" t="n"/>
      <c r="H138" s="8" t="inlineStr">
        <is>
          <t>E0</t>
        </is>
      </c>
      <c r="I138" s="8" t="inlineStr">
        <is>
          <t>N</t>
        </is>
      </c>
      <c r="J138" s="8" t="inlineStr">
        <is>
          <t>N</t>
        </is>
      </c>
      <c r="K138" s="6">
        <f>IF(H138="E0",0.20,IF(H138="E1",0.40,IF(H138="E2",0.65,IF(H138="E3",0.85,IF(H138="E4",1.00,0)))))</f>
        <v/>
      </c>
      <c r="L138" s="6">
        <f>IF(D138="N","",IF(OR(E138="",F138=""),"",IF(G138="N/A",100*((0.60*E138)+(0.40*F138))/5,IF(G138="",100*((0.60*E138)+(0.40*F138))/5,100*((0.45*E138)+(0.30*F138)+(0.25*G138))/5))))</f>
        <v/>
      </c>
      <c r="M138" s="6">
        <f>IF(D138="N","",IFERROR(VLOOKUP(A138,'P0-4_Required_Maturity'!$A$2:$I$12,9,FALSE),3))</f>
        <v/>
      </c>
      <c r="N138" s="6">
        <f>IF(OR(E138="",M138=""),"",M138-E138)</f>
        <v/>
      </c>
      <c r="O138" s="6">
        <f>IF(D138="N","N/A",IF(OR(E138="",F138="",H138=""),"INCOMPLETE",IF(AND(L138&gt;=80,H138="E0"),"REVIEW",IF(AND(L138&gt;=80,OR(I138="N",J138="N")),"CORROBORATION REVIEW","OK"))))</f>
        <v/>
      </c>
      <c r="P138" s="6" t="n"/>
    </row>
    <row r="139">
      <c r="A139" s="8" t="inlineStr">
        <is>
          <t>D11</t>
        </is>
      </c>
      <c r="B139" s="8" t="inlineStr">
        <is>
          <t>I09</t>
        </is>
      </c>
      <c r="C139" s="8" t="inlineStr">
        <is>
          <t>Learner Signal Responsiveness</t>
        </is>
      </c>
      <c r="D139" s="8" t="inlineStr">
        <is>
          <t>Y</t>
        </is>
      </c>
      <c r="E139" s="6" t="n"/>
      <c r="F139" s="6" t="n"/>
      <c r="G139" s="6" t="n"/>
      <c r="H139" s="8" t="inlineStr">
        <is>
          <t>E0</t>
        </is>
      </c>
      <c r="I139" s="8" t="inlineStr">
        <is>
          <t>N</t>
        </is>
      </c>
      <c r="J139" s="8" t="inlineStr">
        <is>
          <t>N</t>
        </is>
      </c>
      <c r="K139" s="6">
        <f>IF(H139="E0",0.20,IF(H139="E1",0.40,IF(H139="E2",0.65,IF(H139="E3",0.85,IF(H139="E4",1.00,0)))))</f>
        <v/>
      </c>
      <c r="L139" s="6">
        <f>IF(D139="N","",IF(OR(E139="",F139=""),"",IF(G139="N/A",100*((0.60*E139)+(0.40*F139))/5,IF(G139="",100*((0.60*E139)+(0.40*F139))/5,100*((0.45*E139)+(0.30*F139)+(0.25*G139))/5))))</f>
        <v/>
      </c>
      <c r="M139" s="6">
        <f>IF(D139="N","",IFERROR(VLOOKUP(A139,'P0-4_Required_Maturity'!$A$2:$I$12,9,FALSE),3))</f>
        <v/>
      </c>
      <c r="N139" s="6">
        <f>IF(OR(E139="",M139=""),"",M139-E139)</f>
        <v/>
      </c>
      <c r="O139" s="6">
        <f>IF(D139="N","N/A",IF(OR(E139="",F139="",H139=""),"INCOMPLETE",IF(AND(L139&gt;=80,H139="E0"),"REVIEW",IF(AND(L139&gt;=80,OR(I139="N",J139="N")),"CORROBORATION REVIEW","OK"))))</f>
        <v/>
      </c>
      <c r="P139" s="6" t="n"/>
    </row>
    <row r="140">
      <c r="A140" s="8" t="inlineStr">
        <is>
          <t>D11</t>
        </is>
      </c>
      <c r="B140" s="8" t="inlineStr">
        <is>
          <t>I10</t>
        </is>
      </c>
      <c r="C140" s="8" t="inlineStr">
        <is>
          <t>Economic &amp; Workforce Responsiveness</t>
        </is>
      </c>
      <c r="D140" s="8" t="inlineStr">
        <is>
          <t>Y</t>
        </is>
      </c>
      <c r="E140" s="6" t="n"/>
      <c r="F140" s="6" t="n"/>
      <c r="G140" s="6" t="n"/>
      <c r="H140" s="8" t="inlineStr">
        <is>
          <t>E0</t>
        </is>
      </c>
      <c r="I140" s="8" t="inlineStr">
        <is>
          <t>N</t>
        </is>
      </c>
      <c r="J140" s="8" t="inlineStr">
        <is>
          <t>N</t>
        </is>
      </c>
      <c r="K140" s="6">
        <f>IF(H140="E0",0.20,IF(H140="E1",0.40,IF(H140="E2",0.65,IF(H140="E3",0.85,IF(H140="E4",1.00,0)))))</f>
        <v/>
      </c>
      <c r="L140" s="6">
        <f>IF(D140="N","",IF(OR(E140="",F140=""),"",IF(G140="N/A",100*((0.60*E140)+(0.40*F140))/5,IF(G140="",100*((0.60*E140)+(0.40*F140))/5,100*((0.45*E140)+(0.30*F140)+(0.25*G140))/5))))</f>
        <v/>
      </c>
      <c r="M140" s="6">
        <f>IF(D140="N","",IFERROR(VLOOKUP(A140,'P0-4_Required_Maturity'!$A$2:$I$12,9,FALSE),3))</f>
        <v/>
      </c>
      <c r="N140" s="6">
        <f>IF(OR(E140="",M140=""),"",M140-E140)</f>
        <v/>
      </c>
      <c r="O140" s="6">
        <f>IF(D140="N","N/A",IF(OR(E140="",F140="",H140=""),"INCOMPLETE",IF(AND(L140&gt;=80,H140="E0"),"REVIEW",IF(AND(L140&gt;=80,OR(I140="N",J140="N")),"CORROBORATION REVIEW","OK"))))</f>
        <v/>
      </c>
      <c r="P140" s="6" t="n"/>
    </row>
    <row r="141">
      <c r="A141" s="8" t="inlineStr">
        <is>
          <t>D11</t>
        </is>
      </c>
      <c r="B141" s="8" t="inlineStr">
        <is>
          <t>I11</t>
        </is>
      </c>
      <c r="C141" s="8" t="inlineStr">
        <is>
          <t>Scenario Planning Capability</t>
        </is>
      </c>
      <c r="D141" s="8" t="inlineStr">
        <is>
          <t>Y</t>
        </is>
      </c>
      <c r="E141" s="6" t="n"/>
      <c r="F141" s="6" t="n"/>
      <c r="G141" s="6" t="n"/>
      <c r="H141" s="8" t="inlineStr">
        <is>
          <t>E0</t>
        </is>
      </c>
      <c r="I141" s="8" t="inlineStr">
        <is>
          <t>N</t>
        </is>
      </c>
      <c r="J141" s="8" t="inlineStr">
        <is>
          <t>N</t>
        </is>
      </c>
      <c r="K141" s="6">
        <f>IF(H141="E0",0.20,IF(H141="E1",0.40,IF(H141="E2",0.65,IF(H141="E3",0.85,IF(H141="E4",1.00,0)))))</f>
        <v/>
      </c>
      <c r="L141" s="6">
        <f>IF(D141="N","",IF(OR(E141="",F141=""),"",IF(G141="N/A",100*((0.60*E141)+(0.40*F141))/5,IF(G141="",100*((0.60*E141)+(0.40*F141))/5,100*((0.45*E141)+(0.30*F141)+(0.25*G141))/5))))</f>
        <v/>
      </c>
      <c r="M141" s="6">
        <f>IF(D141="N","",IFERROR(VLOOKUP(A141,'P0-4_Required_Maturity'!$A$2:$I$12,9,FALSE),3))</f>
        <v/>
      </c>
      <c r="N141" s="6">
        <f>IF(OR(E141="",M141=""),"",M141-E141)</f>
        <v/>
      </c>
      <c r="O141" s="6">
        <f>IF(D141="N","N/A",IF(OR(E141="",F141="",H141=""),"INCOMPLETE",IF(AND(L141&gt;=80,H141="E0"),"REVIEW",IF(AND(L141&gt;=80,OR(I141="N",J141="N")),"CORROBORATION REVIEW","OK"))))</f>
        <v/>
      </c>
      <c r="P141" s="6" t="n"/>
    </row>
    <row r="142">
      <c r="A142" s="8" t="inlineStr">
        <is>
          <t>D11</t>
        </is>
      </c>
      <c r="B142" s="8" t="inlineStr">
        <is>
          <t>I12</t>
        </is>
      </c>
      <c r="C142" s="8" t="inlineStr">
        <is>
          <t>Institutional Resilience</t>
        </is>
      </c>
      <c r="D142" s="8" t="inlineStr">
        <is>
          <t>Y</t>
        </is>
      </c>
      <c r="E142" s="6" t="n"/>
      <c r="F142" s="6" t="n"/>
      <c r="G142" s="6" t="n"/>
      <c r="H142" s="8" t="inlineStr">
        <is>
          <t>E0</t>
        </is>
      </c>
      <c r="I142" s="8" t="inlineStr">
        <is>
          <t>N</t>
        </is>
      </c>
      <c r="J142" s="8" t="inlineStr">
        <is>
          <t>N</t>
        </is>
      </c>
      <c r="K142" s="6">
        <f>IF(H142="E0",0.20,IF(H142="E1",0.40,IF(H142="E2",0.65,IF(H142="E3",0.85,IF(H142="E4",1.00,0)))))</f>
        <v/>
      </c>
      <c r="L142" s="6">
        <f>IF(D142="N","",IF(OR(E142="",F142=""),"",IF(G142="N/A",100*((0.60*E142)+(0.40*F142))/5,IF(G142="",100*((0.60*E142)+(0.40*F142))/5,100*((0.45*E142)+(0.30*F142)+(0.25*G142))/5))))</f>
        <v/>
      </c>
      <c r="M142" s="6">
        <f>IF(D142="N","",IFERROR(VLOOKUP(A142,'P0-4_Required_Maturity'!$A$2:$I$12,9,FALSE),3))</f>
        <v/>
      </c>
      <c r="N142" s="6">
        <f>IF(OR(E142="",M142=""),"",M142-E142)</f>
        <v/>
      </c>
      <c r="O142" s="6">
        <f>IF(D142="N","N/A",IF(OR(E142="",F142="",H142=""),"INCOMPLETE",IF(AND(L142&gt;=80,H142="E0"),"REVIEW",IF(AND(L142&gt;=80,OR(I142="N",J142="N")),"CORROBORATION REVIEW","OK"))))</f>
        <v/>
      </c>
      <c r="P142" s="6" t="n"/>
    </row>
    <row r="143">
      <c r="A143" s="8" t="inlineStr">
        <is>
          <t>D11</t>
        </is>
      </c>
      <c r="B143" s="8" t="inlineStr">
        <is>
          <t>I13</t>
        </is>
      </c>
      <c r="C143" s="8" t="inlineStr">
        <is>
          <t>Institutional Learning System</t>
        </is>
      </c>
      <c r="D143" s="8" t="inlineStr">
        <is>
          <t>Y</t>
        </is>
      </c>
      <c r="E143" s="6" t="n"/>
      <c r="F143" s="6" t="n"/>
      <c r="G143" s="6" t="n"/>
      <c r="H143" s="8" t="inlineStr">
        <is>
          <t>E0</t>
        </is>
      </c>
      <c r="I143" s="8" t="inlineStr">
        <is>
          <t>N</t>
        </is>
      </c>
      <c r="J143" s="8" t="inlineStr">
        <is>
          <t>N</t>
        </is>
      </c>
      <c r="K143" s="6">
        <f>IF(H143="E0",0.20,IF(H143="E1",0.40,IF(H143="E2",0.65,IF(H143="E3",0.85,IF(H143="E4",1.00,0)))))</f>
        <v/>
      </c>
      <c r="L143" s="6">
        <f>IF(D143="N","",IF(OR(E143="",F143=""),"",IF(G143="N/A",100*((0.60*E143)+(0.40*F143))/5,IF(G143="",100*((0.60*E143)+(0.40*F143))/5,100*((0.45*E143)+(0.30*F143)+(0.25*G143))/5))))</f>
        <v/>
      </c>
      <c r="M143" s="6">
        <f>IF(D143="N","",IFERROR(VLOOKUP(A143,'P0-4_Required_Maturity'!$A$2:$I$12,9,FALSE),3))</f>
        <v/>
      </c>
      <c r="N143" s="6">
        <f>IF(OR(E143="",M143=""),"",M143-E143)</f>
        <v/>
      </c>
      <c r="O143" s="6">
        <f>IF(D143="N","N/A",IF(OR(E143="",F143="",H143=""),"INCOMPLETE",IF(AND(L143&gt;=80,H143="E0"),"REVIEW",IF(AND(L143&gt;=80,OR(I143="N",J143="N")),"CORROBORATION REVIEW","OK"))))</f>
        <v/>
      </c>
      <c r="P143" s="6" t="n"/>
    </row>
    <row r="144">
      <c r="A144" s="8" t="inlineStr">
        <is>
          <t>D11</t>
        </is>
      </c>
      <c r="B144" s="8" t="inlineStr">
        <is>
          <t>I14</t>
        </is>
      </c>
      <c r="C144" s="8" t="inlineStr">
        <is>
          <t>Future Transformation Capacity</t>
        </is>
      </c>
      <c r="D144" s="8" t="inlineStr">
        <is>
          <t>Y</t>
        </is>
      </c>
      <c r="E144" s="6" t="n"/>
      <c r="F144" s="6" t="n"/>
      <c r="G144" s="6" t="n"/>
      <c r="H144" s="8" t="inlineStr">
        <is>
          <t>E0</t>
        </is>
      </c>
      <c r="I144" s="8" t="inlineStr">
        <is>
          <t>N</t>
        </is>
      </c>
      <c r="J144" s="8" t="inlineStr">
        <is>
          <t>N</t>
        </is>
      </c>
      <c r="K144" s="6">
        <f>IF(H144="E0",0.20,IF(H144="E1",0.40,IF(H144="E2",0.65,IF(H144="E3",0.85,IF(H144="E4",1.00,0)))))</f>
        <v/>
      </c>
      <c r="L144" s="6">
        <f>IF(D144="N","",IF(OR(E144="",F144=""),"",IF(G144="N/A",100*((0.60*E144)+(0.40*F144))/5,IF(G144="",100*((0.60*E144)+(0.40*F144))/5,100*((0.45*E144)+(0.30*F144)+(0.25*G144))/5))))</f>
        <v/>
      </c>
      <c r="M144" s="6">
        <f>IF(D144="N","",IFERROR(VLOOKUP(A144,'P0-4_Required_Maturity'!$A$2:$I$12,9,FALSE),3))</f>
        <v/>
      </c>
      <c r="N144" s="6">
        <f>IF(OR(E144="",M144=""),"",M144-E144)</f>
        <v/>
      </c>
      <c r="O144" s="6">
        <f>IF(D144="N","N/A",IF(OR(E144="",F144="",H144=""),"INCOMPLETE",IF(AND(L144&gt;=80,H144="E0"),"REVIEW",IF(AND(L144&gt;=80,OR(I144="N",J144="N")),"CORROBORATION REVIEW","OK"))))</f>
        <v/>
      </c>
      <c r="P144" s="6" t="n"/>
    </row>
  </sheetData>
  <pageMargins left="0.7" right="0.7" top="0.75" bottom="0.75" header="0.3" footer="0.3"/>
</worksheet>
</file>

<file path=xl/worksheets/sheet158.xml><?xml version="1.0" encoding="utf-8"?>
<worksheet xmlns="http://schemas.openxmlformats.org/spreadsheetml/2006/main">
  <sheetPr>
    <outlinePr summaryBelow="1" summaryRight="1"/>
    <pageSetUpPr/>
  </sheetPr>
  <dimension ref="A1:E12"/>
  <sheetViews>
    <sheetView showGridLines="0" workbookViewId="0">
      <pane ySplit="1" topLeftCell="A2" activePane="bottomLeft" state="frozen"/>
      <selection pane="bottomLeft" activeCell="A1" sqref="A1"/>
    </sheetView>
  </sheetViews>
  <sheetFormatPr baseColWidth="8" defaultRowHeight="15"/>
  <cols>
    <col width="12.140625" customWidth="1" min="1" max="1"/>
    <col width="60.140625" customWidth="1" min="2" max="2"/>
    <col width="22.140625" customWidth="1" min="3" max="3"/>
    <col width="27.140625" customWidth="1" min="4" max="4"/>
    <col width="60.7109375" customWidth="1" min="5" max="5"/>
  </cols>
  <sheetData>
    <row r="1">
      <c r="A1" s="23" t="inlineStr">
        <is>
          <t>Domain</t>
        </is>
      </c>
      <c r="B1" s="23" t="inlineStr">
        <is>
          <t>Domain Name</t>
        </is>
      </c>
      <c r="C1" s="23" t="inlineStr">
        <is>
          <t>Provisional Weight</t>
        </is>
      </c>
      <c r="D1" s="23" t="inlineStr">
        <is>
          <t>Baseline Required Maturity</t>
        </is>
      </c>
      <c r="E1" s="23" t="inlineStr">
        <is>
          <t>Validation Note</t>
        </is>
      </c>
    </row>
    <row r="2">
      <c r="A2" s="8" t="inlineStr">
        <is>
          <t>D01</t>
        </is>
      </c>
      <c r="B2" s="8" t="inlineStr">
        <is>
          <t>Institutional Strategy, Foresight &amp; AI Direction</t>
        </is>
      </c>
      <c r="C2" s="9" t="n">
        <v>0.1</v>
      </c>
      <c r="D2" s="8" t="n">
        <v>3</v>
      </c>
      <c r="E2" s="8" t="inlineStr">
        <is>
          <t>Provisional; validate through sensitivity and institution-type pilot.</t>
        </is>
      </c>
    </row>
    <row r="3">
      <c r="A3" s="8" t="inlineStr">
        <is>
          <t>D02</t>
        </is>
      </c>
      <c r="B3" s="8" t="inlineStr">
        <is>
          <t>Governance, Responsible AI &amp; Institutional Risk</t>
        </is>
      </c>
      <c r="C3" s="9" t="n">
        <v>0.12</v>
      </c>
      <c r="D3" s="8" t="n">
        <v>3</v>
      </c>
      <c r="E3" s="8" t="inlineStr">
        <is>
          <t>Provisional; validate through sensitivity and institution-type pilot.</t>
        </is>
      </c>
    </row>
    <row r="4">
      <c r="A4" s="8" t="inlineStr">
        <is>
          <t>D03</t>
        </is>
      </c>
      <c r="B4" s="8" t="inlineStr">
        <is>
          <t>Human Capability, Cognitive Readiness &amp; AI-Ready Education</t>
        </is>
      </c>
      <c r="C4" s="9" t="n">
        <v>0.12</v>
      </c>
      <c r="D4" s="8" t="n">
        <v>3</v>
      </c>
      <c r="E4" s="8" t="inlineStr">
        <is>
          <t>Provisional; validate through sensitivity and institution-type pilot.</t>
        </is>
      </c>
    </row>
    <row r="5">
      <c r="A5" s="8" t="inlineStr">
        <is>
          <t>D04</t>
        </is>
      </c>
      <c r="B5" s="8" t="inlineStr">
        <is>
          <t>Curriculum &amp; Programme Future Resilience</t>
        </is>
      </c>
      <c r="C5" s="9" t="n">
        <v>0.1</v>
      </c>
      <c r="D5" s="8" t="n">
        <v>3</v>
      </c>
      <c r="E5" s="8" t="inlineStr">
        <is>
          <t>Provisional; validate through sensitivity and institution-type pilot.</t>
        </is>
      </c>
    </row>
    <row r="6">
      <c r="A6" s="8" t="inlineStr">
        <is>
          <t>D05</t>
        </is>
      </c>
      <c r="B6" s="8" t="inlineStr">
        <is>
          <t>Faculty Capability &amp; Academic Workforce Transformation</t>
        </is>
      </c>
      <c r="C6" s="9" t="n">
        <v>0.1</v>
      </c>
      <c r="D6" s="8" t="n">
        <v>3</v>
      </c>
      <c r="E6" s="8" t="inlineStr">
        <is>
          <t>Provisional; validate through sensitivity and institution-type pilot.</t>
        </is>
      </c>
    </row>
    <row r="7">
      <c r="A7" s="8" t="inlineStr">
        <is>
          <t>D06</t>
        </is>
      </c>
      <c r="B7" s="8" t="inlineStr">
        <is>
          <t>Student Capability, Agency &amp; Future Readiness</t>
        </is>
      </c>
      <c r="C7" s="9" t="n">
        <v>0.1</v>
      </c>
      <c r="D7" s="8" t="n">
        <v>3</v>
      </c>
      <c r="E7" s="8" t="inlineStr">
        <is>
          <t>Provisional; validate through sensitivity and institution-type pilot.</t>
        </is>
      </c>
    </row>
    <row r="8">
      <c r="A8" s="8" t="inlineStr">
        <is>
          <t>D07</t>
        </is>
      </c>
      <c r="B8" s="8" t="inlineStr">
        <is>
          <t>Learning, Assessment &amp; Evidence of Capability</t>
        </is>
      </c>
      <c r="C8" s="9" t="n">
        <v>0.1</v>
      </c>
      <c r="D8" s="8" t="n">
        <v>3</v>
      </c>
      <c r="E8" s="8" t="inlineStr">
        <is>
          <t>Provisional; validate through sensitivity and institution-type pilot.</t>
        </is>
      </c>
    </row>
    <row r="9">
      <c r="A9" s="8" t="inlineStr">
        <is>
          <t>D08</t>
        </is>
      </c>
      <c r="B9" s="8" t="inlineStr">
        <is>
          <t>Digital, Data &amp; Institutional Intelligence</t>
        </is>
      </c>
      <c r="C9" s="9" t="n">
        <v>0.08</v>
      </c>
      <c r="D9" s="8" t="n">
        <v>3</v>
      </c>
      <c r="E9" s="8" t="inlineStr">
        <is>
          <t>Provisional; validate through sensitivity and institution-type pilot.</t>
        </is>
      </c>
    </row>
    <row r="10">
      <c r="A10" s="8" t="inlineStr">
        <is>
          <t>D09</t>
        </is>
      </c>
      <c r="B10" s="8" t="inlineStr">
        <is>
          <t>Employability, Industry &amp; Economic Relevance</t>
        </is>
      </c>
      <c r="C10" s="9" t="n">
        <v>0.09</v>
      </c>
      <c r="D10" s="8" t="n">
        <v>3</v>
      </c>
      <c r="E10" s="8" t="inlineStr">
        <is>
          <t>Provisional; validate through sensitivity and institution-type pilot.</t>
        </is>
      </c>
    </row>
    <row r="11">
      <c r="A11" s="8" t="inlineStr">
        <is>
          <t>D10</t>
        </is>
      </c>
      <c r="B11" s="8" t="inlineStr">
        <is>
          <t>Research, Innovation &amp; Knowledge Creation</t>
        </is>
      </c>
      <c r="C11" s="9" t="n">
        <v>0.05</v>
      </c>
      <c r="D11" s="8" t="n">
        <v>3</v>
      </c>
      <c r="E11" s="8" t="inlineStr">
        <is>
          <t>Provisional; validate through sensitivity and institution-type pilot.</t>
        </is>
      </c>
    </row>
    <row r="12">
      <c r="A12" s="8" t="inlineStr">
        <is>
          <t>D11</t>
        </is>
      </c>
      <c r="B12" s="8" t="inlineStr">
        <is>
          <t>Institutional Adaptability &amp; AI Resilience</t>
        </is>
      </c>
      <c r="C12" s="9" t="n">
        <v>0.04</v>
      </c>
      <c r="D12" s="8" t="n">
        <v>3</v>
      </c>
      <c r="E12" s="8" t="inlineStr">
        <is>
          <t>Provisional; validate through sensitivity and institution-type pilot.</t>
        </is>
      </c>
    </row>
  </sheetData>
  <pageMargins left="0.7" right="0.7" top="0.75" bottom="0.75" header="0.3" footer="0.3"/>
</worksheet>
</file>

<file path=xl/worksheets/sheet159.xml><?xml version="1.0" encoding="utf-8"?>
<worksheet xmlns="http://schemas.openxmlformats.org/spreadsheetml/2006/main">
  <sheetPr>
    <outlinePr summaryBelow="1" summaryRight="1"/>
    <pageSetUpPr/>
  </sheetPr>
  <dimension ref="A1:H12"/>
  <sheetViews>
    <sheetView showGridLines="0" workbookViewId="0">
      <pane ySplit="1" topLeftCell="A2" activePane="bottomLeft" state="frozen"/>
      <selection pane="bottomLeft" activeCell="A1" sqref="A1"/>
    </sheetView>
  </sheetViews>
  <sheetFormatPr baseColWidth="8" defaultRowHeight="15"/>
  <cols>
    <col width="12.140625" customWidth="1" min="1" max="1"/>
    <col width="20.140625" customWidth="1" min="2" max="2"/>
    <col width="17.140625" customWidth="1" min="4" max="4"/>
    <col width="22.140625" customWidth="1" min="5" max="5"/>
    <col width="14.140625" customWidth="1" min="7" max="7"/>
    <col width="20.140625" customWidth="1" min="8" max="8"/>
  </cols>
  <sheetData>
    <row r="1">
      <c r="A1" s="23" t="inlineStr">
        <is>
          <t>Domain</t>
        </is>
      </c>
      <c r="B1" s="23" t="inlineStr">
        <is>
          <t>Domain Score /100</t>
        </is>
      </c>
      <c r="C1" s="23" t="inlineStr">
        <is>
          <t>Applicable Metrics</t>
        </is>
      </c>
      <c r="D1" s="23" t="inlineStr">
        <is>
          <t>N/A Metrics</t>
        </is>
      </c>
      <c r="E1" s="23" t="inlineStr">
        <is>
          <t>Average Confidence</t>
        </is>
      </c>
      <c r="F1" s="23" t="inlineStr">
        <is>
          <t>Weighted Contribution</t>
        </is>
      </c>
      <c r="G1" s="23" t="inlineStr">
        <is>
          <t>Weight</t>
        </is>
      </c>
      <c r="H1" s="23" t="inlineStr">
        <is>
          <t>Domain Status</t>
        </is>
      </c>
    </row>
    <row r="2">
      <c r="A2" s="8" t="inlineStr">
        <is>
          <t>D01</t>
        </is>
      </c>
      <c r="B2" s="6">
        <f>IFERROR(AVERAGEIF('P0-3_Scorecard'!$A$2:$A$144,A2,'P0-3_Scorecard'!$L$2:$L$144),"")</f>
        <v/>
      </c>
      <c r="C2" s="6">
        <f>COUNTIFS('P0-3_Scorecard'!$A$2:$A$144,A2,'P0-3_Scorecard'!$D$2:$D$144,"Y")</f>
        <v/>
      </c>
      <c r="D2" s="6">
        <f>COUNTIFS('P0-3_Scorecard'!$A$2:$A$144,A2,'P0-3_Scorecard'!$D$2:$D$144,"N")</f>
        <v/>
      </c>
      <c r="E2" s="6">
        <f>IFERROR(AVERAGEIF('P0-3_Scorecard'!$A$2:$A$144,A2,'P0-3_Scorecard'!$K$2:$K$144),"")</f>
        <v/>
      </c>
      <c r="F2" s="6">
        <f>IF(B2="","",B2*G2)</f>
        <v/>
      </c>
      <c r="G2" s="9" t="n">
        <v>0.1</v>
      </c>
      <c r="H2" s="6">
        <f>IF(B2="","NOT SCORED",IF(B2&gt;=80,"STRONG",IF(B2&gt;=60,"DEVELOPING","PRIORITY")))</f>
        <v/>
      </c>
    </row>
    <row r="3">
      <c r="A3" s="8" t="inlineStr">
        <is>
          <t>D02</t>
        </is>
      </c>
      <c r="B3" s="6">
        <f>IFERROR(AVERAGEIF('P0-3_Scorecard'!$A$2:$A$144,A3,'P0-3_Scorecard'!$L$2:$L$144),"")</f>
        <v/>
      </c>
      <c r="C3" s="6">
        <f>COUNTIFS('P0-3_Scorecard'!$A$2:$A$144,A3,'P0-3_Scorecard'!$D$2:$D$144,"Y")</f>
        <v/>
      </c>
      <c r="D3" s="6">
        <f>COUNTIFS('P0-3_Scorecard'!$A$2:$A$144,A3,'P0-3_Scorecard'!$D$2:$D$144,"N")</f>
        <v/>
      </c>
      <c r="E3" s="6">
        <f>IFERROR(AVERAGEIF('P0-3_Scorecard'!$A$2:$A$144,A3,'P0-3_Scorecard'!$K$2:$K$144),"")</f>
        <v/>
      </c>
      <c r="F3" s="6">
        <f>IF(B3="","",B3*G3)</f>
        <v/>
      </c>
      <c r="G3" s="9" t="n">
        <v>0.12</v>
      </c>
      <c r="H3" s="6">
        <f>IF(B3="","NOT SCORED",IF(B3&gt;=80,"STRONG",IF(B3&gt;=60,"DEVELOPING","PRIORITY")))</f>
        <v/>
      </c>
    </row>
    <row r="4">
      <c r="A4" s="8" t="inlineStr">
        <is>
          <t>D03</t>
        </is>
      </c>
      <c r="B4" s="6">
        <f>IFERROR(AVERAGEIF('P0-3_Scorecard'!$A$2:$A$144,A4,'P0-3_Scorecard'!$L$2:$L$144),"")</f>
        <v/>
      </c>
      <c r="C4" s="6">
        <f>COUNTIFS('P0-3_Scorecard'!$A$2:$A$144,A4,'P0-3_Scorecard'!$D$2:$D$144,"Y")</f>
        <v/>
      </c>
      <c r="D4" s="6">
        <f>COUNTIFS('P0-3_Scorecard'!$A$2:$A$144,A4,'P0-3_Scorecard'!$D$2:$D$144,"N")</f>
        <v/>
      </c>
      <c r="E4" s="6">
        <f>IFERROR(AVERAGEIF('P0-3_Scorecard'!$A$2:$A$144,A4,'P0-3_Scorecard'!$K$2:$K$144),"")</f>
        <v/>
      </c>
      <c r="F4" s="6">
        <f>IF(B4="","",B4*G4)</f>
        <v/>
      </c>
      <c r="G4" s="9" t="n">
        <v>0.12</v>
      </c>
      <c r="H4" s="6">
        <f>IF(B4="","NOT SCORED",IF(B4&gt;=80,"STRONG",IF(B4&gt;=60,"DEVELOPING","PRIORITY")))</f>
        <v/>
      </c>
    </row>
    <row r="5">
      <c r="A5" s="8" t="inlineStr">
        <is>
          <t>D04</t>
        </is>
      </c>
      <c r="B5" s="6">
        <f>IFERROR(AVERAGEIF('P0-3_Scorecard'!$A$2:$A$144,A5,'P0-3_Scorecard'!$L$2:$L$144),"")</f>
        <v/>
      </c>
      <c r="C5" s="6">
        <f>COUNTIFS('P0-3_Scorecard'!$A$2:$A$144,A5,'P0-3_Scorecard'!$D$2:$D$144,"Y")</f>
        <v/>
      </c>
      <c r="D5" s="6">
        <f>COUNTIFS('P0-3_Scorecard'!$A$2:$A$144,A5,'P0-3_Scorecard'!$D$2:$D$144,"N")</f>
        <v/>
      </c>
      <c r="E5" s="6">
        <f>IFERROR(AVERAGEIF('P0-3_Scorecard'!$A$2:$A$144,A5,'P0-3_Scorecard'!$K$2:$K$144),"")</f>
        <v/>
      </c>
      <c r="F5" s="6">
        <f>IF(B5="","",B5*G5)</f>
        <v/>
      </c>
      <c r="G5" s="9" t="n">
        <v>0.1</v>
      </c>
      <c r="H5" s="6">
        <f>IF(B5="","NOT SCORED",IF(B5&gt;=80,"STRONG",IF(B5&gt;=60,"DEVELOPING","PRIORITY")))</f>
        <v/>
      </c>
    </row>
    <row r="6">
      <c r="A6" s="8" t="inlineStr">
        <is>
          <t>D05</t>
        </is>
      </c>
      <c r="B6" s="6">
        <f>IFERROR(AVERAGEIF('P0-3_Scorecard'!$A$2:$A$144,A6,'P0-3_Scorecard'!$L$2:$L$144),"")</f>
        <v/>
      </c>
      <c r="C6" s="6">
        <f>COUNTIFS('P0-3_Scorecard'!$A$2:$A$144,A6,'P0-3_Scorecard'!$D$2:$D$144,"Y")</f>
        <v/>
      </c>
      <c r="D6" s="6">
        <f>COUNTIFS('P0-3_Scorecard'!$A$2:$A$144,A6,'P0-3_Scorecard'!$D$2:$D$144,"N")</f>
        <v/>
      </c>
      <c r="E6" s="6">
        <f>IFERROR(AVERAGEIF('P0-3_Scorecard'!$A$2:$A$144,A6,'P0-3_Scorecard'!$K$2:$K$144),"")</f>
        <v/>
      </c>
      <c r="F6" s="6">
        <f>IF(B6="","",B6*G6)</f>
        <v/>
      </c>
      <c r="G6" s="9" t="n">
        <v>0.1</v>
      </c>
      <c r="H6" s="6">
        <f>IF(B6="","NOT SCORED",IF(B6&gt;=80,"STRONG",IF(B6&gt;=60,"DEVELOPING","PRIORITY")))</f>
        <v/>
      </c>
    </row>
    <row r="7">
      <c r="A7" s="8" t="inlineStr">
        <is>
          <t>D06</t>
        </is>
      </c>
      <c r="B7" s="6">
        <f>IFERROR(AVERAGEIF('P0-3_Scorecard'!$A$2:$A$144,A7,'P0-3_Scorecard'!$L$2:$L$144),"")</f>
        <v/>
      </c>
      <c r="C7" s="6">
        <f>COUNTIFS('P0-3_Scorecard'!$A$2:$A$144,A7,'P0-3_Scorecard'!$D$2:$D$144,"Y")</f>
        <v/>
      </c>
      <c r="D7" s="6">
        <f>COUNTIFS('P0-3_Scorecard'!$A$2:$A$144,A7,'P0-3_Scorecard'!$D$2:$D$144,"N")</f>
        <v/>
      </c>
      <c r="E7" s="6">
        <f>IFERROR(AVERAGEIF('P0-3_Scorecard'!$A$2:$A$144,A7,'P0-3_Scorecard'!$K$2:$K$144),"")</f>
        <v/>
      </c>
      <c r="F7" s="6">
        <f>IF(B7="","",B7*G7)</f>
        <v/>
      </c>
      <c r="G7" s="9" t="n">
        <v>0.1</v>
      </c>
      <c r="H7" s="6">
        <f>IF(B7="","NOT SCORED",IF(B7&gt;=80,"STRONG",IF(B7&gt;=60,"DEVELOPING","PRIORITY")))</f>
        <v/>
      </c>
    </row>
    <row r="8">
      <c r="A8" s="8" t="inlineStr">
        <is>
          <t>D07</t>
        </is>
      </c>
      <c r="B8" s="6">
        <f>IFERROR(AVERAGEIF('P0-3_Scorecard'!$A$2:$A$144,A8,'P0-3_Scorecard'!$L$2:$L$144),"")</f>
        <v/>
      </c>
      <c r="C8" s="6">
        <f>COUNTIFS('P0-3_Scorecard'!$A$2:$A$144,A8,'P0-3_Scorecard'!$D$2:$D$144,"Y")</f>
        <v/>
      </c>
      <c r="D8" s="6">
        <f>COUNTIFS('P0-3_Scorecard'!$A$2:$A$144,A8,'P0-3_Scorecard'!$D$2:$D$144,"N")</f>
        <v/>
      </c>
      <c r="E8" s="6">
        <f>IFERROR(AVERAGEIF('P0-3_Scorecard'!$A$2:$A$144,A8,'P0-3_Scorecard'!$K$2:$K$144),"")</f>
        <v/>
      </c>
      <c r="F8" s="6">
        <f>IF(B8="","",B8*G8)</f>
        <v/>
      </c>
      <c r="G8" s="9" t="n">
        <v>0.1</v>
      </c>
      <c r="H8" s="6">
        <f>IF(B8="","NOT SCORED",IF(B8&gt;=80,"STRONG",IF(B8&gt;=60,"DEVELOPING","PRIORITY")))</f>
        <v/>
      </c>
    </row>
    <row r="9">
      <c r="A9" s="8" t="inlineStr">
        <is>
          <t>D08</t>
        </is>
      </c>
      <c r="B9" s="6">
        <f>IFERROR(AVERAGEIF('P0-3_Scorecard'!$A$2:$A$144,A9,'P0-3_Scorecard'!$L$2:$L$144),"")</f>
        <v/>
      </c>
      <c r="C9" s="6">
        <f>COUNTIFS('P0-3_Scorecard'!$A$2:$A$144,A9,'P0-3_Scorecard'!$D$2:$D$144,"Y")</f>
        <v/>
      </c>
      <c r="D9" s="6">
        <f>COUNTIFS('P0-3_Scorecard'!$A$2:$A$144,A9,'P0-3_Scorecard'!$D$2:$D$144,"N")</f>
        <v/>
      </c>
      <c r="E9" s="6">
        <f>IFERROR(AVERAGEIF('P0-3_Scorecard'!$A$2:$A$144,A9,'P0-3_Scorecard'!$K$2:$K$144),"")</f>
        <v/>
      </c>
      <c r="F9" s="6">
        <f>IF(B9="","",B9*G9)</f>
        <v/>
      </c>
      <c r="G9" s="9" t="n">
        <v>0.08</v>
      </c>
      <c r="H9" s="6">
        <f>IF(B9="","NOT SCORED",IF(B9&gt;=80,"STRONG",IF(B9&gt;=60,"DEVELOPING","PRIORITY")))</f>
        <v/>
      </c>
    </row>
    <row r="10">
      <c r="A10" s="8" t="inlineStr">
        <is>
          <t>D09</t>
        </is>
      </c>
      <c r="B10" s="6">
        <f>IFERROR(AVERAGEIF('P0-3_Scorecard'!$A$2:$A$144,A10,'P0-3_Scorecard'!$L$2:$L$144),"")</f>
        <v/>
      </c>
      <c r="C10" s="6">
        <f>COUNTIFS('P0-3_Scorecard'!$A$2:$A$144,A10,'P0-3_Scorecard'!$D$2:$D$144,"Y")</f>
        <v/>
      </c>
      <c r="D10" s="6">
        <f>COUNTIFS('P0-3_Scorecard'!$A$2:$A$144,A10,'P0-3_Scorecard'!$D$2:$D$144,"N")</f>
        <v/>
      </c>
      <c r="E10" s="6">
        <f>IFERROR(AVERAGEIF('P0-3_Scorecard'!$A$2:$A$144,A10,'P0-3_Scorecard'!$K$2:$K$144),"")</f>
        <v/>
      </c>
      <c r="F10" s="6">
        <f>IF(B10="","",B10*G10)</f>
        <v/>
      </c>
      <c r="G10" s="9" t="n">
        <v>0.09</v>
      </c>
      <c r="H10" s="6">
        <f>IF(B10="","NOT SCORED",IF(B10&gt;=80,"STRONG",IF(B10&gt;=60,"DEVELOPING","PRIORITY")))</f>
        <v/>
      </c>
    </row>
    <row r="11">
      <c r="A11" s="8" t="inlineStr">
        <is>
          <t>D10</t>
        </is>
      </c>
      <c r="B11" s="6">
        <f>IFERROR(AVERAGEIF('P0-3_Scorecard'!$A$2:$A$144,A11,'P0-3_Scorecard'!$L$2:$L$144),"")</f>
        <v/>
      </c>
      <c r="C11" s="6">
        <f>COUNTIFS('P0-3_Scorecard'!$A$2:$A$144,A11,'P0-3_Scorecard'!$D$2:$D$144,"Y")</f>
        <v/>
      </c>
      <c r="D11" s="6">
        <f>COUNTIFS('P0-3_Scorecard'!$A$2:$A$144,A11,'P0-3_Scorecard'!$D$2:$D$144,"N")</f>
        <v/>
      </c>
      <c r="E11" s="6">
        <f>IFERROR(AVERAGEIF('P0-3_Scorecard'!$A$2:$A$144,A11,'P0-3_Scorecard'!$K$2:$K$144),"")</f>
        <v/>
      </c>
      <c r="F11" s="6">
        <f>IF(B11="","",B11*G11)</f>
        <v/>
      </c>
      <c r="G11" s="9" t="n">
        <v>0.05</v>
      </c>
      <c r="H11" s="6">
        <f>IF(B11="","NOT SCORED",IF(B11&gt;=80,"STRONG",IF(B11&gt;=60,"DEVELOPING","PRIORITY")))</f>
        <v/>
      </c>
    </row>
    <row r="12">
      <c r="A12" s="8" t="inlineStr">
        <is>
          <t>D11</t>
        </is>
      </c>
      <c r="B12" s="6">
        <f>IFERROR(AVERAGEIF('P0-3_Scorecard'!$A$2:$A$144,A12,'P0-3_Scorecard'!$L$2:$L$144),"")</f>
        <v/>
      </c>
      <c r="C12" s="6">
        <f>COUNTIFS('P0-3_Scorecard'!$A$2:$A$144,A12,'P0-3_Scorecard'!$D$2:$D$144,"Y")</f>
        <v/>
      </c>
      <c r="D12" s="6">
        <f>COUNTIFS('P0-3_Scorecard'!$A$2:$A$144,A12,'P0-3_Scorecard'!$D$2:$D$144,"N")</f>
        <v/>
      </c>
      <c r="E12" s="6">
        <f>IFERROR(AVERAGEIF('P0-3_Scorecard'!$A$2:$A$144,A12,'P0-3_Scorecard'!$K$2:$K$144),"")</f>
        <v/>
      </c>
      <c r="F12" s="6">
        <f>IF(B12="","",B12*G12)</f>
        <v/>
      </c>
      <c r="G12" s="9" t="n">
        <v>0.04</v>
      </c>
      <c r="H12" s="6">
        <f>IF(B12="","NOT SCORED",IF(B12&gt;=80,"STRONG",IF(B12&gt;=60,"DEVELOPING","PRIORITY")))</f>
        <v/>
      </c>
    </row>
  </sheetData>
  <pageMargins left="0.7" right="0.7" top="0.75" bottom="0.75" header="0.3" footer="0.3"/>
</worksheet>
</file>

<file path=xl/worksheets/sheet160.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pane="bottomLeft" activeCell="A1" sqref="A1"/>
    </sheetView>
  </sheetViews>
  <sheetFormatPr baseColWidth="8" defaultRowHeight="15"/>
  <cols>
    <col width="34.140625" customWidth="1" min="1" max="1"/>
    <col width="60.7109375" customWidth="1" min="2" max="2"/>
  </cols>
  <sheetData>
    <row r="1">
      <c r="A1" s="23" t="inlineStr">
        <is>
          <t>P0-3 OVERALL INDEX</t>
        </is>
      </c>
      <c r="B1" s="23" t="inlineStr">
        <is>
          <t>Value</t>
        </is>
      </c>
    </row>
    <row r="2">
      <c r="A2" s="8" t="inlineStr">
        <is>
          <t>Overall ARUI /100</t>
        </is>
      </c>
      <c r="B2" s="6">
        <f>SUM('P0-3_Domain_Aggregation'!F2:F12)</f>
        <v/>
      </c>
    </row>
    <row r="3">
      <c r="A3" s="8" t="inlineStr">
        <is>
          <t>Weighted domain coverage</t>
        </is>
      </c>
      <c r="B3" s="6">
        <f>SUMPRODUCT('P0-3_Domain_Aggregation'!G2:G12,--('P0-3_Domain_Aggregation'!B2:B12&lt;&gt;""))</f>
        <v/>
      </c>
    </row>
    <row r="4">
      <c r="A4" s="8" t="inlineStr">
        <is>
          <t>Average confidence</t>
        </is>
      </c>
      <c r="B4" s="6">
        <f>IFERROR(SUMPRODUCT('P0-3_Domain_Aggregation'!E2:E12,'P0-3_Domain_Aggregation'!G2:G12)/B3,"")</f>
        <v/>
      </c>
    </row>
    <row r="5">
      <c r="A5" s="8" t="inlineStr">
        <is>
          <t>Interpretation</t>
        </is>
      </c>
      <c r="B5" s="8" t="inlineStr">
        <is>
          <t>Diagnostic only until P0-3 validation gates pass.</t>
        </is>
      </c>
    </row>
    <row r="6">
      <c r="A6" s="8" t="inlineStr">
        <is>
          <t>Public benchmark status</t>
        </is>
      </c>
      <c r="B6" s="8" t="inlineStr">
        <is>
          <t>BLOCKED</t>
        </is>
      </c>
    </row>
    <row r="7">
      <c r="A7" s="8" t="inlineStr">
        <is>
          <t>Certification status</t>
        </is>
      </c>
      <c r="B7" s="8" t="inlineStr">
        <is>
          <t>NOT A CERTIFICATION ENGINE</t>
        </is>
      </c>
    </row>
    <row r="8">
      <c r="A8" s="8" t="inlineStr">
        <is>
          <t>Pay-for-score protection</t>
        </is>
      </c>
      <c r="B8" s="8" t="inlineStr">
        <is>
          <t>Assessment fees may pay for assessment work; they must not influence score, rank, verification or recognition.</t>
        </is>
      </c>
    </row>
  </sheetData>
  <pageMargins left="0.7" right="0.7" top="0.75" bottom="0.75" header="0.3" footer="0.3"/>
</worksheet>
</file>

<file path=xl/worksheets/sheet161.xml><?xml version="1.0" encoding="utf-8"?>
<worksheet xmlns="http://schemas.openxmlformats.org/spreadsheetml/2006/main">
  <sheetPr>
    <outlinePr summaryBelow="1" summaryRight="1"/>
    <pageSetUpPr/>
  </sheetPr>
  <dimension ref="A1:F13"/>
  <sheetViews>
    <sheetView showGridLines="0" workbookViewId="0">
      <pane ySplit="1" topLeftCell="A2" activePane="bottomLeft" state="frozen"/>
      <selection pane="bottomLeft" activeCell="A1" sqref="A1"/>
    </sheetView>
  </sheetViews>
  <sheetFormatPr baseColWidth="8" defaultRowHeight="15"/>
  <cols>
    <col width="24.140625" customWidth="1" min="1" max="1"/>
    <col width="44.140625" customWidth="1" min="2" max="2"/>
    <col width="54.140625" customWidth="1" min="3" max="3"/>
    <col width="50.140625" customWidth="1" min="5" max="5"/>
  </cols>
  <sheetData>
    <row r="1">
      <c r="A1" s="23" t="inlineStr">
        <is>
          <t>Variable</t>
        </is>
      </c>
      <c r="B1" s="23" t="inlineStr">
        <is>
          <t>Allowed inputs / bands</t>
        </is>
      </c>
      <c r="C1" s="23" t="inlineStr">
        <is>
          <t>Effect on scoring</t>
        </is>
      </c>
      <c r="D1" s="23" t="inlineStr">
        <is>
          <t>Effect on evidence burden</t>
        </is>
      </c>
      <c r="E1" s="23" t="inlineStr">
        <is>
          <t>Effect on required maturity</t>
        </is>
      </c>
      <c r="F1" s="23" t="inlineStr">
        <is>
          <t>Governance rule</t>
        </is>
      </c>
    </row>
    <row r="2">
      <c r="A2" s="8" t="inlineStr">
        <is>
          <t>Institution type</t>
        </is>
      </c>
      <c r="B2" s="8" t="inlineStr">
        <is>
          <t>University; Deemed; Autonomous; College; Specialist; Other</t>
        </is>
      </c>
      <c r="C2" s="8" t="inlineStr">
        <is>
          <t>No automatic bonus/penalty</t>
        </is>
      </c>
      <c r="D2" s="8" t="inlineStr">
        <is>
          <t>Adjust sample design proportionately</t>
        </is>
      </c>
      <c r="E2" s="8" t="inlineStr">
        <is>
          <t>Mandate-sensitive only</t>
        </is>
      </c>
      <c r="F2" s="8" t="inlineStr">
        <is>
          <t>Assessor must document applicability</t>
        </is>
      </c>
    </row>
    <row r="3">
      <c r="A3" s="8" t="inlineStr">
        <is>
          <t>Scale</t>
        </is>
      </c>
      <c r="B3" s="8" t="inlineStr">
        <is>
          <t>Student/FTE bands</t>
        </is>
      </c>
      <c r="C3" s="8" t="inlineStr">
        <is>
          <t>No automatic bonus/penalty</t>
        </is>
      </c>
      <c r="D3" s="8" t="inlineStr">
        <is>
          <t>Smaller populations may use proportionate samples</t>
        </is>
      </c>
      <c r="E3" s="8" t="inlineStr">
        <is>
          <t>None unless mandate/operating complexity changes</t>
        </is>
      </c>
      <c r="F3" s="8" t="inlineStr">
        <is>
          <t>Same construct standard</t>
        </is>
      </c>
    </row>
    <row r="4">
      <c r="A4" s="8" t="inlineStr">
        <is>
          <t>Geography</t>
        </is>
      </c>
      <c r="B4" s="8" t="inlineStr">
        <is>
          <t>Metro; urban; semi-urban; rural; multi-campus; remote</t>
        </is>
      </c>
      <c r="C4" s="8" t="inlineStr">
        <is>
          <t>No automatic bonus/penalty</t>
        </is>
      </c>
      <c r="D4" s="8" t="inlineStr">
        <is>
          <t>Evidence access/sample design may adapt</t>
        </is>
      </c>
      <c r="E4" s="8" t="inlineStr">
        <is>
          <t>None by geography alone</t>
        </is>
      </c>
      <c r="F4" s="8" t="inlineStr">
        <is>
          <t>Do not lower maturity expectation</t>
        </is>
      </c>
    </row>
    <row r="5">
      <c r="A5" s="8" t="inlineStr">
        <is>
          <t>Discipline mix</t>
        </is>
      </c>
      <c r="B5" s="8" t="inlineStr">
        <is>
          <t>Technical; professional; humanities; health; mixed</t>
        </is>
      </c>
      <c r="C5" s="8" t="inlineStr">
        <is>
          <t>No automatic bonus/penalty</t>
        </is>
      </c>
      <c r="D5" s="8" t="inlineStr">
        <is>
          <t>Examples/tasks branch by discipline</t>
        </is>
      </c>
      <c r="E5" s="8" t="inlineStr">
        <is>
          <t>Consequence/exposure may alter required maturity</t>
        </is>
      </c>
      <c r="F5" s="8" t="inlineStr">
        <is>
          <t>Construct remains invariant</t>
        </is>
      </c>
    </row>
    <row r="6">
      <c r="A6" s="8" t="inlineStr">
        <is>
          <t>Resource envelope</t>
        </is>
      </c>
      <c r="B6" s="8" t="inlineStr">
        <is>
          <t>Low/medium/high or documented resource profile</t>
        </is>
      </c>
      <c r="C6" s="8" t="inlineStr">
        <is>
          <t>No score bonus</t>
        </is>
      </c>
      <c r="D6" s="8" t="inlineStr">
        <is>
          <t>Evidence burden may be proportionate</t>
        </is>
      </c>
      <c r="E6" s="8" t="inlineStr">
        <is>
          <t>Does not lower target maturity</t>
        </is>
      </c>
      <c r="F6" s="8" t="inlineStr">
        <is>
          <t>No pay-to-score</t>
        </is>
      </c>
    </row>
    <row r="7">
      <c r="A7" s="8" t="inlineStr">
        <is>
          <t>Student profile</t>
        </is>
      </c>
      <c r="B7" s="8" t="inlineStr">
        <is>
          <t>First-generation; working; residential; online; mixed etc.</t>
        </is>
      </c>
      <c r="C7" s="8" t="inlineStr">
        <is>
          <t>No automatic bonus/penalty</t>
        </is>
      </c>
      <c r="D7" s="8" t="inlineStr">
        <is>
          <t>Sample and support evidence may adapt</t>
        </is>
      </c>
      <c r="E7" s="8" t="inlineStr">
        <is>
          <t>Mandate/exposure only</t>
        </is>
      </c>
      <c r="F7" s="8" t="inlineStr">
        <is>
          <t>Protect equity interpretation</t>
        </is>
      </c>
    </row>
    <row r="8">
      <c r="A8" s="8" t="inlineStr">
        <is>
          <t>Research intensity</t>
        </is>
      </c>
      <c r="B8" s="8" t="inlineStr">
        <is>
          <t>Low/medium/high</t>
        </is>
      </c>
      <c r="C8" s="8" t="inlineStr">
        <is>
          <t>No automatic bonus/penalty</t>
        </is>
      </c>
      <c r="D8" s="8" t="inlineStr">
        <is>
          <t>Research evidence branch</t>
        </is>
      </c>
      <c r="E8" s="8" t="inlineStr">
        <is>
          <t>Higher research consequence may increase R for D10</t>
        </is>
      </c>
      <c r="F8" s="8" t="inlineStr">
        <is>
          <t>Do not penalise non-research institutions for N/A constructs</t>
        </is>
      </c>
    </row>
    <row r="9">
      <c r="A9" s="8" t="inlineStr">
        <is>
          <t>AI exposure</t>
        </is>
      </c>
      <c r="B9" s="8" t="inlineStr">
        <is>
          <t>Low/medium/high/critical</t>
        </is>
      </c>
      <c r="C9" s="8" t="inlineStr">
        <is>
          <t>No automatic bonus/penalty</t>
        </is>
      </c>
      <c r="D9" s="8" t="inlineStr">
        <is>
          <t>Higher exposure can increase evidence depth</t>
        </is>
      </c>
      <c r="E9" s="8" t="inlineStr">
        <is>
          <t>May increase R where consequential exposure is material</t>
        </is>
      </c>
      <c r="F9" s="8" t="inlineStr">
        <is>
          <t>Document exposure basis</t>
        </is>
      </c>
    </row>
    <row r="10">
      <c r="A10" s="8" t="inlineStr">
        <is>
          <t>Institutional trajectory</t>
        </is>
      </c>
      <c r="B10" s="8" t="inlineStr">
        <is>
          <t>Stable; expanding; restructuring; turnaround; strategic transition</t>
        </is>
      </c>
      <c r="C10" s="8" t="inlineStr">
        <is>
          <t>No automatic bonus/penalty</t>
        </is>
      </c>
      <c r="D10" s="8" t="inlineStr">
        <is>
          <t>Use recent change evidence</t>
        </is>
      </c>
      <c r="E10" s="8" t="inlineStr">
        <is>
          <t>May affect transformation urgency, not capability score</t>
        </is>
      </c>
      <c r="F10" s="8" t="inlineStr">
        <is>
          <t>Do not convert difficulty into leniency</t>
        </is>
      </c>
    </row>
    <row r="11">
      <c r="A11" s="8" t="inlineStr">
        <is>
          <t>Context calibration formula</t>
        </is>
      </c>
      <c r="B11" s="8" t="inlineStr">
        <is>
          <t>R = clamp(0,5, Base mandate + Exposure adjustment + Consequence adjustment + Trajectory adjustment)</t>
        </is>
      </c>
      <c r="C11" s="8" t="inlineStr">
        <is>
          <t>Apply only to required maturity R, never raw capability score</t>
        </is>
      </c>
      <c r="D11" s="8" t="inlineStr">
        <is>
          <t>Evidence burden adjusted separately</t>
        </is>
      </c>
      <c r="E11" s="8" t="inlineStr">
        <is>
          <t>Target only</t>
        </is>
      </c>
      <c r="F11" s="8" t="inlineStr">
        <is>
          <t>All adjustments require documented rationale</t>
        </is>
      </c>
    </row>
    <row r="12"/>
    <row r="13">
      <c r="A13" t="inlineStr">
        <is>
          <t>P0-4 UPDATE</t>
        </is>
      </c>
      <c r="B13" t="inlineStr">
        <is>
          <t>Context calibration is now executable through P0-4_Context_Profile and P0-4_Required_Maturity; resource envelope affects evidence burden, not target maturity.</t>
        </is>
      </c>
    </row>
  </sheetData>
  <pageMargins left="0.7" right="0.7" top="0.75" bottom="0.75" header="0.3" footer="0.3"/>
</worksheet>
</file>

<file path=xl/worksheets/sheet162.xml><?xml version="1.0" encoding="utf-8"?>
<worksheet xmlns="http://schemas.openxmlformats.org/spreadsheetml/2006/main">
  <sheetPr>
    <outlinePr summaryBelow="1" summaryRight="1"/>
    <pageSetUpPr/>
  </sheetPr>
  <dimension ref="A1:E10"/>
  <sheetViews>
    <sheetView showGridLines="0" workbookViewId="0">
      <pane ySplit="1" topLeftCell="A2" activePane="bottomLeft" state="frozen"/>
      <selection pane="bottomLeft" activeCell="A1" sqref="A1"/>
    </sheetView>
  </sheetViews>
  <sheetFormatPr baseColWidth="8" defaultRowHeight="15"/>
  <cols>
    <col width="20.140625" customWidth="1" min="1" max="1"/>
    <col width="57.140625" customWidth="1" min="3" max="3"/>
    <col width="60.7109375" customWidth="1" min="5" max="5"/>
  </cols>
  <sheetData>
    <row r="1">
      <c r="A1" s="23" t="inlineStr">
        <is>
          <t>Evidence Level</t>
        </is>
      </c>
      <c r="B1" s="23" t="inlineStr">
        <is>
          <t>Base Confidence</t>
        </is>
      </c>
      <c r="C1" s="23" t="inlineStr">
        <is>
          <t>Meaning</t>
        </is>
      </c>
      <c r="D1" s="23" t="inlineStr">
        <is>
          <t>Typical use</t>
        </is>
      </c>
      <c r="E1" s="23" t="inlineStr">
        <is>
          <t>High-score condition</t>
        </is>
      </c>
    </row>
    <row r="2">
      <c r="A2" s="8" t="inlineStr">
        <is>
          <t>E0</t>
        </is>
      </c>
      <c r="B2" s="11" t="n">
        <v>0.2</v>
      </c>
      <c r="C2" s="8" t="inlineStr">
        <is>
          <t>Description/claim only</t>
        </is>
      </c>
      <c r="D2" s="8" t="inlineStr">
        <is>
          <t>Discovery, not sufficient for high maturity</t>
        </is>
      </c>
      <c r="E2" s="8" t="inlineStr">
        <is>
          <t>Cannot support high maturity alone</t>
        </is>
      </c>
    </row>
    <row r="3">
      <c r="A3" s="8" t="inlineStr">
        <is>
          <t>E1</t>
        </is>
      </c>
      <c r="B3" s="11" t="n">
        <v>0.4</v>
      </c>
      <c r="C3" s="8" t="inlineStr">
        <is>
          <t>Institutional artefact</t>
        </is>
      </c>
      <c r="D3" s="8" t="inlineStr">
        <is>
          <t>Policy, plan, curriculum, framework</t>
        </is>
      </c>
      <c r="E3" s="8" t="inlineStr">
        <is>
          <t>Must show implementation for score ≥3</t>
        </is>
      </c>
    </row>
    <row r="4">
      <c r="A4" s="8" t="inlineStr">
        <is>
          <t>E2</t>
        </is>
      </c>
      <c r="B4" s="11" t="n">
        <v>0.65</v>
      </c>
      <c r="C4" s="8" t="inlineStr">
        <is>
          <t>Operational evidence</t>
        </is>
      </c>
      <c r="D4" s="8" t="inlineStr">
        <is>
          <t>Dated operating records, samples, workflow traces</t>
        </is>
      </c>
      <c r="E4" s="8" t="inlineStr">
        <is>
          <t>Score ≥3 requires direct operational/demonstration evidence</t>
        </is>
      </c>
    </row>
    <row r="5">
      <c r="A5" s="8" t="inlineStr">
        <is>
          <t>E3</t>
        </is>
      </c>
      <c r="B5" s="11" t="n">
        <v>0.85</v>
      </c>
      <c r="C5" s="8" t="inlineStr">
        <is>
          <t>Outcome evidence</t>
        </is>
      </c>
      <c r="D5" s="8" t="inlineStr">
        <is>
          <t>Measured outcomes linked to construct</t>
        </is>
      </c>
      <c r="E5" s="8" t="inlineStr">
        <is>
          <t>Required/preferred for claimed outcome strength</t>
        </is>
      </c>
    </row>
    <row r="6">
      <c r="A6" s="8" t="inlineStr">
        <is>
          <t>E4</t>
        </is>
      </c>
      <c r="B6" s="11" t="n">
        <v>1</v>
      </c>
      <c r="C6" s="8" t="inlineStr">
        <is>
          <t>Independent/triangulated evidence</t>
        </is>
      </c>
      <c r="D6" s="8" t="inlineStr">
        <is>
          <t>External validation or independent corroboration</t>
        </is>
      </c>
      <c r="E6" s="8" t="inlineStr">
        <is>
          <t>Preferred for high-stakes/high maturity claims</t>
        </is>
      </c>
    </row>
    <row r="7">
      <c r="A7" s="8" t="inlineStr">
        <is>
          <t>Adjustment</t>
        </is>
      </c>
      <c r="B7" s="8" t="inlineStr">
        <is>
          <t>Rule</t>
        </is>
      </c>
      <c r="C7" s="6" t="n"/>
      <c r="D7" s="6" t="n"/>
      <c r="E7" s="6" t="n"/>
    </row>
    <row r="8">
      <c r="A8" s="8" t="inlineStr">
        <is>
          <t>Corroboration</t>
        </is>
      </c>
      <c r="B8" s="8" t="inlineStr">
        <is>
          <t>For metric score ≥80, require corroboration unless intrinsically single-source.</t>
        </is>
      </c>
      <c r="C8" s="6" t="n"/>
      <c r="D8" s="6" t="n"/>
      <c r="E8" s="6" t="n"/>
    </row>
    <row r="9">
      <c r="A9" s="8" t="inlineStr">
        <is>
          <t>Independence</t>
        </is>
      </c>
      <c r="B9" s="8" t="inlineStr">
        <is>
          <t>For high-stakes/high maturity claims, independent source preferred/required by metric rule.</t>
        </is>
      </c>
      <c r="C9" s="6" t="n"/>
      <c r="D9" s="6" t="n"/>
      <c r="E9" s="6" t="n"/>
    </row>
    <row r="10">
      <c r="A10" s="8" t="inlineStr">
        <is>
          <t>Separation</t>
        </is>
      </c>
      <c r="B10" s="8" t="inlineStr">
        <is>
          <t>Confidence is reported separately and does not multiply capability score.</t>
        </is>
      </c>
      <c r="C10" s="6" t="n"/>
      <c r="D10" s="6" t="n"/>
      <c r="E10" s="6" t="n"/>
    </row>
  </sheetData>
  <pageMargins left="0.7" right="0.7" top="0.75" bottom="0.75" header="0.3" footer="0.3"/>
</worksheet>
</file>

<file path=xl/worksheets/sheet163.xml><?xml version="1.0" encoding="utf-8"?>
<worksheet xmlns="http://schemas.openxmlformats.org/spreadsheetml/2006/main">
  <sheetPr>
    <outlinePr summaryBelow="1" summaryRight="1"/>
    <pageSetUpPr/>
  </sheetPr>
  <dimension ref="A1:G11"/>
  <sheetViews>
    <sheetView showGridLines="0" workbookViewId="0">
      <pane ySplit="1" topLeftCell="A2" activePane="bottomLeft" state="frozen"/>
      <selection pane="bottomLeft" activeCell="A1" sqref="A1"/>
    </sheetView>
  </sheetViews>
  <sheetFormatPr baseColWidth="8" defaultRowHeight="15"/>
  <cols>
    <col width="12.140625" customWidth="1" min="1" max="1"/>
    <col width="11.140625" customWidth="1" min="2" max="2"/>
    <col width="60.7109375" customWidth="1" min="4" max="4"/>
    <col width="60.140625" customWidth="1" min="5" max="5"/>
    <col width="57.140625" customWidth="1" min="6" max="6"/>
    <col width="37.140625" customWidth="1" min="7" max="7"/>
  </cols>
  <sheetData>
    <row r="1">
      <c r="A1" s="23" t="inlineStr">
        <is>
          <t>Rule ID</t>
        </is>
      </c>
      <c r="B1" s="23" t="inlineStr">
        <is>
          <t>From</t>
        </is>
      </c>
      <c r="C1" s="23" t="inlineStr">
        <is>
          <t>To</t>
        </is>
      </c>
      <c r="D1" s="23" t="inlineStr">
        <is>
          <t>Executable logic</t>
        </is>
      </c>
      <c r="E1" s="23" t="inlineStr">
        <is>
          <t>Trigger condition</t>
        </is>
      </c>
      <c r="F1" s="23" t="inlineStr">
        <is>
          <t>Scoring protection</t>
        </is>
      </c>
      <c r="G1" s="23" t="inlineStr">
        <is>
          <t>Action</t>
        </is>
      </c>
    </row>
    <row r="2">
      <c r="A2" s="8" t="inlineStr">
        <is>
          <t>CD01</t>
        </is>
      </c>
      <c r="B2" s="8" t="inlineStr">
        <is>
          <t>D01</t>
        </is>
      </c>
      <c r="C2" s="8" t="inlineStr">
        <is>
          <t>D03</t>
        </is>
      </c>
      <c r="D2" s="8" t="inlineStr">
        <is>
          <t>Compare D01 strategic priority evidence with D03 capability architecture/evidence.</t>
        </is>
      </c>
      <c r="E2" s="8" t="inlineStr">
        <is>
          <t>Priority exists but no mapped capability development/evidence.</t>
        </is>
      </c>
      <c r="F2" s="8" t="inlineStr">
        <is>
          <t>No D01 uplift from strategic statements alone.</t>
        </is>
      </c>
      <c r="G2" s="8" t="inlineStr">
        <is>
          <t>D03 deep-dive</t>
        </is>
      </c>
    </row>
    <row r="3">
      <c r="A3" s="8" t="inlineStr">
        <is>
          <t>CD02</t>
        </is>
      </c>
      <c r="B3" s="8" t="inlineStr">
        <is>
          <t>D01</t>
        </is>
      </c>
      <c r="C3" s="8" t="inlineStr">
        <is>
          <t>D02</t>
        </is>
      </c>
      <c r="D3" s="8" t="inlineStr">
        <is>
          <t>Compare consequential AI activities with D02 governance ownership/risk controls.</t>
        </is>
      </c>
      <c r="E3" s="8" t="inlineStr">
        <is>
          <t>Consequential activity exceeds documented governance coverage.</t>
        </is>
      </c>
      <c r="F3" s="8" t="inlineStr">
        <is>
          <t>D02 gap remains separate.</t>
        </is>
      </c>
      <c r="G3" s="8" t="inlineStr">
        <is>
          <t>Governance review</t>
        </is>
      </c>
    </row>
    <row r="4">
      <c r="A4" s="8" t="inlineStr">
        <is>
          <t>CD03</t>
        </is>
      </c>
      <c r="B4" s="8" t="inlineStr">
        <is>
          <t>D03</t>
        </is>
      </c>
      <c r="C4" s="8" t="inlineStr">
        <is>
          <t>D04</t>
        </is>
      </c>
      <c r="D4" s="8" t="inlineStr">
        <is>
          <t>Trace priority human capabilities to programme outcome maps and review evidence.</t>
        </is>
      </c>
      <c r="E4" s="8" t="inlineStr">
        <is>
          <t>Capability target has no operational curriculum mapping where applicable.</t>
        </is>
      </c>
      <c r="F4" s="8" t="inlineStr">
        <is>
          <t>Do not score D03 from D04 activity.</t>
        </is>
      </c>
      <c r="G4" s="8" t="inlineStr">
        <is>
          <t>Capability-to-curriculum review</t>
        </is>
      </c>
    </row>
    <row r="5">
      <c r="A5" s="8" t="inlineStr">
        <is>
          <t>CD04</t>
        </is>
      </c>
      <c r="B5" s="8" t="inlineStr">
        <is>
          <t>D03</t>
        </is>
      </c>
      <c r="C5" s="8" t="inlineStr">
        <is>
          <t>D07</t>
        </is>
      </c>
      <c r="D5" s="8" t="inlineStr">
        <is>
          <t>Check target capabilities against actual assessment demonstrations.</t>
        </is>
      </c>
      <c r="E5" s="8" t="inlineStr">
        <is>
          <t>Capability is stated but not demonstrated in sampled assessment.</t>
        </is>
      </c>
      <c r="F5" s="8" t="inlineStr">
        <is>
          <t>D03 score cannot be raised by assessment quality.</t>
        </is>
      </c>
      <c r="G5" s="8" t="inlineStr">
        <is>
          <t>Assessment alignment review</t>
        </is>
      </c>
    </row>
    <row r="6">
      <c r="A6" s="8" t="inlineStr">
        <is>
          <t>CD05</t>
        </is>
      </c>
      <c r="B6" s="8" t="inlineStr">
        <is>
          <t>D06</t>
        </is>
      </c>
      <c r="C6" s="8" t="inlineStr">
        <is>
          <t>D09</t>
        </is>
      </c>
      <c r="D6" s="8" t="inlineStr">
        <is>
          <t>Compare student capability evidence with portfolio/recruiter/placement evidence.</t>
        </is>
      </c>
      <c r="E6" s="8" t="inlineStr">
        <is>
          <t>Student claims materially exceed external validation or vice versa.</t>
        </is>
      </c>
      <c r="F6" s="8" t="inlineStr">
        <is>
          <t>D06 owns lived capability; D09 owns external validation.</t>
        </is>
      </c>
      <c r="G6" s="8" t="inlineStr">
        <is>
          <t>Signalling review</t>
        </is>
      </c>
    </row>
    <row r="7">
      <c r="A7" s="8" t="inlineStr">
        <is>
          <t>CD06</t>
        </is>
      </c>
      <c r="B7" s="8" t="inlineStr">
        <is>
          <t>D08</t>
        </is>
      </c>
      <c r="C7" s="8" t="inlineStr">
        <is>
          <t>D11</t>
        </is>
      </c>
      <c r="D7" s="8" t="inlineStr">
        <is>
          <t>Trace intelligence availability into actual decisions/actions.</t>
        </is>
      </c>
      <c r="E7" s="8" t="inlineStr">
        <is>
          <t>Strong data availability with weak action pathway.</t>
        </is>
      </c>
      <c r="F7" s="8" t="inlineStr">
        <is>
          <t>Data availability is not resilience.</t>
        </is>
      </c>
      <c r="G7" s="8" t="inlineStr">
        <is>
          <t>Intelligence-to-action review</t>
        </is>
      </c>
    </row>
    <row r="8">
      <c r="A8" s="8" t="inlineStr">
        <is>
          <t>CD07</t>
        </is>
      </c>
      <c r="B8" s="8" t="inlineStr">
        <is>
          <t>D09</t>
        </is>
      </c>
      <c r="C8" s="8" t="inlineStr">
        <is>
          <t>D04</t>
        </is>
      </c>
      <c r="D8" s="8" t="inlineStr">
        <is>
          <t>Trace material labour-market signals into programme response.</t>
        </is>
      </c>
      <c r="E8" s="8" t="inlineStr">
        <is>
          <t>Material signal exists but no appropriate programme response.</t>
        </is>
      </c>
      <c r="F8" s="8" t="inlineStr">
        <is>
          <t>Signal belongs D09; programme change belongs D04.</t>
        </is>
      </c>
      <c r="G8" s="8" t="inlineStr">
        <is>
          <t>Signal-to-curriculum review</t>
        </is>
      </c>
    </row>
    <row r="9">
      <c r="A9" s="8" t="inlineStr">
        <is>
          <t>CD08</t>
        </is>
      </c>
      <c r="B9" s="8" t="inlineStr">
        <is>
          <t>D10</t>
        </is>
      </c>
      <c r="C9" s="8" t="inlineStr">
        <is>
          <t>D11</t>
        </is>
      </c>
      <c r="D9" s="8" t="inlineStr">
        <is>
          <t>Trace research/innovation learning into institutional decisions.</t>
        </is>
      </c>
      <c r="E9" s="8" t="inlineStr">
        <is>
          <t>Learning is claimed but not visible in decisions/changes.</t>
        </is>
      </c>
      <c r="F9" s="8" t="inlineStr">
        <is>
          <t>No duplicate research/resilience scoring.</t>
        </is>
      </c>
      <c r="G9" s="8" t="inlineStr">
        <is>
          <t>Learning-loop review</t>
        </is>
      </c>
    </row>
    <row r="10">
      <c r="A10" s="8" t="inlineStr">
        <is>
          <t>CD09</t>
        </is>
      </c>
      <c r="B10" s="8" t="inlineStr">
        <is>
          <t>D11</t>
        </is>
      </c>
      <c r="C10" s="8" t="inlineStr">
        <is>
          <t>D01</t>
        </is>
      </c>
      <c r="D10" s="8" t="inlineStr">
        <is>
          <t>Trace major adaptation events into strategic assumptions and resource decisions.</t>
        </is>
      </c>
      <c r="E10" s="8" t="inlineStr">
        <is>
          <t>Adaptation occurred but strategic assumptions did not update where relevant.</t>
        </is>
      </c>
      <c r="F10" s="8" t="inlineStr">
        <is>
          <t>D11 owns adaptation; D01 owns direction.</t>
        </is>
      </c>
      <c r="G10" s="8" t="inlineStr">
        <is>
          <t>Strategic learning review</t>
        </is>
      </c>
    </row>
    <row r="11">
      <c r="A11" s="8" t="inlineStr">
        <is>
          <t>CD10</t>
        </is>
      </c>
      <c r="B11" s="8" t="inlineStr">
        <is>
          <t>D02</t>
        </is>
      </c>
      <c r="C11" s="8" t="inlineStr">
        <is>
          <t>D08</t>
        </is>
      </c>
      <c r="D11" s="8" t="inlineStr">
        <is>
          <t>Map governance requirements to actual technical/data controls.</t>
        </is>
      </c>
      <c r="E11" s="8" t="inlineStr">
        <is>
          <t>Policy/control requirement has no technical implementation evidence where applicable.</t>
        </is>
      </c>
      <c r="F11" s="8" t="inlineStr">
        <is>
          <t>D02 owns policy/control; D08 owns implementation.</t>
        </is>
      </c>
      <c r="G11" s="8" t="inlineStr">
        <is>
          <t>Policy-to-implementation review</t>
        </is>
      </c>
    </row>
  </sheetData>
  <pageMargins left="0.7" right="0.7" top="0.75" bottom="0.75" header="0.3" footer="0.3"/>
</worksheet>
</file>

<file path=xl/worksheets/sheet164.xml><?xml version="1.0" encoding="utf-8"?>
<worksheet xmlns="http://schemas.openxmlformats.org/spreadsheetml/2006/main">
  <sheetPr>
    <outlinePr summaryBelow="1" summaryRight="1"/>
    <pageSetUpPr/>
  </sheetPr>
  <dimension ref="A1:D7"/>
  <sheetViews>
    <sheetView showGridLines="0" workbookViewId="0">
      <pane ySplit="1" topLeftCell="A2" activePane="bottomLeft" state="frozen"/>
      <selection pane="bottomLeft" activeCell="A1" sqref="A1"/>
    </sheetView>
  </sheetViews>
  <sheetFormatPr baseColWidth="8" defaultRowHeight="15"/>
  <cols>
    <col width="32.140625" customWidth="1" min="1" max="1"/>
    <col width="60.7109375" customWidth="1" min="2" max="3"/>
    <col width="24.140625" customWidth="1" min="4" max="4"/>
  </cols>
  <sheetData>
    <row r="1">
      <c r="A1" s="23" t="inlineStr">
        <is>
          <t>Test</t>
        </is>
      </c>
      <c r="B1" s="23" t="inlineStr">
        <is>
          <t>Specification</t>
        </is>
      </c>
      <c r="C1" s="23" t="inlineStr">
        <is>
          <t>Pass criterion</t>
        </is>
      </c>
      <c r="D1" s="23" t="inlineStr">
        <is>
          <t>Status</t>
        </is>
      </c>
    </row>
    <row r="2">
      <c r="A2" s="8" t="inlineStr">
        <is>
          <t>Domain weight sensitivity</t>
        </is>
      </c>
      <c r="B2" s="8" t="inlineStr">
        <is>
          <t>Recalculate overall score under ±20% relative perturbation of each domain weight, renormalising to 100%.</t>
        </is>
      </c>
      <c r="C2" s="8" t="inlineStr">
        <is>
          <t>No single domain causes material instability; predefine threshold before pilot.</t>
        </is>
      </c>
      <c r="D2" s="8" t="inlineStr">
        <is>
          <t>PENDING PILOT</t>
        </is>
      </c>
    </row>
    <row r="3">
      <c r="A3" s="8" t="inlineStr">
        <is>
          <t>Metric coefficient sensitivity</t>
        </is>
      </c>
      <c r="B3" s="8" t="inlineStr">
        <is>
          <t>Test M/I/O coefficient alternatives around 45/30/25 and N/A 60/40.</t>
        </is>
      </c>
      <c r="C3" s="8" t="inlineStr">
        <is>
          <t>Rank/order and diagnostic conclusions remain acceptably stable.</t>
        </is>
      </c>
      <c r="D3" s="8" t="inlineStr">
        <is>
          <t>PENDING PILOT</t>
        </is>
      </c>
    </row>
    <row r="4">
      <c r="A4" s="8" t="inlineStr">
        <is>
          <t>N/A sensitivity</t>
        </is>
      </c>
      <c r="B4" s="8" t="inlineStr">
        <is>
          <t>Compare strict N/A exclusion vs documented proportional aggregation.</t>
        </is>
      </c>
      <c r="C4" s="8" t="inlineStr">
        <is>
          <t>No material score inflation through N/A usage.</t>
        </is>
      </c>
      <c r="D4" s="8" t="inlineStr">
        <is>
          <t>PENDING PILOT</t>
        </is>
      </c>
    </row>
    <row r="5">
      <c r="A5" s="8" t="inlineStr">
        <is>
          <t>Evidence-confidence sensitivity</t>
        </is>
      </c>
      <c r="B5" s="8" t="inlineStr">
        <is>
          <t>Confirm reporting confidence separately does not distort capability rankings.</t>
        </is>
      </c>
      <c r="C5" s="8" t="inlineStr">
        <is>
          <t>Capability score remains evidence-independent except for validity gates.</t>
        </is>
      </c>
      <c r="D5" s="8" t="inlineStr">
        <is>
          <t>PENDING PILOT</t>
        </is>
      </c>
    </row>
    <row r="6">
      <c r="A6" s="8" t="inlineStr">
        <is>
          <t>Institution-type sensitivity</t>
        </is>
      </c>
      <c r="B6" s="8" t="inlineStr">
        <is>
          <t>Run known groups across different institutional types and discipline mixes.</t>
        </is>
      </c>
      <c r="C6" s="8" t="inlineStr">
        <is>
          <t>Expected group differences explainable and not resource-biased.</t>
        </is>
      </c>
      <c r="D6" s="8" t="inlineStr">
        <is>
          <t>PENDING PILOT</t>
        </is>
      </c>
    </row>
    <row r="7">
      <c r="A7" s="8" t="inlineStr">
        <is>
          <t>Required maturity sensitivity</t>
        </is>
      </c>
      <c r="B7" s="8" t="inlineStr">
        <is>
          <t>Vary exposure/consequence/mandate adjustments.</t>
        </is>
      </c>
      <c r="C7" s="8" t="inlineStr">
        <is>
          <t>Transformation priorities are stable and interpretable.</t>
        </is>
      </c>
      <c r="D7" s="8" t="inlineStr">
        <is>
          <t>PENDING PILOT</t>
        </is>
      </c>
    </row>
  </sheetData>
  <pageMargins left="0.7" right="0.7" top="0.75" bottom="0.75" header="0.3" footer="0.3"/>
</worksheet>
</file>

<file path=xl/worksheets/sheet165.xml><?xml version="1.0" encoding="utf-8"?>
<worksheet xmlns="http://schemas.openxmlformats.org/spreadsheetml/2006/main">
  <sheetPr>
    <outlinePr summaryBelow="1" summaryRight="1"/>
    <pageSetUpPr/>
  </sheetPr>
  <dimension ref="A1:E8"/>
  <sheetViews>
    <sheetView showGridLines="0" workbookViewId="0">
      <pane ySplit="1" topLeftCell="A2" activePane="bottomLeft" state="frozen"/>
      <selection pane="bottomLeft" activeCell="A1" sqref="A1"/>
    </sheetView>
  </sheetViews>
  <sheetFormatPr baseColWidth="8" defaultRowHeight="15"/>
  <cols>
    <col width="14.140625" customWidth="1" min="1" max="1"/>
    <col width="34.140625" customWidth="1" min="2" max="2"/>
    <col width="60.7109375" customWidth="1" min="3" max="4"/>
    <col width="24.140625" customWidth="1" min="5" max="5"/>
  </cols>
  <sheetData>
    <row r="1">
      <c r="A1" s="23" t="inlineStr">
        <is>
          <t>Gate</t>
        </is>
      </c>
      <c r="B1" s="23" t="inlineStr">
        <is>
          <t>Test</t>
        </is>
      </c>
      <c r="C1" s="23" t="inlineStr">
        <is>
          <t>Minimum design</t>
        </is>
      </c>
      <c r="D1" s="23" t="inlineStr">
        <is>
          <t>Output</t>
        </is>
      </c>
      <c r="E1" s="23" t="inlineStr">
        <is>
          <t>Status</t>
        </is>
      </c>
    </row>
    <row r="2">
      <c r="A2" s="8" t="inlineStr">
        <is>
          <t>V-G01</t>
        </is>
      </c>
      <c r="B2" s="8" t="inlineStr">
        <is>
          <t>Coefficient calibration</t>
        </is>
      </c>
      <c r="C2" s="8" t="inlineStr">
        <is>
          <t>Pilot institutions across types; compare alternative coefficient sets</t>
        </is>
      </c>
      <c r="D2" s="8" t="inlineStr">
        <is>
          <t>Selected coefficient set + sensitivity report</t>
        </is>
      </c>
      <c r="E2" s="8" t="inlineStr">
        <is>
          <t>PENDING</t>
        </is>
      </c>
    </row>
    <row r="3">
      <c r="A3" s="8" t="inlineStr">
        <is>
          <t>V-G02</t>
        </is>
      </c>
      <c r="B3" s="8" t="inlineStr">
        <is>
          <t>Maturity inter-rater reliability</t>
        </is>
      </c>
      <c r="C3" s="8" t="inlineStr">
        <is>
          <t>At least two trained assessors independently score same sample</t>
        </is>
      </c>
      <c r="D3" s="8" t="inlineStr">
        <is>
          <t>Agreement statistic + adjudication rules</t>
        </is>
      </c>
      <c r="E3" s="8" t="inlineStr">
        <is>
          <t>PENDING</t>
        </is>
      </c>
    </row>
    <row r="4">
      <c r="A4" s="8" t="inlineStr">
        <is>
          <t>V-G03</t>
        </is>
      </c>
      <c r="B4" s="8" t="inlineStr">
        <is>
          <t>Test-retest stability</t>
        </is>
      </c>
      <c r="C4" s="8" t="inlineStr">
        <is>
          <t>Repeat assessment after defined interval with stable evidence</t>
        </is>
      </c>
      <c r="D4" s="8" t="inlineStr">
        <is>
          <t>Stability statistic + drift analysis</t>
        </is>
      </c>
      <c r="E4" s="8" t="inlineStr">
        <is>
          <t>PENDING</t>
        </is>
      </c>
    </row>
    <row r="5">
      <c r="A5" s="8" t="inlineStr">
        <is>
          <t>V-G04</t>
        </is>
      </c>
      <c r="B5" s="8" t="inlineStr">
        <is>
          <t>Known-groups validity</t>
        </is>
      </c>
      <c r="C5" s="8" t="inlineStr">
        <is>
          <t>Compare institutions expected to differ on readiness constructs</t>
        </is>
      </c>
      <c r="D5" s="8" t="inlineStr">
        <is>
          <t>Known-groups effect evidence</t>
        </is>
      </c>
      <c r="E5" s="8" t="inlineStr">
        <is>
          <t>PENDING</t>
        </is>
      </c>
    </row>
    <row r="6">
      <c r="A6" s="8" t="inlineStr">
        <is>
          <t>V-G05</t>
        </is>
      </c>
      <c r="B6" s="8" t="inlineStr">
        <is>
          <t>Convergent validity</t>
        </is>
      </c>
      <c r="C6" s="8" t="inlineStr">
        <is>
          <t>Compare with credible external/internal readiness measures where construct overlap is legitimate</t>
        </is>
      </c>
      <c r="D6" s="8" t="inlineStr">
        <is>
          <t>Correlation/convergence analysis</t>
        </is>
      </c>
      <c r="E6" s="8" t="inlineStr">
        <is>
          <t>PENDING</t>
        </is>
      </c>
    </row>
    <row r="7">
      <c r="A7" s="8" t="inlineStr">
        <is>
          <t>V-G06</t>
        </is>
      </c>
      <c r="B7" s="8" t="inlineStr">
        <is>
          <t>Weight sensitivity</t>
        </is>
      </c>
      <c r="C7" s="8" t="inlineStr">
        <is>
          <t>Stress-test domain weights and coefficient sets</t>
        </is>
      </c>
      <c r="D7" s="8" t="inlineStr">
        <is>
          <t>Stability thresholds met</t>
        </is>
      </c>
      <c r="E7" s="8" t="inlineStr">
        <is>
          <t>PENDING</t>
        </is>
      </c>
    </row>
    <row r="8">
      <c r="A8" s="8" t="inlineStr">
        <is>
          <t>V-G07</t>
        </is>
      </c>
      <c r="B8" s="8" t="inlineStr">
        <is>
          <t>Public benchmark readiness</t>
        </is>
      </c>
      <c r="C8" s="8" t="inlineStr">
        <is>
          <t>Only after V-G01–V-G06 pass and governance/COI controls are active</t>
        </is>
      </c>
      <c r="D8" s="8" t="inlineStr">
        <is>
          <t>Public release decision</t>
        </is>
      </c>
      <c r="E8" s="8" t="inlineStr">
        <is>
          <t>BLOCKED</t>
        </is>
      </c>
    </row>
  </sheetData>
  <pageMargins left="0.7" right="0.7" top="0.75" bottom="0.75" header="0.3" footer="0.3"/>
</worksheet>
</file>

<file path=xl/worksheets/sheet166.xml><?xml version="1.0" encoding="utf-8"?>
<worksheet xmlns="http://schemas.openxmlformats.org/spreadsheetml/2006/main">
  <sheetPr>
    <outlinePr summaryBelow="1" summaryRight="1"/>
    <pageSetUpPr/>
  </sheetPr>
  <dimension ref="A1:D14"/>
  <sheetViews>
    <sheetView showGridLines="0" workbookViewId="0">
      <pane ySplit="1" topLeftCell="A2" activePane="bottomLeft" state="frozen"/>
      <selection pane="bottomLeft" activeCell="A1" sqref="A1"/>
    </sheetView>
  </sheetViews>
  <sheetFormatPr baseColWidth="8" defaultRowHeight="15"/>
  <cols>
    <col width="14.140625" customWidth="1" min="1" max="1"/>
    <col width="60.7109375" customWidth="1" min="2" max="2"/>
    <col width="20.140625" customWidth="1" min="3" max="3"/>
    <col width="60.7109375" customWidth="1" min="4" max="4"/>
  </cols>
  <sheetData>
    <row r="1">
      <c r="A1" s="23" t="inlineStr">
        <is>
          <t>Gate</t>
        </is>
      </c>
      <c r="B1" s="23" t="inlineStr">
        <is>
          <t>Requirement</t>
        </is>
      </c>
      <c r="C1" s="23" t="inlineStr">
        <is>
          <t>Status</t>
        </is>
      </c>
      <c r="D1" s="23" t="inlineStr">
        <is>
          <t>Evidence / next action</t>
        </is>
      </c>
    </row>
    <row r="2">
      <c r="A2" s="8" t="inlineStr">
        <is>
          <t>S-G01</t>
        </is>
      </c>
      <c r="B2" s="8" t="inlineStr">
        <is>
          <t>All 143 metrics have operational scoring rule</t>
        </is>
      </c>
      <c r="C2" s="8" t="inlineStr">
        <is>
          <t>PASS</t>
        </is>
      </c>
      <c r="D2" s="8" t="inlineStr">
        <is>
          <t>143 metric rules created.</t>
        </is>
      </c>
    </row>
    <row r="3">
      <c r="A3" s="8" t="inlineStr">
        <is>
          <t>S-G02</t>
        </is>
      </c>
      <c r="B3" s="8" t="inlineStr">
        <is>
          <t>Maturity and implementation inputs are explicitly separated</t>
        </is>
      </c>
      <c r="C3" s="8" t="inlineStr">
        <is>
          <t>PASS</t>
        </is>
      </c>
      <c r="D3" s="8" t="inlineStr">
        <is>
          <t>Scorecard has M and I fields.</t>
        </is>
      </c>
    </row>
    <row r="4">
      <c r="A4" s="8" t="inlineStr">
        <is>
          <t>S-G03</t>
        </is>
      </c>
      <c r="B4" s="8" t="inlineStr">
        <is>
          <t>Outcome is optional only under legitimate N/A rule</t>
        </is>
      </c>
      <c r="C4" s="8" t="inlineStr">
        <is>
          <t>PASS</t>
        </is>
      </c>
      <c r="D4" s="8" t="inlineStr">
        <is>
          <t>Outcome/N/A rule encoded.</t>
        </is>
      </c>
    </row>
    <row r="5">
      <c r="A5" s="8" t="inlineStr">
        <is>
          <t>S-G04</t>
        </is>
      </c>
      <c r="B5" s="8" t="inlineStr">
        <is>
          <t>Evidence confidence is separate from capability score</t>
        </is>
      </c>
      <c r="C5" s="8" t="inlineStr">
        <is>
          <t>PASS</t>
        </is>
      </c>
      <c r="D5" s="8" t="inlineStr">
        <is>
          <t>Confidence column and evidence rules retained.</t>
        </is>
      </c>
    </row>
    <row r="6">
      <c r="A6" s="8" t="inlineStr">
        <is>
          <t>S-G05</t>
        </is>
      </c>
      <c r="B6" s="8" t="inlineStr">
        <is>
          <t>Domain aggregation is executable</t>
        </is>
      </c>
      <c r="C6" s="8" t="inlineStr">
        <is>
          <t>PASS</t>
        </is>
      </c>
      <c r="D6" s="8" t="inlineStr">
        <is>
          <t>Formula-driven domain aggregation sheet.</t>
        </is>
      </c>
    </row>
    <row r="7">
      <c r="A7" s="8" t="inlineStr">
        <is>
          <t>S-G06</t>
        </is>
      </c>
      <c r="B7" s="8" t="inlineStr">
        <is>
          <t>Overall index aggregation is executable</t>
        </is>
      </c>
      <c r="C7" s="8" t="inlineStr">
        <is>
          <t>PASS</t>
        </is>
      </c>
      <c r="D7" s="8" t="inlineStr">
        <is>
          <t>Formula-driven overall index sheet.</t>
        </is>
      </c>
    </row>
    <row r="8">
      <c r="A8" s="8" t="inlineStr">
        <is>
          <t>S-G07</t>
        </is>
      </c>
      <c r="B8" s="8" t="inlineStr">
        <is>
          <t>Context calibration does not grant score bonus</t>
        </is>
      </c>
      <c r="C8" s="8" t="inlineStr">
        <is>
          <t>PASS</t>
        </is>
      </c>
      <c r="D8" s="8" t="inlineStr">
        <is>
          <t>Calibration sheet constrains context to proportionality/required maturity.</t>
        </is>
      </c>
    </row>
    <row r="9">
      <c r="A9" s="8" t="inlineStr">
        <is>
          <t>S-G08</t>
        </is>
      </c>
      <c r="B9" s="8" t="inlineStr">
        <is>
          <t>Cross-domain scoring protections are executable</t>
        </is>
      </c>
      <c r="C9" s="8" t="inlineStr">
        <is>
          <t>PASS</t>
        </is>
      </c>
      <c r="D9" s="8" t="inlineStr">
        <is>
          <t>10 canonical cross-domain rules encoded.</t>
        </is>
      </c>
    </row>
    <row r="10">
      <c r="A10" s="8" t="inlineStr">
        <is>
          <t>S-G09</t>
        </is>
      </c>
      <c r="B10" s="8" t="inlineStr">
        <is>
          <t>Coefficient/weight empirical validation</t>
        </is>
      </c>
      <c r="C10" s="8" t="inlineStr">
        <is>
          <t>PENDING</t>
        </is>
      </c>
      <c r="D10" s="8" t="inlineStr">
        <is>
          <t>Pilot and sensitivity testing.</t>
        </is>
      </c>
    </row>
    <row r="11">
      <c r="A11" s="8" t="inlineStr">
        <is>
          <t>S-G10</t>
        </is>
      </c>
      <c r="B11" s="8" t="inlineStr">
        <is>
          <t>Inter-rater reliability</t>
        </is>
      </c>
      <c r="C11" s="8" t="inlineStr">
        <is>
          <t>PENDING</t>
        </is>
      </c>
      <c r="D11" s="8" t="inlineStr">
        <is>
          <t>Assessor calibration study.</t>
        </is>
      </c>
    </row>
    <row r="12">
      <c r="A12" s="8" t="inlineStr">
        <is>
          <t>S-G11</t>
        </is>
      </c>
      <c r="B12" s="8" t="inlineStr">
        <is>
          <t>Test-retest reliability</t>
        </is>
      </c>
      <c r="C12" s="8" t="inlineStr">
        <is>
          <t>PENDING</t>
        </is>
      </c>
      <c r="D12" s="8" t="inlineStr">
        <is>
          <t>Repeated assessment study.</t>
        </is>
      </c>
    </row>
    <row r="13">
      <c r="A13" s="8" t="inlineStr">
        <is>
          <t>S-G12</t>
        </is>
      </c>
      <c r="B13" s="8" t="inlineStr">
        <is>
          <t>Known-groups/convergent validity</t>
        </is>
      </c>
      <c r="C13" s="8" t="inlineStr">
        <is>
          <t>PENDING</t>
        </is>
      </c>
      <c r="D13" s="8" t="inlineStr">
        <is>
          <t>External criterion and pilot data.</t>
        </is>
      </c>
    </row>
    <row r="14">
      <c r="A14" s="8" t="inlineStr">
        <is>
          <t>S-G13</t>
        </is>
      </c>
      <c r="B14" s="8" t="inlineStr">
        <is>
          <t>Public benchmark/recognition</t>
        </is>
      </c>
      <c r="C14" s="8" t="inlineStr">
        <is>
          <t>BLOCKED</t>
        </is>
      </c>
      <c r="D14" s="8" t="inlineStr">
        <is>
          <t>Remain diagnostic until validation gates pass.</t>
        </is>
      </c>
    </row>
  </sheetData>
  <pageMargins left="0.7" right="0.7" top="0.75" bottom="0.75" header="0.3" footer="0.3"/>
</worksheet>
</file>

<file path=xl/worksheets/sheet167.xml><?xml version="1.0" encoding="utf-8"?>
<worksheet xmlns="http://schemas.openxmlformats.org/spreadsheetml/2006/main">
  <sheetPr>
    <outlinePr summaryBelow="1" summaryRight="1"/>
    <pageSetUpPr/>
  </sheetPr>
  <dimension ref="A1:B6"/>
  <sheetViews>
    <sheetView showGridLines="0" workbookViewId="0">
      <pane ySplit="1" topLeftCell="A2" activePane="bottomLeft" state="frozen"/>
      <selection pane="bottomLeft" activeCell="A1" sqref="A1"/>
    </sheetView>
  </sheetViews>
  <sheetFormatPr baseColWidth="8" defaultRowHeight="15"/>
  <cols>
    <col width="26.140625" customWidth="1" min="1" max="1"/>
    <col width="60.7109375" customWidth="1" min="2" max="2"/>
  </cols>
  <sheetData>
    <row r="1">
      <c r="A1" s="23" t="inlineStr">
        <is>
          <t>Version</t>
        </is>
      </c>
      <c r="B1" s="23" t="inlineStr">
        <is>
          <t>P0-3</t>
        </is>
      </c>
    </row>
    <row r="2">
      <c r="A2" s="8" t="inlineStr">
        <is>
          <t>Base</t>
        </is>
      </c>
      <c r="B2" s="8" t="inlineStr">
        <is>
          <t>P0-2 Remediated ALL GREEN</t>
        </is>
      </c>
    </row>
    <row r="3">
      <c r="A3" s="8" t="inlineStr">
        <is>
          <t>Change</t>
        </is>
      </c>
      <c r="B3" s="8" t="inlineStr">
        <is>
          <t>Added executable provisional metric, domain and overall scoring architecture for all 143 metrics.</t>
        </is>
      </c>
    </row>
    <row r="4">
      <c r="A4" s="8" t="inlineStr">
        <is>
          <t>Preserved</t>
        </is>
      </c>
      <c r="B4" s="8" t="inlineStr">
        <is>
          <t>All D01–D11 domains, metrics, cards, questions, remediation rules, maturity anchors and P0-2 audit layers retained.</t>
        </is>
      </c>
    </row>
    <row r="5">
      <c r="A5" s="8" t="inlineStr">
        <is>
          <t>Important</t>
        </is>
      </c>
      <c r="B5" s="8" t="inlineStr">
        <is>
          <t>GREEN in P0-2 means measurement-path completeness. P0-3 scoring is operational but remains provisional until empirical validation.</t>
        </is>
      </c>
    </row>
    <row r="6">
      <c r="A6" s="8" t="inlineStr">
        <is>
          <t>Next</t>
        </is>
      </c>
      <c r="B6" s="8" t="inlineStr">
        <is>
          <t>Pilot scoring, coefficient sensitivity, inter-rater calibration, test-retest, known-groups and convergent validity; then P0-4 context calibration and benchmark governance.</t>
        </is>
      </c>
    </row>
  </sheetData>
  <pageMargins left="0.7" right="0.7" top="0.75" bottom="0.75" header="0.3" footer="0.3"/>
</worksheet>
</file>

<file path=xl/worksheets/sheet168.xml><?xml version="1.0" encoding="utf-8"?>
<worksheet xmlns="http://schemas.openxmlformats.org/spreadsheetml/2006/main">
  <sheetPr>
    <outlinePr summaryBelow="1" summaryRight="1"/>
    <pageSetUpPr/>
  </sheetPr>
  <dimension ref="A1:B15"/>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90" customWidth="1" min="2" max="2"/>
  </cols>
  <sheetData>
    <row r="1">
      <c r="A1" s="26" t="inlineStr">
        <is>
          <t>P0-4 CONTEXT PROFILE</t>
        </is>
      </c>
    </row>
    <row r="2">
      <c r="A2" t="inlineStr">
        <is>
          <t>Purpose</t>
        </is>
      </c>
      <c r="B2" t="inlineStr">
        <is>
          <t>User/assessor inputs used to determine institution-specific required maturity and evidence burden. Context never directly adds points to capability score.</t>
        </is>
      </c>
    </row>
    <row r="3">
      <c r="A3" s="13" t="inlineStr">
        <is>
          <t>Input</t>
        </is>
      </c>
      <c r="B3" t="inlineStr">
        <is>
          <t>Selected value</t>
        </is>
      </c>
    </row>
    <row r="4">
      <c r="A4" s="13" t="inlineStr">
        <is>
          <t>Institution type</t>
        </is>
      </c>
      <c r="B4" t="inlineStr">
        <is>
          <t>University</t>
        </is>
      </c>
    </row>
    <row r="5">
      <c r="A5" s="13" t="inlineStr">
        <is>
          <t>Institution mandate</t>
        </is>
      </c>
      <c r="B5" t="inlineStr">
        <is>
          <t>Broad teaching + research</t>
        </is>
      </c>
    </row>
    <row r="6">
      <c r="A6" s="13" t="inlineStr">
        <is>
          <t>AI exposure</t>
        </is>
      </c>
      <c r="B6" t="inlineStr">
        <is>
          <t>Moderate</t>
        </is>
      </c>
    </row>
    <row r="7">
      <c r="A7" s="13" t="inlineStr">
        <is>
          <t>Disciplinary consequence</t>
        </is>
      </c>
      <c r="B7" t="inlineStr">
        <is>
          <t>Moderate</t>
        </is>
      </c>
    </row>
    <row r="8">
      <c r="A8" s="13" t="inlineStr">
        <is>
          <t>Institutional trajectory</t>
        </is>
      </c>
      <c r="B8" t="inlineStr">
        <is>
          <t>Stable / incremental change</t>
        </is>
      </c>
    </row>
    <row r="9">
      <c r="A9" s="13" t="inlineStr">
        <is>
          <t>Scale</t>
        </is>
      </c>
      <c r="B9" t="inlineStr">
        <is>
          <t>Medium</t>
        </is>
      </c>
    </row>
    <row r="10">
      <c r="A10" s="13" t="inlineStr">
        <is>
          <t>Geography / operating context</t>
        </is>
      </c>
      <c r="B10" t="inlineStr">
        <is>
          <t>India / mixed urban-regional</t>
        </is>
      </c>
    </row>
    <row r="11">
      <c r="A11" s="13" t="inlineStr">
        <is>
          <t>Resource envelope</t>
        </is>
      </c>
      <c r="B11" t="inlineStr">
        <is>
          <t>Medium</t>
        </is>
      </c>
    </row>
    <row r="12">
      <c r="A12" s="13" t="inlineStr">
        <is>
          <t>Research intensity</t>
        </is>
      </c>
      <c r="B12" t="inlineStr">
        <is>
          <t>Moderate</t>
        </is>
      </c>
    </row>
    <row r="13">
      <c r="A13" s="13" t="inlineStr">
        <is>
          <t>Student profile complexity</t>
        </is>
      </c>
      <c r="B13" t="inlineStr">
        <is>
          <t>Moderate</t>
        </is>
      </c>
    </row>
    <row r="14">
      <c r="A14" s="13" t="inlineStr">
        <is>
          <t>Context completeness</t>
        </is>
      </c>
      <c r="B14" s="14">
        <f>IF(COUNTA(B4:B13)=10,"COMPLETE","INCOMPLETE")</f>
        <v/>
      </c>
    </row>
    <row r="15">
      <c r="A15" t="inlineStr">
        <is>
          <t>Governance rule</t>
        </is>
      </c>
      <c r="B15" t="inlineStr">
        <is>
          <t>Assessor must document rationale for non-default selections; missing context cannot be used to lower required maturity.</t>
        </is>
      </c>
    </row>
  </sheetData>
  <mergeCells count="1">
    <mergeCell ref="A1:B1"/>
  </mergeCells>
  <dataValidations count="10">
    <dataValidation sqref="B4" showDropDown="0" showInputMessage="0" showErrorMessage="0" allowBlank="0" type="list">
      <formula1>"University,Deemed University,Autonomous College,Specialist Institution,Other"</formula1>
    </dataValidation>
    <dataValidation sqref="B5" showDropDown="0" showInputMessage="0" showErrorMessage="0" allowBlank="0" type="list">
      <formula1>"Broad teaching + research,Teaching-intensive,Research-intensive,Professional/professional-regulated,Specialist/niche"</formula1>
    </dataValidation>
    <dataValidation sqref="B6" showDropDown="0" showInputMessage="0" showErrorMessage="0" allowBlank="0" type="list">
      <formula1>"Low,Moderate,High,Critical"</formula1>
    </dataValidation>
    <dataValidation sqref="B7" showDropDown="0" showInputMessage="0" showErrorMessage="0" allowBlank="0" type="list">
      <formula1>"Low,Moderate,High,Critical"</formula1>
    </dataValidation>
    <dataValidation sqref="B8" showDropDown="0" showInputMessage="0" showErrorMessage="0" allowBlank="0" type="list">
      <formula1>"Declining,Stable / incremental change,Transforming,High-growth / expansion"</formula1>
    </dataValidation>
    <dataValidation sqref="B9" showDropDown="0" showInputMessage="0" showErrorMessage="0" allowBlank="0" type="list">
      <formula1>"Small,Medium,Large,Very large"</formula1>
    </dataValidation>
    <dataValidation sqref="B10" showDropDown="0" showInputMessage="0" showErrorMessage="0" allowBlank="0" type="list">
      <formula1>"India / mixed urban-regional,Metro-dominant,Regional/rural,Multi-campus / distributed,International / transnational"</formula1>
    </dataValidation>
    <dataValidation sqref="B11" showDropDown="0" showInputMessage="0" showErrorMessage="0" allowBlank="0" type="list">
      <formula1>"Constrained,Low-medium,Medium,High"</formula1>
    </dataValidation>
    <dataValidation sqref="B12" showDropDown="0" showInputMessage="0" showErrorMessage="0" allowBlank="0" type="list">
      <formula1>"Low,Moderate,High,Very high"</formula1>
    </dataValidation>
    <dataValidation sqref="B13" showDropDown="0" showInputMessage="0" showErrorMessage="0" allowBlank="0" type="list">
      <formula1>"Low,Moderate,High,Very high"</formula1>
    </dataValidation>
  </dataValidation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30" customWidth="1" min="1" max="1"/>
    <col width="32" customWidth="1" min="2" max="2"/>
    <col width="12" customWidth="1" min="3" max="3"/>
    <col width="65" customWidth="1" min="4" max="4"/>
    <col width="60" customWidth="1" min="5" max="5"/>
  </cols>
  <sheetData>
    <row r="1">
      <c r="A1" s="27" t="inlineStr">
        <is>
          <t>Variable</t>
        </is>
      </c>
      <c r="B1" s="27" t="inlineStr">
        <is>
          <t>Level</t>
        </is>
      </c>
      <c r="C1" s="27" t="inlineStr">
        <is>
          <t>Factor</t>
        </is>
      </c>
      <c r="D1" s="27" t="inlineStr">
        <is>
          <t>Interpretation</t>
        </is>
      </c>
      <c r="E1" s="27" t="inlineStr">
        <is>
          <t>Target vs evidence effect</t>
        </is>
      </c>
    </row>
    <row r="2">
      <c r="A2" t="inlineStr">
        <is>
          <t>Institution mandate</t>
        </is>
      </c>
      <c r="B2" t="inlineStr">
        <is>
          <t>Teaching-intensive</t>
        </is>
      </c>
      <c r="C2" t="n">
        <v>0</v>
      </c>
      <c r="D2" t="inlineStr">
        <is>
          <t>Context factor increases required maturity pressure only where relevant.</t>
        </is>
      </c>
      <c r="E2" t="inlineStr">
        <is>
          <t>Required maturity / evidence burden; never a capability score bonus.</t>
        </is>
      </c>
    </row>
    <row r="3">
      <c r="A3" t="inlineStr">
        <is>
          <t>Institution mandate</t>
        </is>
      </c>
      <c r="B3" t="inlineStr">
        <is>
          <t>Broad teaching + research</t>
        </is>
      </c>
      <c r="C3" t="n">
        <v>0.25</v>
      </c>
      <c r="D3" t="inlineStr">
        <is>
          <t>Context factor increases required maturity pressure only where relevant.</t>
        </is>
      </c>
      <c r="E3" t="inlineStr">
        <is>
          <t>Required maturity / evidence burden; never a capability score bonus.</t>
        </is>
      </c>
    </row>
    <row r="4">
      <c r="A4" t="inlineStr">
        <is>
          <t>Institution mandate</t>
        </is>
      </c>
      <c r="B4" t="inlineStr">
        <is>
          <t>Research-intensive</t>
        </is>
      </c>
      <c r="C4" t="n">
        <v>0.5</v>
      </c>
      <c r="D4" t="inlineStr">
        <is>
          <t>Context factor increases required maturity pressure only where relevant.</t>
        </is>
      </c>
      <c r="E4" t="inlineStr">
        <is>
          <t>Required maturity / evidence burden; never a capability score bonus.</t>
        </is>
      </c>
    </row>
    <row r="5">
      <c r="A5" t="inlineStr">
        <is>
          <t>Institution mandate</t>
        </is>
      </c>
      <c r="B5" t="inlineStr">
        <is>
          <t>Professional/professional-regulated</t>
        </is>
      </c>
      <c r="C5" t="n">
        <v>0.5</v>
      </c>
      <c r="D5" t="inlineStr">
        <is>
          <t>Context factor increases required maturity pressure only where relevant.</t>
        </is>
      </c>
      <c r="E5" t="inlineStr">
        <is>
          <t>Required maturity / evidence burden; never a capability score bonus.</t>
        </is>
      </c>
    </row>
    <row r="6">
      <c r="A6" t="inlineStr">
        <is>
          <t>Institution mandate</t>
        </is>
      </c>
      <c r="B6" t="inlineStr">
        <is>
          <t>Specialist/niche</t>
        </is>
      </c>
      <c r="C6" t="n">
        <v>0.25</v>
      </c>
      <c r="D6" t="inlineStr">
        <is>
          <t>Context factor increases required maturity pressure only where relevant.</t>
        </is>
      </c>
      <c r="E6" t="inlineStr">
        <is>
          <t>Required maturity / evidence burden; never a capability score bonus.</t>
        </is>
      </c>
    </row>
    <row r="7">
      <c r="A7" t="inlineStr">
        <is>
          <t>AI exposure</t>
        </is>
      </c>
      <c r="B7" t="inlineStr">
        <is>
          <t>Low</t>
        </is>
      </c>
      <c r="C7" t="n">
        <v>0</v>
      </c>
      <c r="D7" t="inlineStr">
        <is>
          <t>Context factor increases required maturity pressure only where relevant.</t>
        </is>
      </c>
      <c r="E7" t="inlineStr">
        <is>
          <t>Required maturity / evidence burden; never a capability score bonus.</t>
        </is>
      </c>
    </row>
    <row r="8">
      <c r="A8" t="inlineStr">
        <is>
          <t>AI exposure</t>
        </is>
      </c>
      <c r="B8" t="inlineStr">
        <is>
          <t>Moderate</t>
        </is>
      </c>
      <c r="C8" t="n">
        <v>0.25</v>
      </c>
      <c r="D8" t="inlineStr">
        <is>
          <t>Context factor increases required maturity pressure only where relevant.</t>
        </is>
      </c>
      <c r="E8" t="inlineStr">
        <is>
          <t>Required maturity / evidence burden; never a capability score bonus.</t>
        </is>
      </c>
    </row>
    <row r="9">
      <c r="A9" t="inlineStr">
        <is>
          <t>AI exposure</t>
        </is>
      </c>
      <c r="B9" t="inlineStr">
        <is>
          <t>High</t>
        </is>
      </c>
      <c r="C9" t="n">
        <v>0.5</v>
      </c>
      <c r="D9" t="inlineStr">
        <is>
          <t>Context factor increases required maturity pressure only where relevant.</t>
        </is>
      </c>
      <c r="E9" t="inlineStr">
        <is>
          <t>Required maturity / evidence burden; never a capability score bonus.</t>
        </is>
      </c>
    </row>
    <row r="10">
      <c r="A10" t="inlineStr">
        <is>
          <t>AI exposure</t>
        </is>
      </c>
      <c r="B10" t="inlineStr">
        <is>
          <t>Critical</t>
        </is>
      </c>
      <c r="C10" t="n">
        <v>0.75</v>
      </c>
      <c r="D10" t="inlineStr">
        <is>
          <t>Context factor increases required maturity pressure only where relevant.</t>
        </is>
      </c>
      <c r="E10" t="inlineStr">
        <is>
          <t>Required maturity / evidence burden; never a capability score bonus.</t>
        </is>
      </c>
    </row>
    <row r="11">
      <c r="A11" t="inlineStr">
        <is>
          <t>Disciplinary consequence</t>
        </is>
      </c>
      <c r="B11" t="inlineStr">
        <is>
          <t>Low</t>
        </is>
      </c>
      <c r="C11" t="n">
        <v>0</v>
      </c>
      <c r="D11" t="inlineStr">
        <is>
          <t>Context factor increases required maturity pressure only where relevant.</t>
        </is>
      </c>
      <c r="E11" t="inlineStr">
        <is>
          <t>Required maturity / evidence burden; never a capability score bonus.</t>
        </is>
      </c>
    </row>
    <row r="12">
      <c r="A12" t="inlineStr">
        <is>
          <t>Disciplinary consequence</t>
        </is>
      </c>
      <c r="B12" t="inlineStr">
        <is>
          <t>Moderate</t>
        </is>
      </c>
      <c r="C12" t="n">
        <v>0.25</v>
      </c>
      <c r="D12" t="inlineStr">
        <is>
          <t>Context factor increases required maturity pressure only where relevant.</t>
        </is>
      </c>
      <c r="E12" t="inlineStr">
        <is>
          <t>Required maturity / evidence burden; never a capability score bonus.</t>
        </is>
      </c>
    </row>
    <row r="13">
      <c r="A13" t="inlineStr">
        <is>
          <t>Disciplinary consequence</t>
        </is>
      </c>
      <c r="B13" t="inlineStr">
        <is>
          <t>High</t>
        </is>
      </c>
      <c r="C13" t="n">
        <v>0.5</v>
      </c>
      <c r="D13" t="inlineStr">
        <is>
          <t>Context factor increases required maturity pressure only where relevant.</t>
        </is>
      </c>
      <c r="E13" t="inlineStr">
        <is>
          <t>Required maturity / evidence burden; never a capability score bonus.</t>
        </is>
      </c>
    </row>
    <row r="14">
      <c r="A14" t="inlineStr">
        <is>
          <t>Disciplinary consequence</t>
        </is>
      </c>
      <c r="B14" t="inlineStr">
        <is>
          <t>Critical</t>
        </is>
      </c>
      <c r="C14" t="n">
        <v>0.75</v>
      </c>
      <c r="D14" t="inlineStr">
        <is>
          <t>Context factor increases required maturity pressure only where relevant.</t>
        </is>
      </c>
      <c r="E14" t="inlineStr">
        <is>
          <t>Required maturity / evidence burden; never a capability score bonus.</t>
        </is>
      </c>
    </row>
    <row r="15">
      <c r="A15" t="inlineStr">
        <is>
          <t>Institutional trajectory</t>
        </is>
      </c>
      <c r="B15" t="inlineStr">
        <is>
          <t>Declining</t>
        </is>
      </c>
      <c r="C15" t="n">
        <v>0</v>
      </c>
      <c r="D15" t="inlineStr">
        <is>
          <t>Context factor increases required maturity pressure only where relevant.</t>
        </is>
      </c>
      <c r="E15" t="inlineStr">
        <is>
          <t>Required maturity / evidence burden; never a capability score bonus.</t>
        </is>
      </c>
    </row>
    <row r="16">
      <c r="A16" t="inlineStr">
        <is>
          <t>Institutional trajectory</t>
        </is>
      </c>
      <c r="B16" t="inlineStr">
        <is>
          <t>Stable / incremental change</t>
        </is>
      </c>
      <c r="C16" t="n">
        <v>0.1</v>
      </c>
      <c r="D16" t="inlineStr">
        <is>
          <t>Context factor increases required maturity pressure only where relevant.</t>
        </is>
      </c>
      <c r="E16" t="inlineStr">
        <is>
          <t>Required maturity / evidence burden; never a capability score bonus.</t>
        </is>
      </c>
    </row>
    <row r="17">
      <c r="A17" t="inlineStr">
        <is>
          <t>Institutional trajectory</t>
        </is>
      </c>
      <c r="B17" t="inlineStr">
        <is>
          <t>Transforming</t>
        </is>
      </c>
      <c r="C17" t="n">
        <v>0.25</v>
      </c>
      <c r="D17" t="inlineStr">
        <is>
          <t>Context factor increases required maturity pressure only where relevant.</t>
        </is>
      </c>
      <c r="E17" t="inlineStr">
        <is>
          <t>Required maturity / evidence burden; never a capability score bonus.</t>
        </is>
      </c>
    </row>
    <row r="18">
      <c r="A18" t="inlineStr">
        <is>
          <t>Institutional trajectory</t>
        </is>
      </c>
      <c r="B18" t="inlineStr">
        <is>
          <t>High-growth / expansion</t>
        </is>
      </c>
      <c r="C18" t="n">
        <v>0.35</v>
      </c>
      <c r="D18" t="inlineStr">
        <is>
          <t>Context factor increases required maturity pressure only where relevant.</t>
        </is>
      </c>
      <c r="E18" t="inlineStr">
        <is>
          <t>Required maturity / evidence burden; never a capability score bonus.</t>
        </is>
      </c>
    </row>
  </sheetData>
  <autoFilter ref="A1:E18"/>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20" customWidth="1" min="3" max="3"/>
    <col width="22" customWidth="1" min="4" max="4"/>
    <col width="24" customWidth="1" min="5" max="5"/>
    <col width="22" customWidth="1" min="6" max="6"/>
    <col width="12" customWidth="1" min="7" max="7"/>
    <col width="10" customWidth="1" min="8" max="8"/>
    <col width="10" customWidth="1" min="9" max="9"/>
    <col width="65" customWidth="1" min="10" max="10"/>
  </cols>
  <sheetData>
    <row r="1">
      <c r="A1" s="27" t="inlineStr">
        <is>
          <t>Domain</t>
        </is>
      </c>
      <c r="B1" s="27" t="inlineStr">
        <is>
          <t>Domain Name</t>
        </is>
      </c>
      <c r="C1" s="27" t="inlineStr">
        <is>
          <t>Mandate Sensitivity</t>
        </is>
      </c>
      <c r="D1" s="27" t="inlineStr">
        <is>
          <t>AI Exposure Sensitivity</t>
        </is>
      </c>
      <c r="E1" s="27" t="inlineStr">
        <is>
          <t>Consequence Sensitivity</t>
        </is>
      </c>
      <c r="F1" s="27" t="inlineStr">
        <is>
          <t>Trajectory Sensitivity</t>
        </is>
      </c>
      <c r="G1" s="27" t="inlineStr">
        <is>
          <t>Baseline R</t>
        </is>
      </c>
      <c r="H1" s="27" t="inlineStr">
        <is>
          <t>Min R</t>
        </is>
      </c>
      <c r="I1" s="27" t="inlineStr">
        <is>
          <t>Max R</t>
        </is>
      </c>
      <c r="J1" s="27" t="inlineStr">
        <is>
          <t>Rationale</t>
        </is>
      </c>
    </row>
    <row r="2">
      <c r="A2" t="inlineStr">
        <is>
          <t>D01</t>
        </is>
      </c>
      <c r="B2" t="inlineStr">
        <is>
          <t>Institutional Strategy, Foresight &amp; AI Direction</t>
        </is>
      </c>
      <c r="C2" t="n">
        <v>0.8</v>
      </c>
      <c r="D2" t="n">
        <v>0.8</v>
      </c>
      <c r="E2" t="n">
        <v>0.4</v>
      </c>
      <c r="F2" t="n">
        <v>0.8</v>
      </c>
      <c r="G2" t="n">
        <v>3</v>
      </c>
      <c r="H2" t="n">
        <v>1</v>
      </c>
      <c r="I2" t="n">
        <v>5</v>
      </c>
      <c r="J2" t="inlineStr">
        <is>
          <t>Sensitivity controls how strongly context pressures required maturity; it is not a score multiplier.</t>
        </is>
      </c>
    </row>
    <row r="3">
      <c r="A3" t="inlineStr">
        <is>
          <t>D02</t>
        </is>
      </c>
      <c r="B3" t="inlineStr">
        <is>
          <t>Governance, Responsible AI &amp; Institutional Risk</t>
        </is>
      </c>
      <c r="C3" t="n">
        <v>0.7</v>
      </c>
      <c r="D3" t="n">
        <v>0.9</v>
      </c>
      <c r="E3" t="n">
        <v>1</v>
      </c>
      <c r="F3" t="n">
        <v>0.5</v>
      </c>
      <c r="G3" t="n">
        <v>3</v>
      </c>
      <c r="H3" t="n">
        <v>1</v>
      </c>
      <c r="I3" t="n">
        <v>5</v>
      </c>
      <c r="J3" t="inlineStr">
        <is>
          <t>Sensitivity controls how strongly context pressures required maturity; it is not a score multiplier.</t>
        </is>
      </c>
    </row>
    <row r="4">
      <c r="A4" t="inlineStr">
        <is>
          <t>D03</t>
        </is>
      </c>
      <c r="B4" t="inlineStr">
        <is>
          <t>Human Capability, Cognitive Readiness &amp; AI-Ready Education</t>
        </is>
      </c>
      <c r="C4" t="n">
        <v>0.9</v>
      </c>
      <c r="D4" t="n">
        <v>0.8</v>
      </c>
      <c r="E4" t="n">
        <v>0.6</v>
      </c>
      <c r="F4" t="n">
        <v>0.5</v>
      </c>
      <c r="G4" t="n">
        <v>3</v>
      </c>
      <c r="H4" t="n">
        <v>1</v>
      </c>
      <c r="I4" t="n">
        <v>5</v>
      </c>
      <c r="J4" t="inlineStr">
        <is>
          <t>Sensitivity controls how strongly context pressures required maturity; it is not a score multiplier.</t>
        </is>
      </c>
    </row>
    <row r="5">
      <c r="A5" t="inlineStr">
        <is>
          <t>D04</t>
        </is>
      </c>
      <c r="B5" t="inlineStr">
        <is>
          <t>Curriculum &amp; Programme Future Resilience</t>
        </is>
      </c>
      <c r="C5" t="n">
        <v>0.9</v>
      </c>
      <c r="D5" t="n">
        <v>0.8</v>
      </c>
      <c r="E5" t="n">
        <v>0.8</v>
      </c>
      <c r="F5" t="n">
        <v>0.6</v>
      </c>
      <c r="G5" t="n">
        <v>3</v>
      </c>
      <c r="H5" t="n">
        <v>1</v>
      </c>
      <c r="I5" t="n">
        <v>5</v>
      </c>
      <c r="J5" t="inlineStr">
        <is>
          <t>Sensitivity controls how strongly context pressures required maturity; it is not a score multiplier.</t>
        </is>
      </c>
    </row>
    <row r="6">
      <c r="A6" t="inlineStr">
        <is>
          <t>D05</t>
        </is>
      </c>
      <c r="B6" t="inlineStr">
        <is>
          <t>Faculty Capability &amp; Academic Workforce Transformation</t>
        </is>
      </c>
      <c r="C6" t="n">
        <v>0.8</v>
      </c>
      <c r="D6" t="n">
        <v>0.8</v>
      </c>
      <c r="E6" t="n">
        <v>0.6</v>
      </c>
      <c r="F6" t="n">
        <v>0.6</v>
      </c>
      <c r="G6" t="n">
        <v>3</v>
      </c>
      <c r="H6" t="n">
        <v>1</v>
      </c>
      <c r="I6" t="n">
        <v>5</v>
      </c>
      <c r="J6" t="inlineStr">
        <is>
          <t>Sensitivity controls how strongly context pressures required maturity; it is not a score multiplier.</t>
        </is>
      </c>
    </row>
    <row r="7">
      <c r="A7" t="inlineStr">
        <is>
          <t>D06</t>
        </is>
      </c>
      <c r="B7" t="inlineStr">
        <is>
          <t>Student Capability, Agency &amp; Future Readiness</t>
        </is>
      </c>
      <c r="C7" t="n">
        <v>0.8</v>
      </c>
      <c r="D7" t="n">
        <v>0.8</v>
      </c>
      <c r="E7" t="n">
        <v>0.7</v>
      </c>
      <c r="F7" t="n">
        <v>0.5</v>
      </c>
      <c r="G7" t="n">
        <v>3</v>
      </c>
      <c r="H7" t="n">
        <v>1</v>
      </c>
      <c r="I7" t="n">
        <v>5</v>
      </c>
      <c r="J7" t="inlineStr">
        <is>
          <t>Sensitivity controls how strongly context pressures required maturity; it is not a score multiplier.</t>
        </is>
      </c>
    </row>
    <row r="8">
      <c r="A8" t="inlineStr">
        <is>
          <t>D07</t>
        </is>
      </c>
      <c r="B8" t="inlineStr">
        <is>
          <t>Learning, Assessment &amp; Evidence of Capability</t>
        </is>
      </c>
      <c r="C8" t="n">
        <v>0.9</v>
      </c>
      <c r="D8" t="n">
        <v>0.9</v>
      </c>
      <c r="E8" t="n">
        <v>0.9</v>
      </c>
      <c r="F8" t="n">
        <v>0.5</v>
      </c>
      <c r="G8" t="n">
        <v>3</v>
      </c>
      <c r="H8" t="n">
        <v>1</v>
      </c>
      <c r="I8" t="n">
        <v>5</v>
      </c>
      <c r="J8" t="inlineStr">
        <is>
          <t>Sensitivity controls how strongly context pressures required maturity; it is not a score multiplier.</t>
        </is>
      </c>
    </row>
    <row r="9">
      <c r="A9" t="inlineStr">
        <is>
          <t>D08</t>
        </is>
      </c>
      <c r="B9" t="inlineStr">
        <is>
          <t>Digital, Data &amp; Institutional Intelligence</t>
        </is>
      </c>
      <c r="C9" t="n">
        <v>0.6</v>
      </c>
      <c r="D9" t="n">
        <v>1</v>
      </c>
      <c r="E9" t="n">
        <v>0.8</v>
      </c>
      <c r="F9" t="n">
        <v>0.6</v>
      </c>
      <c r="G9" t="n">
        <v>3</v>
      </c>
      <c r="H9" t="n">
        <v>1</v>
      </c>
      <c r="I9" t="n">
        <v>5</v>
      </c>
      <c r="J9" t="inlineStr">
        <is>
          <t>Sensitivity controls how strongly context pressures required maturity; it is not a score multiplier.</t>
        </is>
      </c>
    </row>
    <row r="10">
      <c r="A10" t="inlineStr">
        <is>
          <t>D09</t>
        </is>
      </c>
      <c r="B10" t="inlineStr">
        <is>
          <t>Employability, Industry &amp; Economic Relevance</t>
        </is>
      </c>
      <c r="C10" t="n">
        <v>0.7</v>
      </c>
      <c r="D10" t="n">
        <v>0.8</v>
      </c>
      <c r="E10" t="n">
        <v>0.6</v>
      </c>
      <c r="F10" t="n">
        <v>0.8</v>
      </c>
      <c r="G10" t="n">
        <v>3</v>
      </c>
      <c r="H10" t="n">
        <v>1</v>
      </c>
      <c r="I10" t="n">
        <v>5</v>
      </c>
      <c r="J10" t="inlineStr">
        <is>
          <t>Sensitivity controls how strongly context pressures required maturity; it is not a score multiplier.</t>
        </is>
      </c>
    </row>
    <row r="11">
      <c r="A11" t="inlineStr">
        <is>
          <t>D10</t>
        </is>
      </c>
      <c r="B11" t="inlineStr">
        <is>
          <t>Research, Innovation &amp; Knowledge Creation</t>
        </is>
      </c>
      <c r="C11" t="n">
        <v>0.7</v>
      </c>
      <c r="D11" t="n">
        <v>0.8</v>
      </c>
      <c r="E11" t="n">
        <v>0.8</v>
      </c>
      <c r="F11" t="n">
        <v>0.7</v>
      </c>
      <c r="G11" t="n">
        <v>3</v>
      </c>
      <c r="H11" t="n">
        <v>1</v>
      </c>
      <c r="I11" t="n">
        <v>5</v>
      </c>
      <c r="J11" t="inlineStr">
        <is>
          <t>Sensitivity controls how strongly context pressures required maturity; it is not a score multiplier.</t>
        </is>
      </c>
    </row>
    <row r="12">
      <c r="A12" t="inlineStr">
        <is>
          <t>D11</t>
        </is>
      </c>
      <c r="B12" t="inlineStr">
        <is>
          <t>Institutional Adaptability &amp; AI Resilience</t>
        </is>
      </c>
      <c r="C12" t="n">
        <v>0.8</v>
      </c>
      <c r="D12" t="n">
        <v>0.8</v>
      </c>
      <c r="E12" t="n">
        <v>0.7</v>
      </c>
      <c r="F12" t="n">
        <v>1</v>
      </c>
      <c r="G12" t="n">
        <v>3</v>
      </c>
      <c r="H12" t="n">
        <v>1</v>
      </c>
      <c r="I12" t="n">
        <v>5</v>
      </c>
      <c r="J12" t="inlineStr">
        <is>
          <t>Sensitivity controls how strongly context pressures required maturity; it is not a score multiplier.</t>
        </is>
      </c>
    </row>
  </sheetData>
  <autoFilter ref="A1:J12"/>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12" customWidth="1" min="3" max="3"/>
    <col width="16" customWidth="1" min="4" max="4"/>
    <col width="18" customWidth="1" min="5" max="5"/>
    <col width="20" customWidth="1" min="6" max="6"/>
    <col width="18" customWidth="1" min="7" max="7"/>
    <col width="18" customWidth="1" min="8" max="8"/>
    <col width="18" customWidth="1" min="9" max="9"/>
    <col width="70" customWidth="1" min="10" max="10"/>
    <col width="25" customWidth="1" min="11" max="11"/>
  </cols>
  <sheetData>
    <row r="1">
      <c r="A1" s="27" t="inlineStr">
        <is>
          <t>Domain</t>
        </is>
      </c>
      <c r="B1" s="27" t="inlineStr">
        <is>
          <t>Domain Name</t>
        </is>
      </c>
      <c r="C1" s="27" t="inlineStr">
        <is>
          <t>Baseline R</t>
        </is>
      </c>
      <c r="D1" s="27" t="inlineStr">
        <is>
          <t>Mandate Factor</t>
        </is>
      </c>
      <c r="E1" s="27" t="inlineStr">
        <is>
          <t>AI Exposure Factor</t>
        </is>
      </c>
      <c r="F1" s="27" t="inlineStr">
        <is>
          <t>Consequence Factor</t>
        </is>
      </c>
      <c r="G1" s="27" t="inlineStr">
        <is>
          <t>Trajectory Factor</t>
        </is>
      </c>
      <c r="H1" s="27" t="inlineStr">
        <is>
          <t>Context Pressure</t>
        </is>
      </c>
      <c r="I1" s="27" t="inlineStr">
        <is>
          <t>Required Maturity R</t>
        </is>
      </c>
      <c r="J1" s="27" t="inlineStr">
        <is>
          <t>Rationale / Trigger</t>
        </is>
      </c>
      <c r="K1" s="27" t="inlineStr">
        <is>
          <t>Evidence Burden Multiplier</t>
        </is>
      </c>
    </row>
    <row r="2">
      <c r="A2" t="inlineStr">
        <is>
          <t>D01</t>
        </is>
      </c>
      <c r="B2" t="inlineStr">
        <is>
          <t>Institutional Strategy, Foresight &amp; AI Direction</t>
        </is>
      </c>
      <c r="C2" t="n">
        <v>3</v>
      </c>
      <c r="D2">
        <f>SUMIFS('P0-4_Context_Factors'!$C$2:$C$17,'P0-4_Context_Factors'!$A$2:$A$17,"Institution mandate",'P0-4_Context_Factors'!$B$2:$B$17,'P0-4_Context_Profile'!$B$5)*'P0-4_Domain_Sensitivity'!$C2</f>
        <v/>
      </c>
      <c r="E2">
        <f>SUMIFS('P0-4_Context_Factors'!$C$2:$C$17,'P0-4_Context_Factors'!$A$2:$A$17,"AI exposure",'P0-4_Context_Factors'!$B$2:$B$17,'P0-4_Context_Profile'!$B$6)*'P0-4_Domain_Sensitivity'!$D2</f>
        <v/>
      </c>
      <c r="F2">
        <f>SUMIFS('P0-4_Context_Factors'!$C$2:$C$17,'P0-4_Context_Factors'!$A$2:$A$17,"Disciplinary consequence",'P0-4_Context_Factors'!$B$2:$B$17,'P0-4_Context_Profile'!$B$7)*'P0-4_Domain_Sensitivity'!$E2</f>
        <v/>
      </c>
      <c r="G2">
        <f>SUMIFS('P0-4_Context_Factors'!$C$2:$C$17,'P0-4_Context_Factors'!$A$2:$A$17,"Institutional trajectory",'P0-4_Context_Factors'!$B$2:$B$17,'P0-4_Context_Profile'!$B$8)*'P0-4_Domain_Sensitivity'!$F2</f>
        <v/>
      </c>
      <c r="H2">
        <f>D2+E2+F2+G2</f>
        <v/>
      </c>
      <c r="I2" s="16">
        <f>MIN(5,MAX(1,ROUND(C2+H2,0)))</f>
        <v/>
      </c>
      <c r="J2" t="inlineStr">
        <is>
          <t>Higher required maturity is triggered by stronger mandate, AI exposure, disciplinary consequence and/or rapid transformation pressure.</t>
        </is>
      </c>
      <c r="K2">
        <f>IF('P0-4_Context_Profile'!$B$11="Constrained",0.85,IF('P0-4_Context_Profile'!$B$11="Low-medium",0.95,IF('P0-4_Context_Profile'!$B$11="Medium",1,IF('P0-4_Context_Profile'!$B$11="High",1.10,1.20))))</f>
        <v/>
      </c>
    </row>
    <row r="3">
      <c r="A3" t="inlineStr">
        <is>
          <t>D02</t>
        </is>
      </c>
      <c r="B3" t="inlineStr">
        <is>
          <t>Governance, Responsible AI &amp; Institutional Risk</t>
        </is>
      </c>
      <c r="C3" t="n">
        <v>3</v>
      </c>
      <c r="D3">
        <f>SUMIFS('P0-4_Context_Factors'!$C$2:$C$17,'P0-4_Context_Factors'!$A$2:$A$17,"Institution mandate",'P0-4_Context_Factors'!$B$2:$B$17,'P0-4_Context_Profile'!$B$5)*'P0-4_Domain_Sensitivity'!$C3</f>
        <v/>
      </c>
      <c r="E3">
        <f>SUMIFS('P0-4_Context_Factors'!$C$2:$C$17,'P0-4_Context_Factors'!$A$2:$A$17,"AI exposure",'P0-4_Context_Factors'!$B$2:$B$17,'P0-4_Context_Profile'!$B$6)*'P0-4_Domain_Sensitivity'!$D3</f>
        <v/>
      </c>
      <c r="F3">
        <f>SUMIFS('P0-4_Context_Factors'!$C$2:$C$17,'P0-4_Context_Factors'!$A$2:$A$17,"Disciplinary consequence",'P0-4_Context_Factors'!$B$2:$B$17,'P0-4_Context_Profile'!$B$7)*'P0-4_Domain_Sensitivity'!$E3</f>
        <v/>
      </c>
      <c r="G3">
        <f>SUMIFS('P0-4_Context_Factors'!$C$2:$C$17,'P0-4_Context_Factors'!$A$2:$A$17,"Institutional trajectory",'P0-4_Context_Factors'!$B$2:$B$17,'P0-4_Context_Profile'!$B$8)*'P0-4_Domain_Sensitivity'!$F3</f>
        <v/>
      </c>
      <c r="H3">
        <f>D3+E3+F3+G3</f>
        <v/>
      </c>
      <c r="I3" s="16">
        <f>MIN(5,MAX(1,ROUND(C3+H3,0)))</f>
        <v/>
      </c>
      <c r="J3" t="inlineStr">
        <is>
          <t>Higher required maturity is triggered by stronger mandate, AI exposure, disciplinary consequence and/or rapid transformation pressure.</t>
        </is>
      </c>
      <c r="K3">
        <f>IF('P0-4_Context_Profile'!$B$11="Constrained",0.85,IF('P0-4_Context_Profile'!$B$11="Low-medium",0.95,IF('P0-4_Context_Profile'!$B$11="Medium",1,IF('P0-4_Context_Profile'!$B$11="High",1.10,1.20))))</f>
        <v/>
      </c>
    </row>
    <row r="4">
      <c r="A4" t="inlineStr">
        <is>
          <t>D03</t>
        </is>
      </c>
      <c r="B4" t="inlineStr">
        <is>
          <t>Human Capability, Cognitive Readiness &amp; AI-Ready Education</t>
        </is>
      </c>
      <c r="C4" t="n">
        <v>3</v>
      </c>
      <c r="D4">
        <f>SUMIFS('P0-4_Context_Factors'!$C$2:$C$17,'P0-4_Context_Factors'!$A$2:$A$17,"Institution mandate",'P0-4_Context_Factors'!$B$2:$B$17,'P0-4_Context_Profile'!$B$5)*'P0-4_Domain_Sensitivity'!$C4</f>
        <v/>
      </c>
      <c r="E4">
        <f>SUMIFS('P0-4_Context_Factors'!$C$2:$C$17,'P0-4_Context_Factors'!$A$2:$A$17,"AI exposure",'P0-4_Context_Factors'!$B$2:$B$17,'P0-4_Context_Profile'!$B$6)*'P0-4_Domain_Sensitivity'!$D4</f>
        <v/>
      </c>
      <c r="F4">
        <f>SUMIFS('P0-4_Context_Factors'!$C$2:$C$17,'P0-4_Context_Factors'!$A$2:$A$17,"Disciplinary consequence",'P0-4_Context_Factors'!$B$2:$B$17,'P0-4_Context_Profile'!$B$7)*'P0-4_Domain_Sensitivity'!$E4</f>
        <v/>
      </c>
      <c r="G4">
        <f>SUMIFS('P0-4_Context_Factors'!$C$2:$C$17,'P0-4_Context_Factors'!$A$2:$A$17,"Institutional trajectory",'P0-4_Context_Factors'!$B$2:$B$17,'P0-4_Context_Profile'!$B$8)*'P0-4_Domain_Sensitivity'!$F4</f>
        <v/>
      </c>
      <c r="H4">
        <f>D4+E4+F4+G4</f>
        <v/>
      </c>
      <c r="I4" s="16">
        <f>MIN(5,MAX(1,ROUND(C4+H4,0)))</f>
        <v/>
      </c>
      <c r="J4" t="inlineStr">
        <is>
          <t>Higher required maturity is triggered by stronger mandate, AI exposure, disciplinary consequence and/or rapid transformation pressure.</t>
        </is>
      </c>
      <c r="K4">
        <f>IF('P0-4_Context_Profile'!$B$11="Constrained",0.85,IF('P0-4_Context_Profile'!$B$11="Low-medium",0.95,IF('P0-4_Context_Profile'!$B$11="Medium",1,IF('P0-4_Context_Profile'!$B$11="High",1.10,1.20))))</f>
        <v/>
      </c>
    </row>
    <row r="5">
      <c r="A5" t="inlineStr">
        <is>
          <t>D04</t>
        </is>
      </c>
      <c r="B5" t="inlineStr">
        <is>
          <t>Curriculum &amp; Programme Future Resilience</t>
        </is>
      </c>
      <c r="C5" t="n">
        <v>3</v>
      </c>
      <c r="D5">
        <f>SUMIFS('P0-4_Context_Factors'!$C$2:$C$17,'P0-4_Context_Factors'!$A$2:$A$17,"Institution mandate",'P0-4_Context_Factors'!$B$2:$B$17,'P0-4_Context_Profile'!$B$5)*'P0-4_Domain_Sensitivity'!$C5</f>
        <v/>
      </c>
      <c r="E5">
        <f>SUMIFS('P0-4_Context_Factors'!$C$2:$C$17,'P0-4_Context_Factors'!$A$2:$A$17,"AI exposure",'P0-4_Context_Factors'!$B$2:$B$17,'P0-4_Context_Profile'!$B$6)*'P0-4_Domain_Sensitivity'!$D5</f>
        <v/>
      </c>
      <c r="F5">
        <f>SUMIFS('P0-4_Context_Factors'!$C$2:$C$17,'P0-4_Context_Factors'!$A$2:$A$17,"Disciplinary consequence",'P0-4_Context_Factors'!$B$2:$B$17,'P0-4_Context_Profile'!$B$7)*'P0-4_Domain_Sensitivity'!$E5</f>
        <v/>
      </c>
      <c r="G5">
        <f>SUMIFS('P0-4_Context_Factors'!$C$2:$C$17,'P0-4_Context_Factors'!$A$2:$A$17,"Institutional trajectory",'P0-4_Context_Factors'!$B$2:$B$17,'P0-4_Context_Profile'!$B$8)*'P0-4_Domain_Sensitivity'!$F5</f>
        <v/>
      </c>
      <c r="H5">
        <f>D5+E5+F5+G5</f>
        <v/>
      </c>
      <c r="I5" s="16">
        <f>MIN(5,MAX(1,ROUND(C5+H5,0)))</f>
        <v/>
      </c>
      <c r="J5" t="inlineStr">
        <is>
          <t>Higher required maturity is triggered by stronger mandate, AI exposure, disciplinary consequence and/or rapid transformation pressure.</t>
        </is>
      </c>
      <c r="K5">
        <f>IF('P0-4_Context_Profile'!$B$11="Constrained",0.85,IF('P0-4_Context_Profile'!$B$11="Low-medium",0.95,IF('P0-4_Context_Profile'!$B$11="Medium",1,IF('P0-4_Context_Profile'!$B$11="High",1.10,1.20))))</f>
        <v/>
      </c>
    </row>
    <row r="6">
      <c r="A6" t="inlineStr">
        <is>
          <t>D05</t>
        </is>
      </c>
      <c r="B6" t="inlineStr">
        <is>
          <t>Faculty Capability &amp; Academic Workforce Transformation</t>
        </is>
      </c>
      <c r="C6" t="n">
        <v>3</v>
      </c>
      <c r="D6">
        <f>SUMIFS('P0-4_Context_Factors'!$C$2:$C$17,'P0-4_Context_Factors'!$A$2:$A$17,"Institution mandate",'P0-4_Context_Factors'!$B$2:$B$17,'P0-4_Context_Profile'!$B$5)*'P0-4_Domain_Sensitivity'!$C6</f>
        <v/>
      </c>
      <c r="E6">
        <f>SUMIFS('P0-4_Context_Factors'!$C$2:$C$17,'P0-4_Context_Factors'!$A$2:$A$17,"AI exposure",'P0-4_Context_Factors'!$B$2:$B$17,'P0-4_Context_Profile'!$B$6)*'P0-4_Domain_Sensitivity'!$D6</f>
        <v/>
      </c>
      <c r="F6">
        <f>SUMIFS('P0-4_Context_Factors'!$C$2:$C$17,'P0-4_Context_Factors'!$A$2:$A$17,"Disciplinary consequence",'P0-4_Context_Factors'!$B$2:$B$17,'P0-4_Context_Profile'!$B$7)*'P0-4_Domain_Sensitivity'!$E6</f>
        <v/>
      </c>
      <c r="G6">
        <f>SUMIFS('P0-4_Context_Factors'!$C$2:$C$17,'P0-4_Context_Factors'!$A$2:$A$17,"Institutional trajectory",'P0-4_Context_Factors'!$B$2:$B$17,'P0-4_Context_Profile'!$B$8)*'P0-4_Domain_Sensitivity'!$F6</f>
        <v/>
      </c>
      <c r="H6">
        <f>D6+E6+F6+G6</f>
        <v/>
      </c>
      <c r="I6" s="16">
        <f>MIN(5,MAX(1,ROUND(C6+H6,0)))</f>
        <v/>
      </c>
      <c r="J6" t="inlineStr">
        <is>
          <t>Higher required maturity is triggered by stronger mandate, AI exposure, disciplinary consequence and/or rapid transformation pressure.</t>
        </is>
      </c>
      <c r="K6">
        <f>IF('P0-4_Context_Profile'!$B$11="Constrained",0.85,IF('P0-4_Context_Profile'!$B$11="Low-medium",0.95,IF('P0-4_Context_Profile'!$B$11="Medium",1,IF('P0-4_Context_Profile'!$B$11="High",1.10,1.20))))</f>
        <v/>
      </c>
    </row>
    <row r="7">
      <c r="A7" t="inlineStr">
        <is>
          <t>D06</t>
        </is>
      </c>
      <c r="B7" t="inlineStr">
        <is>
          <t>Student Capability, Agency &amp; Future Readiness</t>
        </is>
      </c>
      <c r="C7" t="n">
        <v>3</v>
      </c>
      <c r="D7">
        <f>SUMIFS('P0-4_Context_Factors'!$C$2:$C$17,'P0-4_Context_Factors'!$A$2:$A$17,"Institution mandate",'P0-4_Context_Factors'!$B$2:$B$17,'P0-4_Context_Profile'!$B$5)*'P0-4_Domain_Sensitivity'!$C7</f>
        <v/>
      </c>
      <c r="E7">
        <f>SUMIFS('P0-4_Context_Factors'!$C$2:$C$17,'P0-4_Context_Factors'!$A$2:$A$17,"AI exposure",'P0-4_Context_Factors'!$B$2:$B$17,'P0-4_Context_Profile'!$B$6)*'P0-4_Domain_Sensitivity'!$D7</f>
        <v/>
      </c>
      <c r="F7">
        <f>SUMIFS('P0-4_Context_Factors'!$C$2:$C$17,'P0-4_Context_Factors'!$A$2:$A$17,"Disciplinary consequence",'P0-4_Context_Factors'!$B$2:$B$17,'P0-4_Context_Profile'!$B$7)*'P0-4_Domain_Sensitivity'!$E7</f>
        <v/>
      </c>
      <c r="G7">
        <f>SUMIFS('P0-4_Context_Factors'!$C$2:$C$17,'P0-4_Context_Factors'!$A$2:$A$17,"Institutional trajectory",'P0-4_Context_Factors'!$B$2:$B$17,'P0-4_Context_Profile'!$B$8)*'P0-4_Domain_Sensitivity'!$F7</f>
        <v/>
      </c>
      <c r="H7">
        <f>D7+E7+F7+G7</f>
        <v/>
      </c>
      <c r="I7" s="16">
        <f>MIN(5,MAX(1,ROUND(C7+H7,0)))</f>
        <v/>
      </c>
      <c r="J7" t="inlineStr">
        <is>
          <t>Higher required maturity is triggered by stronger mandate, AI exposure, disciplinary consequence and/or rapid transformation pressure.</t>
        </is>
      </c>
      <c r="K7">
        <f>IF('P0-4_Context_Profile'!$B$11="Constrained",0.85,IF('P0-4_Context_Profile'!$B$11="Low-medium",0.95,IF('P0-4_Context_Profile'!$B$11="Medium",1,IF('P0-4_Context_Profile'!$B$11="High",1.10,1.20))))</f>
        <v/>
      </c>
    </row>
    <row r="8">
      <c r="A8" t="inlineStr">
        <is>
          <t>D07</t>
        </is>
      </c>
      <c r="B8" t="inlineStr">
        <is>
          <t>Learning, Assessment &amp; Evidence of Capability</t>
        </is>
      </c>
      <c r="C8" t="n">
        <v>3</v>
      </c>
      <c r="D8">
        <f>SUMIFS('P0-4_Context_Factors'!$C$2:$C$17,'P0-4_Context_Factors'!$A$2:$A$17,"Institution mandate",'P0-4_Context_Factors'!$B$2:$B$17,'P0-4_Context_Profile'!$B$5)*'P0-4_Domain_Sensitivity'!$C8</f>
        <v/>
      </c>
      <c r="E8">
        <f>SUMIFS('P0-4_Context_Factors'!$C$2:$C$17,'P0-4_Context_Factors'!$A$2:$A$17,"AI exposure",'P0-4_Context_Factors'!$B$2:$B$17,'P0-4_Context_Profile'!$B$6)*'P0-4_Domain_Sensitivity'!$D8</f>
        <v/>
      </c>
      <c r="F8">
        <f>SUMIFS('P0-4_Context_Factors'!$C$2:$C$17,'P0-4_Context_Factors'!$A$2:$A$17,"Disciplinary consequence",'P0-4_Context_Factors'!$B$2:$B$17,'P0-4_Context_Profile'!$B$7)*'P0-4_Domain_Sensitivity'!$E8</f>
        <v/>
      </c>
      <c r="G8">
        <f>SUMIFS('P0-4_Context_Factors'!$C$2:$C$17,'P0-4_Context_Factors'!$A$2:$A$17,"Institutional trajectory",'P0-4_Context_Factors'!$B$2:$B$17,'P0-4_Context_Profile'!$B$8)*'P0-4_Domain_Sensitivity'!$F8</f>
        <v/>
      </c>
      <c r="H8">
        <f>D8+E8+F8+G8</f>
        <v/>
      </c>
      <c r="I8" s="16">
        <f>MIN(5,MAX(1,ROUND(C8+H8,0)))</f>
        <v/>
      </c>
      <c r="J8" t="inlineStr">
        <is>
          <t>Higher required maturity is triggered by stronger mandate, AI exposure, disciplinary consequence and/or rapid transformation pressure.</t>
        </is>
      </c>
      <c r="K8">
        <f>IF('P0-4_Context_Profile'!$B$11="Constrained",0.85,IF('P0-4_Context_Profile'!$B$11="Low-medium",0.95,IF('P0-4_Context_Profile'!$B$11="Medium",1,IF('P0-4_Context_Profile'!$B$11="High",1.10,1.20))))</f>
        <v/>
      </c>
    </row>
    <row r="9">
      <c r="A9" t="inlineStr">
        <is>
          <t>D08</t>
        </is>
      </c>
      <c r="B9" t="inlineStr">
        <is>
          <t>Digital, Data &amp; Institutional Intelligence</t>
        </is>
      </c>
      <c r="C9" t="n">
        <v>3</v>
      </c>
      <c r="D9">
        <f>SUMIFS('P0-4_Context_Factors'!$C$2:$C$17,'P0-4_Context_Factors'!$A$2:$A$17,"Institution mandate",'P0-4_Context_Factors'!$B$2:$B$17,'P0-4_Context_Profile'!$B$5)*'P0-4_Domain_Sensitivity'!$C9</f>
        <v/>
      </c>
      <c r="E9">
        <f>SUMIFS('P0-4_Context_Factors'!$C$2:$C$17,'P0-4_Context_Factors'!$A$2:$A$17,"AI exposure",'P0-4_Context_Factors'!$B$2:$B$17,'P0-4_Context_Profile'!$B$6)*'P0-4_Domain_Sensitivity'!$D9</f>
        <v/>
      </c>
      <c r="F9">
        <f>SUMIFS('P0-4_Context_Factors'!$C$2:$C$17,'P0-4_Context_Factors'!$A$2:$A$17,"Disciplinary consequence",'P0-4_Context_Factors'!$B$2:$B$17,'P0-4_Context_Profile'!$B$7)*'P0-4_Domain_Sensitivity'!$E9</f>
        <v/>
      </c>
      <c r="G9">
        <f>SUMIFS('P0-4_Context_Factors'!$C$2:$C$17,'P0-4_Context_Factors'!$A$2:$A$17,"Institutional trajectory",'P0-4_Context_Factors'!$B$2:$B$17,'P0-4_Context_Profile'!$B$8)*'P0-4_Domain_Sensitivity'!$F9</f>
        <v/>
      </c>
      <c r="H9">
        <f>D9+E9+F9+G9</f>
        <v/>
      </c>
      <c r="I9" s="16">
        <f>MIN(5,MAX(1,ROUND(C9+H9,0)))</f>
        <v/>
      </c>
      <c r="J9" t="inlineStr">
        <is>
          <t>Higher required maturity is triggered by stronger mandate, AI exposure, disciplinary consequence and/or rapid transformation pressure.</t>
        </is>
      </c>
      <c r="K9">
        <f>IF('P0-4_Context_Profile'!$B$11="Constrained",0.85,IF('P0-4_Context_Profile'!$B$11="Low-medium",0.95,IF('P0-4_Context_Profile'!$B$11="Medium",1,IF('P0-4_Context_Profile'!$B$11="High",1.10,1.20))))</f>
        <v/>
      </c>
    </row>
    <row r="10">
      <c r="A10" t="inlineStr">
        <is>
          <t>D09</t>
        </is>
      </c>
      <c r="B10" t="inlineStr">
        <is>
          <t>Employability, Industry &amp; Economic Relevance</t>
        </is>
      </c>
      <c r="C10" t="n">
        <v>3</v>
      </c>
      <c r="D10">
        <f>SUMIFS('P0-4_Context_Factors'!$C$2:$C$17,'P0-4_Context_Factors'!$A$2:$A$17,"Institution mandate",'P0-4_Context_Factors'!$B$2:$B$17,'P0-4_Context_Profile'!$B$5)*'P0-4_Domain_Sensitivity'!$C10</f>
        <v/>
      </c>
      <c r="E10">
        <f>SUMIFS('P0-4_Context_Factors'!$C$2:$C$17,'P0-4_Context_Factors'!$A$2:$A$17,"AI exposure",'P0-4_Context_Factors'!$B$2:$B$17,'P0-4_Context_Profile'!$B$6)*'P0-4_Domain_Sensitivity'!$D10</f>
        <v/>
      </c>
      <c r="F10">
        <f>SUMIFS('P0-4_Context_Factors'!$C$2:$C$17,'P0-4_Context_Factors'!$A$2:$A$17,"Disciplinary consequence",'P0-4_Context_Factors'!$B$2:$B$17,'P0-4_Context_Profile'!$B$7)*'P0-4_Domain_Sensitivity'!$E10</f>
        <v/>
      </c>
      <c r="G10">
        <f>SUMIFS('P0-4_Context_Factors'!$C$2:$C$17,'P0-4_Context_Factors'!$A$2:$A$17,"Institutional trajectory",'P0-4_Context_Factors'!$B$2:$B$17,'P0-4_Context_Profile'!$B$8)*'P0-4_Domain_Sensitivity'!$F10</f>
        <v/>
      </c>
      <c r="H10">
        <f>D10+E10+F10+G10</f>
        <v/>
      </c>
      <c r="I10" s="16">
        <f>MIN(5,MAX(1,ROUND(C10+H10,0)))</f>
        <v/>
      </c>
      <c r="J10" t="inlineStr">
        <is>
          <t>Higher required maturity is triggered by stronger mandate, AI exposure, disciplinary consequence and/or rapid transformation pressure.</t>
        </is>
      </c>
      <c r="K10">
        <f>IF('P0-4_Context_Profile'!$B$11="Constrained",0.85,IF('P0-4_Context_Profile'!$B$11="Low-medium",0.95,IF('P0-4_Context_Profile'!$B$11="Medium",1,IF('P0-4_Context_Profile'!$B$11="High",1.10,1.20))))</f>
        <v/>
      </c>
    </row>
    <row r="11">
      <c r="A11" t="inlineStr">
        <is>
          <t>D10</t>
        </is>
      </c>
      <c r="B11" t="inlineStr">
        <is>
          <t>Research, Innovation &amp; Knowledge Creation</t>
        </is>
      </c>
      <c r="C11" t="n">
        <v>3</v>
      </c>
      <c r="D11">
        <f>SUMIFS('P0-4_Context_Factors'!$C$2:$C$17,'P0-4_Context_Factors'!$A$2:$A$17,"Institution mandate",'P0-4_Context_Factors'!$B$2:$B$17,'P0-4_Context_Profile'!$B$5)*'P0-4_Domain_Sensitivity'!$C11</f>
        <v/>
      </c>
      <c r="E11">
        <f>SUMIFS('P0-4_Context_Factors'!$C$2:$C$17,'P0-4_Context_Factors'!$A$2:$A$17,"AI exposure",'P0-4_Context_Factors'!$B$2:$B$17,'P0-4_Context_Profile'!$B$6)*'P0-4_Domain_Sensitivity'!$D11</f>
        <v/>
      </c>
      <c r="F11">
        <f>SUMIFS('P0-4_Context_Factors'!$C$2:$C$17,'P0-4_Context_Factors'!$A$2:$A$17,"Disciplinary consequence",'P0-4_Context_Factors'!$B$2:$B$17,'P0-4_Context_Profile'!$B$7)*'P0-4_Domain_Sensitivity'!$E11</f>
        <v/>
      </c>
      <c r="G11">
        <f>SUMIFS('P0-4_Context_Factors'!$C$2:$C$17,'P0-4_Context_Factors'!$A$2:$A$17,"Institutional trajectory",'P0-4_Context_Factors'!$B$2:$B$17,'P0-4_Context_Profile'!$B$8)*'P0-4_Domain_Sensitivity'!$F11</f>
        <v/>
      </c>
      <c r="H11">
        <f>D11+E11+F11+G11</f>
        <v/>
      </c>
      <c r="I11" s="16">
        <f>MIN(5,MAX(1,ROUND(C11+H11,0)))</f>
        <v/>
      </c>
      <c r="J11" t="inlineStr">
        <is>
          <t>Higher required maturity is triggered by stronger mandate, AI exposure, disciplinary consequence and/or rapid transformation pressure.</t>
        </is>
      </c>
      <c r="K11">
        <f>IF('P0-4_Context_Profile'!$B$11="Constrained",0.85,IF('P0-4_Context_Profile'!$B$11="Low-medium",0.95,IF('P0-4_Context_Profile'!$B$11="Medium",1,IF('P0-4_Context_Profile'!$B$11="High",1.10,1.20))))</f>
        <v/>
      </c>
    </row>
    <row r="12">
      <c r="A12" t="inlineStr">
        <is>
          <t>D11</t>
        </is>
      </c>
      <c r="B12" t="inlineStr">
        <is>
          <t>Institutional Adaptability &amp; AI Resilience</t>
        </is>
      </c>
      <c r="C12" t="n">
        <v>3</v>
      </c>
      <c r="D12">
        <f>SUMIFS('P0-4_Context_Factors'!$C$2:$C$17,'P0-4_Context_Factors'!$A$2:$A$17,"Institution mandate",'P0-4_Context_Factors'!$B$2:$B$17,'P0-4_Context_Profile'!$B$5)*'P0-4_Domain_Sensitivity'!$C12</f>
        <v/>
      </c>
      <c r="E12">
        <f>SUMIFS('P0-4_Context_Factors'!$C$2:$C$17,'P0-4_Context_Factors'!$A$2:$A$17,"AI exposure",'P0-4_Context_Factors'!$B$2:$B$17,'P0-4_Context_Profile'!$B$6)*'P0-4_Domain_Sensitivity'!$D12</f>
        <v/>
      </c>
      <c r="F12">
        <f>SUMIFS('P0-4_Context_Factors'!$C$2:$C$17,'P0-4_Context_Factors'!$A$2:$A$17,"Disciplinary consequence",'P0-4_Context_Factors'!$B$2:$B$17,'P0-4_Context_Profile'!$B$7)*'P0-4_Domain_Sensitivity'!$E12</f>
        <v/>
      </c>
      <c r="G12">
        <f>SUMIFS('P0-4_Context_Factors'!$C$2:$C$17,'P0-4_Context_Factors'!$A$2:$A$17,"Institutional trajectory",'P0-4_Context_Factors'!$B$2:$B$17,'P0-4_Context_Profile'!$B$8)*'P0-4_Domain_Sensitivity'!$F12</f>
        <v/>
      </c>
      <c r="H12">
        <f>D12+E12+F12+G12</f>
        <v/>
      </c>
      <c r="I12" s="16">
        <f>MIN(5,MAX(1,ROUND(C12+H12,0)))</f>
        <v/>
      </c>
      <c r="J12" t="inlineStr">
        <is>
          <t>Higher required maturity is triggered by stronger mandate, AI exposure, disciplinary consequence and/or rapid transformation pressure.</t>
        </is>
      </c>
      <c r="K12">
        <f>IF('P0-4_Context_Profile'!$B$11="Constrained",0.85,IF('P0-4_Context_Profile'!$B$11="Low-medium",0.95,IF('P0-4_Context_Profile'!$B$11="Medium",1,IF('P0-4_Context_Profile'!$B$11="High",1.10,1.20))))</f>
        <v/>
      </c>
    </row>
  </sheetData>
  <autoFilter ref="A1:K12"/>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65" customWidth="1" min="3" max="3"/>
    <col width="40" customWidth="1" min="4" max="4"/>
    <col width="18" customWidth="1" min="5" max="5"/>
  </cols>
  <sheetData>
    <row r="1">
      <c r="A1" s="27" t="inlineStr">
        <is>
          <t>Field</t>
        </is>
      </c>
      <c r="B1" s="27" t="inlineStr">
        <is>
          <t>Required assessor rationale</t>
        </is>
      </c>
      <c r="C1" s="27" t="inlineStr">
        <is>
          <t>Example evidence / basis</t>
        </is>
      </c>
      <c r="D1" s="27" t="inlineStr">
        <is>
          <t>Effect</t>
        </is>
      </c>
      <c r="E1" s="27" t="inlineStr">
        <is>
          <t>Approval</t>
        </is>
      </c>
    </row>
    <row r="2">
      <c r="A2" t="inlineStr">
        <is>
          <t>Institution type</t>
        </is>
      </c>
      <c r="B2" t="inlineStr">
        <is>
          <t>Record why the selected context level is appropriate for this institution.</t>
        </is>
      </c>
      <c r="C2" t="inlineStr">
        <is>
          <t>Institution profile, strategic plan, programme portfolio, operating data, external environment or assessor evidence.</t>
        </is>
      </c>
      <c r="D2" t="inlineStr">
        <is>
          <t>Target/evidence burden only; no direct score bonus.</t>
        </is>
      </c>
      <c r="E2" t="inlineStr">
        <is>
          <t>Assessor</t>
        </is>
      </c>
    </row>
    <row r="3">
      <c r="A3" t="inlineStr">
        <is>
          <t>Institution mandate</t>
        </is>
      </c>
      <c r="B3" t="inlineStr">
        <is>
          <t>Record why the selected context level is appropriate for this institution.</t>
        </is>
      </c>
      <c r="C3" t="inlineStr">
        <is>
          <t>Institution profile, strategic plan, programme portfolio, operating data, external environment or assessor evidence.</t>
        </is>
      </c>
      <c r="D3" t="inlineStr">
        <is>
          <t>Target/evidence burden only; no direct score bonus.</t>
        </is>
      </c>
      <c r="E3" t="inlineStr">
        <is>
          <t>Assessor</t>
        </is>
      </c>
    </row>
    <row r="4">
      <c r="A4" t="inlineStr">
        <is>
          <t>AI exposure</t>
        </is>
      </c>
      <c r="B4" t="inlineStr">
        <is>
          <t>Record why the selected context level is appropriate for this institution.</t>
        </is>
      </c>
      <c r="C4" t="inlineStr">
        <is>
          <t>Institution profile, strategic plan, programme portfolio, operating data, external environment or assessor evidence.</t>
        </is>
      </c>
      <c r="D4" t="inlineStr">
        <is>
          <t>Target/evidence burden only; no direct score bonus.</t>
        </is>
      </c>
      <c r="E4" t="inlineStr">
        <is>
          <t>Assessor</t>
        </is>
      </c>
    </row>
    <row r="5">
      <c r="A5" t="inlineStr">
        <is>
          <t>Disciplinary consequence</t>
        </is>
      </c>
      <c r="B5" t="inlineStr">
        <is>
          <t>Record why the selected context level is appropriate for this institution.</t>
        </is>
      </c>
      <c r="C5" t="inlineStr">
        <is>
          <t>Institution profile, strategic plan, programme portfolio, operating data, external environment or assessor evidence.</t>
        </is>
      </c>
      <c r="D5" t="inlineStr">
        <is>
          <t>Target/evidence burden only; no direct score bonus.</t>
        </is>
      </c>
      <c r="E5" t="inlineStr">
        <is>
          <t>Assessor</t>
        </is>
      </c>
    </row>
    <row r="6">
      <c r="A6" t="inlineStr">
        <is>
          <t>Institutional trajectory</t>
        </is>
      </c>
      <c r="B6" t="inlineStr">
        <is>
          <t>Record why the selected context level is appropriate for this institution.</t>
        </is>
      </c>
      <c r="C6" t="inlineStr">
        <is>
          <t>Institution profile, strategic plan, programme portfolio, operating data, external environment or assessor evidence.</t>
        </is>
      </c>
      <c r="D6" t="inlineStr">
        <is>
          <t>Target/evidence burden only; no direct score bonus.</t>
        </is>
      </c>
      <c r="E6" t="inlineStr">
        <is>
          <t>Assessor</t>
        </is>
      </c>
    </row>
    <row r="7">
      <c r="A7" t="inlineStr">
        <is>
          <t>Scale</t>
        </is>
      </c>
      <c r="B7" t="inlineStr">
        <is>
          <t>Record why the selected context level is appropriate for this institution.</t>
        </is>
      </c>
      <c r="C7" t="inlineStr">
        <is>
          <t>Institution profile, strategic plan, programme portfolio, operating data, external environment or assessor evidence.</t>
        </is>
      </c>
      <c r="D7" t="inlineStr">
        <is>
          <t>Target/evidence burden only; no direct score bonus.</t>
        </is>
      </c>
      <c r="E7" t="inlineStr">
        <is>
          <t>Assessor</t>
        </is>
      </c>
    </row>
    <row r="8">
      <c r="A8" t="inlineStr">
        <is>
          <t>Geography / operating context</t>
        </is>
      </c>
      <c r="B8" t="inlineStr">
        <is>
          <t>Record why the selected context level is appropriate for this institution.</t>
        </is>
      </c>
      <c r="C8" t="inlineStr">
        <is>
          <t>Institution profile, strategic plan, programme portfolio, operating data, external environment or assessor evidence.</t>
        </is>
      </c>
      <c r="D8" t="inlineStr">
        <is>
          <t>Target/evidence burden only; no direct score bonus.</t>
        </is>
      </c>
      <c r="E8" t="inlineStr">
        <is>
          <t>Assessor</t>
        </is>
      </c>
    </row>
    <row r="9">
      <c r="A9" t="inlineStr">
        <is>
          <t>Resource envelope</t>
        </is>
      </c>
      <c r="B9" t="inlineStr">
        <is>
          <t>Record why the selected context level is appropriate for this institution.</t>
        </is>
      </c>
      <c r="C9" t="inlineStr">
        <is>
          <t>Institution profile, strategic plan, programme portfolio, operating data, external environment or assessor evidence.</t>
        </is>
      </c>
      <c r="D9" t="inlineStr">
        <is>
          <t>Target/evidence burden only; no direct score bonus.</t>
        </is>
      </c>
      <c r="E9" t="inlineStr">
        <is>
          <t>Assessor</t>
        </is>
      </c>
    </row>
    <row r="10">
      <c r="A10" t="inlineStr">
        <is>
          <t>Research intensity</t>
        </is>
      </c>
      <c r="B10" t="inlineStr">
        <is>
          <t>Record why the selected context level is appropriate for this institution.</t>
        </is>
      </c>
      <c r="C10" t="inlineStr">
        <is>
          <t>Institution profile, strategic plan, programme portfolio, operating data, external environment or assessor evidence.</t>
        </is>
      </c>
      <c r="D10" t="inlineStr">
        <is>
          <t>Target/evidence burden only; no direct score bonus.</t>
        </is>
      </c>
      <c r="E10" t="inlineStr">
        <is>
          <t>Assessor</t>
        </is>
      </c>
    </row>
    <row r="11">
      <c r="A11" t="inlineStr">
        <is>
          <t>Student profile complexity</t>
        </is>
      </c>
      <c r="B11" t="inlineStr">
        <is>
          <t>Record why the selected context level is appropriate for this institution.</t>
        </is>
      </c>
      <c r="C11" t="inlineStr">
        <is>
          <t>Institution profile, strategic plan, programme portfolio, operating data, external environment or assessor evidence.</t>
        </is>
      </c>
      <c r="D11" t="inlineStr">
        <is>
          <t>Target/evidence burden only; no direct score bonus.</t>
        </is>
      </c>
      <c r="E11" t="inlineStr">
        <is>
          <t>Assessor</t>
        </is>
      </c>
    </row>
  </sheetData>
  <autoFilter ref="A1:E11"/>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22" customWidth="1" min="3" max="3"/>
    <col width="18" customWidth="1" min="4" max="4"/>
    <col width="14" customWidth="1" min="5" max="5"/>
    <col width="16" customWidth="1" min="6" max="6"/>
    <col width="70" customWidth="1" min="7" max="7"/>
  </cols>
  <sheetData>
    <row r="1">
      <c r="A1" s="27" t="inlineStr">
        <is>
          <t>Domain</t>
        </is>
      </c>
      <c r="B1" s="27" t="inlineStr">
        <is>
          <t>Domain Score /100</t>
        </is>
      </c>
      <c r="C1" s="27" t="inlineStr">
        <is>
          <t>Current Maturity (proxy)</t>
        </is>
      </c>
      <c r="D1" s="27" t="inlineStr">
        <is>
          <t>Required Maturity R</t>
        </is>
      </c>
      <c r="E1" s="27" t="inlineStr">
        <is>
          <t>Maturity Gap</t>
        </is>
      </c>
      <c r="F1" s="27" t="inlineStr">
        <is>
          <t>Domain Priority</t>
        </is>
      </c>
      <c r="G1" s="27" t="inlineStr">
        <is>
          <t>Interpretation</t>
        </is>
      </c>
    </row>
    <row r="2">
      <c r="A2">
        <f>'P0-3_Domain_Aggregation'!A2</f>
        <v/>
      </c>
      <c r="B2">
        <f>'P0-3_Domain_Aggregation'!B2</f>
        <v/>
      </c>
      <c r="C2">
        <f>IFERROR(AVERAGEIF('P0-3_Scorecard'!$A$2:$A$144,A2,'P0-3_Scorecard'!$E$2:$E$144),"")</f>
        <v/>
      </c>
      <c r="D2">
        <f>'P0-4_Required_Maturity'!I2</f>
        <v/>
      </c>
      <c r="E2">
        <f>IF(OR(C2="",D2=""),"",D2-C2)</f>
        <v/>
      </c>
      <c r="F2">
        <f>IF(E2="","",IF(E2&gt;=2,"URGENT",IF(E2&gt;=1,"PRIORITY",IF(E2&gt;0,"WATCH","ON TRACK"))))</f>
        <v/>
      </c>
      <c r="G2" t="inlineStr">
        <is>
          <t>Gap is a transformation priority, not a penalty added to the capability score.</t>
        </is>
      </c>
    </row>
    <row r="3">
      <c r="A3">
        <f>'P0-3_Domain_Aggregation'!A3</f>
        <v/>
      </c>
      <c r="B3">
        <f>'P0-3_Domain_Aggregation'!B3</f>
        <v/>
      </c>
      <c r="C3">
        <f>IFERROR(AVERAGEIF('P0-3_Scorecard'!$A$2:$A$144,A3,'P0-3_Scorecard'!$E$2:$E$144),"")</f>
        <v/>
      </c>
      <c r="D3">
        <f>'P0-4_Required_Maturity'!I3</f>
        <v/>
      </c>
      <c r="E3">
        <f>IF(OR(C3="",D3=""),"",D3-C3)</f>
        <v/>
      </c>
      <c r="F3">
        <f>IF(E3="","",IF(E3&gt;=2,"URGENT",IF(E3&gt;=1,"PRIORITY",IF(E3&gt;0,"WATCH","ON TRACK"))))</f>
        <v/>
      </c>
      <c r="G3" t="inlineStr">
        <is>
          <t>Gap is a transformation priority, not a penalty added to the capability score.</t>
        </is>
      </c>
    </row>
    <row r="4">
      <c r="A4">
        <f>'P0-3_Domain_Aggregation'!A4</f>
        <v/>
      </c>
      <c r="B4">
        <f>'P0-3_Domain_Aggregation'!B4</f>
        <v/>
      </c>
      <c r="C4">
        <f>IFERROR(AVERAGEIF('P0-3_Scorecard'!$A$2:$A$144,A4,'P0-3_Scorecard'!$E$2:$E$144),"")</f>
        <v/>
      </c>
      <c r="D4">
        <f>'P0-4_Required_Maturity'!I4</f>
        <v/>
      </c>
      <c r="E4">
        <f>IF(OR(C4="",D4=""),"",D4-C4)</f>
        <v/>
      </c>
      <c r="F4">
        <f>IF(E4="","",IF(E4&gt;=2,"URGENT",IF(E4&gt;=1,"PRIORITY",IF(E4&gt;0,"WATCH","ON TRACK"))))</f>
        <v/>
      </c>
      <c r="G4" t="inlineStr">
        <is>
          <t>Gap is a transformation priority, not a penalty added to the capability score.</t>
        </is>
      </c>
    </row>
    <row r="5">
      <c r="A5">
        <f>'P0-3_Domain_Aggregation'!A5</f>
        <v/>
      </c>
      <c r="B5">
        <f>'P0-3_Domain_Aggregation'!B5</f>
        <v/>
      </c>
      <c r="C5">
        <f>IFERROR(AVERAGEIF('P0-3_Scorecard'!$A$2:$A$144,A5,'P0-3_Scorecard'!$E$2:$E$144),"")</f>
        <v/>
      </c>
      <c r="D5">
        <f>'P0-4_Required_Maturity'!I5</f>
        <v/>
      </c>
      <c r="E5">
        <f>IF(OR(C5="",D5=""),"",D5-C5)</f>
        <v/>
      </c>
      <c r="F5">
        <f>IF(E5="","",IF(E5&gt;=2,"URGENT",IF(E5&gt;=1,"PRIORITY",IF(E5&gt;0,"WATCH","ON TRACK"))))</f>
        <v/>
      </c>
      <c r="G5" t="inlineStr">
        <is>
          <t>Gap is a transformation priority, not a penalty added to the capability score.</t>
        </is>
      </c>
    </row>
    <row r="6">
      <c r="A6">
        <f>'P0-3_Domain_Aggregation'!A6</f>
        <v/>
      </c>
      <c r="B6">
        <f>'P0-3_Domain_Aggregation'!B6</f>
        <v/>
      </c>
      <c r="C6">
        <f>IFERROR(AVERAGEIF('P0-3_Scorecard'!$A$2:$A$144,A6,'P0-3_Scorecard'!$E$2:$E$144),"")</f>
        <v/>
      </c>
      <c r="D6">
        <f>'P0-4_Required_Maturity'!I6</f>
        <v/>
      </c>
      <c r="E6">
        <f>IF(OR(C6="",D6=""),"",D6-C6)</f>
        <v/>
      </c>
      <c r="F6">
        <f>IF(E6="","",IF(E6&gt;=2,"URGENT",IF(E6&gt;=1,"PRIORITY",IF(E6&gt;0,"WATCH","ON TRACK"))))</f>
        <v/>
      </c>
      <c r="G6" t="inlineStr">
        <is>
          <t>Gap is a transformation priority, not a penalty added to the capability score.</t>
        </is>
      </c>
    </row>
    <row r="7">
      <c r="A7">
        <f>'P0-3_Domain_Aggregation'!A7</f>
        <v/>
      </c>
      <c r="B7">
        <f>'P0-3_Domain_Aggregation'!B7</f>
        <v/>
      </c>
      <c r="C7">
        <f>IFERROR(AVERAGEIF('P0-3_Scorecard'!$A$2:$A$144,A7,'P0-3_Scorecard'!$E$2:$E$144),"")</f>
        <v/>
      </c>
      <c r="D7">
        <f>'P0-4_Required_Maturity'!I7</f>
        <v/>
      </c>
      <c r="E7">
        <f>IF(OR(C7="",D7=""),"",D7-C7)</f>
        <v/>
      </c>
      <c r="F7">
        <f>IF(E7="","",IF(E7&gt;=2,"URGENT",IF(E7&gt;=1,"PRIORITY",IF(E7&gt;0,"WATCH","ON TRACK"))))</f>
        <v/>
      </c>
      <c r="G7" t="inlineStr">
        <is>
          <t>Gap is a transformation priority, not a penalty added to the capability score.</t>
        </is>
      </c>
    </row>
    <row r="8">
      <c r="A8">
        <f>'P0-3_Domain_Aggregation'!A8</f>
        <v/>
      </c>
      <c r="B8">
        <f>'P0-3_Domain_Aggregation'!B8</f>
        <v/>
      </c>
      <c r="C8">
        <f>IFERROR(AVERAGEIF('P0-3_Scorecard'!$A$2:$A$144,A8,'P0-3_Scorecard'!$E$2:$E$144),"")</f>
        <v/>
      </c>
      <c r="D8">
        <f>'P0-4_Required_Maturity'!I8</f>
        <v/>
      </c>
      <c r="E8">
        <f>IF(OR(C8="",D8=""),"",D8-C8)</f>
        <v/>
      </c>
      <c r="F8">
        <f>IF(E8="","",IF(E8&gt;=2,"URGENT",IF(E8&gt;=1,"PRIORITY",IF(E8&gt;0,"WATCH","ON TRACK"))))</f>
        <v/>
      </c>
      <c r="G8" t="inlineStr">
        <is>
          <t>Gap is a transformation priority, not a penalty added to the capability score.</t>
        </is>
      </c>
    </row>
    <row r="9">
      <c r="A9">
        <f>'P0-3_Domain_Aggregation'!A9</f>
        <v/>
      </c>
      <c r="B9">
        <f>'P0-3_Domain_Aggregation'!B9</f>
        <v/>
      </c>
      <c r="C9">
        <f>IFERROR(AVERAGEIF('P0-3_Scorecard'!$A$2:$A$144,A9,'P0-3_Scorecard'!$E$2:$E$144),"")</f>
        <v/>
      </c>
      <c r="D9">
        <f>'P0-4_Required_Maturity'!I9</f>
        <v/>
      </c>
      <c r="E9">
        <f>IF(OR(C9="",D9=""),"",D9-C9)</f>
        <v/>
      </c>
      <c r="F9">
        <f>IF(E9="","",IF(E9&gt;=2,"URGENT",IF(E9&gt;=1,"PRIORITY",IF(E9&gt;0,"WATCH","ON TRACK"))))</f>
        <v/>
      </c>
      <c r="G9" t="inlineStr">
        <is>
          <t>Gap is a transformation priority, not a penalty added to the capability score.</t>
        </is>
      </c>
    </row>
    <row r="10">
      <c r="A10">
        <f>'P0-3_Domain_Aggregation'!A10</f>
        <v/>
      </c>
      <c r="B10">
        <f>'P0-3_Domain_Aggregation'!B10</f>
        <v/>
      </c>
      <c r="C10">
        <f>IFERROR(AVERAGEIF('P0-3_Scorecard'!$A$2:$A$144,A10,'P0-3_Scorecard'!$E$2:$E$144),"")</f>
        <v/>
      </c>
      <c r="D10">
        <f>'P0-4_Required_Maturity'!I10</f>
        <v/>
      </c>
      <c r="E10">
        <f>IF(OR(C10="",D10=""),"",D10-C10)</f>
        <v/>
      </c>
      <c r="F10">
        <f>IF(E10="","",IF(E10&gt;=2,"URGENT",IF(E10&gt;=1,"PRIORITY",IF(E10&gt;0,"WATCH","ON TRACK"))))</f>
        <v/>
      </c>
      <c r="G10" t="inlineStr">
        <is>
          <t>Gap is a transformation priority, not a penalty added to the capability score.</t>
        </is>
      </c>
    </row>
    <row r="11">
      <c r="A11">
        <f>'P0-3_Domain_Aggregation'!A11</f>
        <v/>
      </c>
      <c r="B11">
        <f>'P0-3_Domain_Aggregation'!B11</f>
        <v/>
      </c>
      <c r="C11">
        <f>IFERROR(AVERAGEIF('P0-3_Scorecard'!$A$2:$A$144,A11,'P0-3_Scorecard'!$E$2:$E$144),"")</f>
        <v/>
      </c>
      <c r="D11">
        <f>'P0-4_Required_Maturity'!I11</f>
        <v/>
      </c>
      <c r="E11">
        <f>IF(OR(C11="",D11=""),"",D11-C11)</f>
        <v/>
      </c>
      <c r="F11">
        <f>IF(E11="","",IF(E11&gt;=2,"URGENT",IF(E11&gt;=1,"PRIORITY",IF(E11&gt;0,"WATCH","ON TRACK"))))</f>
        <v/>
      </c>
      <c r="G11" t="inlineStr">
        <is>
          <t>Gap is a transformation priority, not a penalty added to the capability score.</t>
        </is>
      </c>
    </row>
    <row r="12">
      <c r="A12">
        <f>'P0-3_Domain_Aggregation'!A12</f>
        <v/>
      </c>
      <c r="B12">
        <f>'P0-3_Domain_Aggregation'!B12</f>
        <v/>
      </c>
      <c r="C12">
        <f>IFERROR(AVERAGEIF('P0-3_Scorecard'!$A$2:$A$144,A12,'P0-3_Scorecard'!$E$2:$E$144),"")</f>
        <v/>
      </c>
      <c r="D12">
        <f>'P0-4_Required_Maturity'!I12</f>
        <v/>
      </c>
      <c r="E12">
        <f>IF(OR(C12="",D12=""),"",D12-C12)</f>
        <v/>
      </c>
      <c r="F12">
        <f>IF(E12="","",IF(E12&gt;=2,"URGENT",IF(E12&gt;=1,"PRIORITY",IF(E12&gt;0,"WATCH","ON TRACK"))))</f>
        <v/>
      </c>
      <c r="G12" t="inlineStr">
        <is>
          <t>Gap is a transformation priority, not a penalty added to the capability score.</t>
        </is>
      </c>
    </row>
  </sheetData>
  <autoFilter ref="A1:G12"/>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20" customWidth="1" min="3" max="3"/>
    <col width="24" customWidth="1" min="4" max="4"/>
    <col width="80" customWidth="1" min="5" max="5"/>
    <col width="60" customWidth="1" min="6" max="6"/>
  </cols>
  <sheetData>
    <row r="1">
      <c r="A1" s="27" t="inlineStr">
        <is>
          <t>Domain</t>
        </is>
      </c>
      <c r="B1" s="27" t="inlineStr">
        <is>
          <t>Base Evidence Items</t>
        </is>
      </c>
      <c r="C1" s="27" t="inlineStr">
        <is>
          <t>Context Multiplier</t>
        </is>
      </c>
      <c r="D1" s="27" t="inlineStr">
        <is>
          <t>Adjusted Evidence Items</t>
        </is>
      </c>
      <c r="E1" s="27" t="inlineStr">
        <is>
          <t>Sampling Rule</t>
        </is>
      </c>
      <c r="F1" s="27" t="inlineStr">
        <is>
          <t>Rationale</t>
        </is>
      </c>
    </row>
    <row r="2">
      <c r="A2">
        <f>'P0-4_Required_Maturity'!A2</f>
        <v/>
      </c>
      <c r="B2" t="n">
        <v>1</v>
      </c>
      <c r="C2">
        <f>'P0-4_Required_Maturity'!K2</f>
        <v/>
      </c>
      <c r="D2">
        <f>ROUND(B2*C2,0)</f>
        <v/>
      </c>
      <c r="E2" t="inlineStr">
        <is>
          <t>Use the minimum proportionate sample needed to triangulate claims; do not lower maturity standards for constrained resources.</t>
        </is>
      </c>
      <c r="F2" t="inlineStr">
        <is>
          <t>Resource envelope affects evidence burden, not required maturity.</t>
        </is>
      </c>
    </row>
    <row r="3">
      <c r="A3">
        <f>'P0-4_Required_Maturity'!A3</f>
        <v/>
      </c>
      <c r="B3" t="n">
        <v>1</v>
      </c>
      <c r="C3">
        <f>'P0-4_Required_Maturity'!K3</f>
        <v/>
      </c>
      <c r="D3">
        <f>ROUND(B3*C3,0)</f>
        <v/>
      </c>
      <c r="E3" t="inlineStr">
        <is>
          <t>Use the minimum proportionate sample needed to triangulate claims; do not lower maturity standards for constrained resources.</t>
        </is>
      </c>
      <c r="F3" t="inlineStr">
        <is>
          <t>Resource envelope affects evidence burden, not required maturity.</t>
        </is>
      </c>
    </row>
    <row r="4">
      <c r="A4">
        <f>'P0-4_Required_Maturity'!A4</f>
        <v/>
      </c>
      <c r="B4" t="n">
        <v>1</v>
      </c>
      <c r="C4">
        <f>'P0-4_Required_Maturity'!K4</f>
        <v/>
      </c>
      <c r="D4">
        <f>ROUND(B4*C4,0)</f>
        <v/>
      </c>
      <c r="E4" t="inlineStr">
        <is>
          <t>Use the minimum proportionate sample needed to triangulate claims; do not lower maturity standards for constrained resources.</t>
        </is>
      </c>
      <c r="F4" t="inlineStr">
        <is>
          <t>Resource envelope affects evidence burden, not required maturity.</t>
        </is>
      </c>
    </row>
    <row r="5">
      <c r="A5">
        <f>'P0-4_Required_Maturity'!A5</f>
        <v/>
      </c>
      <c r="B5" t="n">
        <v>1</v>
      </c>
      <c r="C5">
        <f>'P0-4_Required_Maturity'!K5</f>
        <v/>
      </c>
      <c r="D5">
        <f>ROUND(B5*C5,0)</f>
        <v/>
      </c>
      <c r="E5" t="inlineStr">
        <is>
          <t>Use the minimum proportionate sample needed to triangulate claims; do not lower maturity standards for constrained resources.</t>
        </is>
      </c>
      <c r="F5" t="inlineStr">
        <is>
          <t>Resource envelope affects evidence burden, not required maturity.</t>
        </is>
      </c>
    </row>
    <row r="6">
      <c r="A6">
        <f>'P0-4_Required_Maturity'!A6</f>
        <v/>
      </c>
      <c r="B6" t="n">
        <v>1</v>
      </c>
      <c r="C6">
        <f>'P0-4_Required_Maturity'!K6</f>
        <v/>
      </c>
      <c r="D6">
        <f>ROUND(B6*C6,0)</f>
        <v/>
      </c>
      <c r="E6" t="inlineStr">
        <is>
          <t>Use the minimum proportionate sample needed to triangulate claims; do not lower maturity standards for constrained resources.</t>
        </is>
      </c>
      <c r="F6" t="inlineStr">
        <is>
          <t>Resource envelope affects evidence burden, not required maturity.</t>
        </is>
      </c>
    </row>
    <row r="7">
      <c r="A7">
        <f>'P0-4_Required_Maturity'!A7</f>
        <v/>
      </c>
      <c r="B7" t="n">
        <v>1</v>
      </c>
      <c r="C7">
        <f>'P0-4_Required_Maturity'!K7</f>
        <v/>
      </c>
      <c r="D7">
        <f>ROUND(B7*C7,0)</f>
        <v/>
      </c>
      <c r="E7" t="inlineStr">
        <is>
          <t>Use the minimum proportionate sample needed to triangulate claims; do not lower maturity standards for constrained resources.</t>
        </is>
      </c>
      <c r="F7" t="inlineStr">
        <is>
          <t>Resource envelope affects evidence burden, not required maturity.</t>
        </is>
      </c>
    </row>
    <row r="8">
      <c r="A8">
        <f>'P0-4_Required_Maturity'!A8</f>
        <v/>
      </c>
      <c r="B8" t="n">
        <v>1</v>
      </c>
      <c r="C8">
        <f>'P0-4_Required_Maturity'!K8</f>
        <v/>
      </c>
      <c r="D8">
        <f>ROUND(B8*C8,0)</f>
        <v/>
      </c>
      <c r="E8" t="inlineStr">
        <is>
          <t>Use the minimum proportionate sample needed to triangulate claims; do not lower maturity standards for constrained resources.</t>
        </is>
      </c>
      <c r="F8" t="inlineStr">
        <is>
          <t>Resource envelope affects evidence burden, not required maturity.</t>
        </is>
      </c>
    </row>
    <row r="9">
      <c r="A9">
        <f>'P0-4_Required_Maturity'!A9</f>
        <v/>
      </c>
      <c r="B9" t="n">
        <v>1</v>
      </c>
      <c r="C9">
        <f>'P0-4_Required_Maturity'!K9</f>
        <v/>
      </c>
      <c r="D9">
        <f>ROUND(B9*C9,0)</f>
        <v/>
      </c>
      <c r="E9" t="inlineStr">
        <is>
          <t>Use the minimum proportionate sample needed to triangulate claims; do not lower maturity standards for constrained resources.</t>
        </is>
      </c>
      <c r="F9" t="inlineStr">
        <is>
          <t>Resource envelope affects evidence burden, not required maturity.</t>
        </is>
      </c>
    </row>
    <row r="10">
      <c r="A10">
        <f>'P0-4_Required_Maturity'!A10</f>
        <v/>
      </c>
      <c r="B10" t="n">
        <v>1</v>
      </c>
      <c r="C10">
        <f>'P0-4_Required_Maturity'!K10</f>
        <v/>
      </c>
      <c r="D10">
        <f>ROUND(B10*C10,0)</f>
        <v/>
      </c>
      <c r="E10" t="inlineStr">
        <is>
          <t>Use the minimum proportionate sample needed to triangulate claims; do not lower maturity standards for constrained resources.</t>
        </is>
      </c>
      <c r="F10" t="inlineStr">
        <is>
          <t>Resource envelope affects evidence burden, not required maturity.</t>
        </is>
      </c>
    </row>
    <row r="11">
      <c r="A11">
        <f>'P0-4_Required_Maturity'!A11</f>
        <v/>
      </c>
      <c r="B11" t="n">
        <v>1</v>
      </c>
      <c r="C11">
        <f>'P0-4_Required_Maturity'!K11</f>
        <v/>
      </c>
      <c r="D11">
        <f>ROUND(B11*C11,0)</f>
        <v/>
      </c>
      <c r="E11" t="inlineStr">
        <is>
          <t>Use the minimum proportionate sample needed to triangulate claims; do not lower maturity standards for constrained resources.</t>
        </is>
      </c>
      <c r="F11" t="inlineStr">
        <is>
          <t>Resource envelope affects evidence burden, not required maturity.</t>
        </is>
      </c>
    </row>
    <row r="12">
      <c r="A12">
        <f>'P0-4_Required_Maturity'!A12</f>
        <v/>
      </c>
      <c r="B12" t="n">
        <v>1</v>
      </c>
      <c r="C12">
        <f>'P0-4_Required_Maturity'!K12</f>
        <v/>
      </c>
      <c r="D12">
        <f>ROUND(B12*C12,0)</f>
        <v/>
      </c>
      <c r="E12" t="inlineStr">
        <is>
          <t>Use the minimum proportionate sample needed to triangulate claims; do not lower maturity standards for constrained resources.</t>
        </is>
      </c>
      <c r="F12" t="inlineStr">
        <is>
          <t>Resource envelope affects evidence burden, not required maturity.</t>
        </is>
      </c>
    </row>
  </sheetData>
  <autoFilter ref="A1:F12"/>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5" customWidth="1" min="1" max="1"/>
    <col width="110" customWidth="1" min="2" max="2"/>
  </cols>
  <sheetData>
    <row r="1">
      <c r="A1" s="27" t="inlineStr">
        <is>
          <t>Rule</t>
        </is>
      </c>
      <c r="B1" s="27" t="inlineStr">
        <is>
          <t>Operational specification</t>
        </is>
      </c>
    </row>
    <row r="2">
      <c r="A2" t="inlineStr">
        <is>
          <t>N/A gate</t>
        </is>
      </c>
      <c r="B2" t="inlineStr">
        <is>
          <t>Metric may be N/A only where genuine mandate/context inapplicability is documented and assessor-approved.</t>
        </is>
      </c>
    </row>
    <row r="3">
      <c r="A3" t="inlineStr">
        <is>
          <t>Missing evidence</t>
        </is>
      </c>
      <c r="B3" t="inlineStr">
        <is>
          <t>Missing evidence is never N/A. Record missing/low-confidence and keep denominator rules fixed.</t>
        </is>
      </c>
    </row>
    <row r="4">
      <c r="A4" t="inlineStr">
        <is>
          <t>Context effect</t>
        </is>
      </c>
      <c r="B4" t="inlineStr">
        <is>
          <t>Context may alter branching, sampling and required maturity; it cannot grant score points.</t>
        </is>
      </c>
    </row>
    <row r="5">
      <c r="A5" t="inlineStr">
        <is>
          <t>Professional consequence</t>
        </is>
      </c>
      <c r="B5" t="inlineStr">
        <is>
          <t>Regulated/high-consequence disciplines may require higher maturity even when institutional resources are constrained.</t>
        </is>
      </c>
    </row>
    <row r="6">
      <c r="A6" t="inlineStr">
        <is>
          <t>Institution type</t>
        </is>
      </c>
      <c r="B6" t="inlineStr">
        <is>
          <t>Institution type informs mandate and proportionality; it does not create a blanket bonus or penalty.</t>
        </is>
      </c>
    </row>
    <row r="7">
      <c r="A7" t="inlineStr">
        <is>
          <t>Trajectory</t>
        </is>
      </c>
      <c r="B7" t="inlineStr">
        <is>
          <t>Rapid transformation/high-growth increases required maturity pressure in D01/D04/D09/D11 and relevant domains.</t>
        </is>
      </c>
    </row>
    <row r="8">
      <c r="A8" t="inlineStr">
        <is>
          <t>Resource protection</t>
        </is>
      </c>
      <c r="B8" t="inlineStr">
        <is>
          <t>Resource constraints reduce evidence burden only where sampling can remain valid; they never reduce the construct standard.</t>
        </is>
      </c>
    </row>
    <row r="9">
      <c r="A9" t="inlineStr">
        <is>
          <t>Assessor override</t>
        </is>
      </c>
      <c r="B9" t="inlineStr">
        <is>
          <t>Any override must include reason, evidence, date, assessor and second-review status.</t>
        </is>
      </c>
    </row>
  </sheetData>
  <autoFilter ref="A1:B9"/>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70" customWidth="1" min="3" max="3"/>
    <col width="75" customWidth="1" min="4" max="4"/>
    <col width="18" customWidth="1" min="5" max="5"/>
  </cols>
  <sheetData>
    <row r="1">
      <c r="A1" s="27" t="n"/>
      <c r="B1" s="27" t="n"/>
      <c r="C1" s="27" t="n"/>
      <c r="D1" s="27" t="n"/>
      <c r="E1" s="27" t="n"/>
    </row>
    <row r="2">
      <c r="A2" t="inlineStr">
        <is>
          <t>S01</t>
        </is>
      </c>
      <c r="B2" t="inlineStr">
        <is>
          <t>AI exposure Low → Critical</t>
        </is>
      </c>
      <c r="C2" t="inlineStr">
        <is>
          <t>Required maturity rises, strongest in D02/D07/D08</t>
        </is>
      </c>
      <c r="D2" t="inlineStr">
        <is>
          <t>Recalculate all 11 domains; inspect ranking of transformation priorities</t>
        </is>
      </c>
      <c r="E2" t="inlineStr">
        <is>
          <t>PENDING PILOT</t>
        </is>
      </c>
    </row>
    <row r="3">
      <c r="A3" t="inlineStr">
        <is>
          <t>S02</t>
        </is>
      </c>
      <c r="B3" t="inlineStr">
        <is>
          <t>Consequence Low → Critical</t>
        </is>
      </c>
      <c r="C3" t="inlineStr">
        <is>
          <t>Required maturity rises, strongest in D02/D04/D07/D10</t>
        </is>
      </c>
      <c r="D3" t="inlineStr">
        <is>
          <t>Check regulated/professional disciplines do not receive score bonus</t>
        </is>
      </c>
      <c r="E3" t="inlineStr">
        <is>
          <t>PENDING PILOT</t>
        </is>
      </c>
    </row>
    <row r="4">
      <c r="A4" t="inlineStr">
        <is>
          <t>S03</t>
        </is>
      </c>
      <c r="B4" t="inlineStr">
        <is>
          <t>Stable → Transforming</t>
        </is>
      </c>
      <c r="C4" t="inlineStr">
        <is>
          <t>Required maturity pressure rises in D01/D04/D09/D11</t>
        </is>
      </c>
      <c r="D4" t="inlineStr">
        <is>
          <t>Check priority ordering is interpretable</t>
        </is>
      </c>
      <c r="E4" t="inlineStr">
        <is>
          <t>PENDING PILOT</t>
        </is>
      </c>
    </row>
    <row r="5">
      <c r="A5" t="inlineStr">
        <is>
          <t>S04</t>
        </is>
      </c>
      <c r="B5" t="inlineStr">
        <is>
          <t>Resources Constrained → High</t>
        </is>
      </c>
      <c r="C5" t="inlineStr">
        <is>
          <t>Evidence burden changes; required maturity must not fall</t>
        </is>
      </c>
      <c r="D5" t="inlineStr">
        <is>
          <t>Check target invariance</t>
        </is>
      </c>
      <c r="E5" t="inlineStr">
        <is>
          <t>PENDING PILOT</t>
        </is>
      </c>
    </row>
    <row r="6">
      <c r="A6" t="inlineStr">
        <is>
          <t>S05</t>
        </is>
      </c>
      <c r="B6" t="inlineStr">
        <is>
          <t>Teaching-intensive → Research-intensive</t>
        </is>
      </c>
      <c r="C6" t="inlineStr">
        <is>
          <t>Mandate pressure shifts toward D01/D10 and related domains</t>
        </is>
      </c>
      <c r="D6" t="inlineStr">
        <is>
          <t>Check domain relevance without double-counting</t>
        </is>
      </c>
      <c r="E6" t="inlineStr">
        <is>
          <t>PENDING PILOT</t>
        </is>
      </c>
    </row>
    <row r="7">
      <c r="A7" t="inlineStr">
        <is>
          <t>S06</t>
        </is>
      </c>
      <c r="B7" t="inlineStr">
        <is>
          <t>N/A usage increases</t>
        </is>
      </c>
      <c r="C7" t="inlineStr">
        <is>
          <t>Applicable denominator shrinks only where genuine</t>
        </is>
      </c>
      <c r="D7" t="inlineStr">
        <is>
          <t>Check no score inflation</t>
        </is>
      </c>
      <c r="E7" t="inlineStr">
        <is>
          <t>PENDING PILOT</t>
        </is>
      </c>
    </row>
  </sheetData>
  <autoFilter ref="A1:E7"/>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75" customWidth="1" min="3" max="3"/>
    <col width="20" customWidth="1" min="4" max="4"/>
    <col width="22" customWidth="1" min="5" max="5"/>
  </cols>
  <sheetData>
    <row r="1">
      <c r="A1" s="27" t="n"/>
      <c r="B1" s="27" t="n"/>
      <c r="C1" s="27" t="n"/>
      <c r="D1" s="27" t="n"/>
      <c r="E1" s="27" t="n"/>
    </row>
    <row r="2">
      <c r="A2" t="inlineStr">
        <is>
          <t>P0-4-G01</t>
        </is>
      </c>
      <c r="B2" t="inlineStr">
        <is>
          <t>Context inputs defined</t>
        </is>
      </c>
      <c r="C2" t="inlineStr">
        <is>
          <t>All required context variables have controlled values</t>
        </is>
      </c>
      <c r="D2" t="inlineStr">
        <is>
          <t>PASS</t>
        </is>
      </c>
      <c r="E2" t="inlineStr">
        <is>
          <t>Methodology owner</t>
        </is>
      </c>
    </row>
    <row r="3">
      <c r="A3" t="inlineStr">
        <is>
          <t>P0-4-G02</t>
        </is>
      </c>
      <c r="B3" t="inlineStr">
        <is>
          <t>Required maturity algorithm executable</t>
        </is>
      </c>
      <c r="C3" t="inlineStr">
        <is>
          <t>All 11 domains calculate R from mandate/exposure/consequence/trajectory</t>
        </is>
      </c>
      <c r="D3" t="inlineStr">
        <is>
          <t>PASS</t>
        </is>
      </c>
      <c r="E3" t="inlineStr">
        <is>
          <t>Methodology owner</t>
        </is>
      </c>
    </row>
    <row r="4">
      <c r="A4" t="inlineStr">
        <is>
          <t>P0-4-G03</t>
        </is>
      </c>
      <c r="B4" t="inlineStr">
        <is>
          <t>Resources do not lower target</t>
        </is>
      </c>
      <c r="C4" t="inlineStr">
        <is>
          <t>Resource envelope changes evidence burden only</t>
        </is>
      </c>
      <c r="D4" t="inlineStr">
        <is>
          <t>PASS</t>
        </is>
      </c>
      <c r="E4" t="inlineStr">
        <is>
          <t>Methodology owner</t>
        </is>
      </c>
    </row>
    <row r="5">
      <c r="A5" t="inlineStr">
        <is>
          <t>P0-4-G04</t>
        </is>
      </c>
      <c r="B5" t="inlineStr">
        <is>
          <t>No score bonus</t>
        </is>
      </c>
      <c r="C5" t="inlineStr">
        <is>
          <t>Context formulas do not modify metric capability score directly</t>
        </is>
      </c>
      <c r="D5" t="inlineStr">
        <is>
          <t>PASS</t>
        </is>
      </c>
      <c r="E5" t="inlineStr">
        <is>
          <t>Methodology owner</t>
        </is>
      </c>
    </row>
    <row r="6">
      <c r="A6" t="inlineStr">
        <is>
          <t>P0-4-G05</t>
        </is>
      </c>
      <c r="B6" t="inlineStr">
        <is>
          <t>N/A protection</t>
        </is>
      </c>
      <c r="C6" t="inlineStr">
        <is>
          <t>Missing evidence cannot become N/A through context</t>
        </is>
      </c>
      <c r="D6" t="inlineStr">
        <is>
          <t>PASS</t>
        </is>
      </c>
      <c r="E6" t="inlineStr">
        <is>
          <t>Assessor lead</t>
        </is>
      </c>
    </row>
    <row r="7">
      <c r="A7" t="inlineStr">
        <is>
          <t>P0-4-G06</t>
        </is>
      </c>
      <c r="B7" t="inlineStr">
        <is>
          <t>Transformation distance linked</t>
        </is>
      </c>
      <c r="C7" t="inlineStr">
        <is>
          <t>Scorecard/domain gap references context-derived R</t>
        </is>
      </c>
      <c r="D7" t="inlineStr">
        <is>
          <t>PASS</t>
        </is>
      </c>
      <c r="E7" t="inlineStr">
        <is>
          <t>Engine owner</t>
        </is>
      </c>
    </row>
    <row r="8">
      <c r="A8" t="inlineStr">
        <is>
          <t>P0-4-G07</t>
        </is>
      </c>
      <c r="B8" t="inlineStr">
        <is>
          <t>Sensitivity validated</t>
        </is>
      </c>
      <c r="C8" t="inlineStr">
        <is>
          <t>Scenario tests stable and interpretable</t>
        </is>
      </c>
      <c r="D8" t="inlineStr">
        <is>
          <t>PENDING PILOT</t>
        </is>
      </c>
      <c r="E8" t="inlineStr">
        <is>
          <t>Validation lead</t>
        </is>
      </c>
    </row>
    <row r="9">
      <c r="A9" t="inlineStr">
        <is>
          <t>P0-4-G08</t>
        </is>
      </c>
      <c r="B9" t="inlineStr">
        <is>
          <t>Known-groups validation</t>
        </is>
      </c>
      <c r="C9" t="inlineStr">
        <is>
          <t>Required maturity behaves as expected across institution types/mandates</t>
        </is>
      </c>
      <c r="D9" t="inlineStr">
        <is>
          <t>PENDING PILOT</t>
        </is>
      </c>
      <c r="E9" t="inlineStr">
        <is>
          <t>Validation lead</t>
        </is>
      </c>
    </row>
    <row r="10">
      <c r="A10" t="inlineStr">
        <is>
          <t>P0-4-G09</t>
        </is>
      </c>
      <c r="B10" t="inlineStr">
        <is>
          <t>Assessor calibration</t>
        </is>
      </c>
      <c r="C10" t="inlineStr">
        <is>
          <t>Inter-rater agreement acceptable on context inputs</t>
        </is>
      </c>
      <c r="D10" t="inlineStr">
        <is>
          <t>PENDING PILOT</t>
        </is>
      </c>
      <c r="E10" t="inlineStr">
        <is>
          <t>Calibration lead</t>
        </is>
      </c>
    </row>
    <row r="11">
      <c r="A11" t="inlineStr">
        <is>
          <t>P0-4-G10</t>
        </is>
      </c>
      <c r="B11" t="inlineStr">
        <is>
          <t>Public release</t>
        </is>
      </c>
      <c r="C11" t="inlineStr">
        <is>
          <t>P0-4 empirical gates passed before public benchmark use</t>
        </is>
      </c>
      <c r="D11" t="inlineStr">
        <is>
          <t>BLOCKED</t>
        </is>
      </c>
      <c r="E11" t="inlineStr">
        <is>
          <t>Governance</t>
        </is>
      </c>
    </row>
  </sheetData>
  <autoFilter ref="A1:E11"/>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2" customWidth="1" min="1" max="1"/>
    <col width="110" customWidth="1" min="2" max="2"/>
  </cols>
  <sheetData>
    <row r="1">
      <c r="A1" s="26" t="inlineStr">
        <is>
          <t>P0-4 CONTEXT CALIBRATION &amp; REQUIRED MATURITY METHODOLOGY</t>
        </is>
      </c>
    </row>
    <row r="2">
      <c r="A2" s="13" t="inlineStr">
        <is>
          <t>Core equation</t>
        </is>
      </c>
      <c r="B2" t="inlineStr">
        <is>
          <t>R_d = clamp(round(B_d + F_mandate,d + F_AI,d + F_consequence,d + F_trajectory,d), 1, 5).</t>
        </is>
      </c>
    </row>
    <row r="3">
      <c r="A3" s="13" t="inlineStr">
        <is>
          <t>Baseline</t>
        </is>
      </c>
      <c r="B3" t="inlineStr">
        <is>
          <t>B_d = 3 for all domains at this provisional stage; domain-specific baselines remain subject to pilot validation.</t>
        </is>
      </c>
    </row>
    <row r="4">
      <c r="A4" s="13" t="inlineStr">
        <is>
          <t>Mandate factor</t>
        </is>
      </c>
      <c r="B4" t="inlineStr">
        <is>
          <t>Derived from institution mandate level × domain mandate sensitivity.</t>
        </is>
      </c>
    </row>
    <row r="5">
      <c r="A5" s="13" t="inlineStr">
        <is>
          <t>AI exposure factor</t>
        </is>
      </c>
      <c r="B5" t="inlineStr">
        <is>
          <t>Derived from AI exposure level × domain AI-exposure sensitivity.</t>
        </is>
      </c>
    </row>
    <row r="6">
      <c r="A6" s="13" t="inlineStr">
        <is>
          <t>Consequence factor</t>
        </is>
      </c>
      <c r="B6" t="inlineStr">
        <is>
          <t>Derived from disciplinary consequence level × domain consequence sensitivity.</t>
        </is>
      </c>
    </row>
    <row r="7">
      <c r="A7" s="13" t="inlineStr">
        <is>
          <t>Trajectory factor</t>
        </is>
      </c>
      <c r="B7" t="inlineStr">
        <is>
          <t>Derived from institutional trajectory × domain trajectory sensitivity.</t>
        </is>
      </c>
    </row>
    <row r="8">
      <c r="A8" s="13" t="inlineStr">
        <is>
          <t>Resources</t>
        </is>
      </c>
      <c r="B8" t="inlineStr">
        <is>
          <t>Resource envelope changes evidence burden multiplier only; it does not reduce required maturity.</t>
        </is>
      </c>
    </row>
    <row r="9">
      <c r="A9" s="13" t="inlineStr">
        <is>
          <t>Institution type</t>
        </is>
      </c>
      <c r="B9" t="inlineStr">
        <is>
          <t>Institution type informs mandate interpretation and assessor branching; no automatic score bonus/penalty.</t>
        </is>
      </c>
    </row>
    <row r="10">
      <c r="A10" s="13" t="inlineStr">
        <is>
          <t>Scale/geography/student profile</t>
        </is>
      </c>
      <c r="B10" t="inlineStr">
        <is>
          <t>Used for proportional sampling, contextual examples and evidence design; not direct score modifiers.</t>
        </is>
      </c>
    </row>
    <row r="11">
      <c r="A11" s="13" t="inlineStr">
        <is>
          <t>Required maturity meaning</t>
        </is>
      </c>
      <c r="B11" t="inlineStr">
        <is>
          <t>R is the institution-appropriate maturity expectation, not a claim that every institution must be at level 5.</t>
        </is>
      </c>
    </row>
    <row r="12">
      <c r="A12" s="13" t="inlineStr">
        <is>
          <t>Transformation distance</t>
        </is>
      </c>
      <c r="B12" t="inlineStr">
        <is>
          <t>T_d = R_d − current maturity proxy. Positive T indicates priority for transformation.</t>
        </is>
      </c>
    </row>
    <row r="13">
      <c r="A13" s="13" t="inlineStr">
        <is>
          <t>No penalty rule</t>
        </is>
      </c>
      <c r="B13" t="inlineStr">
        <is>
          <t>A high R does not subtract points from the capability score. It changes diagnostic priority and target state.</t>
        </is>
      </c>
    </row>
    <row r="14">
      <c r="A14" s="13" t="inlineStr">
        <is>
          <t>Governance</t>
        </is>
      </c>
      <c r="B14" t="inlineStr">
        <is>
          <t>Context selections require assessor rationale; overrides require second review; methodology remains provisional until validation.</t>
        </is>
      </c>
    </row>
    <row r="15">
      <c r="A15" s="13" t="inlineStr">
        <is>
          <t>Public status</t>
        </is>
      </c>
      <c r="B15" t="inlineStr">
        <is>
          <t>Diagnostic/provisional. No public ranking, certification or benchmark release until P0-3/P0-4 validation gates pass.</t>
        </is>
      </c>
    </row>
  </sheetData>
  <mergeCells count="1">
    <mergeCell ref="A1:B1"/>
  </mergeCell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5" customWidth="1" min="1" max="1"/>
    <col width="45" customWidth="1" min="2" max="2"/>
    <col width="60" customWidth="1" min="3" max="3"/>
    <col width="65" customWidth="1" min="4" max="4"/>
    <col width="18" customWidth="1" min="5" max="5"/>
  </cols>
  <sheetData>
    <row r="1">
      <c r="A1" s="27" t="n"/>
      <c r="B1" s="27" t="n"/>
      <c r="C1" s="27" t="n"/>
      <c r="D1" s="27" t="n"/>
      <c r="E1" s="27" t="n"/>
    </row>
    <row r="2">
      <c r="A2" t="inlineStr">
        <is>
          <t>P0-4.1</t>
        </is>
      </c>
      <c r="B2" t="inlineStr">
        <is>
          <t>Added controlled Context Profile</t>
        </is>
      </c>
      <c r="C2" t="inlineStr">
        <is>
          <t>Operationalise context variables</t>
        </is>
      </c>
      <c r="D2" t="inlineStr">
        <is>
          <t>Creates auditable institution-specific inputs</t>
        </is>
      </c>
      <c r="E2" t="inlineStr">
        <is>
          <t>DONE</t>
        </is>
      </c>
    </row>
    <row r="3">
      <c r="A3" t="inlineStr">
        <is>
          <t>P0-4.2</t>
        </is>
      </c>
      <c r="B3" t="inlineStr">
        <is>
          <t>Added Required Maturity engine for all D01–D11</t>
        </is>
      </c>
      <c r="C3" t="inlineStr">
        <is>
          <t>Move from fixed baseline to institution-specific target</t>
        </is>
      </c>
      <c r="D3" t="inlineStr">
        <is>
          <t>Required Maturity R becomes context-sensitive</t>
        </is>
      </c>
      <c r="E3" t="inlineStr">
        <is>
          <t>DONE</t>
        </is>
      </c>
    </row>
    <row r="4">
      <c r="A4" t="inlineStr">
        <is>
          <t>P0-4.3</t>
        </is>
      </c>
      <c r="B4" t="inlineStr">
        <is>
          <t>Linked transformation distance to context-derived R</t>
        </is>
      </c>
      <c r="C4" t="inlineStr">
        <is>
          <t>Make diagnosis actionable</t>
        </is>
      </c>
      <c r="D4" t="inlineStr">
        <is>
          <t>Positive gap becomes transformation priority</t>
        </is>
      </c>
      <c r="E4" t="inlineStr">
        <is>
          <t>DONE</t>
        </is>
      </c>
    </row>
    <row r="5">
      <c r="A5" t="inlineStr">
        <is>
          <t>P0-4.4</t>
        </is>
      </c>
      <c r="B5" t="inlineStr">
        <is>
          <t>Separated resource effect from maturity target</t>
        </is>
      </c>
      <c r="C5" t="inlineStr">
        <is>
          <t>Prevent resource bias</t>
        </is>
      </c>
      <c r="D5" t="inlineStr">
        <is>
          <t>Resources affect evidence burden only</t>
        </is>
      </c>
      <c r="E5" t="inlineStr">
        <is>
          <t>DONE</t>
        </is>
      </c>
    </row>
    <row r="6">
      <c r="A6" t="inlineStr">
        <is>
          <t>P0-4.5</t>
        </is>
      </c>
      <c r="B6" t="inlineStr">
        <is>
          <t>Added sensitivity/acceptance gates</t>
        </is>
      </c>
      <c r="C6" t="inlineStr">
        <is>
          <t>Prevent premature freeze</t>
        </is>
      </c>
      <c r="D6" t="inlineStr">
        <is>
          <t>Empirical validation remains required</t>
        </is>
      </c>
      <c r="E6" t="inlineStr">
        <is>
          <t>DONE</t>
        </is>
      </c>
    </row>
  </sheetData>
  <autoFilter ref="A1:E6"/>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34" customWidth="1" min="4" max="4"/>
    <col width="24" customWidth="1" min="5" max="5"/>
    <col width="34" customWidth="1" min="6" max="6"/>
    <col width="65" customWidth="1" min="7" max="7"/>
    <col width="30" customWidth="1" min="8" max="8"/>
    <col width="48" customWidth="1" min="9" max="9"/>
  </cols>
  <sheetData>
    <row r="1">
      <c r="A1" s="28" t="inlineStr">
        <is>
          <t>Rule ID</t>
        </is>
      </c>
      <c r="B1" s="28" t="inlineStr">
        <is>
          <t>From Domain</t>
        </is>
      </c>
      <c r="C1" s="28" t="inlineStr">
        <is>
          <t>To Domain</t>
        </is>
      </c>
      <c r="D1" s="28" t="inlineStr">
        <is>
          <t>Relationship</t>
        </is>
      </c>
      <c r="E1" s="28" t="inlineStr">
        <is>
          <t>Source Metric Scope</t>
        </is>
      </c>
      <c r="F1" s="28" t="inlineStr">
        <is>
          <t>Target Metric Scope</t>
        </is>
      </c>
      <c r="G1" s="28" t="inlineStr">
        <is>
          <t>Trigger Logic</t>
        </is>
      </c>
      <c r="H1" s="28" t="inlineStr">
        <is>
          <t>Required Action</t>
        </is>
      </c>
      <c r="I1" s="28" t="inlineStr">
        <is>
          <t>Scoring Protection</t>
        </is>
      </c>
    </row>
    <row r="2">
      <c r="A2" s="18" t="inlineStr">
        <is>
          <t>CD01</t>
        </is>
      </c>
      <c r="B2" s="18" t="inlineStr">
        <is>
          <t>D01</t>
        </is>
      </c>
      <c r="C2" s="18" t="inlineStr">
        <is>
          <t>D03</t>
        </is>
      </c>
      <c r="D2" s="18" t="inlineStr">
        <is>
          <t>Strategic priority → human capability</t>
        </is>
      </c>
      <c r="E2" s="18" t="inlineStr">
        <is>
          <t>D01 I01/I03</t>
        </is>
      </c>
      <c r="F2" s="18" t="inlineStr">
        <is>
          <t>D03 I01/I02/I05/I07/I15/I16</t>
        </is>
      </c>
      <c r="G2" s="18" t="inlineStr">
        <is>
          <t>If D01 strategic AI/future direction is strong but linked D03 capability architecture is weak, flag strategy-to-capability disconnect.</t>
        </is>
      </c>
      <c r="H2" s="18" t="inlineStr">
        <is>
          <t>D03 deep-dive</t>
        </is>
      </c>
      <c r="I2" s="18" t="inlineStr">
        <is>
          <t>No D01 score uplift from strategic statements.</t>
        </is>
      </c>
    </row>
    <row r="3">
      <c r="A3" s="18" t="inlineStr">
        <is>
          <t>CD02</t>
        </is>
      </c>
      <c r="B3" s="18" t="inlineStr">
        <is>
          <t>D01</t>
        </is>
      </c>
      <c r="C3" s="18" t="inlineStr">
        <is>
          <t>D02</t>
        </is>
      </c>
      <c r="D3" s="18" t="inlineStr">
        <is>
          <t>AI direction → governance coverage</t>
        </is>
      </c>
      <c r="E3" s="18" t="inlineStr">
        <is>
          <t>D01 I01/I06/I09</t>
        </is>
      </c>
      <c r="F3" s="18" t="inlineStr">
        <is>
          <t>D02 I01/I03/I07/I13</t>
        </is>
      </c>
      <c r="G3" s="18" t="inlineStr">
        <is>
          <t>If consequential AI activity/experimentation is strong while governance/risk controls are weak, flag governance exposure.</t>
        </is>
      </c>
      <c r="H3" s="18" t="inlineStr">
        <is>
          <t>Governance review</t>
        </is>
      </c>
      <c r="I3" s="18" t="inlineStr">
        <is>
          <t>Do not compensate D02 weakness with D01 maturity.</t>
        </is>
      </c>
    </row>
    <row r="4">
      <c r="A4" s="18" t="inlineStr">
        <is>
          <t>CD03</t>
        </is>
      </c>
      <c r="B4" s="18" t="inlineStr">
        <is>
          <t>D01</t>
        </is>
      </c>
      <c r="C4" s="18" t="inlineStr">
        <is>
          <t>D04</t>
        </is>
      </c>
      <c r="D4" s="18" t="inlineStr">
        <is>
          <t>Portfolio foresight → programme response</t>
        </is>
      </c>
      <c r="E4" s="18" t="inlineStr">
        <is>
          <t>D01 I02/I04/I06/I10</t>
        </is>
      </c>
      <c r="F4" s="18" t="inlineStr">
        <is>
          <t>D04 I01/I03/I05/I08/I12</t>
        </is>
      </c>
      <c r="G4" s="18" t="inlineStr">
        <is>
          <t>If institutional foresight is strong but programme review/change is weak, flag strategy-to-portfolio execution gap.</t>
        </is>
      </c>
      <c r="H4" s="18" t="inlineStr">
        <is>
          <t>Programme portfolio review</t>
        </is>
      </c>
      <c r="I4" s="18" t="inlineStr">
        <is>
          <t>Same review event cannot score both domains.</t>
        </is>
      </c>
    </row>
    <row r="5">
      <c r="A5" s="18" t="inlineStr">
        <is>
          <t>CD04</t>
        </is>
      </c>
      <c r="B5" s="18" t="inlineStr">
        <is>
          <t>D01</t>
        </is>
      </c>
      <c r="C5" s="18" t="inlineStr">
        <is>
          <t>D11</t>
        </is>
      </c>
      <c r="D5" s="18" t="inlineStr">
        <is>
          <t>Strategy → adaptation</t>
        </is>
      </c>
      <c r="E5" s="18" t="inlineStr">
        <is>
          <t>D01 I02/I03/I10</t>
        </is>
      </c>
      <c r="F5" s="18" t="inlineStr">
        <is>
          <t>D11 I01/I02/I06/I13/I14</t>
        </is>
      </c>
      <c r="G5" s="18" t="inlineStr">
        <is>
          <t>If strategy claims continuous learning but adaptation/learning mechanisms are weak, flag unsupported strategic adaptability claim.</t>
        </is>
      </c>
      <c r="H5" s="18" t="inlineStr">
        <is>
          <t>Adaptation review</t>
        </is>
      </c>
      <c r="I5" s="18" t="inlineStr">
        <is>
          <t>D11 remains a distinct meta-capability.</t>
        </is>
      </c>
    </row>
    <row r="6">
      <c r="A6" s="18" t="inlineStr">
        <is>
          <t>CD05</t>
        </is>
      </c>
      <c r="B6" s="18" t="inlineStr">
        <is>
          <t>D02</t>
        </is>
      </c>
      <c r="C6" s="18" t="inlineStr">
        <is>
          <t>D07</t>
        </is>
      </c>
      <c r="D6" s="18" t="inlineStr">
        <is>
          <t>Assessment governance → assessment practice</t>
        </is>
      </c>
      <c r="E6" s="18" t="inlineStr">
        <is>
          <t>D02 I05/I06/I07/I09</t>
        </is>
      </c>
      <c r="F6" s="18" t="inlineStr">
        <is>
          <t>D07 I01/I04/I05/I10/I12</t>
        </is>
      </c>
      <c r="G6" s="18" t="inlineStr">
        <is>
          <t>If assessment governance is strong but actual assessment design/evidence is weak, flag policy-to-practice gap.</t>
        </is>
      </c>
      <c r="H6" s="18" t="inlineStr">
        <is>
          <t>Assessment architecture review</t>
        </is>
      </c>
      <c r="I6" s="18" t="inlineStr">
        <is>
          <t>Governance policy cannot generate D07 maturity.</t>
        </is>
      </c>
    </row>
    <row r="7">
      <c r="A7" s="18" t="inlineStr">
        <is>
          <t>CD06</t>
        </is>
      </c>
      <c r="B7" s="18" t="inlineStr">
        <is>
          <t>D02</t>
        </is>
      </c>
      <c r="C7" s="18" t="inlineStr">
        <is>
          <t>D08</t>
        </is>
      </c>
      <c r="D7" s="18" t="inlineStr">
        <is>
          <t>Governance controls → technical implementation</t>
        </is>
      </c>
      <c r="E7" s="18" t="inlineStr">
        <is>
          <t>D02 I03/I04/I07/I10</t>
        </is>
      </c>
      <c r="F7" s="18" t="inlineStr">
        <is>
          <t>D08 I02/I03/I07/I08/I10</t>
        </is>
      </c>
      <c r="G7" s="18" t="inlineStr">
        <is>
          <t>If governance requires controls that digital/data implementation cannot evidence, flag control implementation gap.</t>
        </is>
      </c>
      <c r="H7" s="18" t="inlineStr">
        <is>
          <t>Digital control review</t>
        </is>
      </c>
      <c r="I7" s="18" t="inlineStr">
        <is>
          <t>Policy/control and technical implementation scored separately.</t>
        </is>
      </c>
    </row>
    <row r="8">
      <c r="A8" s="18" t="inlineStr">
        <is>
          <t>CD07</t>
        </is>
      </c>
      <c r="B8" s="18" t="inlineStr">
        <is>
          <t>D02</t>
        </is>
      </c>
      <c r="C8" s="18" t="inlineStr">
        <is>
          <t>D10</t>
        </is>
      </c>
      <c r="D8" s="18" t="inlineStr">
        <is>
          <t>Research governance → research practice</t>
        </is>
      </c>
      <c r="E8" s="18" t="inlineStr">
        <is>
          <t>D02 I12/I13/I14</t>
        </is>
      </c>
      <c r="F8" s="18" t="inlineStr">
        <is>
          <t>D10 I04/I06/I12/I13</t>
        </is>
      </c>
      <c r="G8" s="18" t="inlineStr">
        <is>
          <t>If research AI governance is strong but responsible research practice/evidence is weak, flag governance-to-practice gap.</t>
        </is>
      </c>
      <c r="H8" s="18" t="inlineStr">
        <is>
          <t>Research governance review</t>
        </is>
      </c>
      <c r="I8" s="18" t="inlineStr">
        <is>
          <t>No duplicate scoring of policy and practice.</t>
        </is>
      </c>
    </row>
    <row r="9">
      <c r="A9" s="18" t="inlineStr">
        <is>
          <t>CD08</t>
        </is>
      </c>
      <c r="B9" s="18" t="inlineStr">
        <is>
          <t>D03</t>
        </is>
      </c>
      <c r="C9" s="18" t="inlineStr">
        <is>
          <t>D04</t>
        </is>
      </c>
      <c r="D9" s="18" t="inlineStr">
        <is>
          <t>Capability architecture → curriculum operationalisation</t>
        </is>
      </c>
      <c r="E9" s="18" t="inlineStr">
        <is>
          <t>D03 I01/I02/I05/I07/I16/I17</t>
        </is>
      </c>
      <c r="F9" s="18" t="inlineStr">
        <is>
          <t>D04 I02/I04/I07/I11</t>
        </is>
      </c>
      <c r="G9" s="18" t="inlineStr">
        <is>
          <t>If target human capabilities are strong but programmes do not operationalise them, flag capability-to-curriculum gap.</t>
        </is>
      </c>
      <c r="H9" s="18" t="inlineStr">
        <is>
          <t>Curriculum mapping review</t>
        </is>
      </c>
      <c r="I9" s="18" t="inlineStr">
        <is>
          <t>D03 owns capability target; D04 owns programme implementation.</t>
        </is>
      </c>
    </row>
    <row r="10">
      <c r="A10" s="18" t="inlineStr">
        <is>
          <t>CD09</t>
        </is>
      </c>
      <c r="B10" s="18" t="inlineStr">
        <is>
          <t>D03</t>
        </is>
      </c>
      <c r="C10" s="18" t="inlineStr">
        <is>
          <t>D06</t>
        </is>
      </c>
      <c r="D10" s="18" t="inlineStr">
        <is>
          <t>Institutional capability intent → student reality</t>
        </is>
      </c>
      <c r="E10" s="18" t="inlineStr">
        <is>
          <t>D03 I02/I05/I08/I15/I16</t>
        </is>
      </c>
      <c r="F10" s="18" t="inlineStr">
        <is>
          <t>D06 I02/I03/I04/I10/I14</t>
        </is>
      </c>
      <c r="G10" s="18" t="inlineStr">
        <is>
          <t>If institutional capability architecture is strong but student agency/transfer evidence is weak, flag intent-to-experience gap.</t>
        </is>
      </c>
      <c r="H10" s="18" t="inlineStr">
        <is>
          <t>Student capability review</t>
        </is>
      </c>
      <c r="I10" s="18" t="inlineStr">
        <is>
          <t>Student evidence does not automatically raise D03.</t>
        </is>
      </c>
    </row>
    <row r="11">
      <c r="A11" s="18" t="inlineStr">
        <is>
          <t>CD10</t>
        </is>
      </c>
      <c r="B11" s="18" t="inlineStr">
        <is>
          <t>D03</t>
        </is>
      </c>
      <c r="C11" s="18" t="inlineStr">
        <is>
          <t>D07</t>
        </is>
      </c>
      <c r="D11" s="18" t="inlineStr">
        <is>
          <t>Capability target → proof of capability</t>
        </is>
      </c>
      <c r="E11" s="18" t="inlineStr">
        <is>
          <t>D03 I02/I05/I07/I16</t>
        </is>
      </c>
      <c r="F11" s="18" t="inlineStr">
        <is>
          <t>D07 I02/I03/I05/I07/I08</t>
        </is>
      </c>
      <c r="G11" s="18" t="inlineStr">
        <is>
          <t>If target capabilities are explicit but assessments cannot demonstrate them, flag capability-proof gap.</t>
        </is>
      </c>
      <c r="H11" s="18" t="inlineStr">
        <is>
          <t>Assessment alignment review</t>
        </is>
      </c>
      <c r="I11" s="18" t="inlineStr">
        <is>
          <t>D03 defines target; D07 verifies it.</t>
        </is>
      </c>
    </row>
    <row r="12">
      <c r="A12" s="18" t="inlineStr">
        <is>
          <t>CD11</t>
        </is>
      </c>
      <c r="B12" s="18" t="inlineStr">
        <is>
          <t>D04</t>
        </is>
      </c>
      <c r="C12" s="18" t="inlineStr">
        <is>
          <t>D07</t>
        </is>
      </c>
      <c r="D12" s="18" t="inlineStr">
        <is>
          <t>Future curriculum → assessment evidence</t>
        </is>
      </c>
      <c r="E12" s="18" t="inlineStr">
        <is>
          <t>D04 I02/I04/I05/I08/I12</t>
        </is>
      </c>
      <c r="F12" s="18" t="inlineStr">
        <is>
          <t>D07 I01/I02/I04/I07/I08</t>
        </is>
      </c>
      <c r="G12" s="18" t="inlineStr">
        <is>
          <t>If programme redesign is strong but assessment remains answer-production oriented, flag curriculum-assessment disconnect.</t>
        </is>
      </c>
      <c r="H12" s="18" t="inlineStr">
        <is>
          <t>Assessment redesign</t>
        </is>
      </c>
      <c r="I12" s="18" t="inlineStr">
        <is>
          <t>No D04 uplift from assessment activity.</t>
        </is>
      </c>
    </row>
    <row r="13">
      <c r="A13" s="18" t="inlineStr">
        <is>
          <t>CD12</t>
        </is>
      </c>
      <c r="B13" s="18" t="inlineStr">
        <is>
          <t>D05</t>
        </is>
      </c>
      <c r="C13" s="18" t="inlineStr">
        <is>
          <t>D07</t>
        </is>
      </c>
      <c r="D13" s="18" t="inlineStr">
        <is>
          <t>Faculty redesign capability → assessment change</t>
        </is>
      </c>
      <c r="E13" s="18" t="inlineStr">
        <is>
          <t>D05 I03/I04/I05/I12</t>
        </is>
      </c>
      <c r="F13" s="18" t="inlineStr">
        <is>
          <t>D07 I01/I04/I05/I11</t>
        </is>
      </c>
      <c r="G13" s="18" t="inlineStr">
        <is>
          <t>If faculty training/capability is high but assessment practice remains unchanged, flag training-to-practice gap.</t>
        </is>
      </c>
      <c r="H13" s="18" t="inlineStr">
        <is>
          <t>Faculty practice review</t>
        </is>
      </c>
      <c r="I13" s="18" t="inlineStr">
        <is>
          <t>Training attendance alone cannot raise D05 practice maturity.</t>
        </is>
      </c>
    </row>
    <row r="14">
      <c r="A14" s="18" t="inlineStr">
        <is>
          <t>CD13</t>
        </is>
      </c>
      <c r="B14" s="18" t="inlineStr">
        <is>
          <t>D06</t>
        </is>
      </c>
      <c r="C14" s="18" t="inlineStr">
        <is>
          <t>D09</t>
        </is>
      </c>
      <c r="D14" s="18" t="inlineStr">
        <is>
          <t>Student capability → external employability</t>
        </is>
      </c>
      <c r="E14" s="18" t="inlineStr">
        <is>
          <t>D06 I04/I07/I08/I09/I10/I11</t>
        </is>
      </c>
      <c r="F14" s="18" t="inlineStr">
        <is>
          <t>D09 I05/I06/I07/I08/I09</t>
        </is>
      </c>
      <c r="G14" s="18" t="inlineStr">
        <is>
          <t>If student capability is strong but external validation/outcomes are weak, flag capability-to-career translation gap.</t>
        </is>
      </c>
      <c r="H14" s="18" t="inlineStr">
        <is>
          <t>Employability evidence review</t>
        </is>
      </c>
      <c r="I14" s="18" t="inlineStr">
        <is>
          <t>D09 owns external validation.</t>
        </is>
      </c>
    </row>
    <row r="15">
      <c r="A15" s="18" t="inlineStr">
        <is>
          <t>CD14</t>
        </is>
      </c>
      <c r="B15" s="18" t="inlineStr">
        <is>
          <t>D07</t>
        </is>
      </c>
      <c r="C15" s="18" t="inlineStr">
        <is>
          <t>D08</t>
        </is>
      </c>
      <c r="D15" s="18" t="inlineStr">
        <is>
          <t>Assessment evidence → data infrastructure</t>
        </is>
      </c>
      <c r="E15" s="18" t="inlineStr">
        <is>
          <t>D07 I07/I08/I12</t>
        </is>
      </c>
      <c r="F15" s="18" t="inlineStr">
        <is>
          <t>D08 I02/I03/I04/I05/I12</t>
        </is>
      </c>
      <c r="G15" s="18" t="inlineStr">
        <is>
          <t>If assessment evidence analytics are claimed but data quality/interoperability/intelligence are weak, flag evidence infrastructure gap.</t>
        </is>
      </c>
      <c r="H15" s="18" t="inlineStr">
        <is>
          <t>Data/evidence architecture review</t>
        </is>
      </c>
      <c r="I15" s="18" t="inlineStr">
        <is>
          <t>Data capability is an enabler, not assessment quality itself.</t>
        </is>
      </c>
    </row>
    <row r="16">
      <c r="A16" s="18" t="inlineStr">
        <is>
          <t>CD15</t>
        </is>
      </c>
      <c r="B16" s="18" t="inlineStr">
        <is>
          <t>D08</t>
        </is>
      </c>
      <c r="C16" s="18" t="inlineStr">
        <is>
          <t>D09</t>
        </is>
      </c>
      <c r="D16" s="18" t="inlineStr">
        <is>
          <t>Institutional intelligence → labour-market response</t>
        </is>
      </c>
      <c r="E16" s="18" t="inlineStr">
        <is>
          <t>D08 I05/I12</t>
        </is>
      </c>
      <c r="F16" s="18" t="inlineStr">
        <is>
          <t>D09 I01/I02/I03/I12</t>
        </is>
      </c>
      <c r="G16" s="18" t="inlineStr">
        <is>
          <t>If institutional intelligence is strong but employer signals are not translated into programme/career decisions, flag intelligence-to-relevance gap.</t>
        </is>
      </c>
      <c r="H16" s="18" t="inlineStr">
        <is>
          <t>Labour-market intelligence review</t>
        </is>
      </c>
      <c r="I16" s="18" t="inlineStr">
        <is>
          <t>D09 owns external relevance.</t>
        </is>
      </c>
    </row>
    <row r="17">
      <c r="A17" s="18" t="inlineStr">
        <is>
          <t>CD16</t>
        </is>
      </c>
      <c r="B17" s="18" t="inlineStr">
        <is>
          <t>D09</t>
        </is>
      </c>
      <c r="C17" s="18" t="inlineStr">
        <is>
          <t>D04</t>
        </is>
      </c>
      <c r="D17" s="18" t="inlineStr">
        <is>
          <t>Employer signal → programme evolution</t>
        </is>
      </c>
      <c r="E17" s="18" t="inlineStr">
        <is>
          <t>D09 I01/I03/I10/I11</t>
        </is>
      </c>
      <c r="F17" s="18" t="inlineStr">
        <is>
          <t>D04 I01/I03/I08/I12</t>
        </is>
      </c>
      <c r="G17" s="18" t="inlineStr">
        <is>
          <t>If employer intelligence is strong but programme evolution is weak, flag signal-to-curriculum response gap.</t>
        </is>
      </c>
      <c r="H17" s="18" t="inlineStr">
        <is>
          <t>Programme portfolio review</t>
        </is>
      </c>
      <c r="I17" s="18" t="inlineStr">
        <is>
          <t>Employer signal is an input, not duplicate programme maturity.</t>
        </is>
      </c>
    </row>
    <row r="18">
      <c r="A18" s="18" t="inlineStr">
        <is>
          <t>CD17</t>
        </is>
      </c>
      <c r="B18" s="18" t="inlineStr">
        <is>
          <t>D09</t>
        </is>
      </c>
      <c r="C18" s="18" t="inlineStr">
        <is>
          <t>D05</t>
        </is>
      </c>
      <c r="D18" s="18" t="inlineStr">
        <is>
          <t>Industry requirement → faculty capability</t>
        </is>
      </c>
      <c r="E18" s="18" t="inlineStr">
        <is>
          <t>D09 I03/I10</t>
        </is>
      </c>
      <c r="F18" s="18" t="inlineStr">
        <is>
          <t>D05 I02/I05/I08/I12</t>
        </is>
      </c>
      <c r="G18" s="18" t="inlineStr">
        <is>
          <t>If industry requirements change but faculty capability/role redesign does not respond, flag workforce alignment gap.</t>
        </is>
      </c>
      <c r="H18" s="18" t="inlineStr">
        <is>
          <t>Faculty capability review</t>
        </is>
      </c>
      <c r="I18" s="18" t="inlineStr">
        <is>
          <t>External signal does not itself raise D05.</t>
        </is>
      </c>
    </row>
    <row r="19">
      <c r="A19" s="18" t="inlineStr">
        <is>
          <t>CD18</t>
        </is>
      </c>
      <c r="B19" s="18" t="inlineStr">
        <is>
          <t>D09</t>
        </is>
      </c>
      <c r="C19" s="18" t="inlineStr">
        <is>
          <t>D06</t>
        </is>
      </c>
      <c r="D19" s="18" t="inlineStr">
        <is>
          <t>External outcomes → student development</t>
        </is>
      </c>
      <c r="E19" s="18" t="inlineStr">
        <is>
          <t>D09 I05/I06/I07/I12</t>
        </is>
      </c>
      <c r="F19" s="18" t="inlineStr">
        <is>
          <t>D06 I07/I08/I09/I14</t>
        </is>
      </c>
      <c r="G19" s="18" t="inlineStr">
        <is>
          <t>If employment evidence exposes capability gaps but student development is unchanged, flag outcome-to-learning-loop gap.</t>
        </is>
      </c>
      <c r="H19" s="18" t="inlineStr">
        <is>
          <t>Student development review</t>
        </is>
      </c>
      <c r="I19" s="18" t="inlineStr">
        <is>
          <t>Outcomes inform D06 but are not duplicate D06 scores.</t>
        </is>
      </c>
    </row>
    <row r="20">
      <c r="A20" s="18" t="inlineStr">
        <is>
          <t>CD19</t>
        </is>
      </c>
      <c r="B20" s="18" t="inlineStr">
        <is>
          <t>D10</t>
        </is>
      </c>
      <c r="C20" s="18" t="inlineStr">
        <is>
          <t>D03</t>
        </is>
      </c>
      <c r="D20" s="18" t="inlineStr">
        <is>
          <t>Research → human capability</t>
        </is>
      </c>
      <c r="E20" s="18" t="inlineStr">
        <is>
          <t>D10 I03/I08/I14</t>
        </is>
      </c>
      <c r="F20" s="18" t="inlineStr">
        <is>
          <t>D03 I05/I06/I07/I13/I16</t>
        </is>
      </c>
      <c r="G20" s="18" t="inlineStr">
        <is>
          <t>If research/creator capability is strong but student higher-order capability pathways are absent, flag research-to-learning disconnect.</t>
        </is>
      </c>
      <c r="H20" s="18" t="inlineStr">
        <is>
          <t>Research-learning review</t>
        </is>
      </c>
      <c r="I20" s="18" t="inlineStr">
        <is>
          <t>Research strength does not automatically raise D03.</t>
        </is>
      </c>
    </row>
    <row r="21">
      <c r="A21" s="18" t="inlineStr">
        <is>
          <t>CD20</t>
        </is>
      </c>
      <c r="B21" s="18" t="inlineStr">
        <is>
          <t>D10</t>
        </is>
      </c>
      <c r="C21" s="18" t="inlineStr">
        <is>
          <t>D09</t>
        </is>
      </c>
      <c r="D21" s="18" t="inlineStr">
        <is>
          <t>Research/innovation → external value</t>
        </is>
      </c>
      <c r="E21" s="18" t="inlineStr">
        <is>
          <t>D10 I08/I09/I10/I13</t>
        </is>
      </c>
      <c r="F21" s="18" t="inlineStr">
        <is>
          <t>D09 I05/I10/I11/I12</t>
        </is>
      </c>
      <c r="G21" s="18" t="inlineStr">
        <is>
          <t>If translation/industry/impact claims are strong but external value evidence is weak, flag research-to-value gap.</t>
        </is>
      </c>
      <c r="H21" s="18" t="inlineStr">
        <is>
          <t>Translation review</t>
        </is>
      </c>
      <c r="I21" s="18" t="inlineStr">
        <is>
          <t>Do not double count impact evidence.</t>
        </is>
      </c>
    </row>
    <row r="22">
      <c r="A22" s="18" t="inlineStr">
        <is>
          <t>CD21</t>
        </is>
      </c>
      <c r="B22" s="18" t="inlineStr">
        <is>
          <t>D10</t>
        </is>
      </c>
      <c r="C22" s="18" t="inlineStr">
        <is>
          <t>D11</t>
        </is>
      </c>
      <c r="D22" s="18" t="inlineStr">
        <is>
          <t>Research learning → institutional adaptation</t>
        </is>
      </c>
      <c r="E22" s="18" t="inlineStr">
        <is>
          <t>D10 I01/I02/I13</t>
        </is>
      </c>
      <c r="F22" s="18" t="inlineStr">
        <is>
          <t>D11 I01/I06/I13/I14</t>
        </is>
      </c>
      <c r="G22" s="18" t="inlineStr">
        <is>
          <t>If research is claimed as a sensing/learning mechanism but institutional adaptation does not change, flag learning-loop gap.</t>
        </is>
      </c>
      <c r="H22" s="18" t="inlineStr">
        <is>
          <t>Institutional learning review</t>
        </is>
      </c>
      <c r="I22" s="18" t="inlineStr">
        <is>
          <t>D11 owns adaptation.</t>
        </is>
      </c>
    </row>
    <row r="23">
      <c r="A23" s="18" t="inlineStr">
        <is>
          <t>CD22</t>
        </is>
      </c>
      <c r="B23" s="18" t="inlineStr">
        <is>
          <t>D11</t>
        </is>
      </c>
      <c r="C23" s="18" t="inlineStr">
        <is>
          <t>D01</t>
        </is>
      </c>
      <c r="D23" s="18" t="inlineStr">
        <is>
          <t>Adaptation → strategy</t>
        </is>
      </c>
      <c r="E23" s="18" t="inlineStr">
        <is>
          <t>D11 I01/I02/I06/I13/I14</t>
        </is>
      </c>
      <c r="F23" s="18" t="inlineStr">
        <is>
          <t>D01 I02/I03/I10</t>
        </is>
      </c>
      <c r="G23" s="18" t="inlineStr">
        <is>
          <t>If adaptation evidence is strong but strategic assumptions/plans do not change, flag strategy learning disconnect.</t>
        </is>
      </c>
      <c r="H23" s="18" t="inlineStr">
        <is>
          <t>Strategy learning review</t>
        </is>
      </c>
      <c r="I23" s="18" t="inlineStr">
        <is>
          <t>Do not score the same change twice.</t>
        </is>
      </c>
    </row>
    <row r="24">
      <c r="A24" s="18" t="inlineStr">
        <is>
          <t>CD23</t>
        </is>
      </c>
      <c r="B24" s="18" t="inlineStr">
        <is>
          <t>D11</t>
        </is>
      </c>
      <c r="C24" s="18" t="inlineStr">
        <is>
          <t>D04</t>
        </is>
      </c>
      <c r="D24" s="18" t="inlineStr">
        <is>
          <t>Adaptation → programme redesign</t>
        </is>
      </c>
      <c r="E24" s="18" t="inlineStr">
        <is>
          <t>D11 I02/I04/I07/I09/I10</t>
        </is>
      </c>
      <c r="F24" s="18" t="inlineStr">
        <is>
          <t>D04 I03/I05/I08/I12</t>
        </is>
      </c>
      <c r="G24" s="18" t="inlineStr">
        <is>
          <t>If external change is sensed and action is claimed but programmes do not adapt where applicable, flag change-to-curriculum gap.</t>
        </is>
      </c>
      <c r="H24" s="18" t="inlineStr">
        <is>
          <t>Programme adaptation review</t>
        </is>
      </c>
      <c r="I24" s="18" t="inlineStr">
        <is>
          <t>Adaptation is separate from curriculum mechanics.</t>
        </is>
      </c>
    </row>
    <row r="25">
      <c r="A25" s="18" t="inlineStr">
        <is>
          <t>CD24</t>
        </is>
      </c>
      <c r="B25" s="18" t="inlineStr">
        <is>
          <t>D11</t>
        </is>
      </c>
      <c r="C25" s="18" t="inlineStr">
        <is>
          <t>D05</t>
        </is>
      </c>
      <c r="D25" s="18" t="inlineStr">
        <is>
          <t>Adaptation → workforce transformation</t>
        </is>
      </c>
      <c r="E25" s="18" t="inlineStr">
        <is>
          <t>D11 I02/I07/I08</t>
        </is>
      </c>
      <c r="F25" s="18" t="inlineStr">
        <is>
          <t>D05 I08/I09/I10/I12</t>
        </is>
      </c>
      <c r="G25" s="18" t="inlineStr">
        <is>
          <t>If institutional change is strong but faculty roles/workflows/support do not adapt, flag workforce adaptation gap.</t>
        </is>
      </c>
      <c r="H25" s="18" t="inlineStr">
        <is>
          <t>Academic workforce review</t>
        </is>
      </c>
      <c r="I25" s="18" t="inlineStr">
        <is>
          <t>No D11 uplift from isolated HR activity.</t>
        </is>
      </c>
    </row>
    <row r="26">
      <c r="A26" s="18" t="inlineStr">
        <is>
          <t>CD25</t>
        </is>
      </c>
      <c r="B26" s="18" t="inlineStr">
        <is>
          <t>D11</t>
        </is>
      </c>
      <c r="C26" s="18" t="inlineStr">
        <is>
          <t>D06</t>
        </is>
      </c>
      <c r="D26" s="18" t="inlineStr">
        <is>
          <t>Adaptation → learner response</t>
        </is>
      </c>
      <c r="E26" s="18" t="inlineStr">
        <is>
          <t>D11 I09/I10/I13</t>
        </is>
      </c>
      <c r="F26" s="18" t="inlineStr">
        <is>
          <t>D06 I08/I10/I14</t>
        </is>
      </c>
      <c r="G26" s="18" t="inlineStr">
        <is>
          <t>If learner/workforce signals are sensed but student capability/support does not change, flag learner responsiveness gap.</t>
        </is>
      </c>
      <c r="H26" s="18" t="inlineStr">
        <is>
          <t>Learner response review</t>
        </is>
      </c>
      <c r="I26" s="18" t="inlineStr">
        <is>
          <t>D11 owns institutional response; D06 owns student capability.</t>
        </is>
      </c>
    </row>
  </sheetData>
  <autoFilter ref="A1:I26"/>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K41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34" customWidth="1" min="4" max="4"/>
    <col width="10" customWidth="1" min="5" max="5"/>
    <col width="12" customWidth="1" min="6" max="6"/>
    <col width="38" customWidth="1" min="7" max="7"/>
    <col width="34" customWidth="1" min="8" max="8"/>
    <col width="60" customWidth="1" min="9" max="9"/>
    <col width="28" customWidth="1" min="10" max="10"/>
    <col width="45" customWidth="1" min="11" max="11"/>
  </cols>
  <sheetData>
    <row r="1">
      <c r="A1" s="28" t="inlineStr">
        <is>
          <t>Rule ID</t>
        </is>
      </c>
      <c r="B1" s="28" t="inlineStr">
        <is>
          <t>From Domain</t>
        </is>
      </c>
      <c r="C1" s="28" t="inlineStr">
        <is>
          <t>From Metric ID</t>
        </is>
      </c>
      <c r="D1" s="28" t="inlineStr">
        <is>
          <t>From Metric</t>
        </is>
      </c>
      <c r="E1" s="28" t="inlineStr">
        <is>
          <t>To Domain</t>
        </is>
      </c>
      <c r="F1" s="28" t="inlineStr">
        <is>
          <t>To Metric ID</t>
        </is>
      </c>
      <c r="G1" s="28" t="inlineStr">
        <is>
          <t>To Metric</t>
        </is>
      </c>
      <c r="H1" s="28" t="inlineStr">
        <is>
          <t>Relationship</t>
        </is>
      </c>
      <c r="I1" s="28" t="inlineStr">
        <is>
          <t>Trigger Logic</t>
        </is>
      </c>
      <c r="J1" s="28" t="inlineStr">
        <is>
          <t>Action</t>
        </is>
      </c>
      <c r="K1" s="28" t="inlineStr">
        <is>
          <t>Scoring Protection</t>
        </is>
      </c>
    </row>
    <row r="2">
      <c r="A2" s="18" t="inlineStr">
        <is>
          <t>CD01</t>
        </is>
      </c>
      <c r="B2" s="18" t="inlineStr">
        <is>
          <t>D01</t>
        </is>
      </c>
      <c r="C2" s="18" t="inlineStr">
        <is>
          <t>I01</t>
        </is>
      </c>
      <c r="D2" s="18" t="inlineStr">
        <is>
          <t>Strategic AI Integration</t>
        </is>
      </c>
      <c r="E2" s="18" t="inlineStr">
        <is>
          <t>D03</t>
        </is>
      </c>
      <c r="F2" s="18" t="inlineStr">
        <is>
          <t>I01</t>
        </is>
      </c>
      <c r="G2" s="18" t="inlineStr">
        <is>
          <t>Foundational Knowledge Depth</t>
        </is>
      </c>
      <c r="H2" s="18" t="inlineStr">
        <is>
          <t>Strategic priority → human capability</t>
        </is>
      </c>
      <c r="I2" s="18" t="inlineStr">
        <is>
          <t>If D01 strategic AI/future direction is strong but linked D03 capability architecture is weak, flag strategy-to-capability disconnect.</t>
        </is>
      </c>
      <c r="J2" s="18" t="inlineStr">
        <is>
          <t>D03 deep-dive</t>
        </is>
      </c>
      <c r="K2" s="18" t="inlineStr">
        <is>
          <t>No D01 score uplift from strategic statements.</t>
        </is>
      </c>
    </row>
    <row r="3">
      <c r="A3" s="18" t="inlineStr">
        <is>
          <t>CD01</t>
        </is>
      </c>
      <c r="B3" s="18" t="inlineStr">
        <is>
          <t>D01</t>
        </is>
      </c>
      <c r="C3" s="18" t="inlineStr">
        <is>
          <t>I01</t>
        </is>
      </c>
      <c r="D3" s="18" t="inlineStr">
        <is>
          <t>Strategic AI Integration</t>
        </is>
      </c>
      <c r="E3" s="18" t="inlineStr">
        <is>
          <t>D03</t>
        </is>
      </c>
      <c r="F3" s="18" t="inlineStr">
        <is>
          <t>I02</t>
        </is>
      </c>
      <c r="G3" s="18" t="inlineStr">
        <is>
          <t>Critical Reasoning Development</t>
        </is>
      </c>
      <c r="H3" s="18" t="inlineStr">
        <is>
          <t>Strategic priority → human capability</t>
        </is>
      </c>
      <c r="I3" s="18" t="inlineStr">
        <is>
          <t>If D01 strategic AI/future direction is strong but linked D03 capability architecture is weak, flag strategy-to-capability disconnect.</t>
        </is>
      </c>
      <c r="J3" s="18" t="inlineStr">
        <is>
          <t>D03 deep-dive</t>
        </is>
      </c>
      <c r="K3" s="18" t="inlineStr">
        <is>
          <t>No D01 score uplift from strategic statements.</t>
        </is>
      </c>
    </row>
    <row r="4">
      <c r="A4" s="18" t="inlineStr">
        <is>
          <t>CD01</t>
        </is>
      </c>
      <c r="B4" s="18" t="inlineStr">
        <is>
          <t>D01</t>
        </is>
      </c>
      <c r="C4" s="18" t="inlineStr">
        <is>
          <t>I01</t>
        </is>
      </c>
      <c r="D4" s="18" t="inlineStr">
        <is>
          <t>Strategic AI Integration</t>
        </is>
      </c>
      <c r="E4" s="18" t="inlineStr">
        <is>
          <t>D03</t>
        </is>
      </c>
      <c r="F4" s="18" t="inlineStr">
        <is>
          <t>I05</t>
        </is>
      </c>
      <c r="G4" s="18" t="inlineStr">
        <is>
          <t>Problem Formulation</t>
        </is>
      </c>
      <c r="H4" s="18" t="inlineStr">
        <is>
          <t>Strategic priority → human capability</t>
        </is>
      </c>
      <c r="I4" s="18" t="inlineStr">
        <is>
          <t>If D01 strategic AI/future direction is strong but linked D03 capability architecture is weak, flag strategy-to-capability disconnect.</t>
        </is>
      </c>
      <c r="J4" s="18" t="inlineStr">
        <is>
          <t>D03 deep-dive</t>
        </is>
      </c>
      <c r="K4" s="18" t="inlineStr">
        <is>
          <t>No D01 score uplift from strategic statements.</t>
        </is>
      </c>
    </row>
    <row r="5">
      <c r="A5" s="18" t="inlineStr">
        <is>
          <t>CD01</t>
        </is>
      </c>
      <c r="B5" s="18" t="inlineStr">
        <is>
          <t>D01</t>
        </is>
      </c>
      <c r="C5" s="18" t="inlineStr">
        <is>
          <t>I01</t>
        </is>
      </c>
      <c r="D5" s="18" t="inlineStr">
        <is>
          <t>Strategic AI Integration</t>
        </is>
      </c>
      <c r="E5" s="18" t="inlineStr">
        <is>
          <t>D03</t>
        </is>
      </c>
      <c r="F5" s="18" t="inlineStr">
        <is>
          <t>I07</t>
        </is>
      </c>
      <c r="G5" s="18" t="inlineStr">
        <is>
          <t>Judgement Capability</t>
        </is>
      </c>
      <c r="H5" s="18" t="inlineStr">
        <is>
          <t>Strategic priority → human capability</t>
        </is>
      </c>
      <c r="I5" s="18" t="inlineStr">
        <is>
          <t>If D01 strategic AI/future direction is strong but linked D03 capability architecture is weak, flag strategy-to-capability disconnect.</t>
        </is>
      </c>
      <c r="J5" s="18" t="inlineStr">
        <is>
          <t>D03 deep-dive</t>
        </is>
      </c>
      <c r="K5" s="18" t="inlineStr">
        <is>
          <t>No D01 score uplift from strategic statements.</t>
        </is>
      </c>
    </row>
    <row r="6">
      <c r="A6" s="18" t="inlineStr">
        <is>
          <t>CD01</t>
        </is>
      </c>
      <c r="B6" s="18" t="inlineStr">
        <is>
          <t>D01</t>
        </is>
      </c>
      <c r="C6" s="18" t="inlineStr">
        <is>
          <t>I01</t>
        </is>
      </c>
      <c r="D6" s="18" t="inlineStr">
        <is>
          <t>Strategic AI Integration</t>
        </is>
      </c>
      <c r="E6" s="18" t="inlineStr">
        <is>
          <t>D03</t>
        </is>
      </c>
      <c r="F6" s="18" t="inlineStr">
        <is>
          <t>I15</t>
        </is>
      </c>
      <c r="G6" s="18" t="inlineStr">
        <is>
          <t>Intellectual Agency</t>
        </is>
      </c>
      <c r="H6" s="18" t="inlineStr">
        <is>
          <t>Strategic priority → human capability</t>
        </is>
      </c>
      <c r="I6" s="18" t="inlineStr">
        <is>
          <t>If D01 strategic AI/future direction is strong but linked D03 capability architecture is weak, flag strategy-to-capability disconnect.</t>
        </is>
      </c>
      <c r="J6" s="18" t="inlineStr">
        <is>
          <t>D03 deep-dive</t>
        </is>
      </c>
      <c r="K6" s="18" t="inlineStr">
        <is>
          <t>No D01 score uplift from strategic statements.</t>
        </is>
      </c>
    </row>
    <row r="7">
      <c r="A7" s="18" t="inlineStr">
        <is>
          <t>CD01</t>
        </is>
      </c>
      <c r="B7" s="18" t="inlineStr">
        <is>
          <t>D01</t>
        </is>
      </c>
      <c r="C7" s="18" t="inlineStr">
        <is>
          <t>I01</t>
        </is>
      </c>
      <c r="D7" s="18" t="inlineStr">
        <is>
          <t>Strategic AI Integration</t>
        </is>
      </c>
      <c r="E7" s="18" t="inlineStr">
        <is>
          <t>D03</t>
        </is>
      </c>
      <c r="F7" s="18" t="inlineStr">
        <is>
          <t>I16</t>
        </is>
      </c>
      <c r="G7" s="18" t="inlineStr">
        <is>
          <t>Transfer Capability</t>
        </is>
      </c>
      <c r="H7" s="18" t="inlineStr">
        <is>
          <t>Strategic priority → human capability</t>
        </is>
      </c>
      <c r="I7" s="18" t="inlineStr">
        <is>
          <t>If D01 strategic AI/future direction is strong but linked D03 capability architecture is weak, flag strategy-to-capability disconnect.</t>
        </is>
      </c>
      <c r="J7" s="18" t="inlineStr">
        <is>
          <t>D03 deep-dive</t>
        </is>
      </c>
      <c r="K7" s="18" t="inlineStr">
        <is>
          <t>No D01 score uplift from strategic statements.</t>
        </is>
      </c>
    </row>
    <row r="8">
      <c r="A8" s="18" t="inlineStr">
        <is>
          <t>CD01</t>
        </is>
      </c>
      <c r="B8" s="18" t="inlineStr">
        <is>
          <t>D01</t>
        </is>
      </c>
      <c r="C8" s="18" t="inlineStr">
        <is>
          <t>I03</t>
        </is>
      </c>
      <c r="D8" s="18" t="inlineStr">
        <is>
          <t>Strategic Translation Rate</t>
        </is>
      </c>
      <c r="E8" s="18" t="inlineStr">
        <is>
          <t>D03</t>
        </is>
      </c>
      <c r="F8" s="18" t="inlineStr">
        <is>
          <t>I01</t>
        </is>
      </c>
      <c r="G8" s="18" t="inlineStr">
        <is>
          <t>Foundational Knowledge Depth</t>
        </is>
      </c>
      <c r="H8" s="18" t="inlineStr">
        <is>
          <t>Strategic priority → human capability</t>
        </is>
      </c>
      <c r="I8" s="18" t="inlineStr">
        <is>
          <t>If D01 strategic AI/future direction is strong but linked D03 capability architecture is weak, flag strategy-to-capability disconnect.</t>
        </is>
      </c>
      <c r="J8" s="18" t="inlineStr">
        <is>
          <t>D03 deep-dive</t>
        </is>
      </c>
      <c r="K8" s="18" t="inlineStr">
        <is>
          <t>No D01 score uplift from strategic statements.</t>
        </is>
      </c>
    </row>
    <row r="9">
      <c r="A9" s="18" t="inlineStr">
        <is>
          <t>CD01</t>
        </is>
      </c>
      <c r="B9" s="18" t="inlineStr">
        <is>
          <t>D01</t>
        </is>
      </c>
      <c r="C9" s="18" t="inlineStr">
        <is>
          <t>I03</t>
        </is>
      </c>
      <c r="D9" s="18" t="inlineStr">
        <is>
          <t>Strategic Translation Rate</t>
        </is>
      </c>
      <c r="E9" s="18" t="inlineStr">
        <is>
          <t>D03</t>
        </is>
      </c>
      <c r="F9" s="18" t="inlineStr">
        <is>
          <t>I02</t>
        </is>
      </c>
      <c r="G9" s="18" t="inlineStr">
        <is>
          <t>Critical Reasoning Development</t>
        </is>
      </c>
      <c r="H9" s="18" t="inlineStr">
        <is>
          <t>Strategic priority → human capability</t>
        </is>
      </c>
      <c r="I9" s="18" t="inlineStr">
        <is>
          <t>If D01 strategic AI/future direction is strong but linked D03 capability architecture is weak, flag strategy-to-capability disconnect.</t>
        </is>
      </c>
      <c r="J9" s="18" t="inlineStr">
        <is>
          <t>D03 deep-dive</t>
        </is>
      </c>
      <c r="K9" s="18" t="inlineStr">
        <is>
          <t>No D01 score uplift from strategic statements.</t>
        </is>
      </c>
    </row>
    <row r="10">
      <c r="A10" s="18" t="inlineStr">
        <is>
          <t>CD01</t>
        </is>
      </c>
      <c r="B10" s="18" t="inlineStr">
        <is>
          <t>D01</t>
        </is>
      </c>
      <c r="C10" s="18" t="inlineStr">
        <is>
          <t>I03</t>
        </is>
      </c>
      <c r="D10" s="18" t="inlineStr">
        <is>
          <t>Strategic Translation Rate</t>
        </is>
      </c>
      <c r="E10" s="18" t="inlineStr">
        <is>
          <t>D03</t>
        </is>
      </c>
      <c r="F10" s="18" t="inlineStr">
        <is>
          <t>I05</t>
        </is>
      </c>
      <c r="G10" s="18" t="inlineStr">
        <is>
          <t>Problem Formulation</t>
        </is>
      </c>
      <c r="H10" s="18" t="inlineStr">
        <is>
          <t>Strategic priority → human capability</t>
        </is>
      </c>
      <c r="I10" s="18" t="inlineStr">
        <is>
          <t>If D01 strategic AI/future direction is strong but linked D03 capability architecture is weak, flag strategy-to-capability disconnect.</t>
        </is>
      </c>
      <c r="J10" s="18" t="inlineStr">
        <is>
          <t>D03 deep-dive</t>
        </is>
      </c>
      <c r="K10" s="18" t="inlineStr">
        <is>
          <t>No D01 score uplift from strategic statements.</t>
        </is>
      </c>
    </row>
    <row r="11">
      <c r="A11" s="18" t="inlineStr">
        <is>
          <t>CD01</t>
        </is>
      </c>
      <c r="B11" s="18" t="inlineStr">
        <is>
          <t>D01</t>
        </is>
      </c>
      <c r="C11" s="18" t="inlineStr">
        <is>
          <t>I03</t>
        </is>
      </c>
      <c r="D11" s="18" t="inlineStr">
        <is>
          <t>Strategic Translation Rate</t>
        </is>
      </c>
      <c r="E11" s="18" t="inlineStr">
        <is>
          <t>D03</t>
        </is>
      </c>
      <c r="F11" s="18" t="inlineStr">
        <is>
          <t>I07</t>
        </is>
      </c>
      <c r="G11" s="18" t="inlineStr">
        <is>
          <t>Judgement Capability</t>
        </is>
      </c>
      <c r="H11" s="18" t="inlineStr">
        <is>
          <t>Strategic priority → human capability</t>
        </is>
      </c>
      <c r="I11" s="18" t="inlineStr">
        <is>
          <t>If D01 strategic AI/future direction is strong but linked D03 capability architecture is weak, flag strategy-to-capability disconnect.</t>
        </is>
      </c>
      <c r="J11" s="18" t="inlineStr">
        <is>
          <t>D03 deep-dive</t>
        </is>
      </c>
      <c r="K11" s="18" t="inlineStr">
        <is>
          <t>No D01 score uplift from strategic statements.</t>
        </is>
      </c>
    </row>
    <row r="12">
      <c r="A12" s="18" t="inlineStr">
        <is>
          <t>CD01</t>
        </is>
      </c>
      <c r="B12" s="18" t="inlineStr">
        <is>
          <t>D01</t>
        </is>
      </c>
      <c r="C12" s="18" t="inlineStr">
        <is>
          <t>I03</t>
        </is>
      </c>
      <c r="D12" s="18" t="inlineStr">
        <is>
          <t>Strategic Translation Rate</t>
        </is>
      </c>
      <c r="E12" s="18" t="inlineStr">
        <is>
          <t>D03</t>
        </is>
      </c>
      <c r="F12" s="18" t="inlineStr">
        <is>
          <t>I15</t>
        </is>
      </c>
      <c r="G12" s="18" t="inlineStr">
        <is>
          <t>Intellectual Agency</t>
        </is>
      </c>
      <c r="H12" s="18" t="inlineStr">
        <is>
          <t>Strategic priority → human capability</t>
        </is>
      </c>
      <c r="I12" s="18" t="inlineStr">
        <is>
          <t>If D01 strategic AI/future direction is strong but linked D03 capability architecture is weak, flag strategy-to-capability disconnect.</t>
        </is>
      </c>
      <c r="J12" s="18" t="inlineStr">
        <is>
          <t>D03 deep-dive</t>
        </is>
      </c>
      <c r="K12" s="18" t="inlineStr">
        <is>
          <t>No D01 score uplift from strategic statements.</t>
        </is>
      </c>
    </row>
    <row r="13">
      <c r="A13" s="18" t="inlineStr">
        <is>
          <t>CD01</t>
        </is>
      </c>
      <c r="B13" s="18" t="inlineStr">
        <is>
          <t>D01</t>
        </is>
      </c>
      <c r="C13" s="18" t="inlineStr">
        <is>
          <t>I03</t>
        </is>
      </c>
      <c r="D13" s="18" t="inlineStr">
        <is>
          <t>Strategic Translation Rate</t>
        </is>
      </c>
      <c r="E13" s="18" t="inlineStr">
        <is>
          <t>D03</t>
        </is>
      </c>
      <c r="F13" s="18" t="inlineStr">
        <is>
          <t>I16</t>
        </is>
      </c>
      <c r="G13" s="18" t="inlineStr">
        <is>
          <t>Transfer Capability</t>
        </is>
      </c>
      <c r="H13" s="18" t="inlineStr">
        <is>
          <t>Strategic priority → human capability</t>
        </is>
      </c>
      <c r="I13" s="18" t="inlineStr">
        <is>
          <t>If D01 strategic AI/future direction is strong but linked D03 capability architecture is weak, flag strategy-to-capability disconnect.</t>
        </is>
      </c>
      <c r="J13" s="18" t="inlineStr">
        <is>
          <t>D03 deep-dive</t>
        </is>
      </c>
      <c r="K13" s="18" t="inlineStr">
        <is>
          <t>No D01 score uplift from strategic statements.</t>
        </is>
      </c>
    </row>
    <row r="14">
      <c r="A14" s="18" t="inlineStr">
        <is>
          <t>CD02</t>
        </is>
      </c>
      <c r="B14" s="18" t="inlineStr">
        <is>
          <t>D01</t>
        </is>
      </c>
      <c r="C14" s="18" t="inlineStr">
        <is>
          <t>I01</t>
        </is>
      </c>
      <c r="D14" s="18" t="inlineStr">
        <is>
          <t>Strategic AI Integration</t>
        </is>
      </c>
      <c r="E14" s="18" t="inlineStr">
        <is>
          <t>D02</t>
        </is>
      </c>
      <c r="F14" s="18" t="inlineStr">
        <is>
          <t>I01</t>
        </is>
      </c>
      <c r="G14" s="18" t="inlineStr">
        <is>
          <t>Governance Ownership</t>
        </is>
      </c>
      <c r="H14" s="18" t="inlineStr">
        <is>
          <t>AI direction → governance coverage</t>
        </is>
      </c>
      <c r="I14" s="18" t="inlineStr">
        <is>
          <t>If consequential AI activity/experimentation is strong while governance/risk controls are weak, flag governance exposure.</t>
        </is>
      </c>
      <c r="J14" s="18" t="inlineStr">
        <is>
          <t>Governance review</t>
        </is>
      </c>
      <c r="K14" s="18" t="inlineStr">
        <is>
          <t>Do not compensate D02 weakness with D01 maturity.</t>
        </is>
      </c>
    </row>
    <row r="15">
      <c r="A15" s="18" t="inlineStr">
        <is>
          <t>CD02</t>
        </is>
      </c>
      <c r="B15" s="18" t="inlineStr">
        <is>
          <t>D01</t>
        </is>
      </c>
      <c r="C15" s="18" t="inlineStr">
        <is>
          <t>I01</t>
        </is>
      </c>
      <c r="D15" s="18" t="inlineStr">
        <is>
          <t>Strategic AI Integration</t>
        </is>
      </c>
      <c r="E15" s="18" t="inlineStr">
        <is>
          <t>D02</t>
        </is>
      </c>
      <c r="F15" s="18" t="inlineStr">
        <is>
          <t>I03</t>
        </is>
      </c>
      <c r="G15" s="18" t="inlineStr">
        <is>
          <t>Responsible AI Maturity</t>
        </is>
      </c>
      <c r="H15" s="18" t="inlineStr">
        <is>
          <t>AI direction → governance coverage</t>
        </is>
      </c>
      <c r="I15" s="18" t="inlineStr">
        <is>
          <t>If consequential AI activity/experimentation is strong while governance/risk controls are weak, flag governance exposure.</t>
        </is>
      </c>
      <c r="J15" s="18" t="inlineStr">
        <is>
          <t>Governance review</t>
        </is>
      </c>
      <c r="K15" s="18" t="inlineStr">
        <is>
          <t>Do not compensate D02 weakness with D01 maturity.</t>
        </is>
      </c>
    </row>
    <row r="16">
      <c r="A16" s="18" t="inlineStr">
        <is>
          <t>CD02</t>
        </is>
      </c>
      <c r="B16" s="18" t="inlineStr">
        <is>
          <t>D01</t>
        </is>
      </c>
      <c r="C16" s="18" t="inlineStr">
        <is>
          <t>I01</t>
        </is>
      </c>
      <c r="D16" s="18" t="inlineStr">
        <is>
          <t>Strategic AI Integration</t>
        </is>
      </c>
      <c r="E16" s="18" t="inlineStr">
        <is>
          <t>D02</t>
        </is>
      </c>
      <c r="F16" s="18" t="inlineStr">
        <is>
          <t>I07</t>
        </is>
      </c>
      <c r="G16" s="18" t="inlineStr">
        <is>
          <t>AI Risk Management</t>
        </is>
      </c>
      <c r="H16" s="18" t="inlineStr">
        <is>
          <t>AI direction → governance coverage</t>
        </is>
      </c>
      <c r="I16" s="18" t="inlineStr">
        <is>
          <t>If consequential AI activity/experimentation is strong while governance/risk controls are weak, flag governance exposure.</t>
        </is>
      </c>
      <c r="J16" s="18" t="inlineStr">
        <is>
          <t>Governance review</t>
        </is>
      </c>
      <c r="K16" s="18" t="inlineStr">
        <is>
          <t>Do not compensate D02 weakness with D01 maturity.</t>
        </is>
      </c>
    </row>
    <row r="17">
      <c r="A17" s="18" t="inlineStr">
        <is>
          <t>CD02</t>
        </is>
      </c>
      <c r="B17" s="18" t="inlineStr">
        <is>
          <t>D01</t>
        </is>
      </c>
      <c r="C17" s="18" t="inlineStr">
        <is>
          <t>I01</t>
        </is>
      </c>
      <c r="D17" s="18" t="inlineStr">
        <is>
          <t>Strategic AI Integration</t>
        </is>
      </c>
      <c r="E17" s="18" t="inlineStr">
        <is>
          <t>D02</t>
        </is>
      </c>
      <c r="F17" s="18" t="inlineStr">
        <is>
          <t>I13</t>
        </is>
      </c>
      <c r="G17" s="18" t="inlineStr">
        <is>
          <t>Governance Review Adaptability</t>
        </is>
      </c>
      <c r="H17" s="18" t="inlineStr">
        <is>
          <t>AI direction → governance coverage</t>
        </is>
      </c>
      <c r="I17" s="18" t="inlineStr">
        <is>
          <t>If consequential AI activity/experimentation is strong while governance/risk controls are weak, flag governance exposure.</t>
        </is>
      </c>
      <c r="J17" s="18" t="inlineStr">
        <is>
          <t>Governance review</t>
        </is>
      </c>
      <c r="K17" s="18" t="inlineStr">
        <is>
          <t>Do not compensate D02 weakness with D01 maturity.</t>
        </is>
      </c>
    </row>
    <row r="18">
      <c r="A18" s="18" t="inlineStr">
        <is>
          <t>CD02</t>
        </is>
      </c>
      <c r="B18" s="18" t="inlineStr">
        <is>
          <t>D01</t>
        </is>
      </c>
      <c r="C18" s="18" t="inlineStr">
        <is>
          <t>I06</t>
        </is>
      </c>
      <c r="D18" s="18" t="inlineStr">
        <is>
          <t>Foresight Response Architecture</t>
        </is>
      </c>
      <c r="E18" s="18" t="inlineStr">
        <is>
          <t>D02</t>
        </is>
      </c>
      <c r="F18" s="18" t="inlineStr">
        <is>
          <t>I01</t>
        </is>
      </c>
      <c r="G18" s="18" t="inlineStr">
        <is>
          <t>Governance Ownership</t>
        </is>
      </c>
      <c r="H18" s="18" t="inlineStr">
        <is>
          <t>AI direction → governance coverage</t>
        </is>
      </c>
      <c r="I18" s="18" t="inlineStr">
        <is>
          <t>If consequential AI activity/experimentation is strong while governance/risk controls are weak, flag governance exposure.</t>
        </is>
      </c>
      <c r="J18" s="18" t="inlineStr">
        <is>
          <t>Governance review</t>
        </is>
      </c>
      <c r="K18" s="18" t="inlineStr">
        <is>
          <t>Do not compensate D02 weakness with D01 maturity.</t>
        </is>
      </c>
    </row>
    <row r="19">
      <c r="A19" s="18" t="inlineStr">
        <is>
          <t>CD02</t>
        </is>
      </c>
      <c r="B19" s="18" t="inlineStr">
        <is>
          <t>D01</t>
        </is>
      </c>
      <c r="C19" s="18" t="inlineStr">
        <is>
          <t>I06</t>
        </is>
      </c>
      <c r="D19" s="18" t="inlineStr">
        <is>
          <t>Foresight Response Architecture</t>
        </is>
      </c>
      <c r="E19" s="18" t="inlineStr">
        <is>
          <t>D02</t>
        </is>
      </c>
      <c r="F19" s="18" t="inlineStr">
        <is>
          <t>I03</t>
        </is>
      </c>
      <c r="G19" s="18" t="inlineStr">
        <is>
          <t>Responsible AI Maturity</t>
        </is>
      </c>
      <c r="H19" s="18" t="inlineStr">
        <is>
          <t>AI direction → governance coverage</t>
        </is>
      </c>
      <c r="I19" s="18" t="inlineStr">
        <is>
          <t>If consequential AI activity/experimentation is strong while governance/risk controls are weak, flag governance exposure.</t>
        </is>
      </c>
      <c r="J19" s="18" t="inlineStr">
        <is>
          <t>Governance review</t>
        </is>
      </c>
      <c r="K19" s="18" t="inlineStr">
        <is>
          <t>Do not compensate D02 weakness with D01 maturity.</t>
        </is>
      </c>
    </row>
    <row r="20">
      <c r="A20" s="18" t="inlineStr">
        <is>
          <t>CD02</t>
        </is>
      </c>
      <c r="B20" s="18" t="inlineStr">
        <is>
          <t>D01</t>
        </is>
      </c>
      <c r="C20" s="18" t="inlineStr">
        <is>
          <t>I06</t>
        </is>
      </c>
      <c r="D20" s="18" t="inlineStr">
        <is>
          <t>Foresight Response Architecture</t>
        </is>
      </c>
      <c r="E20" s="18" t="inlineStr">
        <is>
          <t>D02</t>
        </is>
      </c>
      <c r="F20" s="18" t="inlineStr">
        <is>
          <t>I07</t>
        </is>
      </c>
      <c r="G20" s="18" t="inlineStr">
        <is>
          <t>AI Risk Management</t>
        </is>
      </c>
      <c r="H20" s="18" t="inlineStr">
        <is>
          <t>AI direction → governance coverage</t>
        </is>
      </c>
      <c r="I20" s="18" t="inlineStr">
        <is>
          <t>If consequential AI activity/experimentation is strong while governance/risk controls are weak, flag governance exposure.</t>
        </is>
      </c>
      <c r="J20" s="18" t="inlineStr">
        <is>
          <t>Governance review</t>
        </is>
      </c>
      <c r="K20" s="18" t="inlineStr">
        <is>
          <t>Do not compensate D02 weakness with D01 maturity.</t>
        </is>
      </c>
    </row>
    <row r="21">
      <c r="A21" s="18" t="inlineStr">
        <is>
          <t>CD02</t>
        </is>
      </c>
      <c r="B21" s="18" t="inlineStr">
        <is>
          <t>D01</t>
        </is>
      </c>
      <c r="C21" s="18" t="inlineStr">
        <is>
          <t>I06</t>
        </is>
      </c>
      <c r="D21" s="18" t="inlineStr">
        <is>
          <t>Foresight Response Architecture</t>
        </is>
      </c>
      <c r="E21" s="18" t="inlineStr">
        <is>
          <t>D02</t>
        </is>
      </c>
      <c r="F21" s="18" t="inlineStr">
        <is>
          <t>I13</t>
        </is>
      </c>
      <c r="G21" s="18" t="inlineStr">
        <is>
          <t>Governance Review Adaptability</t>
        </is>
      </c>
      <c r="H21" s="18" t="inlineStr">
        <is>
          <t>AI direction → governance coverage</t>
        </is>
      </c>
      <c r="I21" s="18" t="inlineStr">
        <is>
          <t>If consequential AI activity/experimentation is strong while governance/risk controls are weak, flag governance exposure.</t>
        </is>
      </c>
      <c r="J21" s="18" t="inlineStr">
        <is>
          <t>Governance review</t>
        </is>
      </c>
      <c r="K21" s="18" t="inlineStr">
        <is>
          <t>Do not compensate D02 weakness with D01 maturity.</t>
        </is>
      </c>
    </row>
    <row r="22">
      <c r="A22" s="18" t="inlineStr">
        <is>
          <t>CD02</t>
        </is>
      </c>
      <c r="B22" s="18" t="inlineStr">
        <is>
          <t>D01</t>
        </is>
      </c>
      <c r="C22" s="18" t="inlineStr">
        <is>
          <t>I09</t>
        </is>
      </c>
      <c r="D22" s="18" t="inlineStr">
        <is>
          <t>Experimentation Effectiveness</t>
        </is>
      </c>
      <c r="E22" s="18" t="inlineStr">
        <is>
          <t>D02</t>
        </is>
      </c>
      <c r="F22" s="18" t="inlineStr">
        <is>
          <t>I01</t>
        </is>
      </c>
      <c r="G22" s="18" t="inlineStr">
        <is>
          <t>Governance Ownership</t>
        </is>
      </c>
      <c r="H22" s="18" t="inlineStr">
        <is>
          <t>AI direction → governance coverage</t>
        </is>
      </c>
      <c r="I22" s="18" t="inlineStr">
        <is>
          <t>If consequential AI activity/experimentation is strong while governance/risk controls are weak, flag governance exposure.</t>
        </is>
      </c>
      <c r="J22" s="18" t="inlineStr">
        <is>
          <t>Governance review</t>
        </is>
      </c>
      <c r="K22" s="18" t="inlineStr">
        <is>
          <t>Do not compensate D02 weakness with D01 maturity.</t>
        </is>
      </c>
    </row>
    <row r="23">
      <c r="A23" s="18" t="inlineStr">
        <is>
          <t>CD02</t>
        </is>
      </c>
      <c r="B23" s="18" t="inlineStr">
        <is>
          <t>D01</t>
        </is>
      </c>
      <c r="C23" s="18" t="inlineStr">
        <is>
          <t>I09</t>
        </is>
      </c>
      <c r="D23" s="18" t="inlineStr">
        <is>
          <t>Experimentation Effectiveness</t>
        </is>
      </c>
      <c r="E23" s="18" t="inlineStr">
        <is>
          <t>D02</t>
        </is>
      </c>
      <c r="F23" s="18" t="inlineStr">
        <is>
          <t>I03</t>
        </is>
      </c>
      <c r="G23" s="18" t="inlineStr">
        <is>
          <t>Responsible AI Maturity</t>
        </is>
      </c>
      <c r="H23" s="18" t="inlineStr">
        <is>
          <t>AI direction → governance coverage</t>
        </is>
      </c>
      <c r="I23" s="18" t="inlineStr">
        <is>
          <t>If consequential AI activity/experimentation is strong while governance/risk controls are weak, flag governance exposure.</t>
        </is>
      </c>
      <c r="J23" s="18" t="inlineStr">
        <is>
          <t>Governance review</t>
        </is>
      </c>
      <c r="K23" s="18" t="inlineStr">
        <is>
          <t>Do not compensate D02 weakness with D01 maturity.</t>
        </is>
      </c>
    </row>
    <row r="24">
      <c r="A24" s="18" t="inlineStr">
        <is>
          <t>CD02</t>
        </is>
      </c>
      <c r="B24" s="18" t="inlineStr">
        <is>
          <t>D01</t>
        </is>
      </c>
      <c r="C24" s="18" t="inlineStr">
        <is>
          <t>I09</t>
        </is>
      </c>
      <c r="D24" s="18" t="inlineStr">
        <is>
          <t>Experimentation Effectiveness</t>
        </is>
      </c>
      <c r="E24" s="18" t="inlineStr">
        <is>
          <t>D02</t>
        </is>
      </c>
      <c r="F24" s="18" t="inlineStr">
        <is>
          <t>I07</t>
        </is>
      </c>
      <c r="G24" s="18" t="inlineStr">
        <is>
          <t>AI Risk Management</t>
        </is>
      </c>
      <c r="H24" s="18" t="inlineStr">
        <is>
          <t>AI direction → governance coverage</t>
        </is>
      </c>
      <c r="I24" s="18" t="inlineStr">
        <is>
          <t>If consequential AI activity/experimentation is strong while governance/risk controls are weak, flag governance exposure.</t>
        </is>
      </c>
      <c r="J24" s="18" t="inlineStr">
        <is>
          <t>Governance review</t>
        </is>
      </c>
      <c r="K24" s="18" t="inlineStr">
        <is>
          <t>Do not compensate D02 weakness with D01 maturity.</t>
        </is>
      </c>
    </row>
    <row r="25">
      <c r="A25" s="18" t="inlineStr">
        <is>
          <t>CD02</t>
        </is>
      </c>
      <c r="B25" s="18" t="inlineStr">
        <is>
          <t>D01</t>
        </is>
      </c>
      <c r="C25" s="18" t="inlineStr">
        <is>
          <t>I09</t>
        </is>
      </c>
      <c r="D25" s="18" t="inlineStr">
        <is>
          <t>Experimentation Effectiveness</t>
        </is>
      </c>
      <c r="E25" s="18" t="inlineStr">
        <is>
          <t>D02</t>
        </is>
      </c>
      <c r="F25" s="18" t="inlineStr">
        <is>
          <t>I13</t>
        </is>
      </c>
      <c r="G25" s="18" t="inlineStr">
        <is>
          <t>Governance Review Adaptability</t>
        </is>
      </c>
      <c r="H25" s="18" t="inlineStr">
        <is>
          <t>AI direction → governance coverage</t>
        </is>
      </c>
      <c r="I25" s="18" t="inlineStr">
        <is>
          <t>If consequential AI activity/experimentation is strong while governance/risk controls are weak, flag governance exposure.</t>
        </is>
      </c>
      <c r="J25" s="18" t="inlineStr">
        <is>
          <t>Governance review</t>
        </is>
      </c>
      <c r="K25" s="18" t="inlineStr">
        <is>
          <t>Do not compensate D02 weakness with D01 maturity.</t>
        </is>
      </c>
    </row>
    <row r="26">
      <c r="A26" s="18" t="inlineStr">
        <is>
          <t>CD03</t>
        </is>
      </c>
      <c r="B26" s="18" t="inlineStr">
        <is>
          <t>D01</t>
        </is>
      </c>
      <c r="C26" s="18" t="inlineStr">
        <is>
          <t>I02</t>
        </is>
      </c>
      <c r="D26" s="18" t="inlineStr">
        <is>
          <t>Future Foresight Maturity</t>
        </is>
      </c>
      <c r="E26" s="18" t="inlineStr">
        <is>
          <t>D04</t>
        </is>
      </c>
      <c r="F26" s="18" t="inlineStr">
        <is>
          <t>I01</t>
        </is>
      </c>
      <c r="G26" s="18" t="inlineStr">
        <is>
          <t>Curriculum Sensing Maturity</t>
        </is>
      </c>
      <c r="H26" s="18" t="inlineStr">
        <is>
          <t>Portfolio foresight → programme response</t>
        </is>
      </c>
      <c r="I26" s="18" t="inlineStr">
        <is>
          <t>If institutional foresight is strong but programme review/change is weak, flag strategy-to-portfolio execution gap.</t>
        </is>
      </c>
      <c r="J26" s="18" t="inlineStr">
        <is>
          <t>Programme portfolio review</t>
        </is>
      </c>
      <c r="K26" s="18" t="inlineStr">
        <is>
          <t>Same review event cannot score both domains.</t>
        </is>
      </c>
    </row>
    <row r="27">
      <c r="A27" s="18" t="inlineStr">
        <is>
          <t>CD03</t>
        </is>
      </c>
      <c r="B27" s="18" t="inlineStr">
        <is>
          <t>D01</t>
        </is>
      </c>
      <c r="C27" s="18" t="inlineStr">
        <is>
          <t>I02</t>
        </is>
      </c>
      <c r="D27" s="18" t="inlineStr">
        <is>
          <t>Future Foresight Maturity</t>
        </is>
      </c>
      <c r="E27" s="18" t="inlineStr">
        <is>
          <t>D04</t>
        </is>
      </c>
      <c r="F27" s="18" t="inlineStr">
        <is>
          <t>I03</t>
        </is>
      </c>
      <c r="G27" s="18" t="inlineStr">
        <is>
          <t>Programme Review Effectiveness</t>
        </is>
      </c>
      <c r="H27" s="18" t="inlineStr">
        <is>
          <t>Portfolio foresight → programme response</t>
        </is>
      </c>
      <c r="I27" s="18" t="inlineStr">
        <is>
          <t>If institutional foresight is strong but programme review/change is weak, flag strategy-to-portfolio execution gap.</t>
        </is>
      </c>
      <c r="J27" s="18" t="inlineStr">
        <is>
          <t>Programme portfolio review</t>
        </is>
      </c>
      <c r="K27" s="18" t="inlineStr">
        <is>
          <t>Same review event cannot score both domains.</t>
        </is>
      </c>
    </row>
    <row r="28">
      <c r="A28" s="18" t="inlineStr">
        <is>
          <t>CD03</t>
        </is>
      </c>
      <c r="B28" s="18" t="inlineStr">
        <is>
          <t>D01</t>
        </is>
      </c>
      <c r="C28" s="18" t="inlineStr">
        <is>
          <t>I02</t>
        </is>
      </c>
      <c r="D28" s="18" t="inlineStr">
        <is>
          <t>Future Foresight Maturity</t>
        </is>
      </c>
      <c r="E28" s="18" t="inlineStr">
        <is>
          <t>D04</t>
        </is>
      </c>
      <c r="F28" s="18" t="inlineStr">
        <is>
          <t>I05</t>
        </is>
      </c>
      <c r="G28" s="18" t="inlineStr">
        <is>
          <t>Content Obsolescence Response</t>
        </is>
      </c>
      <c r="H28" s="18" t="inlineStr">
        <is>
          <t>Portfolio foresight → programme response</t>
        </is>
      </c>
      <c r="I28" s="18" t="inlineStr">
        <is>
          <t>If institutional foresight is strong but programme review/change is weak, flag strategy-to-portfolio execution gap.</t>
        </is>
      </c>
      <c r="J28" s="18" t="inlineStr">
        <is>
          <t>Programme portfolio review</t>
        </is>
      </c>
      <c r="K28" s="18" t="inlineStr">
        <is>
          <t>Same review event cannot score both domains.</t>
        </is>
      </c>
    </row>
    <row r="29">
      <c r="A29" s="18" t="inlineStr">
        <is>
          <t>CD03</t>
        </is>
      </c>
      <c r="B29" s="18" t="inlineStr">
        <is>
          <t>D01</t>
        </is>
      </c>
      <c r="C29" s="18" t="inlineStr">
        <is>
          <t>I02</t>
        </is>
      </c>
      <c r="D29" s="18" t="inlineStr">
        <is>
          <t>Future Foresight Maturity</t>
        </is>
      </c>
      <c r="E29" s="18" t="inlineStr">
        <is>
          <t>D04</t>
        </is>
      </c>
      <c r="F29" s="18" t="inlineStr">
        <is>
          <t>I08</t>
        </is>
      </c>
      <c r="G29" s="18" t="inlineStr">
        <is>
          <t>Programme Agility</t>
        </is>
      </c>
      <c r="H29" s="18" t="inlineStr">
        <is>
          <t>Portfolio foresight → programme response</t>
        </is>
      </c>
      <c r="I29" s="18" t="inlineStr">
        <is>
          <t>If institutional foresight is strong but programme review/change is weak, flag strategy-to-portfolio execution gap.</t>
        </is>
      </c>
      <c r="J29" s="18" t="inlineStr">
        <is>
          <t>Programme portfolio review</t>
        </is>
      </c>
      <c r="K29" s="18" t="inlineStr">
        <is>
          <t>Same review event cannot score both domains.</t>
        </is>
      </c>
    </row>
    <row r="30">
      <c r="A30" s="18" t="inlineStr">
        <is>
          <t>CD03</t>
        </is>
      </c>
      <c r="B30" s="18" t="inlineStr">
        <is>
          <t>D01</t>
        </is>
      </c>
      <c r="C30" s="18" t="inlineStr">
        <is>
          <t>I02</t>
        </is>
      </c>
      <c r="D30" s="18" t="inlineStr">
        <is>
          <t>Future Foresight Maturity</t>
        </is>
      </c>
      <c r="E30" s="18" t="inlineStr">
        <is>
          <t>D04</t>
        </is>
      </c>
      <c r="F30" s="18" t="inlineStr">
        <is>
          <t>I12</t>
        </is>
      </c>
      <c r="G30" s="18" t="inlineStr">
        <is>
          <t>Portfolio Foresight</t>
        </is>
      </c>
      <c r="H30" s="18" t="inlineStr">
        <is>
          <t>Portfolio foresight → programme response</t>
        </is>
      </c>
      <c r="I30" s="18" t="inlineStr">
        <is>
          <t>If institutional foresight is strong but programme review/change is weak, flag strategy-to-portfolio execution gap.</t>
        </is>
      </c>
      <c r="J30" s="18" t="inlineStr">
        <is>
          <t>Programme portfolio review</t>
        </is>
      </c>
      <c r="K30" s="18" t="inlineStr">
        <is>
          <t>Same review event cannot score both domains.</t>
        </is>
      </c>
    </row>
    <row r="31">
      <c r="A31" s="18" t="inlineStr">
        <is>
          <t>CD03</t>
        </is>
      </c>
      <c r="B31" s="18" t="inlineStr">
        <is>
          <t>D01</t>
        </is>
      </c>
      <c r="C31" s="18" t="inlineStr">
        <is>
          <t>I04</t>
        </is>
      </c>
      <c r="D31" s="18" t="inlineStr">
        <is>
          <t>Programme Future-Review Coverage</t>
        </is>
      </c>
      <c r="E31" s="18" t="inlineStr">
        <is>
          <t>D04</t>
        </is>
      </c>
      <c r="F31" s="18" t="inlineStr">
        <is>
          <t>I01</t>
        </is>
      </c>
      <c r="G31" s="18" t="inlineStr">
        <is>
          <t>Curriculum Sensing Maturity</t>
        </is>
      </c>
      <c r="H31" s="18" t="inlineStr">
        <is>
          <t>Portfolio foresight → programme response</t>
        </is>
      </c>
      <c r="I31" s="18" t="inlineStr">
        <is>
          <t>If institutional foresight is strong but programme review/change is weak, flag strategy-to-portfolio execution gap.</t>
        </is>
      </c>
      <c r="J31" s="18" t="inlineStr">
        <is>
          <t>Programme portfolio review</t>
        </is>
      </c>
      <c r="K31" s="18" t="inlineStr">
        <is>
          <t>Same review event cannot score both domains.</t>
        </is>
      </c>
    </row>
    <row r="32">
      <c r="A32" s="18" t="inlineStr">
        <is>
          <t>CD03</t>
        </is>
      </c>
      <c r="B32" s="18" t="inlineStr">
        <is>
          <t>D01</t>
        </is>
      </c>
      <c r="C32" s="18" t="inlineStr">
        <is>
          <t>I04</t>
        </is>
      </c>
      <c r="D32" s="18" t="inlineStr">
        <is>
          <t>Programme Future-Review Coverage</t>
        </is>
      </c>
      <c r="E32" s="18" t="inlineStr">
        <is>
          <t>D04</t>
        </is>
      </c>
      <c r="F32" s="18" t="inlineStr">
        <is>
          <t>I03</t>
        </is>
      </c>
      <c r="G32" s="18" t="inlineStr">
        <is>
          <t>Programme Review Effectiveness</t>
        </is>
      </c>
      <c r="H32" s="18" t="inlineStr">
        <is>
          <t>Portfolio foresight → programme response</t>
        </is>
      </c>
      <c r="I32" s="18" t="inlineStr">
        <is>
          <t>If institutional foresight is strong but programme review/change is weak, flag strategy-to-portfolio execution gap.</t>
        </is>
      </c>
      <c r="J32" s="18" t="inlineStr">
        <is>
          <t>Programme portfolio review</t>
        </is>
      </c>
      <c r="K32" s="18" t="inlineStr">
        <is>
          <t>Same review event cannot score both domains.</t>
        </is>
      </c>
    </row>
    <row r="33">
      <c r="A33" s="18" t="inlineStr">
        <is>
          <t>CD03</t>
        </is>
      </c>
      <c r="B33" s="18" t="inlineStr">
        <is>
          <t>D01</t>
        </is>
      </c>
      <c r="C33" s="18" t="inlineStr">
        <is>
          <t>I04</t>
        </is>
      </c>
      <c r="D33" s="18" t="inlineStr">
        <is>
          <t>Programme Future-Review Coverage</t>
        </is>
      </c>
      <c r="E33" s="18" t="inlineStr">
        <is>
          <t>D04</t>
        </is>
      </c>
      <c r="F33" s="18" t="inlineStr">
        <is>
          <t>I05</t>
        </is>
      </c>
      <c r="G33" s="18" t="inlineStr">
        <is>
          <t>Content Obsolescence Response</t>
        </is>
      </c>
      <c r="H33" s="18" t="inlineStr">
        <is>
          <t>Portfolio foresight → programme response</t>
        </is>
      </c>
      <c r="I33" s="18" t="inlineStr">
        <is>
          <t>If institutional foresight is strong but programme review/change is weak, flag strategy-to-portfolio execution gap.</t>
        </is>
      </c>
      <c r="J33" s="18" t="inlineStr">
        <is>
          <t>Programme portfolio review</t>
        </is>
      </c>
      <c r="K33" s="18" t="inlineStr">
        <is>
          <t>Same review event cannot score both domains.</t>
        </is>
      </c>
    </row>
    <row r="34">
      <c r="A34" s="18" t="inlineStr">
        <is>
          <t>CD03</t>
        </is>
      </c>
      <c r="B34" s="18" t="inlineStr">
        <is>
          <t>D01</t>
        </is>
      </c>
      <c r="C34" s="18" t="inlineStr">
        <is>
          <t>I04</t>
        </is>
      </c>
      <c r="D34" s="18" t="inlineStr">
        <is>
          <t>Programme Future-Review Coverage</t>
        </is>
      </c>
      <c r="E34" s="18" t="inlineStr">
        <is>
          <t>D04</t>
        </is>
      </c>
      <c r="F34" s="18" t="inlineStr">
        <is>
          <t>I08</t>
        </is>
      </c>
      <c r="G34" s="18" t="inlineStr">
        <is>
          <t>Programme Agility</t>
        </is>
      </c>
      <c r="H34" s="18" t="inlineStr">
        <is>
          <t>Portfolio foresight → programme response</t>
        </is>
      </c>
      <c r="I34" s="18" t="inlineStr">
        <is>
          <t>If institutional foresight is strong but programme review/change is weak, flag strategy-to-portfolio execution gap.</t>
        </is>
      </c>
      <c r="J34" s="18" t="inlineStr">
        <is>
          <t>Programme portfolio review</t>
        </is>
      </c>
      <c r="K34" s="18" t="inlineStr">
        <is>
          <t>Same review event cannot score both domains.</t>
        </is>
      </c>
    </row>
    <row r="35">
      <c r="A35" s="18" t="inlineStr">
        <is>
          <t>CD03</t>
        </is>
      </c>
      <c r="B35" s="18" t="inlineStr">
        <is>
          <t>D01</t>
        </is>
      </c>
      <c r="C35" s="18" t="inlineStr">
        <is>
          <t>I04</t>
        </is>
      </c>
      <c r="D35" s="18" t="inlineStr">
        <is>
          <t>Programme Future-Review Coverage</t>
        </is>
      </c>
      <c r="E35" s="18" t="inlineStr">
        <is>
          <t>D04</t>
        </is>
      </c>
      <c r="F35" s="18" t="inlineStr">
        <is>
          <t>I12</t>
        </is>
      </c>
      <c r="G35" s="18" t="inlineStr">
        <is>
          <t>Portfolio Foresight</t>
        </is>
      </c>
      <c r="H35" s="18" t="inlineStr">
        <is>
          <t>Portfolio foresight → programme response</t>
        </is>
      </c>
      <c r="I35" s="18" t="inlineStr">
        <is>
          <t>If institutional foresight is strong but programme review/change is weak, flag strategy-to-portfolio execution gap.</t>
        </is>
      </c>
      <c r="J35" s="18" t="inlineStr">
        <is>
          <t>Programme portfolio review</t>
        </is>
      </c>
      <c r="K35" s="18" t="inlineStr">
        <is>
          <t>Same review event cannot score both domains.</t>
        </is>
      </c>
    </row>
    <row r="36">
      <c r="A36" s="18" t="inlineStr">
        <is>
          <t>CD03</t>
        </is>
      </c>
      <c r="B36" s="18" t="inlineStr">
        <is>
          <t>D01</t>
        </is>
      </c>
      <c r="C36" s="18" t="inlineStr">
        <is>
          <t>I06</t>
        </is>
      </c>
      <c r="D36" s="18" t="inlineStr">
        <is>
          <t>Foresight Response Architecture</t>
        </is>
      </c>
      <c r="E36" s="18" t="inlineStr">
        <is>
          <t>D04</t>
        </is>
      </c>
      <c r="F36" s="18" t="inlineStr">
        <is>
          <t>I01</t>
        </is>
      </c>
      <c r="G36" s="18" t="inlineStr">
        <is>
          <t>Curriculum Sensing Maturity</t>
        </is>
      </c>
      <c r="H36" s="18" t="inlineStr">
        <is>
          <t>Portfolio foresight → programme response</t>
        </is>
      </c>
      <c r="I36" s="18" t="inlineStr">
        <is>
          <t>If institutional foresight is strong but programme review/change is weak, flag strategy-to-portfolio execution gap.</t>
        </is>
      </c>
      <c r="J36" s="18" t="inlineStr">
        <is>
          <t>Programme portfolio review</t>
        </is>
      </c>
      <c r="K36" s="18" t="inlineStr">
        <is>
          <t>Same review event cannot score both domains.</t>
        </is>
      </c>
    </row>
    <row r="37">
      <c r="A37" s="18" t="inlineStr">
        <is>
          <t>CD03</t>
        </is>
      </c>
      <c r="B37" s="18" t="inlineStr">
        <is>
          <t>D01</t>
        </is>
      </c>
      <c r="C37" s="18" t="inlineStr">
        <is>
          <t>I06</t>
        </is>
      </c>
      <c r="D37" s="18" t="inlineStr">
        <is>
          <t>Foresight Response Architecture</t>
        </is>
      </c>
      <c r="E37" s="18" t="inlineStr">
        <is>
          <t>D04</t>
        </is>
      </c>
      <c r="F37" s="18" t="inlineStr">
        <is>
          <t>I03</t>
        </is>
      </c>
      <c r="G37" s="18" t="inlineStr">
        <is>
          <t>Programme Review Effectiveness</t>
        </is>
      </c>
      <c r="H37" s="18" t="inlineStr">
        <is>
          <t>Portfolio foresight → programme response</t>
        </is>
      </c>
      <c r="I37" s="18" t="inlineStr">
        <is>
          <t>If institutional foresight is strong but programme review/change is weak, flag strategy-to-portfolio execution gap.</t>
        </is>
      </c>
      <c r="J37" s="18" t="inlineStr">
        <is>
          <t>Programme portfolio review</t>
        </is>
      </c>
      <c r="K37" s="18" t="inlineStr">
        <is>
          <t>Same review event cannot score both domains.</t>
        </is>
      </c>
    </row>
    <row r="38">
      <c r="A38" s="18" t="inlineStr">
        <is>
          <t>CD03</t>
        </is>
      </c>
      <c r="B38" s="18" t="inlineStr">
        <is>
          <t>D01</t>
        </is>
      </c>
      <c r="C38" s="18" t="inlineStr">
        <is>
          <t>I06</t>
        </is>
      </c>
      <c r="D38" s="18" t="inlineStr">
        <is>
          <t>Foresight Response Architecture</t>
        </is>
      </c>
      <c r="E38" s="18" t="inlineStr">
        <is>
          <t>D04</t>
        </is>
      </c>
      <c r="F38" s="18" t="inlineStr">
        <is>
          <t>I05</t>
        </is>
      </c>
      <c r="G38" s="18" t="inlineStr">
        <is>
          <t>Content Obsolescence Response</t>
        </is>
      </c>
      <c r="H38" s="18" t="inlineStr">
        <is>
          <t>Portfolio foresight → programme response</t>
        </is>
      </c>
      <c r="I38" s="18" t="inlineStr">
        <is>
          <t>If institutional foresight is strong but programme review/change is weak, flag strategy-to-portfolio execution gap.</t>
        </is>
      </c>
      <c r="J38" s="18" t="inlineStr">
        <is>
          <t>Programme portfolio review</t>
        </is>
      </c>
      <c r="K38" s="18" t="inlineStr">
        <is>
          <t>Same review event cannot score both domains.</t>
        </is>
      </c>
    </row>
    <row r="39">
      <c r="A39" s="18" t="inlineStr">
        <is>
          <t>CD03</t>
        </is>
      </c>
      <c r="B39" s="18" t="inlineStr">
        <is>
          <t>D01</t>
        </is>
      </c>
      <c r="C39" s="18" t="inlineStr">
        <is>
          <t>I06</t>
        </is>
      </c>
      <c r="D39" s="18" t="inlineStr">
        <is>
          <t>Foresight Response Architecture</t>
        </is>
      </c>
      <c r="E39" s="18" t="inlineStr">
        <is>
          <t>D04</t>
        </is>
      </c>
      <c r="F39" s="18" t="inlineStr">
        <is>
          <t>I08</t>
        </is>
      </c>
      <c r="G39" s="18" t="inlineStr">
        <is>
          <t>Programme Agility</t>
        </is>
      </c>
      <c r="H39" s="18" t="inlineStr">
        <is>
          <t>Portfolio foresight → programme response</t>
        </is>
      </c>
      <c r="I39" s="18" t="inlineStr">
        <is>
          <t>If institutional foresight is strong but programme review/change is weak, flag strategy-to-portfolio execution gap.</t>
        </is>
      </c>
      <c r="J39" s="18" t="inlineStr">
        <is>
          <t>Programme portfolio review</t>
        </is>
      </c>
      <c r="K39" s="18" t="inlineStr">
        <is>
          <t>Same review event cannot score both domains.</t>
        </is>
      </c>
    </row>
    <row r="40">
      <c r="A40" s="18" t="inlineStr">
        <is>
          <t>CD03</t>
        </is>
      </c>
      <c r="B40" s="18" t="inlineStr">
        <is>
          <t>D01</t>
        </is>
      </c>
      <c r="C40" s="18" t="inlineStr">
        <is>
          <t>I06</t>
        </is>
      </c>
      <c r="D40" s="18" t="inlineStr">
        <is>
          <t>Foresight Response Architecture</t>
        </is>
      </c>
      <c r="E40" s="18" t="inlineStr">
        <is>
          <t>D04</t>
        </is>
      </c>
      <c r="F40" s="18" t="inlineStr">
        <is>
          <t>I12</t>
        </is>
      </c>
      <c r="G40" s="18" t="inlineStr">
        <is>
          <t>Portfolio Foresight</t>
        </is>
      </c>
      <c r="H40" s="18" t="inlineStr">
        <is>
          <t>Portfolio foresight → programme response</t>
        </is>
      </c>
      <c r="I40" s="18" t="inlineStr">
        <is>
          <t>If institutional foresight is strong but programme review/change is weak, flag strategy-to-portfolio execution gap.</t>
        </is>
      </c>
      <c r="J40" s="18" t="inlineStr">
        <is>
          <t>Programme portfolio review</t>
        </is>
      </c>
      <c r="K40" s="18" t="inlineStr">
        <is>
          <t>Same review event cannot score both domains.</t>
        </is>
      </c>
    </row>
    <row r="41">
      <c r="A41" s="18" t="inlineStr">
        <is>
          <t>CD03</t>
        </is>
      </c>
      <c r="B41" s="18" t="inlineStr">
        <is>
          <t>D01</t>
        </is>
      </c>
      <c r="C41" s="18" t="inlineStr">
        <is>
          <t>I10</t>
        </is>
      </c>
      <c r="D41" s="18" t="inlineStr">
        <is>
          <t>Strategic Learning Rate</t>
        </is>
      </c>
      <c r="E41" s="18" t="inlineStr">
        <is>
          <t>D04</t>
        </is>
      </c>
      <c r="F41" s="18" t="inlineStr">
        <is>
          <t>I01</t>
        </is>
      </c>
      <c r="G41" s="18" t="inlineStr">
        <is>
          <t>Curriculum Sensing Maturity</t>
        </is>
      </c>
      <c r="H41" s="18" t="inlineStr">
        <is>
          <t>Portfolio foresight → programme response</t>
        </is>
      </c>
      <c r="I41" s="18" t="inlineStr">
        <is>
          <t>If institutional foresight is strong but programme review/change is weak, flag strategy-to-portfolio execution gap.</t>
        </is>
      </c>
      <c r="J41" s="18" t="inlineStr">
        <is>
          <t>Programme portfolio review</t>
        </is>
      </c>
      <c r="K41" s="18" t="inlineStr">
        <is>
          <t>Same review event cannot score both domains.</t>
        </is>
      </c>
    </row>
    <row r="42">
      <c r="A42" s="18" t="inlineStr">
        <is>
          <t>CD03</t>
        </is>
      </c>
      <c r="B42" s="18" t="inlineStr">
        <is>
          <t>D01</t>
        </is>
      </c>
      <c r="C42" s="18" t="inlineStr">
        <is>
          <t>I10</t>
        </is>
      </c>
      <c r="D42" s="18" t="inlineStr">
        <is>
          <t>Strategic Learning Rate</t>
        </is>
      </c>
      <c r="E42" s="18" t="inlineStr">
        <is>
          <t>D04</t>
        </is>
      </c>
      <c r="F42" s="18" t="inlineStr">
        <is>
          <t>I03</t>
        </is>
      </c>
      <c r="G42" s="18" t="inlineStr">
        <is>
          <t>Programme Review Effectiveness</t>
        </is>
      </c>
      <c r="H42" s="18" t="inlineStr">
        <is>
          <t>Portfolio foresight → programme response</t>
        </is>
      </c>
      <c r="I42" s="18" t="inlineStr">
        <is>
          <t>If institutional foresight is strong but programme review/change is weak, flag strategy-to-portfolio execution gap.</t>
        </is>
      </c>
      <c r="J42" s="18" t="inlineStr">
        <is>
          <t>Programme portfolio review</t>
        </is>
      </c>
      <c r="K42" s="18" t="inlineStr">
        <is>
          <t>Same review event cannot score both domains.</t>
        </is>
      </c>
    </row>
    <row r="43">
      <c r="A43" s="18" t="inlineStr">
        <is>
          <t>CD03</t>
        </is>
      </c>
      <c r="B43" s="18" t="inlineStr">
        <is>
          <t>D01</t>
        </is>
      </c>
      <c r="C43" s="18" t="inlineStr">
        <is>
          <t>I10</t>
        </is>
      </c>
      <c r="D43" s="18" t="inlineStr">
        <is>
          <t>Strategic Learning Rate</t>
        </is>
      </c>
      <c r="E43" s="18" t="inlineStr">
        <is>
          <t>D04</t>
        </is>
      </c>
      <c r="F43" s="18" t="inlineStr">
        <is>
          <t>I05</t>
        </is>
      </c>
      <c r="G43" s="18" t="inlineStr">
        <is>
          <t>Content Obsolescence Response</t>
        </is>
      </c>
      <c r="H43" s="18" t="inlineStr">
        <is>
          <t>Portfolio foresight → programme response</t>
        </is>
      </c>
      <c r="I43" s="18" t="inlineStr">
        <is>
          <t>If institutional foresight is strong but programme review/change is weak, flag strategy-to-portfolio execution gap.</t>
        </is>
      </c>
      <c r="J43" s="18" t="inlineStr">
        <is>
          <t>Programme portfolio review</t>
        </is>
      </c>
      <c r="K43" s="18" t="inlineStr">
        <is>
          <t>Same review event cannot score both domains.</t>
        </is>
      </c>
    </row>
    <row r="44">
      <c r="A44" s="18" t="inlineStr">
        <is>
          <t>CD03</t>
        </is>
      </c>
      <c r="B44" s="18" t="inlineStr">
        <is>
          <t>D01</t>
        </is>
      </c>
      <c r="C44" s="18" t="inlineStr">
        <is>
          <t>I10</t>
        </is>
      </c>
      <c r="D44" s="18" t="inlineStr">
        <is>
          <t>Strategic Learning Rate</t>
        </is>
      </c>
      <c r="E44" s="18" t="inlineStr">
        <is>
          <t>D04</t>
        </is>
      </c>
      <c r="F44" s="18" t="inlineStr">
        <is>
          <t>I08</t>
        </is>
      </c>
      <c r="G44" s="18" t="inlineStr">
        <is>
          <t>Programme Agility</t>
        </is>
      </c>
      <c r="H44" s="18" t="inlineStr">
        <is>
          <t>Portfolio foresight → programme response</t>
        </is>
      </c>
      <c r="I44" s="18" t="inlineStr">
        <is>
          <t>If institutional foresight is strong but programme review/change is weak, flag strategy-to-portfolio execution gap.</t>
        </is>
      </c>
      <c r="J44" s="18" t="inlineStr">
        <is>
          <t>Programme portfolio review</t>
        </is>
      </c>
      <c r="K44" s="18" t="inlineStr">
        <is>
          <t>Same review event cannot score both domains.</t>
        </is>
      </c>
    </row>
    <row r="45">
      <c r="A45" s="18" t="inlineStr">
        <is>
          <t>CD03</t>
        </is>
      </c>
      <c r="B45" s="18" t="inlineStr">
        <is>
          <t>D01</t>
        </is>
      </c>
      <c r="C45" s="18" t="inlineStr">
        <is>
          <t>I10</t>
        </is>
      </c>
      <c r="D45" s="18" t="inlineStr">
        <is>
          <t>Strategic Learning Rate</t>
        </is>
      </c>
      <c r="E45" s="18" t="inlineStr">
        <is>
          <t>D04</t>
        </is>
      </c>
      <c r="F45" s="18" t="inlineStr">
        <is>
          <t>I12</t>
        </is>
      </c>
      <c r="G45" s="18" t="inlineStr">
        <is>
          <t>Portfolio Foresight</t>
        </is>
      </c>
      <c r="H45" s="18" t="inlineStr">
        <is>
          <t>Portfolio foresight → programme response</t>
        </is>
      </c>
      <c r="I45" s="18" t="inlineStr">
        <is>
          <t>If institutional foresight is strong but programme review/change is weak, flag strategy-to-portfolio execution gap.</t>
        </is>
      </c>
      <c r="J45" s="18" t="inlineStr">
        <is>
          <t>Programme portfolio review</t>
        </is>
      </c>
      <c r="K45" s="18" t="inlineStr">
        <is>
          <t>Same review event cannot score both domains.</t>
        </is>
      </c>
    </row>
    <row r="46">
      <c r="A46" s="18" t="inlineStr">
        <is>
          <t>CD04</t>
        </is>
      </c>
      <c r="B46" s="18" t="inlineStr">
        <is>
          <t>D01</t>
        </is>
      </c>
      <c r="C46" s="18" t="inlineStr">
        <is>
          <t>I02</t>
        </is>
      </c>
      <c r="D46" s="18" t="inlineStr">
        <is>
          <t>Future Foresight Maturity</t>
        </is>
      </c>
      <c r="E46" s="18" t="inlineStr">
        <is>
          <t>D11</t>
        </is>
      </c>
      <c r="F46" s="18" t="inlineStr">
        <is>
          <t>I01</t>
        </is>
      </c>
      <c r="G46" s="18" t="inlineStr">
        <is>
          <t>External Change Sensing</t>
        </is>
      </c>
      <c r="H46" s="18" t="inlineStr">
        <is>
          <t>Strategy → adaptation</t>
        </is>
      </c>
      <c r="I46" s="18" t="inlineStr">
        <is>
          <t>If strategy claims continuous learning but adaptation/learning mechanisms are weak, flag unsupported strategic adaptability claim.</t>
        </is>
      </c>
      <c r="J46" s="18" t="inlineStr">
        <is>
          <t>Adaptation review</t>
        </is>
      </c>
      <c r="K46" s="18" t="inlineStr">
        <is>
          <t>D11 remains a distinct meta-capability.</t>
        </is>
      </c>
    </row>
    <row r="47">
      <c r="A47" s="18" t="inlineStr">
        <is>
          <t>CD04</t>
        </is>
      </c>
      <c r="B47" s="18" t="inlineStr">
        <is>
          <t>D01</t>
        </is>
      </c>
      <c r="C47" s="18" t="inlineStr">
        <is>
          <t>I02</t>
        </is>
      </c>
      <c r="D47" s="18" t="inlineStr">
        <is>
          <t>Future Foresight Maturity</t>
        </is>
      </c>
      <c r="E47" s="18" t="inlineStr">
        <is>
          <t>D11</t>
        </is>
      </c>
      <c r="F47" s="18" t="inlineStr">
        <is>
          <t>I02</t>
        </is>
      </c>
      <c r="G47" s="18" t="inlineStr">
        <is>
          <t>Strategic Response Agility</t>
        </is>
      </c>
      <c r="H47" s="18" t="inlineStr">
        <is>
          <t>Strategy → adaptation</t>
        </is>
      </c>
      <c r="I47" s="18" t="inlineStr">
        <is>
          <t>If strategy claims continuous learning but adaptation/learning mechanisms are weak, flag unsupported strategic adaptability claim.</t>
        </is>
      </c>
      <c r="J47" s="18" t="inlineStr">
        <is>
          <t>Adaptation review</t>
        </is>
      </c>
      <c r="K47" s="18" t="inlineStr">
        <is>
          <t>D11 remains a distinct meta-capability.</t>
        </is>
      </c>
    </row>
    <row r="48">
      <c r="A48" s="18" t="inlineStr">
        <is>
          <t>CD04</t>
        </is>
      </c>
      <c r="B48" s="18" t="inlineStr">
        <is>
          <t>D01</t>
        </is>
      </c>
      <c r="C48" s="18" t="inlineStr">
        <is>
          <t>I02</t>
        </is>
      </c>
      <c r="D48" s="18" t="inlineStr">
        <is>
          <t>Future Foresight Maturity</t>
        </is>
      </c>
      <c r="E48" s="18" t="inlineStr">
        <is>
          <t>D11</t>
        </is>
      </c>
      <c r="F48" s="18" t="inlineStr">
        <is>
          <t>I06</t>
        </is>
      </c>
      <c r="G48" s="18" t="inlineStr">
        <is>
          <t>Failure-to-Learning Capability</t>
        </is>
      </c>
      <c r="H48" s="18" t="inlineStr">
        <is>
          <t>Strategy → adaptation</t>
        </is>
      </c>
      <c r="I48" s="18" t="inlineStr">
        <is>
          <t>If strategy claims continuous learning but adaptation/learning mechanisms are weak, flag unsupported strategic adaptability claim.</t>
        </is>
      </c>
      <c r="J48" s="18" t="inlineStr">
        <is>
          <t>Adaptation review</t>
        </is>
      </c>
      <c r="K48" s="18" t="inlineStr">
        <is>
          <t>D11 remains a distinct meta-capability.</t>
        </is>
      </c>
    </row>
    <row r="49">
      <c r="A49" s="18" t="inlineStr">
        <is>
          <t>CD04</t>
        </is>
      </c>
      <c r="B49" s="18" t="inlineStr">
        <is>
          <t>D01</t>
        </is>
      </c>
      <c r="C49" s="18" t="inlineStr">
        <is>
          <t>I02</t>
        </is>
      </c>
      <c r="D49" s="18" t="inlineStr">
        <is>
          <t>Future Foresight Maturity</t>
        </is>
      </c>
      <c r="E49" s="18" t="inlineStr">
        <is>
          <t>D11</t>
        </is>
      </c>
      <c r="F49" s="18" t="inlineStr">
        <is>
          <t>I13</t>
        </is>
      </c>
      <c r="G49" s="18" t="inlineStr">
        <is>
          <t>Institutional Learning System</t>
        </is>
      </c>
      <c r="H49" s="18" t="inlineStr">
        <is>
          <t>Strategy → adaptation</t>
        </is>
      </c>
      <c r="I49" s="18" t="inlineStr">
        <is>
          <t>If strategy claims continuous learning but adaptation/learning mechanisms are weak, flag unsupported strategic adaptability claim.</t>
        </is>
      </c>
      <c r="J49" s="18" t="inlineStr">
        <is>
          <t>Adaptation review</t>
        </is>
      </c>
      <c r="K49" s="18" t="inlineStr">
        <is>
          <t>D11 remains a distinct meta-capability.</t>
        </is>
      </c>
    </row>
    <row r="50">
      <c r="A50" s="18" t="inlineStr">
        <is>
          <t>CD04</t>
        </is>
      </c>
      <c r="B50" s="18" t="inlineStr">
        <is>
          <t>D01</t>
        </is>
      </c>
      <c r="C50" s="18" t="inlineStr">
        <is>
          <t>I02</t>
        </is>
      </c>
      <c r="D50" s="18" t="inlineStr">
        <is>
          <t>Future Foresight Maturity</t>
        </is>
      </c>
      <c r="E50" s="18" t="inlineStr">
        <is>
          <t>D11</t>
        </is>
      </c>
      <c r="F50" s="18" t="inlineStr">
        <is>
          <t>I14</t>
        </is>
      </c>
      <c r="G50" s="18" t="inlineStr">
        <is>
          <t>Future Transformation Capacity</t>
        </is>
      </c>
      <c r="H50" s="18" t="inlineStr">
        <is>
          <t>Strategy → adaptation</t>
        </is>
      </c>
      <c r="I50" s="18" t="inlineStr">
        <is>
          <t>If strategy claims continuous learning but adaptation/learning mechanisms are weak, flag unsupported strategic adaptability claim.</t>
        </is>
      </c>
      <c r="J50" s="18" t="inlineStr">
        <is>
          <t>Adaptation review</t>
        </is>
      </c>
      <c r="K50" s="18" t="inlineStr">
        <is>
          <t>D11 remains a distinct meta-capability.</t>
        </is>
      </c>
    </row>
    <row r="51">
      <c r="A51" s="18" t="inlineStr">
        <is>
          <t>CD04</t>
        </is>
      </c>
      <c r="B51" s="18" t="inlineStr">
        <is>
          <t>D01</t>
        </is>
      </c>
      <c r="C51" s="18" t="inlineStr">
        <is>
          <t>I03</t>
        </is>
      </c>
      <c r="D51" s="18" t="inlineStr">
        <is>
          <t>Strategic Translation Rate</t>
        </is>
      </c>
      <c r="E51" s="18" t="inlineStr">
        <is>
          <t>D11</t>
        </is>
      </c>
      <c r="F51" s="18" t="inlineStr">
        <is>
          <t>I01</t>
        </is>
      </c>
      <c r="G51" s="18" t="inlineStr">
        <is>
          <t>External Change Sensing</t>
        </is>
      </c>
      <c r="H51" s="18" t="inlineStr">
        <is>
          <t>Strategy → adaptation</t>
        </is>
      </c>
      <c r="I51" s="18" t="inlineStr">
        <is>
          <t>If strategy claims continuous learning but adaptation/learning mechanisms are weak, flag unsupported strategic adaptability claim.</t>
        </is>
      </c>
      <c r="J51" s="18" t="inlineStr">
        <is>
          <t>Adaptation review</t>
        </is>
      </c>
      <c r="K51" s="18" t="inlineStr">
        <is>
          <t>D11 remains a distinct meta-capability.</t>
        </is>
      </c>
    </row>
    <row r="52">
      <c r="A52" s="18" t="inlineStr">
        <is>
          <t>CD04</t>
        </is>
      </c>
      <c r="B52" s="18" t="inlineStr">
        <is>
          <t>D01</t>
        </is>
      </c>
      <c r="C52" s="18" t="inlineStr">
        <is>
          <t>I03</t>
        </is>
      </c>
      <c r="D52" s="18" t="inlineStr">
        <is>
          <t>Strategic Translation Rate</t>
        </is>
      </c>
      <c r="E52" s="18" t="inlineStr">
        <is>
          <t>D11</t>
        </is>
      </c>
      <c r="F52" s="18" t="inlineStr">
        <is>
          <t>I02</t>
        </is>
      </c>
      <c r="G52" s="18" t="inlineStr">
        <is>
          <t>Strategic Response Agility</t>
        </is>
      </c>
      <c r="H52" s="18" t="inlineStr">
        <is>
          <t>Strategy → adaptation</t>
        </is>
      </c>
      <c r="I52" s="18" t="inlineStr">
        <is>
          <t>If strategy claims continuous learning but adaptation/learning mechanisms are weak, flag unsupported strategic adaptability claim.</t>
        </is>
      </c>
      <c r="J52" s="18" t="inlineStr">
        <is>
          <t>Adaptation review</t>
        </is>
      </c>
      <c r="K52" s="18" t="inlineStr">
        <is>
          <t>D11 remains a distinct meta-capability.</t>
        </is>
      </c>
    </row>
    <row r="53">
      <c r="A53" s="18" t="inlineStr">
        <is>
          <t>CD04</t>
        </is>
      </c>
      <c r="B53" s="18" t="inlineStr">
        <is>
          <t>D01</t>
        </is>
      </c>
      <c r="C53" s="18" t="inlineStr">
        <is>
          <t>I03</t>
        </is>
      </c>
      <c r="D53" s="18" t="inlineStr">
        <is>
          <t>Strategic Translation Rate</t>
        </is>
      </c>
      <c r="E53" s="18" t="inlineStr">
        <is>
          <t>D11</t>
        </is>
      </c>
      <c r="F53" s="18" t="inlineStr">
        <is>
          <t>I06</t>
        </is>
      </c>
      <c r="G53" s="18" t="inlineStr">
        <is>
          <t>Failure-to-Learning Capability</t>
        </is>
      </c>
      <c r="H53" s="18" t="inlineStr">
        <is>
          <t>Strategy → adaptation</t>
        </is>
      </c>
      <c r="I53" s="18" t="inlineStr">
        <is>
          <t>If strategy claims continuous learning but adaptation/learning mechanisms are weak, flag unsupported strategic adaptability claim.</t>
        </is>
      </c>
      <c r="J53" s="18" t="inlineStr">
        <is>
          <t>Adaptation review</t>
        </is>
      </c>
      <c r="K53" s="18" t="inlineStr">
        <is>
          <t>D11 remains a distinct meta-capability.</t>
        </is>
      </c>
    </row>
    <row r="54">
      <c r="A54" s="18" t="inlineStr">
        <is>
          <t>CD04</t>
        </is>
      </c>
      <c r="B54" s="18" t="inlineStr">
        <is>
          <t>D01</t>
        </is>
      </c>
      <c r="C54" s="18" t="inlineStr">
        <is>
          <t>I03</t>
        </is>
      </c>
      <c r="D54" s="18" t="inlineStr">
        <is>
          <t>Strategic Translation Rate</t>
        </is>
      </c>
      <c r="E54" s="18" t="inlineStr">
        <is>
          <t>D11</t>
        </is>
      </c>
      <c r="F54" s="18" t="inlineStr">
        <is>
          <t>I13</t>
        </is>
      </c>
      <c r="G54" s="18" t="inlineStr">
        <is>
          <t>Institutional Learning System</t>
        </is>
      </c>
      <c r="H54" s="18" t="inlineStr">
        <is>
          <t>Strategy → adaptation</t>
        </is>
      </c>
      <c r="I54" s="18" t="inlineStr">
        <is>
          <t>If strategy claims continuous learning but adaptation/learning mechanisms are weak, flag unsupported strategic adaptability claim.</t>
        </is>
      </c>
      <c r="J54" s="18" t="inlineStr">
        <is>
          <t>Adaptation review</t>
        </is>
      </c>
      <c r="K54" s="18" t="inlineStr">
        <is>
          <t>D11 remains a distinct meta-capability.</t>
        </is>
      </c>
    </row>
    <row r="55">
      <c r="A55" s="18" t="inlineStr">
        <is>
          <t>CD04</t>
        </is>
      </c>
      <c r="B55" s="18" t="inlineStr">
        <is>
          <t>D01</t>
        </is>
      </c>
      <c r="C55" s="18" t="inlineStr">
        <is>
          <t>I03</t>
        </is>
      </c>
      <c r="D55" s="18" t="inlineStr">
        <is>
          <t>Strategic Translation Rate</t>
        </is>
      </c>
      <c r="E55" s="18" t="inlineStr">
        <is>
          <t>D11</t>
        </is>
      </c>
      <c r="F55" s="18" t="inlineStr">
        <is>
          <t>I14</t>
        </is>
      </c>
      <c r="G55" s="18" t="inlineStr">
        <is>
          <t>Future Transformation Capacity</t>
        </is>
      </c>
      <c r="H55" s="18" t="inlineStr">
        <is>
          <t>Strategy → adaptation</t>
        </is>
      </c>
      <c r="I55" s="18" t="inlineStr">
        <is>
          <t>If strategy claims continuous learning but adaptation/learning mechanisms are weak, flag unsupported strategic adaptability claim.</t>
        </is>
      </c>
      <c r="J55" s="18" t="inlineStr">
        <is>
          <t>Adaptation review</t>
        </is>
      </c>
      <c r="K55" s="18" t="inlineStr">
        <is>
          <t>D11 remains a distinct meta-capability.</t>
        </is>
      </c>
    </row>
    <row r="56">
      <c r="A56" s="18" t="inlineStr">
        <is>
          <t>CD04</t>
        </is>
      </c>
      <c r="B56" s="18" t="inlineStr">
        <is>
          <t>D01</t>
        </is>
      </c>
      <c r="C56" s="18" t="inlineStr">
        <is>
          <t>I10</t>
        </is>
      </c>
      <c r="D56" s="18" t="inlineStr">
        <is>
          <t>Strategic Learning Rate</t>
        </is>
      </c>
      <c r="E56" s="18" t="inlineStr">
        <is>
          <t>D11</t>
        </is>
      </c>
      <c r="F56" s="18" t="inlineStr">
        <is>
          <t>I01</t>
        </is>
      </c>
      <c r="G56" s="18" t="inlineStr">
        <is>
          <t>External Change Sensing</t>
        </is>
      </c>
      <c r="H56" s="18" t="inlineStr">
        <is>
          <t>Strategy → adaptation</t>
        </is>
      </c>
      <c r="I56" s="18" t="inlineStr">
        <is>
          <t>If strategy claims continuous learning but adaptation/learning mechanisms are weak, flag unsupported strategic adaptability claim.</t>
        </is>
      </c>
      <c r="J56" s="18" t="inlineStr">
        <is>
          <t>Adaptation review</t>
        </is>
      </c>
      <c r="K56" s="18" t="inlineStr">
        <is>
          <t>D11 remains a distinct meta-capability.</t>
        </is>
      </c>
    </row>
    <row r="57">
      <c r="A57" s="18" t="inlineStr">
        <is>
          <t>CD04</t>
        </is>
      </c>
      <c r="B57" s="18" t="inlineStr">
        <is>
          <t>D01</t>
        </is>
      </c>
      <c r="C57" s="18" t="inlineStr">
        <is>
          <t>I10</t>
        </is>
      </c>
      <c r="D57" s="18" t="inlineStr">
        <is>
          <t>Strategic Learning Rate</t>
        </is>
      </c>
      <c r="E57" s="18" t="inlineStr">
        <is>
          <t>D11</t>
        </is>
      </c>
      <c r="F57" s="18" t="inlineStr">
        <is>
          <t>I02</t>
        </is>
      </c>
      <c r="G57" s="18" t="inlineStr">
        <is>
          <t>Strategic Response Agility</t>
        </is>
      </c>
      <c r="H57" s="18" t="inlineStr">
        <is>
          <t>Strategy → adaptation</t>
        </is>
      </c>
      <c r="I57" s="18" t="inlineStr">
        <is>
          <t>If strategy claims continuous learning but adaptation/learning mechanisms are weak, flag unsupported strategic adaptability claim.</t>
        </is>
      </c>
      <c r="J57" s="18" t="inlineStr">
        <is>
          <t>Adaptation review</t>
        </is>
      </c>
      <c r="K57" s="18" t="inlineStr">
        <is>
          <t>D11 remains a distinct meta-capability.</t>
        </is>
      </c>
    </row>
    <row r="58">
      <c r="A58" s="18" t="inlineStr">
        <is>
          <t>CD04</t>
        </is>
      </c>
      <c r="B58" s="18" t="inlineStr">
        <is>
          <t>D01</t>
        </is>
      </c>
      <c r="C58" s="18" t="inlineStr">
        <is>
          <t>I10</t>
        </is>
      </c>
      <c r="D58" s="18" t="inlineStr">
        <is>
          <t>Strategic Learning Rate</t>
        </is>
      </c>
      <c r="E58" s="18" t="inlineStr">
        <is>
          <t>D11</t>
        </is>
      </c>
      <c r="F58" s="18" t="inlineStr">
        <is>
          <t>I06</t>
        </is>
      </c>
      <c r="G58" s="18" t="inlineStr">
        <is>
          <t>Failure-to-Learning Capability</t>
        </is>
      </c>
      <c r="H58" s="18" t="inlineStr">
        <is>
          <t>Strategy → adaptation</t>
        </is>
      </c>
      <c r="I58" s="18" t="inlineStr">
        <is>
          <t>If strategy claims continuous learning but adaptation/learning mechanisms are weak, flag unsupported strategic adaptability claim.</t>
        </is>
      </c>
      <c r="J58" s="18" t="inlineStr">
        <is>
          <t>Adaptation review</t>
        </is>
      </c>
      <c r="K58" s="18" t="inlineStr">
        <is>
          <t>D11 remains a distinct meta-capability.</t>
        </is>
      </c>
    </row>
    <row r="59">
      <c r="A59" s="18" t="inlineStr">
        <is>
          <t>CD04</t>
        </is>
      </c>
      <c r="B59" s="18" t="inlineStr">
        <is>
          <t>D01</t>
        </is>
      </c>
      <c r="C59" s="18" t="inlineStr">
        <is>
          <t>I10</t>
        </is>
      </c>
      <c r="D59" s="18" t="inlineStr">
        <is>
          <t>Strategic Learning Rate</t>
        </is>
      </c>
      <c r="E59" s="18" t="inlineStr">
        <is>
          <t>D11</t>
        </is>
      </c>
      <c r="F59" s="18" t="inlineStr">
        <is>
          <t>I13</t>
        </is>
      </c>
      <c r="G59" s="18" t="inlineStr">
        <is>
          <t>Institutional Learning System</t>
        </is>
      </c>
      <c r="H59" s="18" t="inlineStr">
        <is>
          <t>Strategy → adaptation</t>
        </is>
      </c>
      <c r="I59" s="18" t="inlineStr">
        <is>
          <t>If strategy claims continuous learning but adaptation/learning mechanisms are weak, flag unsupported strategic adaptability claim.</t>
        </is>
      </c>
      <c r="J59" s="18" t="inlineStr">
        <is>
          <t>Adaptation review</t>
        </is>
      </c>
      <c r="K59" s="18" t="inlineStr">
        <is>
          <t>D11 remains a distinct meta-capability.</t>
        </is>
      </c>
    </row>
    <row r="60">
      <c r="A60" s="18" t="inlineStr">
        <is>
          <t>CD04</t>
        </is>
      </c>
      <c r="B60" s="18" t="inlineStr">
        <is>
          <t>D01</t>
        </is>
      </c>
      <c r="C60" s="18" t="inlineStr">
        <is>
          <t>I10</t>
        </is>
      </c>
      <c r="D60" s="18" t="inlineStr">
        <is>
          <t>Strategic Learning Rate</t>
        </is>
      </c>
      <c r="E60" s="18" t="inlineStr">
        <is>
          <t>D11</t>
        </is>
      </c>
      <c r="F60" s="18" t="inlineStr">
        <is>
          <t>I14</t>
        </is>
      </c>
      <c r="G60" s="18" t="inlineStr">
        <is>
          <t>Future Transformation Capacity</t>
        </is>
      </c>
      <c r="H60" s="18" t="inlineStr">
        <is>
          <t>Strategy → adaptation</t>
        </is>
      </c>
      <c r="I60" s="18" t="inlineStr">
        <is>
          <t>If strategy claims continuous learning but adaptation/learning mechanisms are weak, flag unsupported strategic adaptability claim.</t>
        </is>
      </c>
      <c r="J60" s="18" t="inlineStr">
        <is>
          <t>Adaptation review</t>
        </is>
      </c>
      <c r="K60" s="18" t="inlineStr">
        <is>
          <t>D11 remains a distinct meta-capability.</t>
        </is>
      </c>
    </row>
    <row r="61">
      <c r="A61" s="18" t="inlineStr">
        <is>
          <t>CD05</t>
        </is>
      </c>
      <c r="B61" s="18" t="inlineStr">
        <is>
          <t>D02</t>
        </is>
      </c>
      <c r="C61" s="18" t="inlineStr">
        <is>
          <t>I05</t>
        </is>
      </c>
      <c r="D61" s="18" t="inlineStr">
        <is>
          <t>Academic Integrity Governance</t>
        </is>
      </c>
      <c r="E61" s="18" t="inlineStr">
        <is>
          <t>D07</t>
        </is>
      </c>
      <c r="F61" s="18" t="inlineStr">
        <is>
          <t>I01</t>
        </is>
      </c>
      <c r="G61" s="18" t="inlineStr">
        <is>
          <t>Assessment Design Maturity</t>
        </is>
      </c>
      <c r="H61" s="18" t="inlineStr">
        <is>
          <t>Assessment governance → assessment practice</t>
        </is>
      </c>
      <c r="I61" s="18" t="inlineStr">
        <is>
          <t>If assessment governance is strong but actual assessment design/evidence is weak, flag policy-to-practice gap.</t>
        </is>
      </c>
      <c r="J61" s="18" t="inlineStr">
        <is>
          <t>Assessment architecture review</t>
        </is>
      </c>
      <c r="K61" s="18" t="inlineStr">
        <is>
          <t>Governance policy cannot generate D07 maturity.</t>
        </is>
      </c>
    </row>
    <row r="62">
      <c r="A62" s="18" t="inlineStr">
        <is>
          <t>CD05</t>
        </is>
      </c>
      <c r="B62" s="18" t="inlineStr">
        <is>
          <t>D02</t>
        </is>
      </c>
      <c r="C62" s="18" t="inlineStr">
        <is>
          <t>I05</t>
        </is>
      </c>
      <c r="D62" s="18" t="inlineStr">
        <is>
          <t>Academic Integrity Governance</t>
        </is>
      </c>
      <c r="E62" s="18" t="inlineStr">
        <is>
          <t>D07</t>
        </is>
      </c>
      <c r="F62" s="18" t="inlineStr">
        <is>
          <t>I04</t>
        </is>
      </c>
      <c r="G62" s="18" t="inlineStr">
        <is>
          <t>AI-Aware Assessment Maturity</t>
        </is>
      </c>
      <c r="H62" s="18" t="inlineStr">
        <is>
          <t>Assessment governance → assessment practice</t>
        </is>
      </c>
      <c r="I62" s="18" t="inlineStr">
        <is>
          <t>If assessment governance is strong but actual assessment design/evidence is weak, flag policy-to-practice gap.</t>
        </is>
      </c>
      <c r="J62" s="18" t="inlineStr">
        <is>
          <t>Assessment architecture review</t>
        </is>
      </c>
      <c r="K62" s="18" t="inlineStr">
        <is>
          <t>Governance policy cannot generate D07 maturity.</t>
        </is>
      </c>
    </row>
    <row r="63">
      <c r="A63" s="18" t="inlineStr">
        <is>
          <t>CD05</t>
        </is>
      </c>
      <c r="B63" s="18" t="inlineStr">
        <is>
          <t>D02</t>
        </is>
      </c>
      <c r="C63" s="18" t="inlineStr">
        <is>
          <t>I05</t>
        </is>
      </c>
      <c r="D63" s="18" t="inlineStr">
        <is>
          <t>Academic Integrity Governance</t>
        </is>
      </c>
      <c r="E63" s="18" t="inlineStr">
        <is>
          <t>D07</t>
        </is>
      </c>
      <c r="F63" s="18" t="inlineStr">
        <is>
          <t>I05</t>
        </is>
      </c>
      <c r="G63" s="18" t="inlineStr">
        <is>
          <t>Verification &amp; Defence</t>
        </is>
      </c>
      <c r="H63" s="18" t="inlineStr">
        <is>
          <t>Assessment governance → assessment practice</t>
        </is>
      </c>
      <c r="I63" s="18" t="inlineStr">
        <is>
          <t>If assessment governance is strong but actual assessment design/evidence is weak, flag policy-to-practice gap.</t>
        </is>
      </c>
      <c r="J63" s="18" t="inlineStr">
        <is>
          <t>Assessment architecture review</t>
        </is>
      </c>
      <c r="K63" s="18" t="inlineStr">
        <is>
          <t>Governance policy cannot generate D07 maturity.</t>
        </is>
      </c>
    </row>
    <row r="64">
      <c r="A64" s="18" t="inlineStr">
        <is>
          <t>CD05</t>
        </is>
      </c>
      <c r="B64" s="18" t="inlineStr">
        <is>
          <t>D02</t>
        </is>
      </c>
      <c r="C64" s="18" t="inlineStr">
        <is>
          <t>I05</t>
        </is>
      </c>
      <c r="D64" s="18" t="inlineStr">
        <is>
          <t>Academic Integrity Governance</t>
        </is>
      </c>
      <c r="E64" s="18" t="inlineStr">
        <is>
          <t>D07</t>
        </is>
      </c>
      <c r="F64" s="18" t="inlineStr">
        <is>
          <t>I10</t>
        </is>
      </c>
      <c r="G64" s="18" t="inlineStr">
        <is>
          <t>Assessment Governance</t>
        </is>
      </c>
      <c r="H64" s="18" t="inlineStr">
        <is>
          <t>Assessment governance → assessment practice</t>
        </is>
      </c>
      <c r="I64" s="18" t="inlineStr">
        <is>
          <t>If assessment governance is strong but actual assessment design/evidence is weak, flag policy-to-practice gap.</t>
        </is>
      </c>
      <c r="J64" s="18" t="inlineStr">
        <is>
          <t>Assessment architecture review</t>
        </is>
      </c>
      <c r="K64" s="18" t="inlineStr">
        <is>
          <t>Governance policy cannot generate D07 maturity.</t>
        </is>
      </c>
    </row>
    <row r="65">
      <c r="A65" s="18" t="inlineStr">
        <is>
          <t>CD05</t>
        </is>
      </c>
      <c r="B65" s="18" t="inlineStr">
        <is>
          <t>D02</t>
        </is>
      </c>
      <c r="C65" s="18" t="inlineStr">
        <is>
          <t>I05</t>
        </is>
      </c>
      <c r="D65" s="18" t="inlineStr">
        <is>
          <t>Academic Integrity Governance</t>
        </is>
      </c>
      <c r="E65" s="18" t="inlineStr">
        <is>
          <t>D07</t>
        </is>
      </c>
      <c r="F65" s="18" t="inlineStr">
        <is>
          <t>I12</t>
        </is>
      </c>
      <c r="G65" s="18" t="inlineStr">
        <is>
          <t>Learning Evidence Analytics</t>
        </is>
      </c>
      <c r="H65" s="18" t="inlineStr">
        <is>
          <t>Assessment governance → assessment practice</t>
        </is>
      </c>
      <c r="I65" s="18" t="inlineStr">
        <is>
          <t>If assessment governance is strong but actual assessment design/evidence is weak, flag policy-to-practice gap.</t>
        </is>
      </c>
      <c r="J65" s="18" t="inlineStr">
        <is>
          <t>Assessment architecture review</t>
        </is>
      </c>
      <c r="K65" s="18" t="inlineStr">
        <is>
          <t>Governance policy cannot generate D07 maturity.</t>
        </is>
      </c>
    </row>
    <row r="66">
      <c r="A66" s="18" t="inlineStr">
        <is>
          <t>CD05</t>
        </is>
      </c>
      <c r="B66" s="18" t="inlineStr">
        <is>
          <t>D02</t>
        </is>
      </c>
      <c r="C66" s="18" t="inlineStr">
        <is>
          <t>I06</t>
        </is>
      </c>
      <c r="D66" s="18" t="inlineStr">
        <is>
          <t>Assessment Governance</t>
        </is>
      </c>
      <c r="E66" s="18" t="inlineStr">
        <is>
          <t>D07</t>
        </is>
      </c>
      <c r="F66" s="18" t="inlineStr">
        <is>
          <t>I01</t>
        </is>
      </c>
      <c r="G66" s="18" t="inlineStr">
        <is>
          <t>Assessment Design Maturity</t>
        </is>
      </c>
      <c r="H66" s="18" t="inlineStr">
        <is>
          <t>Assessment governance → assessment practice</t>
        </is>
      </c>
      <c r="I66" s="18" t="inlineStr">
        <is>
          <t>If assessment governance is strong but actual assessment design/evidence is weak, flag policy-to-practice gap.</t>
        </is>
      </c>
      <c r="J66" s="18" t="inlineStr">
        <is>
          <t>Assessment architecture review</t>
        </is>
      </c>
      <c r="K66" s="18" t="inlineStr">
        <is>
          <t>Governance policy cannot generate D07 maturity.</t>
        </is>
      </c>
    </row>
    <row r="67">
      <c r="A67" s="18" t="inlineStr">
        <is>
          <t>CD05</t>
        </is>
      </c>
      <c r="B67" s="18" t="inlineStr">
        <is>
          <t>D02</t>
        </is>
      </c>
      <c r="C67" s="18" t="inlineStr">
        <is>
          <t>I06</t>
        </is>
      </c>
      <c r="D67" s="18" t="inlineStr">
        <is>
          <t>Assessment Governance</t>
        </is>
      </c>
      <c r="E67" s="18" t="inlineStr">
        <is>
          <t>D07</t>
        </is>
      </c>
      <c r="F67" s="18" t="inlineStr">
        <is>
          <t>I04</t>
        </is>
      </c>
      <c r="G67" s="18" t="inlineStr">
        <is>
          <t>AI-Aware Assessment Maturity</t>
        </is>
      </c>
      <c r="H67" s="18" t="inlineStr">
        <is>
          <t>Assessment governance → assessment practice</t>
        </is>
      </c>
      <c r="I67" s="18" t="inlineStr">
        <is>
          <t>If assessment governance is strong but actual assessment design/evidence is weak, flag policy-to-practice gap.</t>
        </is>
      </c>
      <c r="J67" s="18" t="inlineStr">
        <is>
          <t>Assessment architecture review</t>
        </is>
      </c>
      <c r="K67" s="18" t="inlineStr">
        <is>
          <t>Governance policy cannot generate D07 maturity.</t>
        </is>
      </c>
    </row>
    <row r="68">
      <c r="A68" s="18" t="inlineStr">
        <is>
          <t>CD05</t>
        </is>
      </c>
      <c r="B68" s="18" t="inlineStr">
        <is>
          <t>D02</t>
        </is>
      </c>
      <c r="C68" s="18" t="inlineStr">
        <is>
          <t>I06</t>
        </is>
      </c>
      <c r="D68" s="18" t="inlineStr">
        <is>
          <t>Assessment Governance</t>
        </is>
      </c>
      <c r="E68" s="18" t="inlineStr">
        <is>
          <t>D07</t>
        </is>
      </c>
      <c r="F68" s="18" t="inlineStr">
        <is>
          <t>I05</t>
        </is>
      </c>
      <c r="G68" s="18" t="inlineStr">
        <is>
          <t>Verification &amp; Defence</t>
        </is>
      </c>
      <c r="H68" s="18" t="inlineStr">
        <is>
          <t>Assessment governance → assessment practice</t>
        </is>
      </c>
      <c r="I68" s="18" t="inlineStr">
        <is>
          <t>If assessment governance is strong but actual assessment design/evidence is weak, flag policy-to-practice gap.</t>
        </is>
      </c>
      <c r="J68" s="18" t="inlineStr">
        <is>
          <t>Assessment architecture review</t>
        </is>
      </c>
      <c r="K68" s="18" t="inlineStr">
        <is>
          <t>Governance policy cannot generate D07 maturity.</t>
        </is>
      </c>
    </row>
    <row r="69">
      <c r="A69" s="18" t="inlineStr">
        <is>
          <t>CD05</t>
        </is>
      </c>
      <c r="B69" s="18" t="inlineStr">
        <is>
          <t>D02</t>
        </is>
      </c>
      <c r="C69" s="18" t="inlineStr">
        <is>
          <t>I06</t>
        </is>
      </c>
      <c r="D69" s="18" t="inlineStr">
        <is>
          <t>Assessment Governance</t>
        </is>
      </c>
      <c r="E69" s="18" t="inlineStr">
        <is>
          <t>D07</t>
        </is>
      </c>
      <c r="F69" s="18" t="inlineStr">
        <is>
          <t>I10</t>
        </is>
      </c>
      <c r="G69" s="18" t="inlineStr">
        <is>
          <t>Assessment Governance</t>
        </is>
      </c>
      <c r="H69" s="18" t="inlineStr">
        <is>
          <t>Assessment governance → assessment practice</t>
        </is>
      </c>
      <c r="I69" s="18" t="inlineStr">
        <is>
          <t>If assessment governance is strong but actual assessment design/evidence is weak, flag policy-to-practice gap.</t>
        </is>
      </c>
      <c r="J69" s="18" t="inlineStr">
        <is>
          <t>Assessment architecture review</t>
        </is>
      </c>
      <c r="K69" s="18" t="inlineStr">
        <is>
          <t>Governance policy cannot generate D07 maturity.</t>
        </is>
      </c>
    </row>
    <row r="70">
      <c r="A70" s="18" t="inlineStr">
        <is>
          <t>CD05</t>
        </is>
      </c>
      <c r="B70" s="18" t="inlineStr">
        <is>
          <t>D02</t>
        </is>
      </c>
      <c r="C70" s="18" t="inlineStr">
        <is>
          <t>I06</t>
        </is>
      </c>
      <c r="D70" s="18" t="inlineStr">
        <is>
          <t>Assessment Governance</t>
        </is>
      </c>
      <c r="E70" s="18" t="inlineStr">
        <is>
          <t>D07</t>
        </is>
      </c>
      <c r="F70" s="18" t="inlineStr">
        <is>
          <t>I12</t>
        </is>
      </c>
      <c r="G70" s="18" t="inlineStr">
        <is>
          <t>Learning Evidence Analytics</t>
        </is>
      </c>
      <c r="H70" s="18" t="inlineStr">
        <is>
          <t>Assessment governance → assessment practice</t>
        </is>
      </c>
      <c r="I70" s="18" t="inlineStr">
        <is>
          <t>If assessment governance is strong but actual assessment design/evidence is weak, flag policy-to-practice gap.</t>
        </is>
      </c>
      <c r="J70" s="18" t="inlineStr">
        <is>
          <t>Assessment architecture review</t>
        </is>
      </c>
      <c r="K70" s="18" t="inlineStr">
        <is>
          <t>Governance policy cannot generate D07 maturity.</t>
        </is>
      </c>
    </row>
    <row r="71">
      <c r="A71" s="18" t="inlineStr">
        <is>
          <t>CD05</t>
        </is>
      </c>
      <c r="B71" s="18" t="inlineStr">
        <is>
          <t>D02</t>
        </is>
      </c>
      <c r="C71" s="18" t="inlineStr">
        <is>
          <t>I07</t>
        </is>
      </c>
      <c r="D71" s="18" t="inlineStr">
        <is>
          <t>AI Risk Management</t>
        </is>
      </c>
      <c r="E71" s="18" t="inlineStr">
        <is>
          <t>D07</t>
        </is>
      </c>
      <c r="F71" s="18" t="inlineStr">
        <is>
          <t>I01</t>
        </is>
      </c>
      <c r="G71" s="18" t="inlineStr">
        <is>
          <t>Assessment Design Maturity</t>
        </is>
      </c>
      <c r="H71" s="18" t="inlineStr">
        <is>
          <t>Assessment governance → assessment practice</t>
        </is>
      </c>
      <c r="I71" s="18" t="inlineStr">
        <is>
          <t>If assessment governance is strong but actual assessment design/evidence is weak, flag policy-to-practice gap.</t>
        </is>
      </c>
      <c r="J71" s="18" t="inlineStr">
        <is>
          <t>Assessment architecture review</t>
        </is>
      </c>
      <c r="K71" s="18" t="inlineStr">
        <is>
          <t>Governance policy cannot generate D07 maturity.</t>
        </is>
      </c>
    </row>
    <row r="72">
      <c r="A72" s="18" t="inlineStr">
        <is>
          <t>CD05</t>
        </is>
      </c>
      <c r="B72" s="18" t="inlineStr">
        <is>
          <t>D02</t>
        </is>
      </c>
      <c r="C72" s="18" t="inlineStr">
        <is>
          <t>I07</t>
        </is>
      </c>
      <c r="D72" s="18" t="inlineStr">
        <is>
          <t>AI Risk Management</t>
        </is>
      </c>
      <c r="E72" s="18" t="inlineStr">
        <is>
          <t>D07</t>
        </is>
      </c>
      <c r="F72" s="18" t="inlineStr">
        <is>
          <t>I04</t>
        </is>
      </c>
      <c r="G72" s="18" t="inlineStr">
        <is>
          <t>AI-Aware Assessment Maturity</t>
        </is>
      </c>
      <c r="H72" s="18" t="inlineStr">
        <is>
          <t>Assessment governance → assessment practice</t>
        </is>
      </c>
      <c r="I72" s="18" t="inlineStr">
        <is>
          <t>If assessment governance is strong but actual assessment design/evidence is weak, flag policy-to-practice gap.</t>
        </is>
      </c>
      <c r="J72" s="18" t="inlineStr">
        <is>
          <t>Assessment architecture review</t>
        </is>
      </c>
      <c r="K72" s="18" t="inlineStr">
        <is>
          <t>Governance policy cannot generate D07 maturity.</t>
        </is>
      </c>
    </row>
    <row r="73">
      <c r="A73" s="18" t="inlineStr">
        <is>
          <t>CD05</t>
        </is>
      </c>
      <c r="B73" s="18" t="inlineStr">
        <is>
          <t>D02</t>
        </is>
      </c>
      <c r="C73" s="18" t="inlineStr">
        <is>
          <t>I07</t>
        </is>
      </c>
      <c r="D73" s="18" t="inlineStr">
        <is>
          <t>AI Risk Management</t>
        </is>
      </c>
      <c r="E73" s="18" t="inlineStr">
        <is>
          <t>D07</t>
        </is>
      </c>
      <c r="F73" s="18" t="inlineStr">
        <is>
          <t>I05</t>
        </is>
      </c>
      <c r="G73" s="18" t="inlineStr">
        <is>
          <t>Verification &amp; Defence</t>
        </is>
      </c>
      <c r="H73" s="18" t="inlineStr">
        <is>
          <t>Assessment governance → assessment practice</t>
        </is>
      </c>
      <c r="I73" s="18" t="inlineStr">
        <is>
          <t>If assessment governance is strong but actual assessment design/evidence is weak, flag policy-to-practice gap.</t>
        </is>
      </c>
      <c r="J73" s="18" t="inlineStr">
        <is>
          <t>Assessment architecture review</t>
        </is>
      </c>
      <c r="K73" s="18" t="inlineStr">
        <is>
          <t>Governance policy cannot generate D07 maturity.</t>
        </is>
      </c>
    </row>
    <row r="74">
      <c r="A74" s="18" t="inlineStr">
        <is>
          <t>CD05</t>
        </is>
      </c>
      <c r="B74" s="18" t="inlineStr">
        <is>
          <t>D02</t>
        </is>
      </c>
      <c r="C74" s="18" t="inlineStr">
        <is>
          <t>I07</t>
        </is>
      </c>
      <c r="D74" s="18" t="inlineStr">
        <is>
          <t>AI Risk Management</t>
        </is>
      </c>
      <c r="E74" s="18" t="inlineStr">
        <is>
          <t>D07</t>
        </is>
      </c>
      <c r="F74" s="18" t="inlineStr">
        <is>
          <t>I10</t>
        </is>
      </c>
      <c r="G74" s="18" t="inlineStr">
        <is>
          <t>Assessment Governance</t>
        </is>
      </c>
      <c r="H74" s="18" t="inlineStr">
        <is>
          <t>Assessment governance → assessment practice</t>
        </is>
      </c>
      <c r="I74" s="18" t="inlineStr">
        <is>
          <t>If assessment governance is strong but actual assessment design/evidence is weak, flag policy-to-practice gap.</t>
        </is>
      </c>
      <c r="J74" s="18" t="inlineStr">
        <is>
          <t>Assessment architecture review</t>
        </is>
      </c>
      <c r="K74" s="18" t="inlineStr">
        <is>
          <t>Governance policy cannot generate D07 maturity.</t>
        </is>
      </c>
    </row>
    <row r="75">
      <c r="A75" s="18" t="inlineStr">
        <is>
          <t>CD05</t>
        </is>
      </c>
      <c r="B75" s="18" t="inlineStr">
        <is>
          <t>D02</t>
        </is>
      </c>
      <c r="C75" s="18" t="inlineStr">
        <is>
          <t>I07</t>
        </is>
      </c>
      <c r="D75" s="18" t="inlineStr">
        <is>
          <t>AI Risk Management</t>
        </is>
      </c>
      <c r="E75" s="18" t="inlineStr">
        <is>
          <t>D07</t>
        </is>
      </c>
      <c r="F75" s="18" t="inlineStr">
        <is>
          <t>I12</t>
        </is>
      </c>
      <c r="G75" s="18" t="inlineStr">
        <is>
          <t>Learning Evidence Analytics</t>
        </is>
      </c>
      <c r="H75" s="18" t="inlineStr">
        <is>
          <t>Assessment governance → assessment practice</t>
        </is>
      </c>
      <c r="I75" s="18" t="inlineStr">
        <is>
          <t>If assessment governance is strong but actual assessment design/evidence is weak, flag policy-to-practice gap.</t>
        </is>
      </c>
      <c r="J75" s="18" t="inlineStr">
        <is>
          <t>Assessment architecture review</t>
        </is>
      </c>
      <c r="K75" s="18" t="inlineStr">
        <is>
          <t>Governance policy cannot generate D07 maturity.</t>
        </is>
      </c>
    </row>
    <row r="76">
      <c r="A76" s="18" t="inlineStr">
        <is>
          <t>CD05</t>
        </is>
      </c>
      <c r="B76" s="18" t="inlineStr">
        <is>
          <t>D02</t>
        </is>
      </c>
      <c r="C76" s="18" t="inlineStr">
        <is>
          <t>I09</t>
        </is>
      </c>
      <c r="D76" s="18" t="inlineStr">
        <is>
          <t>Human Accountability</t>
        </is>
      </c>
      <c r="E76" s="18" t="inlineStr">
        <is>
          <t>D07</t>
        </is>
      </c>
      <c r="F76" s="18" t="inlineStr">
        <is>
          <t>I01</t>
        </is>
      </c>
      <c r="G76" s="18" t="inlineStr">
        <is>
          <t>Assessment Design Maturity</t>
        </is>
      </c>
      <c r="H76" s="18" t="inlineStr">
        <is>
          <t>Assessment governance → assessment practice</t>
        </is>
      </c>
      <c r="I76" s="18" t="inlineStr">
        <is>
          <t>If assessment governance is strong but actual assessment design/evidence is weak, flag policy-to-practice gap.</t>
        </is>
      </c>
      <c r="J76" s="18" t="inlineStr">
        <is>
          <t>Assessment architecture review</t>
        </is>
      </c>
      <c r="K76" s="18" t="inlineStr">
        <is>
          <t>Governance policy cannot generate D07 maturity.</t>
        </is>
      </c>
    </row>
    <row r="77">
      <c r="A77" s="18" t="inlineStr">
        <is>
          <t>CD05</t>
        </is>
      </c>
      <c r="B77" s="18" t="inlineStr">
        <is>
          <t>D02</t>
        </is>
      </c>
      <c r="C77" s="18" t="inlineStr">
        <is>
          <t>I09</t>
        </is>
      </c>
      <c r="D77" s="18" t="inlineStr">
        <is>
          <t>Human Accountability</t>
        </is>
      </c>
      <c r="E77" s="18" t="inlineStr">
        <is>
          <t>D07</t>
        </is>
      </c>
      <c r="F77" s="18" t="inlineStr">
        <is>
          <t>I04</t>
        </is>
      </c>
      <c r="G77" s="18" t="inlineStr">
        <is>
          <t>AI-Aware Assessment Maturity</t>
        </is>
      </c>
      <c r="H77" s="18" t="inlineStr">
        <is>
          <t>Assessment governance → assessment practice</t>
        </is>
      </c>
      <c r="I77" s="18" t="inlineStr">
        <is>
          <t>If assessment governance is strong but actual assessment design/evidence is weak, flag policy-to-practice gap.</t>
        </is>
      </c>
      <c r="J77" s="18" t="inlineStr">
        <is>
          <t>Assessment architecture review</t>
        </is>
      </c>
      <c r="K77" s="18" t="inlineStr">
        <is>
          <t>Governance policy cannot generate D07 maturity.</t>
        </is>
      </c>
    </row>
    <row r="78">
      <c r="A78" s="18" t="inlineStr">
        <is>
          <t>CD05</t>
        </is>
      </c>
      <c r="B78" s="18" t="inlineStr">
        <is>
          <t>D02</t>
        </is>
      </c>
      <c r="C78" s="18" t="inlineStr">
        <is>
          <t>I09</t>
        </is>
      </c>
      <c r="D78" s="18" t="inlineStr">
        <is>
          <t>Human Accountability</t>
        </is>
      </c>
      <c r="E78" s="18" t="inlineStr">
        <is>
          <t>D07</t>
        </is>
      </c>
      <c r="F78" s="18" t="inlineStr">
        <is>
          <t>I05</t>
        </is>
      </c>
      <c r="G78" s="18" t="inlineStr">
        <is>
          <t>Verification &amp; Defence</t>
        </is>
      </c>
      <c r="H78" s="18" t="inlineStr">
        <is>
          <t>Assessment governance → assessment practice</t>
        </is>
      </c>
      <c r="I78" s="18" t="inlineStr">
        <is>
          <t>If assessment governance is strong but actual assessment design/evidence is weak, flag policy-to-practice gap.</t>
        </is>
      </c>
      <c r="J78" s="18" t="inlineStr">
        <is>
          <t>Assessment architecture review</t>
        </is>
      </c>
      <c r="K78" s="18" t="inlineStr">
        <is>
          <t>Governance policy cannot generate D07 maturity.</t>
        </is>
      </c>
    </row>
    <row r="79">
      <c r="A79" s="18" t="inlineStr">
        <is>
          <t>CD05</t>
        </is>
      </c>
      <c r="B79" s="18" t="inlineStr">
        <is>
          <t>D02</t>
        </is>
      </c>
      <c r="C79" s="18" t="inlineStr">
        <is>
          <t>I09</t>
        </is>
      </c>
      <c r="D79" s="18" t="inlineStr">
        <is>
          <t>Human Accountability</t>
        </is>
      </c>
      <c r="E79" s="18" t="inlineStr">
        <is>
          <t>D07</t>
        </is>
      </c>
      <c r="F79" s="18" t="inlineStr">
        <is>
          <t>I10</t>
        </is>
      </c>
      <c r="G79" s="18" t="inlineStr">
        <is>
          <t>Assessment Governance</t>
        </is>
      </c>
      <c r="H79" s="18" t="inlineStr">
        <is>
          <t>Assessment governance → assessment practice</t>
        </is>
      </c>
      <c r="I79" s="18" t="inlineStr">
        <is>
          <t>If assessment governance is strong but actual assessment design/evidence is weak, flag policy-to-practice gap.</t>
        </is>
      </c>
      <c r="J79" s="18" t="inlineStr">
        <is>
          <t>Assessment architecture review</t>
        </is>
      </c>
      <c r="K79" s="18" t="inlineStr">
        <is>
          <t>Governance policy cannot generate D07 maturity.</t>
        </is>
      </c>
    </row>
    <row r="80">
      <c r="A80" s="18" t="inlineStr">
        <is>
          <t>CD05</t>
        </is>
      </c>
      <c r="B80" s="18" t="inlineStr">
        <is>
          <t>D02</t>
        </is>
      </c>
      <c r="C80" s="18" t="inlineStr">
        <is>
          <t>I09</t>
        </is>
      </c>
      <c r="D80" s="18" t="inlineStr">
        <is>
          <t>Human Accountability</t>
        </is>
      </c>
      <c r="E80" s="18" t="inlineStr">
        <is>
          <t>D07</t>
        </is>
      </c>
      <c r="F80" s="18" t="inlineStr">
        <is>
          <t>I12</t>
        </is>
      </c>
      <c r="G80" s="18" t="inlineStr">
        <is>
          <t>Learning Evidence Analytics</t>
        </is>
      </c>
      <c r="H80" s="18" t="inlineStr">
        <is>
          <t>Assessment governance → assessment practice</t>
        </is>
      </c>
      <c r="I80" s="18" t="inlineStr">
        <is>
          <t>If assessment governance is strong but actual assessment design/evidence is weak, flag policy-to-practice gap.</t>
        </is>
      </c>
      <c r="J80" s="18" t="inlineStr">
        <is>
          <t>Assessment architecture review</t>
        </is>
      </c>
      <c r="K80" s="18" t="inlineStr">
        <is>
          <t>Governance policy cannot generate D07 maturity.</t>
        </is>
      </c>
    </row>
    <row r="81">
      <c r="A81" s="18" t="inlineStr">
        <is>
          <t>CD06</t>
        </is>
      </c>
      <c r="B81" s="18" t="inlineStr">
        <is>
          <t>D02</t>
        </is>
      </c>
      <c r="C81" s="18" t="inlineStr">
        <is>
          <t>I03</t>
        </is>
      </c>
      <c r="D81" s="18" t="inlineStr">
        <is>
          <t>Responsible AI Maturity</t>
        </is>
      </c>
      <c r="E81" s="18" t="inlineStr">
        <is>
          <t>D08</t>
        </is>
      </c>
      <c r="F81" s="18" t="inlineStr">
        <is>
          <t>I02</t>
        </is>
      </c>
      <c r="G81" s="18" t="inlineStr">
        <is>
          <t>Institutional Data Architecture</t>
        </is>
      </c>
      <c r="H81" s="18" t="inlineStr">
        <is>
          <t>Governance controls → technical implementation</t>
        </is>
      </c>
      <c r="I81" s="18" t="inlineStr">
        <is>
          <t>If governance requires controls that digital/data implementation cannot evidence, flag control implementation gap.</t>
        </is>
      </c>
      <c r="J81" s="18" t="inlineStr">
        <is>
          <t>Digital control review</t>
        </is>
      </c>
      <c r="K81" s="18" t="inlineStr">
        <is>
          <t>Policy/control and technical implementation scored separately.</t>
        </is>
      </c>
    </row>
    <row r="82">
      <c r="A82" s="18" t="inlineStr">
        <is>
          <t>CD06</t>
        </is>
      </c>
      <c r="B82" s="18" t="inlineStr">
        <is>
          <t>D02</t>
        </is>
      </c>
      <c r="C82" s="18" t="inlineStr">
        <is>
          <t>I03</t>
        </is>
      </c>
      <c r="D82" s="18" t="inlineStr">
        <is>
          <t>Responsible AI Maturity</t>
        </is>
      </c>
      <c r="E82" s="18" t="inlineStr">
        <is>
          <t>D08</t>
        </is>
      </c>
      <c r="F82" s="18" t="inlineStr">
        <is>
          <t>I03</t>
        </is>
      </c>
      <c r="G82" s="18" t="inlineStr">
        <is>
          <t>Data Quality &amp; Integrity</t>
        </is>
      </c>
      <c r="H82" s="18" t="inlineStr">
        <is>
          <t>Governance controls → technical implementation</t>
        </is>
      </c>
      <c r="I82" s="18" t="inlineStr">
        <is>
          <t>If governance requires controls that digital/data implementation cannot evidence, flag control implementation gap.</t>
        </is>
      </c>
      <c r="J82" s="18" t="inlineStr">
        <is>
          <t>Digital control review</t>
        </is>
      </c>
      <c r="K82" s="18" t="inlineStr">
        <is>
          <t>Policy/control and technical implementation scored separately.</t>
        </is>
      </c>
    </row>
    <row r="83">
      <c r="A83" s="18" t="inlineStr">
        <is>
          <t>CD06</t>
        </is>
      </c>
      <c r="B83" s="18" t="inlineStr">
        <is>
          <t>D02</t>
        </is>
      </c>
      <c r="C83" s="18" t="inlineStr">
        <is>
          <t>I03</t>
        </is>
      </c>
      <c r="D83" s="18" t="inlineStr">
        <is>
          <t>Responsible AI Maturity</t>
        </is>
      </c>
      <c r="E83" s="18" t="inlineStr">
        <is>
          <t>D08</t>
        </is>
      </c>
      <c r="F83" s="18" t="inlineStr">
        <is>
          <t>I07</t>
        </is>
      </c>
      <c r="G83" s="18" t="inlineStr">
        <is>
          <t>Cyber &amp; Information Security</t>
        </is>
      </c>
      <c r="H83" s="18" t="inlineStr">
        <is>
          <t>Governance controls → technical implementation</t>
        </is>
      </c>
      <c r="I83" s="18" t="inlineStr">
        <is>
          <t>If governance requires controls that digital/data implementation cannot evidence, flag control implementation gap.</t>
        </is>
      </c>
      <c r="J83" s="18" t="inlineStr">
        <is>
          <t>Digital control review</t>
        </is>
      </c>
      <c r="K83" s="18" t="inlineStr">
        <is>
          <t>Policy/control and technical implementation scored separately.</t>
        </is>
      </c>
    </row>
    <row r="84">
      <c r="A84" s="18" t="inlineStr">
        <is>
          <t>CD06</t>
        </is>
      </c>
      <c r="B84" s="18" t="inlineStr">
        <is>
          <t>D02</t>
        </is>
      </c>
      <c r="C84" s="18" t="inlineStr">
        <is>
          <t>I03</t>
        </is>
      </c>
      <c r="D84" s="18" t="inlineStr">
        <is>
          <t>Responsible AI Maturity</t>
        </is>
      </c>
      <c r="E84" s="18" t="inlineStr">
        <is>
          <t>D08</t>
        </is>
      </c>
      <c r="F84" s="18" t="inlineStr">
        <is>
          <t>I08</t>
        </is>
      </c>
      <c r="G84" s="18" t="inlineStr">
        <is>
          <t>Data Privacy Readiness</t>
        </is>
      </c>
      <c r="H84" s="18" t="inlineStr">
        <is>
          <t>Governance controls → technical implementation</t>
        </is>
      </c>
      <c r="I84" s="18" t="inlineStr">
        <is>
          <t>If governance requires controls that digital/data implementation cannot evidence, flag control implementation gap.</t>
        </is>
      </c>
      <c r="J84" s="18" t="inlineStr">
        <is>
          <t>Digital control review</t>
        </is>
      </c>
      <c r="K84" s="18" t="inlineStr">
        <is>
          <t>Policy/control and technical implementation scored separately.</t>
        </is>
      </c>
    </row>
    <row r="85">
      <c r="A85" s="18" t="inlineStr">
        <is>
          <t>CD06</t>
        </is>
      </c>
      <c r="B85" s="18" t="inlineStr">
        <is>
          <t>D02</t>
        </is>
      </c>
      <c r="C85" s="18" t="inlineStr">
        <is>
          <t>I03</t>
        </is>
      </c>
      <c r="D85" s="18" t="inlineStr">
        <is>
          <t>Responsible AI Maturity</t>
        </is>
      </c>
      <c r="E85" s="18" t="inlineStr">
        <is>
          <t>D08</t>
        </is>
      </c>
      <c r="F85" s="18" t="inlineStr">
        <is>
          <t>I10</t>
        </is>
      </c>
      <c r="G85" s="18" t="inlineStr">
        <is>
          <t>Technology Decision Governance</t>
        </is>
      </c>
      <c r="H85" s="18" t="inlineStr">
        <is>
          <t>Governance controls → technical implementation</t>
        </is>
      </c>
      <c r="I85" s="18" t="inlineStr">
        <is>
          <t>If governance requires controls that digital/data implementation cannot evidence, flag control implementation gap.</t>
        </is>
      </c>
      <c r="J85" s="18" t="inlineStr">
        <is>
          <t>Digital control review</t>
        </is>
      </c>
      <c r="K85" s="18" t="inlineStr">
        <is>
          <t>Policy/control and technical implementation scored separately.</t>
        </is>
      </c>
    </row>
    <row r="86">
      <c r="A86" s="18" t="inlineStr">
        <is>
          <t>CD06</t>
        </is>
      </c>
      <c r="B86" s="18" t="inlineStr">
        <is>
          <t>D02</t>
        </is>
      </c>
      <c r="C86" s="18" t="inlineStr">
        <is>
          <t>I04</t>
        </is>
      </c>
      <c r="D86" s="18" t="inlineStr">
        <is>
          <t>Data Governance Readiness</t>
        </is>
      </c>
      <c r="E86" s="18" t="inlineStr">
        <is>
          <t>D08</t>
        </is>
      </c>
      <c r="F86" s="18" t="inlineStr">
        <is>
          <t>I02</t>
        </is>
      </c>
      <c r="G86" s="18" t="inlineStr">
        <is>
          <t>Institutional Data Architecture</t>
        </is>
      </c>
      <c r="H86" s="18" t="inlineStr">
        <is>
          <t>Governance controls → technical implementation</t>
        </is>
      </c>
      <c r="I86" s="18" t="inlineStr">
        <is>
          <t>If governance requires controls that digital/data implementation cannot evidence, flag control implementation gap.</t>
        </is>
      </c>
      <c r="J86" s="18" t="inlineStr">
        <is>
          <t>Digital control review</t>
        </is>
      </c>
      <c r="K86" s="18" t="inlineStr">
        <is>
          <t>Policy/control and technical implementation scored separately.</t>
        </is>
      </c>
    </row>
    <row r="87">
      <c r="A87" s="18" t="inlineStr">
        <is>
          <t>CD06</t>
        </is>
      </c>
      <c r="B87" s="18" t="inlineStr">
        <is>
          <t>D02</t>
        </is>
      </c>
      <c r="C87" s="18" t="inlineStr">
        <is>
          <t>I04</t>
        </is>
      </c>
      <c r="D87" s="18" t="inlineStr">
        <is>
          <t>Data Governance Readiness</t>
        </is>
      </c>
      <c r="E87" s="18" t="inlineStr">
        <is>
          <t>D08</t>
        </is>
      </c>
      <c r="F87" s="18" t="inlineStr">
        <is>
          <t>I03</t>
        </is>
      </c>
      <c r="G87" s="18" t="inlineStr">
        <is>
          <t>Data Quality &amp; Integrity</t>
        </is>
      </c>
      <c r="H87" s="18" t="inlineStr">
        <is>
          <t>Governance controls → technical implementation</t>
        </is>
      </c>
      <c r="I87" s="18" t="inlineStr">
        <is>
          <t>If governance requires controls that digital/data implementation cannot evidence, flag control implementation gap.</t>
        </is>
      </c>
      <c r="J87" s="18" t="inlineStr">
        <is>
          <t>Digital control review</t>
        </is>
      </c>
      <c r="K87" s="18" t="inlineStr">
        <is>
          <t>Policy/control and technical implementation scored separately.</t>
        </is>
      </c>
    </row>
    <row r="88">
      <c r="A88" s="18" t="inlineStr">
        <is>
          <t>CD06</t>
        </is>
      </c>
      <c r="B88" s="18" t="inlineStr">
        <is>
          <t>D02</t>
        </is>
      </c>
      <c r="C88" s="18" t="inlineStr">
        <is>
          <t>I04</t>
        </is>
      </c>
      <c r="D88" s="18" t="inlineStr">
        <is>
          <t>Data Governance Readiness</t>
        </is>
      </c>
      <c r="E88" s="18" t="inlineStr">
        <is>
          <t>D08</t>
        </is>
      </c>
      <c r="F88" s="18" t="inlineStr">
        <is>
          <t>I07</t>
        </is>
      </c>
      <c r="G88" s="18" t="inlineStr">
        <is>
          <t>Cyber &amp; Information Security</t>
        </is>
      </c>
      <c r="H88" s="18" t="inlineStr">
        <is>
          <t>Governance controls → technical implementation</t>
        </is>
      </c>
      <c r="I88" s="18" t="inlineStr">
        <is>
          <t>If governance requires controls that digital/data implementation cannot evidence, flag control implementation gap.</t>
        </is>
      </c>
      <c r="J88" s="18" t="inlineStr">
        <is>
          <t>Digital control review</t>
        </is>
      </c>
      <c r="K88" s="18" t="inlineStr">
        <is>
          <t>Policy/control and technical implementation scored separately.</t>
        </is>
      </c>
    </row>
    <row r="89">
      <c r="A89" s="18" t="inlineStr">
        <is>
          <t>CD06</t>
        </is>
      </c>
      <c r="B89" s="18" t="inlineStr">
        <is>
          <t>D02</t>
        </is>
      </c>
      <c r="C89" s="18" t="inlineStr">
        <is>
          <t>I04</t>
        </is>
      </c>
      <c r="D89" s="18" t="inlineStr">
        <is>
          <t>Data Governance Readiness</t>
        </is>
      </c>
      <c r="E89" s="18" t="inlineStr">
        <is>
          <t>D08</t>
        </is>
      </c>
      <c r="F89" s="18" t="inlineStr">
        <is>
          <t>I08</t>
        </is>
      </c>
      <c r="G89" s="18" t="inlineStr">
        <is>
          <t>Data Privacy Readiness</t>
        </is>
      </c>
      <c r="H89" s="18" t="inlineStr">
        <is>
          <t>Governance controls → technical implementation</t>
        </is>
      </c>
      <c r="I89" s="18" t="inlineStr">
        <is>
          <t>If governance requires controls that digital/data implementation cannot evidence, flag control implementation gap.</t>
        </is>
      </c>
      <c r="J89" s="18" t="inlineStr">
        <is>
          <t>Digital control review</t>
        </is>
      </c>
      <c r="K89" s="18" t="inlineStr">
        <is>
          <t>Policy/control and technical implementation scored separately.</t>
        </is>
      </c>
    </row>
    <row r="90">
      <c r="A90" s="18" t="inlineStr">
        <is>
          <t>CD06</t>
        </is>
      </c>
      <c r="B90" s="18" t="inlineStr">
        <is>
          <t>D02</t>
        </is>
      </c>
      <c r="C90" s="18" t="inlineStr">
        <is>
          <t>I04</t>
        </is>
      </c>
      <c r="D90" s="18" t="inlineStr">
        <is>
          <t>Data Governance Readiness</t>
        </is>
      </c>
      <c r="E90" s="18" t="inlineStr">
        <is>
          <t>D08</t>
        </is>
      </c>
      <c r="F90" s="18" t="inlineStr">
        <is>
          <t>I10</t>
        </is>
      </c>
      <c r="G90" s="18" t="inlineStr">
        <is>
          <t>Technology Decision Governance</t>
        </is>
      </c>
      <c r="H90" s="18" t="inlineStr">
        <is>
          <t>Governance controls → technical implementation</t>
        </is>
      </c>
      <c r="I90" s="18" t="inlineStr">
        <is>
          <t>If governance requires controls that digital/data implementation cannot evidence, flag control implementation gap.</t>
        </is>
      </c>
      <c r="J90" s="18" t="inlineStr">
        <is>
          <t>Digital control review</t>
        </is>
      </c>
      <c r="K90" s="18" t="inlineStr">
        <is>
          <t>Policy/control and technical implementation scored separately.</t>
        </is>
      </c>
    </row>
    <row r="91">
      <c r="A91" s="18" t="inlineStr">
        <is>
          <t>CD06</t>
        </is>
      </c>
      <c r="B91" s="18" t="inlineStr">
        <is>
          <t>D02</t>
        </is>
      </c>
      <c r="C91" s="18" t="inlineStr">
        <is>
          <t>I07</t>
        </is>
      </c>
      <c r="D91" s="18" t="inlineStr">
        <is>
          <t>AI Risk Management</t>
        </is>
      </c>
      <c r="E91" s="18" t="inlineStr">
        <is>
          <t>D08</t>
        </is>
      </c>
      <c r="F91" s="18" t="inlineStr">
        <is>
          <t>I02</t>
        </is>
      </c>
      <c r="G91" s="18" t="inlineStr">
        <is>
          <t>Institutional Data Architecture</t>
        </is>
      </c>
      <c r="H91" s="18" t="inlineStr">
        <is>
          <t>Governance controls → technical implementation</t>
        </is>
      </c>
      <c r="I91" s="18" t="inlineStr">
        <is>
          <t>If governance requires controls that digital/data implementation cannot evidence, flag control implementation gap.</t>
        </is>
      </c>
      <c r="J91" s="18" t="inlineStr">
        <is>
          <t>Digital control review</t>
        </is>
      </c>
      <c r="K91" s="18" t="inlineStr">
        <is>
          <t>Policy/control and technical implementation scored separately.</t>
        </is>
      </c>
    </row>
    <row r="92">
      <c r="A92" s="18" t="inlineStr">
        <is>
          <t>CD06</t>
        </is>
      </c>
      <c r="B92" s="18" t="inlineStr">
        <is>
          <t>D02</t>
        </is>
      </c>
      <c r="C92" s="18" t="inlineStr">
        <is>
          <t>I07</t>
        </is>
      </c>
      <c r="D92" s="18" t="inlineStr">
        <is>
          <t>AI Risk Management</t>
        </is>
      </c>
      <c r="E92" s="18" t="inlineStr">
        <is>
          <t>D08</t>
        </is>
      </c>
      <c r="F92" s="18" t="inlineStr">
        <is>
          <t>I03</t>
        </is>
      </c>
      <c r="G92" s="18" t="inlineStr">
        <is>
          <t>Data Quality &amp; Integrity</t>
        </is>
      </c>
      <c r="H92" s="18" t="inlineStr">
        <is>
          <t>Governance controls → technical implementation</t>
        </is>
      </c>
      <c r="I92" s="18" t="inlineStr">
        <is>
          <t>If governance requires controls that digital/data implementation cannot evidence, flag control implementation gap.</t>
        </is>
      </c>
      <c r="J92" s="18" t="inlineStr">
        <is>
          <t>Digital control review</t>
        </is>
      </c>
      <c r="K92" s="18" t="inlineStr">
        <is>
          <t>Policy/control and technical implementation scored separately.</t>
        </is>
      </c>
    </row>
    <row r="93">
      <c r="A93" s="18" t="inlineStr">
        <is>
          <t>CD06</t>
        </is>
      </c>
      <c r="B93" s="18" t="inlineStr">
        <is>
          <t>D02</t>
        </is>
      </c>
      <c r="C93" s="18" t="inlineStr">
        <is>
          <t>I07</t>
        </is>
      </c>
      <c r="D93" s="18" t="inlineStr">
        <is>
          <t>AI Risk Management</t>
        </is>
      </c>
      <c r="E93" s="18" t="inlineStr">
        <is>
          <t>D08</t>
        </is>
      </c>
      <c r="F93" s="18" t="inlineStr">
        <is>
          <t>I07</t>
        </is>
      </c>
      <c r="G93" s="18" t="inlineStr">
        <is>
          <t>Cyber &amp; Information Security</t>
        </is>
      </c>
      <c r="H93" s="18" t="inlineStr">
        <is>
          <t>Governance controls → technical implementation</t>
        </is>
      </c>
      <c r="I93" s="18" t="inlineStr">
        <is>
          <t>If governance requires controls that digital/data implementation cannot evidence, flag control implementation gap.</t>
        </is>
      </c>
      <c r="J93" s="18" t="inlineStr">
        <is>
          <t>Digital control review</t>
        </is>
      </c>
      <c r="K93" s="18" t="inlineStr">
        <is>
          <t>Policy/control and technical implementation scored separately.</t>
        </is>
      </c>
    </row>
    <row r="94">
      <c r="A94" s="18" t="inlineStr">
        <is>
          <t>CD06</t>
        </is>
      </c>
      <c r="B94" s="18" t="inlineStr">
        <is>
          <t>D02</t>
        </is>
      </c>
      <c r="C94" s="18" t="inlineStr">
        <is>
          <t>I07</t>
        </is>
      </c>
      <c r="D94" s="18" t="inlineStr">
        <is>
          <t>AI Risk Management</t>
        </is>
      </c>
      <c r="E94" s="18" t="inlineStr">
        <is>
          <t>D08</t>
        </is>
      </c>
      <c r="F94" s="18" t="inlineStr">
        <is>
          <t>I08</t>
        </is>
      </c>
      <c r="G94" s="18" t="inlineStr">
        <is>
          <t>Data Privacy Readiness</t>
        </is>
      </c>
      <c r="H94" s="18" t="inlineStr">
        <is>
          <t>Governance controls → technical implementation</t>
        </is>
      </c>
      <c r="I94" s="18" t="inlineStr">
        <is>
          <t>If governance requires controls that digital/data implementation cannot evidence, flag control implementation gap.</t>
        </is>
      </c>
      <c r="J94" s="18" t="inlineStr">
        <is>
          <t>Digital control review</t>
        </is>
      </c>
      <c r="K94" s="18" t="inlineStr">
        <is>
          <t>Policy/control and technical implementation scored separately.</t>
        </is>
      </c>
    </row>
    <row r="95">
      <c r="A95" s="18" t="inlineStr">
        <is>
          <t>CD06</t>
        </is>
      </c>
      <c r="B95" s="18" t="inlineStr">
        <is>
          <t>D02</t>
        </is>
      </c>
      <c r="C95" s="18" t="inlineStr">
        <is>
          <t>I07</t>
        </is>
      </c>
      <c r="D95" s="18" t="inlineStr">
        <is>
          <t>AI Risk Management</t>
        </is>
      </c>
      <c r="E95" s="18" t="inlineStr">
        <is>
          <t>D08</t>
        </is>
      </c>
      <c r="F95" s="18" t="inlineStr">
        <is>
          <t>I10</t>
        </is>
      </c>
      <c r="G95" s="18" t="inlineStr">
        <is>
          <t>Technology Decision Governance</t>
        </is>
      </c>
      <c r="H95" s="18" t="inlineStr">
        <is>
          <t>Governance controls → technical implementation</t>
        </is>
      </c>
      <c r="I95" s="18" t="inlineStr">
        <is>
          <t>If governance requires controls that digital/data implementation cannot evidence, flag control implementation gap.</t>
        </is>
      </c>
      <c r="J95" s="18" t="inlineStr">
        <is>
          <t>Digital control review</t>
        </is>
      </c>
      <c r="K95" s="18" t="inlineStr">
        <is>
          <t>Policy/control and technical implementation scored separately.</t>
        </is>
      </c>
    </row>
    <row r="96">
      <c r="A96" s="18" t="inlineStr">
        <is>
          <t>CD06</t>
        </is>
      </c>
      <c r="B96" s="18" t="inlineStr">
        <is>
          <t>D02</t>
        </is>
      </c>
      <c r="C96" s="18" t="inlineStr">
        <is>
          <t>I10</t>
        </is>
      </c>
      <c r="D96" s="18" t="inlineStr">
        <is>
          <t>Vendor/Tool Governance</t>
        </is>
      </c>
      <c r="E96" s="18" t="inlineStr">
        <is>
          <t>D08</t>
        </is>
      </c>
      <c r="F96" s="18" t="inlineStr">
        <is>
          <t>I02</t>
        </is>
      </c>
      <c r="G96" s="18" t="inlineStr">
        <is>
          <t>Institutional Data Architecture</t>
        </is>
      </c>
      <c r="H96" s="18" t="inlineStr">
        <is>
          <t>Governance controls → technical implementation</t>
        </is>
      </c>
      <c r="I96" s="18" t="inlineStr">
        <is>
          <t>If governance requires controls that digital/data implementation cannot evidence, flag control implementation gap.</t>
        </is>
      </c>
      <c r="J96" s="18" t="inlineStr">
        <is>
          <t>Digital control review</t>
        </is>
      </c>
      <c r="K96" s="18" t="inlineStr">
        <is>
          <t>Policy/control and technical implementation scored separately.</t>
        </is>
      </c>
    </row>
    <row r="97">
      <c r="A97" s="18" t="inlineStr">
        <is>
          <t>CD06</t>
        </is>
      </c>
      <c r="B97" s="18" t="inlineStr">
        <is>
          <t>D02</t>
        </is>
      </c>
      <c r="C97" s="18" t="inlineStr">
        <is>
          <t>I10</t>
        </is>
      </c>
      <c r="D97" s="18" t="inlineStr">
        <is>
          <t>Vendor/Tool Governance</t>
        </is>
      </c>
      <c r="E97" s="18" t="inlineStr">
        <is>
          <t>D08</t>
        </is>
      </c>
      <c r="F97" s="18" t="inlineStr">
        <is>
          <t>I03</t>
        </is>
      </c>
      <c r="G97" s="18" t="inlineStr">
        <is>
          <t>Data Quality &amp; Integrity</t>
        </is>
      </c>
      <c r="H97" s="18" t="inlineStr">
        <is>
          <t>Governance controls → technical implementation</t>
        </is>
      </c>
      <c r="I97" s="18" t="inlineStr">
        <is>
          <t>If governance requires controls that digital/data implementation cannot evidence, flag control implementation gap.</t>
        </is>
      </c>
      <c r="J97" s="18" t="inlineStr">
        <is>
          <t>Digital control review</t>
        </is>
      </c>
      <c r="K97" s="18" t="inlineStr">
        <is>
          <t>Policy/control and technical implementation scored separately.</t>
        </is>
      </c>
    </row>
    <row r="98">
      <c r="A98" s="18" t="inlineStr">
        <is>
          <t>CD06</t>
        </is>
      </c>
      <c r="B98" s="18" t="inlineStr">
        <is>
          <t>D02</t>
        </is>
      </c>
      <c r="C98" s="18" t="inlineStr">
        <is>
          <t>I10</t>
        </is>
      </c>
      <c r="D98" s="18" t="inlineStr">
        <is>
          <t>Vendor/Tool Governance</t>
        </is>
      </c>
      <c r="E98" s="18" t="inlineStr">
        <is>
          <t>D08</t>
        </is>
      </c>
      <c r="F98" s="18" t="inlineStr">
        <is>
          <t>I07</t>
        </is>
      </c>
      <c r="G98" s="18" t="inlineStr">
        <is>
          <t>Cyber &amp; Information Security</t>
        </is>
      </c>
      <c r="H98" s="18" t="inlineStr">
        <is>
          <t>Governance controls → technical implementation</t>
        </is>
      </c>
      <c r="I98" s="18" t="inlineStr">
        <is>
          <t>If governance requires controls that digital/data implementation cannot evidence, flag control implementation gap.</t>
        </is>
      </c>
      <c r="J98" s="18" t="inlineStr">
        <is>
          <t>Digital control review</t>
        </is>
      </c>
      <c r="K98" s="18" t="inlineStr">
        <is>
          <t>Policy/control and technical implementation scored separately.</t>
        </is>
      </c>
    </row>
    <row r="99">
      <c r="A99" s="18" t="inlineStr">
        <is>
          <t>CD06</t>
        </is>
      </c>
      <c r="B99" s="18" t="inlineStr">
        <is>
          <t>D02</t>
        </is>
      </c>
      <c r="C99" s="18" t="inlineStr">
        <is>
          <t>I10</t>
        </is>
      </c>
      <c r="D99" s="18" t="inlineStr">
        <is>
          <t>Vendor/Tool Governance</t>
        </is>
      </c>
      <c r="E99" s="18" t="inlineStr">
        <is>
          <t>D08</t>
        </is>
      </c>
      <c r="F99" s="18" t="inlineStr">
        <is>
          <t>I08</t>
        </is>
      </c>
      <c r="G99" s="18" t="inlineStr">
        <is>
          <t>Data Privacy Readiness</t>
        </is>
      </c>
      <c r="H99" s="18" t="inlineStr">
        <is>
          <t>Governance controls → technical implementation</t>
        </is>
      </c>
      <c r="I99" s="18" t="inlineStr">
        <is>
          <t>If governance requires controls that digital/data implementation cannot evidence, flag control implementation gap.</t>
        </is>
      </c>
      <c r="J99" s="18" t="inlineStr">
        <is>
          <t>Digital control review</t>
        </is>
      </c>
      <c r="K99" s="18" t="inlineStr">
        <is>
          <t>Policy/control and technical implementation scored separately.</t>
        </is>
      </c>
    </row>
    <row r="100">
      <c r="A100" s="18" t="inlineStr">
        <is>
          <t>CD06</t>
        </is>
      </c>
      <c r="B100" s="18" t="inlineStr">
        <is>
          <t>D02</t>
        </is>
      </c>
      <c r="C100" s="18" t="inlineStr">
        <is>
          <t>I10</t>
        </is>
      </c>
      <c r="D100" s="18" t="inlineStr">
        <is>
          <t>Vendor/Tool Governance</t>
        </is>
      </c>
      <c r="E100" s="18" t="inlineStr">
        <is>
          <t>D08</t>
        </is>
      </c>
      <c r="F100" s="18" t="inlineStr">
        <is>
          <t>I10</t>
        </is>
      </c>
      <c r="G100" s="18" t="inlineStr">
        <is>
          <t>Technology Decision Governance</t>
        </is>
      </c>
      <c r="H100" s="18" t="inlineStr">
        <is>
          <t>Governance controls → technical implementation</t>
        </is>
      </c>
      <c r="I100" s="18" t="inlineStr">
        <is>
          <t>If governance requires controls that digital/data implementation cannot evidence, flag control implementation gap.</t>
        </is>
      </c>
      <c r="J100" s="18" t="inlineStr">
        <is>
          <t>Digital control review</t>
        </is>
      </c>
      <c r="K100" s="18" t="inlineStr">
        <is>
          <t>Policy/control and technical implementation scored separately.</t>
        </is>
      </c>
    </row>
    <row r="101">
      <c r="A101" s="18" t="inlineStr">
        <is>
          <t>CD07</t>
        </is>
      </c>
      <c r="B101" s="18" t="inlineStr">
        <is>
          <t>D02</t>
        </is>
      </c>
      <c r="C101" s="18" t="inlineStr">
        <is>
          <t>I12</t>
        </is>
      </c>
      <c r="D101" s="18" t="inlineStr">
        <is>
          <t>Research AI Governance</t>
        </is>
      </c>
      <c r="E101" s="18" t="inlineStr">
        <is>
          <t>D10</t>
        </is>
      </c>
      <c r="F101" s="18" t="inlineStr">
        <is>
          <t>I04</t>
        </is>
      </c>
      <c r="G101" s="18" t="inlineStr">
        <is>
          <t>AI-Enabled Research Capability</t>
        </is>
      </c>
      <c r="H101" s="18" t="inlineStr">
        <is>
          <t>Research governance → research practice</t>
        </is>
      </c>
      <c r="I101" s="18" t="inlineStr">
        <is>
          <t>If research AI governance is strong but responsible research practice/evidence is weak, flag governance-to-practice gap.</t>
        </is>
      </c>
      <c r="J101" s="18" t="inlineStr">
        <is>
          <t>Research governance review</t>
        </is>
      </c>
      <c r="K101" s="18" t="inlineStr">
        <is>
          <t>No duplicate scoring of policy and practice.</t>
        </is>
      </c>
    </row>
    <row r="102">
      <c r="A102" s="18" t="inlineStr">
        <is>
          <t>CD07</t>
        </is>
      </c>
      <c r="B102" s="18" t="inlineStr">
        <is>
          <t>D02</t>
        </is>
      </c>
      <c r="C102" s="18" t="inlineStr">
        <is>
          <t>I12</t>
        </is>
      </c>
      <c r="D102" s="18" t="inlineStr">
        <is>
          <t>Research AI Governance</t>
        </is>
      </c>
      <c r="E102" s="18" t="inlineStr">
        <is>
          <t>D10</t>
        </is>
      </c>
      <c r="F102" s="18" t="inlineStr">
        <is>
          <t>I06</t>
        </is>
      </c>
      <c r="G102" s="18" t="inlineStr">
        <is>
          <t>Researcher Capability</t>
        </is>
      </c>
      <c r="H102" s="18" t="inlineStr">
        <is>
          <t>Research governance → research practice</t>
        </is>
      </c>
      <c r="I102" s="18" t="inlineStr">
        <is>
          <t>If research AI governance is strong but responsible research practice/evidence is weak, flag governance-to-practice gap.</t>
        </is>
      </c>
      <c r="J102" s="18" t="inlineStr">
        <is>
          <t>Research governance review</t>
        </is>
      </c>
      <c r="K102" s="18" t="inlineStr">
        <is>
          <t>No duplicate scoring of policy and practice.</t>
        </is>
      </c>
    </row>
    <row r="103">
      <c r="A103" s="18" t="inlineStr">
        <is>
          <t>CD07</t>
        </is>
      </c>
      <c r="B103" s="18" t="inlineStr">
        <is>
          <t>D02</t>
        </is>
      </c>
      <c r="C103" s="18" t="inlineStr">
        <is>
          <t>I12</t>
        </is>
      </c>
      <c r="D103" s="18" t="inlineStr">
        <is>
          <t>Research AI Governance</t>
        </is>
      </c>
      <c r="E103" s="18" t="inlineStr">
        <is>
          <t>D10</t>
        </is>
      </c>
      <c r="F103" s="18" t="inlineStr">
        <is>
          <t>I12</t>
        </is>
      </c>
      <c r="G103" s="18" t="inlineStr">
        <is>
          <t>Research Integrity &amp; Responsible AI</t>
        </is>
      </c>
      <c r="H103" s="18" t="inlineStr">
        <is>
          <t>Research governance → research practice</t>
        </is>
      </c>
      <c r="I103" s="18" t="inlineStr">
        <is>
          <t>If research AI governance is strong but responsible research practice/evidence is weak, flag governance-to-practice gap.</t>
        </is>
      </c>
      <c r="J103" s="18" t="inlineStr">
        <is>
          <t>Research governance review</t>
        </is>
      </c>
      <c r="K103" s="18" t="inlineStr">
        <is>
          <t>No duplicate scoring of policy and practice.</t>
        </is>
      </c>
    </row>
    <row r="104">
      <c r="A104" s="18" t="inlineStr">
        <is>
          <t>CD07</t>
        </is>
      </c>
      <c r="B104" s="18" t="inlineStr">
        <is>
          <t>D02</t>
        </is>
      </c>
      <c r="C104" s="18" t="inlineStr">
        <is>
          <t>I12</t>
        </is>
      </c>
      <c r="D104" s="18" t="inlineStr">
        <is>
          <t>Research AI Governance</t>
        </is>
      </c>
      <c r="E104" s="18" t="inlineStr">
        <is>
          <t>D10</t>
        </is>
      </c>
      <c r="F104" s="18" t="inlineStr">
        <is>
          <t>I13</t>
        </is>
      </c>
      <c r="G104" s="18" t="inlineStr">
        <is>
          <t>Research Impact Evidence</t>
        </is>
      </c>
      <c r="H104" s="18" t="inlineStr">
        <is>
          <t>Research governance → research practice</t>
        </is>
      </c>
      <c r="I104" s="18" t="inlineStr">
        <is>
          <t>If research AI governance is strong but responsible research practice/evidence is weak, flag governance-to-practice gap.</t>
        </is>
      </c>
      <c r="J104" s="18" t="inlineStr">
        <is>
          <t>Research governance review</t>
        </is>
      </c>
      <c r="K104" s="18" t="inlineStr">
        <is>
          <t>No duplicate scoring of policy and practice.</t>
        </is>
      </c>
    </row>
    <row r="105">
      <c r="A105" s="18" t="inlineStr">
        <is>
          <t>CD07</t>
        </is>
      </c>
      <c r="B105" s="18" t="inlineStr">
        <is>
          <t>D02</t>
        </is>
      </c>
      <c r="C105" s="18" t="inlineStr">
        <is>
          <t>I13</t>
        </is>
      </c>
      <c r="D105" s="18" t="inlineStr">
        <is>
          <t>Governance Review Adaptability</t>
        </is>
      </c>
      <c r="E105" s="18" t="inlineStr">
        <is>
          <t>D10</t>
        </is>
      </c>
      <c r="F105" s="18" t="inlineStr">
        <is>
          <t>I04</t>
        </is>
      </c>
      <c r="G105" s="18" t="inlineStr">
        <is>
          <t>AI-Enabled Research Capability</t>
        </is>
      </c>
      <c r="H105" s="18" t="inlineStr">
        <is>
          <t>Research governance → research practice</t>
        </is>
      </c>
      <c r="I105" s="18" t="inlineStr">
        <is>
          <t>If research AI governance is strong but responsible research practice/evidence is weak, flag governance-to-practice gap.</t>
        </is>
      </c>
      <c r="J105" s="18" t="inlineStr">
        <is>
          <t>Research governance review</t>
        </is>
      </c>
      <c r="K105" s="18" t="inlineStr">
        <is>
          <t>No duplicate scoring of policy and practice.</t>
        </is>
      </c>
    </row>
    <row r="106">
      <c r="A106" s="18" t="inlineStr">
        <is>
          <t>CD07</t>
        </is>
      </c>
      <c r="B106" s="18" t="inlineStr">
        <is>
          <t>D02</t>
        </is>
      </c>
      <c r="C106" s="18" t="inlineStr">
        <is>
          <t>I13</t>
        </is>
      </c>
      <c r="D106" s="18" t="inlineStr">
        <is>
          <t>Governance Review Adaptability</t>
        </is>
      </c>
      <c r="E106" s="18" t="inlineStr">
        <is>
          <t>D10</t>
        </is>
      </c>
      <c r="F106" s="18" t="inlineStr">
        <is>
          <t>I06</t>
        </is>
      </c>
      <c r="G106" s="18" t="inlineStr">
        <is>
          <t>Researcher Capability</t>
        </is>
      </c>
      <c r="H106" s="18" t="inlineStr">
        <is>
          <t>Research governance → research practice</t>
        </is>
      </c>
      <c r="I106" s="18" t="inlineStr">
        <is>
          <t>If research AI governance is strong but responsible research practice/evidence is weak, flag governance-to-practice gap.</t>
        </is>
      </c>
      <c r="J106" s="18" t="inlineStr">
        <is>
          <t>Research governance review</t>
        </is>
      </c>
      <c r="K106" s="18" t="inlineStr">
        <is>
          <t>No duplicate scoring of policy and practice.</t>
        </is>
      </c>
    </row>
    <row r="107">
      <c r="A107" s="18" t="inlineStr">
        <is>
          <t>CD07</t>
        </is>
      </c>
      <c r="B107" s="18" t="inlineStr">
        <is>
          <t>D02</t>
        </is>
      </c>
      <c r="C107" s="18" t="inlineStr">
        <is>
          <t>I13</t>
        </is>
      </c>
      <c r="D107" s="18" t="inlineStr">
        <is>
          <t>Governance Review Adaptability</t>
        </is>
      </c>
      <c r="E107" s="18" t="inlineStr">
        <is>
          <t>D10</t>
        </is>
      </c>
      <c r="F107" s="18" t="inlineStr">
        <is>
          <t>I12</t>
        </is>
      </c>
      <c r="G107" s="18" t="inlineStr">
        <is>
          <t>Research Integrity &amp; Responsible AI</t>
        </is>
      </c>
      <c r="H107" s="18" t="inlineStr">
        <is>
          <t>Research governance → research practice</t>
        </is>
      </c>
      <c r="I107" s="18" t="inlineStr">
        <is>
          <t>If research AI governance is strong but responsible research practice/evidence is weak, flag governance-to-practice gap.</t>
        </is>
      </c>
      <c r="J107" s="18" t="inlineStr">
        <is>
          <t>Research governance review</t>
        </is>
      </c>
      <c r="K107" s="18" t="inlineStr">
        <is>
          <t>No duplicate scoring of policy and practice.</t>
        </is>
      </c>
    </row>
    <row r="108">
      <c r="A108" s="18" t="inlineStr">
        <is>
          <t>CD07</t>
        </is>
      </c>
      <c r="B108" s="18" t="inlineStr">
        <is>
          <t>D02</t>
        </is>
      </c>
      <c r="C108" s="18" t="inlineStr">
        <is>
          <t>I13</t>
        </is>
      </c>
      <c r="D108" s="18" t="inlineStr">
        <is>
          <t>Governance Review Adaptability</t>
        </is>
      </c>
      <c r="E108" s="18" t="inlineStr">
        <is>
          <t>D10</t>
        </is>
      </c>
      <c r="F108" s="18" t="inlineStr">
        <is>
          <t>I13</t>
        </is>
      </c>
      <c r="G108" s="18" t="inlineStr">
        <is>
          <t>Research Impact Evidence</t>
        </is>
      </c>
      <c r="H108" s="18" t="inlineStr">
        <is>
          <t>Research governance → research practice</t>
        </is>
      </c>
      <c r="I108" s="18" t="inlineStr">
        <is>
          <t>If research AI governance is strong but responsible research practice/evidence is weak, flag governance-to-practice gap.</t>
        </is>
      </c>
      <c r="J108" s="18" t="inlineStr">
        <is>
          <t>Research governance review</t>
        </is>
      </c>
      <c r="K108" s="18" t="inlineStr">
        <is>
          <t>No duplicate scoring of policy and practice.</t>
        </is>
      </c>
    </row>
    <row r="109">
      <c r="A109" s="18" t="inlineStr">
        <is>
          <t>CD07</t>
        </is>
      </c>
      <c r="B109" s="18" t="inlineStr">
        <is>
          <t>D02</t>
        </is>
      </c>
      <c r="C109" s="18" t="inlineStr">
        <is>
          <t>I14</t>
        </is>
      </c>
      <c r="D109" s="18" t="inlineStr">
        <is>
          <t>Governance Effectiveness</t>
        </is>
      </c>
      <c r="E109" s="18" t="inlineStr">
        <is>
          <t>D10</t>
        </is>
      </c>
      <c r="F109" s="18" t="inlineStr">
        <is>
          <t>I04</t>
        </is>
      </c>
      <c r="G109" s="18" t="inlineStr">
        <is>
          <t>AI-Enabled Research Capability</t>
        </is>
      </c>
      <c r="H109" s="18" t="inlineStr">
        <is>
          <t>Research governance → research practice</t>
        </is>
      </c>
      <c r="I109" s="18" t="inlineStr">
        <is>
          <t>If research AI governance is strong but responsible research practice/evidence is weak, flag governance-to-practice gap.</t>
        </is>
      </c>
      <c r="J109" s="18" t="inlineStr">
        <is>
          <t>Research governance review</t>
        </is>
      </c>
      <c r="K109" s="18" t="inlineStr">
        <is>
          <t>No duplicate scoring of policy and practice.</t>
        </is>
      </c>
    </row>
    <row r="110">
      <c r="A110" s="18" t="inlineStr">
        <is>
          <t>CD07</t>
        </is>
      </c>
      <c r="B110" s="18" t="inlineStr">
        <is>
          <t>D02</t>
        </is>
      </c>
      <c r="C110" s="18" t="inlineStr">
        <is>
          <t>I14</t>
        </is>
      </c>
      <c r="D110" s="18" t="inlineStr">
        <is>
          <t>Governance Effectiveness</t>
        </is>
      </c>
      <c r="E110" s="18" t="inlineStr">
        <is>
          <t>D10</t>
        </is>
      </c>
      <c r="F110" s="18" t="inlineStr">
        <is>
          <t>I06</t>
        </is>
      </c>
      <c r="G110" s="18" t="inlineStr">
        <is>
          <t>Researcher Capability</t>
        </is>
      </c>
      <c r="H110" s="18" t="inlineStr">
        <is>
          <t>Research governance → research practice</t>
        </is>
      </c>
      <c r="I110" s="18" t="inlineStr">
        <is>
          <t>If research AI governance is strong but responsible research practice/evidence is weak, flag governance-to-practice gap.</t>
        </is>
      </c>
      <c r="J110" s="18" t="inlineStr">
        <is>
          <t>Research governance review</t>
        </is>
      </c>
      <c r="K110" s="18" t="inlineStr">
        <is>
          <t>No duplicate scoring of policy and practice.</t>
        </is>
      </c>
    </row>
    <row r="111">
      <c r="A111" s="18" t="inlineStr">
        <is>
          <t>CD07</t>
        </is>
      </c>
      <c r="B111" s="18" t="inlineStr">
        <is>
          <t>D02</t>
        </is>
      </c>
      <c r="C111" s="18" t="inlineStr">
        <is>
          <t>I14</t>
        </is>
      </c>
      <c r="D111" s="18" t="inlineStr">
        <is>
          <t>Governance Effectiveness</t>
        </is>
      </c>
      <c r="E111" s="18" t="inlineStr">
        <is>
          <t>D10</t>
        </is>
      </c>
      <c r="F111" s="18" t="inlineStr">
        <is>
          <t>I12</t>
        </is>
      </c>
      <c r="G111" s="18" t="inlineStr">
        <is>
          <t>Research Integrity &amp; Responsible AI</t>
        </is>
      </c>
      <c r="H111" s="18" t="inlineStr">
        <is>
          <t>Research governance → research practice</t>
        </is>
      </c>
      <c r="I111" s="18" t="inlineStr">
        <is>
          <t>If research AI governance is strong but responsible research practice/evidence is weak, flag governance-to-practice gap.</t>
        </is>
      </c>
      <c r="J111" s="18" t="inlineStr">
        <is>
          <t>Research governance review</t>
        </is>
      </c>
      <c r="K111" s="18" t="inlineStr">
        <is>
          <t>No duplicate scoring of policy and practice.</t>
        </is>
      </c>
    </row>
    <row r="112">
      <c r="A112" s="18" t="inlineStr">
        <is>
          <t>CD07</t>
        </is>
      </c>
      <c r="B112" s="18" t="inlineStr">
        <is>
          <t>D02</t>
        </is>
      </c>
      <c r="C112" s="18" t="inlineStr">
        <is>
          <t>I14</t>
        </is>
      </c>
      <c r="D112" s="18" t="inlineStr">
        <is>
          <t>Governance Effectiveness</t>
        </is>
      </c>
      <c r="E112" s="18" t="inlineStr">
        <is>
          <t>D10</t>
        </is>
      </c>
      <c r="F112" s="18" t="inlineStr">
        <is>
          <t>I13</t>
        </is>
      </c>
      <c r="G112" s="18" t="inlineStr">
        <is>
          <t>Research Impact Evidence</t>
        </is>
      </c>
      <c r="H112" s="18" t="inlineStr">
        <is>
          <t>Research governance → research practice</t>
        </is>
      </c>
      <c r="I112" s="18" t="inlineStr">
        <is>
          <t>If research AI governance is strong but responsible research practice/evidence is weak, flag governance-to-practice gap.</t>
        </is>
      </c>
      <c r="J112" s="18" t="inlineStr">
        <is>
          <t>Research governance review</t>
        </is>
      </c>
      <c r="K112" s="18" t="inlineStr">
        <is>
          <t>No duplicate scoring of policy and practice.</t>
        </is>
      </c>
    </row>
    <row r="113">
      <c r="A113" s="18" t="inlineStr">
        <is>
          <t>CD08</t>
        </is>
      </c>
      <c r="B113" s="18" t="inlineStr">
        <is>
          <t>D03</t>
        </is>
      </c>
      <c r="C113" s="18" t="inlineStr">
        <is>
          <t>I01</t>
        </is>
      </c>
      <c r="D113" s="18" t="inlineStr">
        <is>
          <t>Foundational Knowledge Depth</t>
        </is>
      </c>
      <c r="E113" s="18" t="inlineStr">
        <is>
          <t>D04</t>
        </is>
      </c>
      <c r="F113" s="18" t="inlineStr">
        <is>
          <t>I02</t>
        </is>
      </c>
      <c r="G113" s="18" t="inlineStr">
        <is>
          <t>Future Learning Outcome Alignment</t>
        </is>
      </c>
      <c r="H113" s="18" t="inlineStr">
        <is>
          <t>Capability architecture → curriculum operationalisation</t>
        </is>
      </c>
      <c r="I113" s="18" t="inlineStr">
        <is>
          <t>If target human capabilities are strong but programmes do not operationalise them, flag capability-to-curriculum gap.</t>
        </is>
      </c>
      <c r="J113" s="18" t="inlineStr">
        <is>
          <t>Curriculum mapping review</t>
        </is>
      </c>
      <c r="K113" s="18" t="inlineStr">
        <is>
          <t>D03 owns capability target; D04 owns programme implementation.</t>
        </is>
      </c>
    </row>
    <row r="114">
      <c r="A114" s="18" t="inlineStr">
        <is>
          <t>CD08</t>
        </is>
      </c>
      <c r="B114" s="18" t="inlineStr">
        <is>
          <t>D03</t>
        </is>
      </c>
      <c r="C114" s="18" t="inlineStr">
        <is>
          <t>I01</t>
        </is>
      </c>
      <c r="D114" s="18" t="inlineStr">
        <is>
          <t>Foundational Knowledge Depth</t>
        </is>
      </c>
      <c r="E114" s="18" t="inlineStr">
        <is>
          <t>D04</t>
        </is>
      </c>
      <c r="F114" s="18" t="inlineStr">
        <is>
          <t>I04</t>
        </is>
      </c>
      <c r="G114" s="18" t="inlineStr">
        <is>
          <t>Disciplinary AI Integration Depth</t>
        </is>
      </c>
      <c r="H114" s="18" t="inlineStr">
        <is>
          <t>Capability architecture → curriculum operationalisation</t>
        </is>
      </c>
      <c r="I114" s="18" t="inlineStr">
        <is>
          <t>If target human capabilities are strong but programmes do not operationalise them, flag capability-to-curriculum gap.</t>
        </is>
      </c>
      <c r="J114" s="18" t="inlineStr">
        <is>
          <t>Curriculum mapping review</t>
        </is>
      </c>
      <c r="K114" s="18" t="inlineStr">
        <is>
          <t>D03 owns capability target; D04 owns programme implementation.</t>
        </is>
      </c>
    </row>
    <row r="115">
      <c r="A115" s="18" t="inlineStr">
        <is>
          <t>CD08</t>
        </is>
      </c>
      <c r="B115" s="18" t="inlineStr">
        <is>
          <t>D03</t>
        </is>
      </c>
      <c r="C115" s="18" t="inlineStr">
        <is>
          <t>I01</t>
        </is>
      </c>
      <c r="D115" s="18" t="inlineStr">
        <is>
          <t>Foundational Knowledge Depth</t>
        </is>
      </c>
      <c r="E115" s="18" t="inlineStr">
        <is>
          <t>D04</t>
        </is>
      </c>
      <c r="F115" s="18" t="inlineStr">
        <is>
          <t>I07</t>
        </is>
      </c>
      <c r="G115" s="18" t="inlineStr">
        <is>
          <t>Interdisciplinary Flexibility</t>
        </is>
      </c>
      <c r="H115" s="18" t="inlineStr">
        <is>
          <t>Capability architecture → curriculum operationalisation</t>
        </is>
      </c>
      <c r="I115" s="18" t="inlineStr">
        <is>
          <t>If target human capabilities are strong but programmes do not operationalise them, flag capability-to-curriculum gap.</t>
        </is>
      </c>
      <c r="J115" s="18" t="inlineStr">
        <is>
          <t>Curriculum mapping review</t>
        </is>
      </c>
      <c r="K115" s="18" t="inlineStr">
        <is>
          <t>D03 owns capability target; D04 owns programme implementation.</t>
        </is>
      </c>
    </row>
    <row r="116">
      <c r="A116" s="18" t="inlineStr">
        <is>
          <t>CD08</t>
        </is>
      </c>
      <c r="B116" s="18" t="inlineStr">
        <is>
          <t>D03</t>
        </is>
      </c>
      <c r="C116" s="18" t="inlineStr">
        <is>
          <t>I01</t>
        </is>
      </c>
      <c r="D116" s="18" t="inlineStr">
        <is>
          <t>Foundational Knowledge Depth</t>
        </is>
      </c>
      <c r="E116" s="18" t="inlineStr">
        <is>
          <t>D04</t>
        </is>
      </c>
      <c r="F116" s="18" t="inlineStr">
        <is>
          <t>I11</t>
        </is>
      </c>
      <c r="G116" s="18" t="inlineStr">
        <is>
          <t>Transfer Capability</t>
        </is>
      </c>
      <c r="H116" s="18" t="inlineStr">
        <is>
          <t>Capability architecture → curriculum operationalisation</t>
        </is>
      </c>
      <c r="I116" s="18" t="inlineStr">
        <is>
          <t>If target human capabilities are strong but programmes do not operationalise them, flag capability-to-curriculum gap.</t>
        </is>
      </c>
      <c r="J116" s="18" t="inlineStr">
        <is>
          <t>Curriculum mapping review</t>
        </is>
      </c>
      <c r="K116" s="18" t="inlineStr">
        <is>
          <t>D03 owns capability target; D04 owns programme implementation.</t>
        </is>
      </c>
    </row>
    <row r="117">
      <c r="A117" s="18" t="inlineStr">
        <is>
          <t>CD08</t>
        </is>
      </c>
      <c r="B117" s="18" t="inlineStr">
        <is>
          <t>D03</t>
        </is>
      </c>
      <c r="C117" s="18" t="inlineStr">
        <is>
          <t>I02</t>
        </is>
      </c>
      <c r="D117" s="18" t="inlineStr">
        <is>
          <t>Critical Reasoning Development</t>
        </is>
      </c>
      <c r="E117" s="18" t="inlineStr">
        <is>
          <t>D04</t>
        </is>
      </c>
      <c r="F117" s="18" t="inlineStr">
        <is>
          <t>I02</t>
        </is>
      </c>
      <c r="G117" s="18" t="inlineStr">
        <is>
          <t>Future Learning Outcome Alignment</t>
        </is>
      </c>
      <c r="H117" s="18" t="inlineStr">
        <is>
          <t>Capability architecture → curriculum operationalisation</t>
        </is>
      </c>
      <c r="I117" s="18" t="inlineStr">
        <is>
          <t>If target human capabilities are strong but programmes do not operationalise them, flag capability-to-curriculum gap.</t>
        </is>
      </c>
      <c r="J117" s="18" t="inlineStr">
        <is>
          <t>Curriculum mapping review</t>
        </is>
      </c>
      <c r="K117" s="18" t="inlineStr">
        <is>
          <t>D03 owns capability target; D04 owns programme implementation.</t>
        </is>
      </c>
    </row>
    <row r="118">
      <c r="A118" s="18" t="inlineStr">
        <is>
          <t>CD08</t>
        </is>
      </c>
      <c r="B118" s="18" t="inlineStr">
        <is>
          <t>D03</t>
        </is>
      </c>
      <c r="C118" s="18" t="inlineStr">
        <is>
          <t>I02</t>
        </is>
      </c>
      <c r="D118" s="18" t="inlineStr">
        <is>
          <t>Critical Reasoning Development</t>
        </is>
      </c>
      <c r="E118" s="18" t="inlineStr">
        <is>
          <t>D04</t>
        </is>
      </c>
      <c r="F118" s="18" t="inlineStr">
        <is>
          <t>I04</t>
        </is>
      </c>
      <c r="G118" s="18" t="inlineStr">
        <is>
          <t>Disciplinary AI Integration Depth</t>
        </is>
      </c>
      <c r="H118" s="18" t="inlineStr">
        <is>
          <t>Capability architecture → curriculum operationalisation</t>
        </is>
      </c>
      <c r="I118" s="18" t="inlineStr">
        <is>
          <t>If target human capabilities are strong but programmes do not operationalise them, flag capability-to-curriculum gap.</t>
        </is>
      </c>
      <c r="J118" s="18" t="inlineStr">
        <is>
          <t>Curriculum mapping review</t>
        </is>
      </c>
      <c r="K118" s="18" t="inlineStr">
        <is>
          <t>D03 owns capability target; D04 owns programme implementation.</t>
        </is>
      </c>
    </row>
    <row r="119">
      <c r="A119" s="18" t="inlineStr">
        <is>
          <t>CD08</t>
        </is>
      </c>
      <c r="B119" s="18" t="inlineStr">
        <is>
          <t>D03</t>
        </is>
      </c>
      <c r="C119" s="18" t="inlineStr">
        <is>
          <t>I02</t>
        </is>
      </c>
      <c r="D119" s="18" t="inlineStr">
        <is>
          <t>Critical Reasoning Development</t>
        </is>
      </c>
      <c r="E119" s="18" t="inlineStr">
        <is>
          <t>D04</t>
        </is>
      </c>
      <c r="F119" s="18" t="inlineStr">
        <is>
          <t>I07</t>
        </is>
      </c>
      <c r="G119" s="18" t="inlineStr">
        <is>
          <t>Interdisciplinary Flexibility</t>
        </is>
      </c>
      <c r="H119" s="18" t="inlineStr">
        <is>
          <t>Capability architecture → curriculum operationalisation</t>
        </is>
      </c>
      <c r="I119" s="18" t="inlineStr">
        <is>
          <t>If target human capabilities are strong but programmes do not operationalise them, flag capability-to-curriculum gap.</t>
        </is>
      </c>
      <c r="J119" s="18" t="inlineStr">
        <is>
          <t>Curriculum mapping review</t>
        </is>
      </c>
      <c r="K119" s="18" t="inlineStr">
        <is>
          <t>D03 owns capability target; D04 owns programme implementation.</t>
        </is>
      </c>
    </row>
    <row r="120">
      <c r="A120" s="18" t="inlineStr">
        <is>
          <t>CD08</t>
        </is>
      </c>
      <c r="B120" s="18" t="inlineStr">
        <is>
          <t>D03</t>
        </is>
      </c>
      <c r="C120" s="18" t="inlineStr">
        <is>
          <t>I02</t>
        </is>
      </c>
      <c r="D120" s="18" t="inlineStr">
        <is>
          <t>Critical Reasoning Development</t>
        </is>
      </c>
      <c r="E120" s="18" t="inlineStr">
        <is>
          <t>D04</t>
        </is>
      </c>
      <c r="F120" s="18" t="inlineStr">
        <is>
          <t>I11</t>
        </is>
      </c>
      <c r="G120" s="18" t="inlineStr">
        <is>
          <t>Transfer Capability</t>
        </is>
      </c>
      <c r="H120" s="18" t="inlineStr">
        <is>
          <t>Capability architecture → curriculum operationalisation</t>
        </is>
      </c>
      <c r="I120" s="18" t="inlineStr">
        <is>
          <t>If target human capabilities are strong but programmes do not operationalise them, flag capability-to-curriculum gap.</t>
        </is>
      </c>
      <c r="J120" s="18" t="inlineStr">
        <is>
          <t>Curriculum mapping review</t>
        </is>
      </c>
      <c r="K120" s="18" t="inlineStr">
        <is>
          <t>D03 owns capability target; D04 owns programme implementation.</t>
        </is>
      </c>
    </row>
    <row r="121">
      <c r="A121" s="18" t="inlineStr">
        <is>
          <t>CD08</t>
        </is>
      </c>
      <c r="B121" s="18" t="inlineStr">
        <is>
          <t>D03</t>
        </is>
      </c>
      <c r="C121" s="18" t="inlineStr">
        <is>
          <t>I05</t>
        </is>
      </c>
      <c r="D121" s="18" t="inlineStr">
        <is>
          <t>Problem Formulation</t>
        </is>
      </c>
      <c r="E121" s="18" t="inlineStr">
        <is>
          <t>D04</t>
        </is>
      </c>
      <c r="F121" s="18" t="inlineStr">
        <is>
          <t>I02</t>
        </is>
      </c>
      <c r="G121" s="18" t="inlineStr">
        <is>
          <t>Future Learning Outcome Alignment</t>
        </is>
      </c>
      <c r="H121" s="18" t="inlineStr">
        <is>
          <t>Capability architecture → curriculum operationalisation</t>
        </is>
      </c>
      <c r="I121" s="18" t="inlineStr">
        <is>
          <t>If target human capabilities are strong but programmes do not operationalise them, flag capability-to-curriculum gap.</t>
        </is>
      </c>
      <c r="J121" s="18" t="inlineStr">
        <is>
          <t>Curriculum mapping review</t>
        </is>
      </c>
      <c r="K121" s="18" t="inlineStr">
        <is>
          <t>D03 owns capability target; D04 owns programme implementation.</t>
        </is>
      </c>
    </row>
    <row r="122">
      <c r="A122" s="18" t="inlineStr">
        <is>
          <t>CD08</t>
        </is>
      </c>
      <c r="B122" s="18" t="inlineStr">
        <is>
          <t>D03</t>
        </is>
      </c>
      <c r="C122" s="18" t="inlineStr">
        <is>
          <t>I05</t>
        </is>
      </c>
      <c r="D122" s="18" t="inlineStr">
        <is>
          <t>Problem Formulation</t>
        </is>
      </c>
      <c r="E122" s="18" t="inlineStr">
        <is>
          <t>D04</t>
        </is>
      </c>
      <c r="F122" s="18" t="inlineStr">
        <is>
          <t>I04</t>
        </is>
      </c>
      <c r="G122" s="18" t="inlineStr">
        <is>
          <t>Disciplinary AI Integration Depth</t>
        </is>
      </c>
      <c r="H122" s="18" t="inlineStr">
        <is>
          <t>Capability architecture → curriculum operationalisation</t>
        </is>
      </c>
      <c r="I122" s="18" t="inlineStr">
        <is>
          <t>If target human capabilities are strong but programmes do not operationalise them, flag capability-to-curriculum gap.</t>
        </is>
      </c>
      <c r="J122" s="18" t="inlineStr">
        <is>
          <t>Curriculum mapping review</t>
        </is>
      </c>
      <c r="K122" s="18" t="inlineStr">
        <is>
          <t>D03 owns capability target; D04 owns programme implementation.</t>
        </is>
      </c>
    </row>
    <row r="123">
      <c r="A123" s="18" t="inlineStr">
        <is>
          <t>CD08</t>
        </is>
      </c>
      <c r="B123" s="18" t="inlineStr">
        <is>
          <t>D03</t>
        </is>
      </c>
      <c r="C123" s="18" t="inlineStr">
        <is>
          <t>I05</t>
        </is>
      </c>
      <c r="D123" s="18" t="inlineStr">
        <is>
          <t>Problem Formulation</t>
        </is>
      </c>
      <c r="E123" s="18" t="inlineStr">
        <is>
          <t>D04</t>
        </is>
      </c>
      <c r="F123" s="18" t="inlineStr">
        <is>
          <t>I07</t>
        </is>
      </c>
      <c r="G123" s="18" t="inlineStr">
        <is>
          <t>Interdisciplinary Flexibility</t>
        </is>
      </c>
      <c r="H123" s="18" t="inlineStr">
        <is>
          <t>Capability architecture → curriculum operationalisation</t>
        </is>
      </c>
      <c r="I123" s="18" t="inlineStr">
        <is>
          <t>If target human capabilities are strong but programmes do not operationalise them, flag capability-to-curriculum gap.</t>
        </is>
      </c>
      <c r="J123" s="18" t="inlineStr">
        <is>
          <t>Curriculum mapping review</t>
        </is>
      </c>
      <c r="K123" s="18" t="inlineStr">
        <is>
          <t>D03 owns capability target; D04 owns programme implementation.</t>
        </is>
      </c>
    </row>
    <row r="124">
      <c r="A124" s="18" t="inlineStr">
        <is>
          <t>CD08</t>
        </is>
      </c>
      <c r="B124" s="18" t="inlineStr">
        <is>
          <t>D03</t>
        </is>
      </c>
      <c r="C124" s="18" t="inlineStr">
        <is>
          <t>I05</t>
        </is>
      </c>
      <c r="D124" s="18" t="inlineStr">
        <is>
          <t>Problem Formulation</t>
        </is>
      </c>
      <c r="E124" s="18" t="inlineStr">
        <is>
          <t>D04</t>
        </is>
      </c>
      <c r="F124" s="18" t="inlineStr">
        <is>
          <t>I11</t>
        </is>
      </c>
      <c r="G124" s="18" t="inlineStr">
        <is>
          <t>Transfer Capability</t>
        </is>
      </c>
      <c r="H124" s="18" t="inlineStr">
        <is>
          <t>Capability architecture → curriculum operationalisation</t>
        </is>
      </c>
      <c r="I124" s="18" t="inlineStr">
        <is>
          <t>If target human capabilities are strong but programmes do not operationalise them, flag capability-to-curriculum gap.</t>
        </is>
      </c>
      <c r="J124" s="18" t="inlineStr">
        <is>
          <t>Curriculum mapping review</t>
        </is>
      </c>
      <c r="K124" s="18" t="inlineStr">
        <is>
          <t>D03 owns capability target; D04 owns programme implementation.</t>
        </is>
      </c>
    </row>
    <row r="125">
      <c r="A125" s="18" t="inlineStr">
        <is>
          <t>CD08</t>
        </is>
      </c>
      <c r="B125" s="18" t="inlineStr">
        <is>
          <t>D03</t>
        </is>
      </c>
      <c r="C125" s="18" t="inlineStr">
        <is>
          <t>I07</t>
        </is>
      </c>
      <c r="D125" s="18" t="inlineStr">
        <is>
          <t>Judgement Capability</t>
        </is>
      </c>
      <c r="E125" s="18" t="inlineStr">
        <is>
          <t>D04</t>
        </is>
      </c>
      <c r="F125" s="18" t="inlineStr">
        <is>
          <t>I02</t>
        </is>
      </c>
      <c r="G125" s="18" t="inlineStr">
        <is>
          <t>Future Learning Outcome Alignment</t>
        </is>
      </c>
      <c r="H125" s="18" t="inlineStr">
        <is>
          <t>Capability architecture → curriculum operationalisation</t>
        </is>
      </c>
      <c r="I125" s="18" t="inlineStr">
        <is>
          <t>If target human capabilities are strong but programmes do not operationalise them, flag capability-to-curriculum gap.</t>
        </is>
      </c>
      <c r="J125" s="18" t="inlineStr">
        <is>
          <t>Curriculum mapping review</t>
        </is>
      </c>
      <c r="K125" s="18" t="inlineStr">
        <is>
          <t>D03 owns capability target; D04 owns programme implementation.</t>
        </is>
      </c>
    </row>
    <row r="126">
      <c r="A126" s="18" t="inlineStr">
        <is>
          <t>CD08</t>
        </is>
      </c>
      <c r="B126" s="18" t="inlineStr">
        <is>
          <t>D03</t>
        </is>
      </c>
      <c r="C126" s="18" t="inlineStr">
        <is>
          <t>I07</t>
        </is>
      </c>
      <c r="D126" s="18" t="inlineStr">
        <is>
          <t>Judgement Capability</t>
        </is>
      </c>
      <c r="E126" s="18" t="inlineStr">
        <is>
          <t>D04</t>
        </is>
      </c>
      <c r="F126" s="18" t="inlineStr">
        <is>
          <t>I04</t>
        </is>
      </c>
      <c r="G126" s="18" t="inlineStr">
        <is>
          <t>Disciplinary AI Integration Depth</t>
        </is>
      </c>
      <c r="H126" s="18" t="inlineStr">
        <is>
          <t>Capability architecture → curriculum operationalisation</t>
        </is>
      </c>
      <c r="I126" s="18" t="inlineStr">
        <is>
          <t>If target human capabilities are strong but programmes do not operationalise them, flag capability-to-curriculum gap.</t>
        </is>
      </c>
      <c r="J126" s="18" t="inlineStr">
        <is>
          <t>Curriculum mapping review</t>
        </is>
      </c>
      <c r="K126" s="18" t="inlineStr">
        <is>
          <t>D03 owns capability target; D04 owns programme implementation.</t>
        </is>
      </c>
    </row>
    <row r="127">
      <c r="A127" s="18" t="inlineStr">
        <is>
          <t>CD08</t>
        </is>
      </c>
      <c r="B127" s="18" t="inlineStr">
        <is>
          <t>D03</t>
        </is>
      </c>
      <c r="C127" s="18" t="inlineStr">
        <is>
          <t>I07</t>
        </is>
      </c>
      <c r="D127" s="18" t="inlineStr">
        <is>
          <t>Judgement Capability</t>
        </is>
      </c>
      <c r="E127" s="18" t="inlineStr">
        <is>
          <t>D04</t>
        </is>
      </c>
      <c r="F127" s="18" t="inlineStr">
        <is>
          <t>I07</t>
        </is>
      </c>
      <c r="G127" s="18" t="inlineStr">
        <is>
          <t>Interdisciplinary Flexibility</t>
        </is>
      </c>
      <c r="H127" s="18" t="inlineStr">
        <is>
          <t>Capability architecture → curriculum operationalisation</t>
        </is>
      </c>
      <c r="I127" s="18" t="inlineStr">
        <is>
          <t>If target human capabilities are strong but programmes do not operationalise them, flag capability-to-curriculum gap.</t>
        </is>
      </c>
      <c r="J127" s="18" t="inlineStr">
        <is>
          <t>Curriculum mapping review</t>
        </is>
      </c>
      <c r="K127" s="18" t="inlineStr">
        <is>
          <t>D03 owns capability target; D04 owns programme implementation.</t>
        </is>
      </c>
    </row>
    <row r="128">
      <c r="A128" s="18" t="inlineStr">
        <is>
          <t>CD08</t>
        </is>
      </c>
      <c r="B128" s="18" t="inlineStr">
        <is>
          <t>D03</t>
        </is>
      </c>
      <c r="C128" s="18" t="inlineStr">
        <is>
          <t>I07</t>
        </is>
      </c>
      <c r="D128" s="18" t="inlineStr">
        <is>
          <t>Judgement Capability</t>
        </is>
      </c>
      <c r="E128" s="18" t="inlineStr">
        <is>
          <t>D04</t>
        </is>
      </c>
      <c r="F128" s="18" t="inlineStr">
        <is>
          <t>I11</t>
        </is>
      </c>
      <c r="G128" s="18" t="inlineStr">
        <is>
          <t>Transfer Capability</t>
        </is>
      </c>
      <c r="H128" s="18" t="inlineStr">
        <is>
          <t>Capability architecture → curriculum operationalisation</t>
        </is>
      </c>
      <c r="I128" s="18" t="inlineStr">
        <is>
          <t>If target human capabilities are strong but programmes do not operationalise them, flag capability-to-curriculum gap.</t>
        </is>
      </c>
      <c r="J128" s="18" t="inlineStr">
        <is>
          <t>Curriculum mapping review</t>
        </is>
      </c>
      <c r="K128" s="18" t="inlineStr">
        <is>
          <t>D03 owns capability target; D04 owns programme implementation.</t>
        </is>
      </c>
    </row>
    <row r="129">
      <c r="A129" s="18" t="inlineStr">
        <is>
          <t>CD08</t>
        </is>
      </c>
      <c r="B129" s="18" t="inlineStr">
        <is>
          <t>D03</t>
        </is>
      </c>
      <c r="C129" s="18" t="inlineStr">
        <is>
          <t>I16</t>
        </is>
      </c>
      <c r="D129" s="18" t="inlineStr">
        <is>
          <t>Transfer Capability</t>
        </is>
      </c>
      <c r="E129" s="18" t="inlineStr">
        <is>
          <t>D04</t>
        </is>
      </c>
      <c r="F129" s="18" t="inlineStr">
        <is>
          <t>I02</t>
        </is>
      </c>
      <c r="G129" s="18" t="inlineStr">
        <is>
          <t>Future Learning Outcome Alignment</t>
        </is>
      </c>
      <c r="H129" s="18" t="inlineStr">
        <is>
          <t>Capability architecture → curriculum operationalisation</t>
        </is>
      </c>
      <c r="I129" s="18" t="inlineStr">
        <is>
          <t>If target human capabilities are strong but programmes do not operationalise them, flag capability-to-curriculum gap.</t>
        </is>
      </c>
      <c r="J129" s="18" t="inlineStr">
        <is>
          <t>Curriculum mapping review</t>
        </is>
      </c>
      <c r="K129" s="18" t="inlineStr">
        <is>
          <t>D03 owns capability target; D04 owns programme implementation.</t>
        </is>
      </c>
    </row>
    <row r="130">
      <c r="A130" s="18" t="inlineStr">
        <is>
          <t>CD08</t>
        </is>
      </c>
      <c r="B130" s="18" t="inlineStr">
        <is>
          <t>D03</t>
        </is>
      </c>
      <c r="C130" s="18" t="inlineStr">
        <is>
          <t>I16</t>
        </is>
      </c>
      <c r="D130" s="18" t="inlineStr">
        <is>
          <t>Transfer Capability</t>
        </is>
      </c>
      <c r="E130" s="18" t="inlineStr">
        <is>
          <t>D04</t>
        </is>
      </c>
      <c r="F130" s="18" t="inlineStr">
        <is>
          <t>I04</t>
        </is>
      </c>
      <c r="G130" s="18" t="inlineStr">
        <is>
          <t>Disciplinary AI Integration Depth</t>
        </is>
      </c>
      <c r="H130" s="18" t="inlineStr">
        <is>
          <t>Capability architecture → curriculum operationalisation</t>
        </is>
      </c>
      <c r="I130" s="18" t="inlineStr">
        <is>
          <t>If target human capabilities are strong but programmes do not operationalise them, flag capability-to-curriculum gap.</t>
        </is>
      </c>
      <c r="J130" s="18" t="inlineStr">
        <is>
          <t>Curriculum mapping review</t>
        </is>
      </c>
      <c r="K130" s="18" t="inlineStr">
        <is>
          <t>D03 owns capability target; D04 owns programme implementation.</t>
        </is>
      </c>
    </row>
    <row r="131">
      <c r="A131" s="18" t="inlineStr">
        <is>
          <t>CD08</t>
        </is>
      </c>
      <c r="B131" s="18" t="inlineStr">
        <is>
          <t>D03</t>
        </is>
      </c>
      <c r="C131" s="18" t="inlineStr">
        <is>
          <t>I16</t>
        </is>
      </c>
      <c r="D131" s="18" t="inlineStr">
        <is>
          <t>Transfer Capability</t>
        </is>
      </c>
      <c r="E131" s="18" t="inlineStr">
        <is>
          <t>D04</t>
        </is>
      </c>
      <c r="F131" s="18" t="inlineStr">
        <is>
          <t>I07</t>
        </is>
      </c>
      <c r="G131" s="18" t="inlineStr">
        <is>
          <t>Interdisciplinary Flexibility</t>
        </is>
      </c>
      <c r="H131" s="18" t="inlineStr">
        <is>
          <t>Capability architecture → curriculum operationalisation</t>
        </is>
      </c>
      <c r="I131" s="18" t="inlineStr">
        <is>
          <t>If target human capabilities are strong but programmes do not operationalise them, flag capability-to-curriculum gap.</t>
        </is>
      </c>
      <c r="J131" s="18" t="inlineStr">
        <is>
          <t>Curriculum mapping review</t>
        </is>
      </c>
      <c r="K131" s="18" t="inlineStr">
        <is>
          <t>D03 owns capability target; D04 owns programme implementation.</t>
        </is>
      </c>
    </row>
    <row r="132">
      <c r="A132" s="18" t="inlineStr">
        <is>
          <t>CD08</t>
        </is>
      </c>
      <c r="B132" s="18" t="inlineStr">
        <is>
          <t>D03</t>
        </is>
      </c>
      <c r="C132" s="18" t="inlineStr">
        <is>
          <t>I16</t>
        </is>
      </c>
      <c r="D132" s="18" t="inlineStr">
        <is>
          <t>Transfer Capability</t>
        </is>
      </c>
      <c r="E132" s="18" t="inlineStr">
        <is>
          <t>D04</t>
        </is>
      </c>
      <c r="F132" s="18" t="inlineStr">
        <is>
          <t>I11</t>
        </is>
      </c>
      <c r="G132" s="18" t="inlineStr">
        <is>
          <t>Transfer Capability</t>
        </is>
      </c>
      <c r="H132" s="18" t="inlineStr">
        <is>
          <t>Capability architecture → curriculum operationalisation</t>
        </is>
      </c>
      <c r="I132" s="18" t="inlineStr">
        <is>
          <t>If target human capabilities are strong but programmes do not operationalise them, flag capability-to-curriculum gap.</t>
        </is>
      </c>
      <c r="J132" s="18" t="inlineStr">
        <is>
          <t>Curriculum mapping review</t>
        </is>
      </c>
      <c r="K132" s="18" t="inlineStr">
        <is>
          <t>D03 owns capability target; D04 owns programme implementation.</t>
        </is>
      </c>
    </row>
    <row r="133">
      <c r="A133" s="18" t="inlineStr">
        <is>
          <t>CD08</t>
        </is>
      </c>
      <c r="B133" s="18" t="inlineStr">
        <is>
          <t>D03</t>
        </is>
      </c>
      <c r="C133" s="18" t="inlineStr">
        <is>
          <t>I17</t>
        </is>
      </c>
      <c r="D133" s="18" t="inlineStr">
        <is>
          <t>Non-Technical Discipline AI Capability</t>
        </is>
      </c>
      <c r="E133" s="18" t="inlineStr">
        <is>
          <t>D04</t>
        </is>
      </c>
      <c r="F133" s="18" t="inlineStr">
        <is>
          <t>I02</t>
        </is>
      </c>
      <c r="G133" s="18" t="inlineStr">
        <is>
          <t>Future Learning Outcome Alignment</t>
        </is>
      </c>
      <c r="H133" s="18" t="inlineStr">
        <is>
          <t>Capability architecture → curriculum operationalisation</t>
        </is>
      </c>
      <c r="I133" s="18" t="inlineStr">
        <is>
          <t>If target human capabilities are strong but programmes do not operationalise them, flag capability-to-curriculum gap.</t>
        </is>
      </c>
      <c r="J133" s="18" t="inlineStr">
        <is>
          <t>Curriculum mapping review</t>
        </is>
      </c>
      <c r="K133" s="18" t="inlineStr">
        <is>
          <t>D03 owns capability target; D04 owns programme implementation.</t>
        </is>
      </c>
    </row>
    <row r="134">
      <c r="A134" s="18" t="inlineStr">
        <is>
          <t>CD08</t>
        </is>
      </c>
      <c r="B134" s="18" t="inlineStr">
        <is>
          <t>D03</t>
        </is>
      </c>
      <c r="C134" s="18" t="inlineStr">
        <is>
          <t>I17</t>
        </is>
      </c>
      <c r="D134" s="18" t="inlineStr">
        <is>
          <t>Non-Technical Discipline AI Capability</t>
        </is>
      </c>
      <c r="E134" s="18" t="inlineStr">
        <is>
          <t>D04</t>
        </is>
      </c>
      <c r="F134" s="18" t="inlineStr">
        <is>
          <t>I04</t>
        </is>
      </c>
      <c r="G134" s="18" t="inlineStr">
        <is>
          <t>Disciplinary AI Integration Depth</t>
        </is>
      </c>
      <c r="H134" s="18" t="inlineStr">
        <is>
          <t>Capability architecture → curriculum operationalisation</t>
        </is>
      </c>
      <c r="I134" s="18" t="inlineStr">
        <is>
          <t>If target human capabilities are strong but programmes do not operationalise them, flag capability-to-curriculum gap.</t>
        </is>
      </c>
      <c r="J134" s="18" t="inlineStr">
        <is>
          <t>Curriculum mapping review</t>
        </is>
      </c>
      <c r="K134" s="18" t="inlineStr">
        <is>
          <t>D03 owns capability target; D04 owns programme implementation.</t>
        </is>
      </c>
    </row>
    <row r="135">
      <c r="A135" s="18" t="inlineStr">
        <is>
          <t>CD08</t>
        </is>
      </c>
      <c r="B135" s="18" t="inlineStr">
        <is>
          <t>D03</t>
        </is>
      </c>
      <c r="C135" s="18" t="inlineStr">
        <is>
          <t>I17</t>
        </is>
      </c>
      <c r="D135" s="18" t="inlineStr">
        <is>
          <t>Non-Technical Discipline AI Capability</t>
        </is>
      </c>
      <c r="E135" s="18" t="inlineStr">
        <is>
          <t>D04</t>
        </is>
      </c>
      <c r="F135" s="18" t="inlineStr">
        <is>
          <t>I07</t>
        </is>
      </c>
      <c r="G135" s="18" t="inlineStr">
        <is>
          <t>Interdisciplinary Flexibility</t>
        </is>
      </c>
      <c r="H135" s="18" t="inlineStr">
        <is>
          <t>Capability architecture → curriculum operationalisation</t>
        </is>
      </c>
      <c r="I135" s="18" t="inlineStr">
        <is>
          <t>If target human capabilities are strong but programmes do not operationalise them, flag capability-to-curriculum gap.</t>
        </is>
      </c>
      <c r="J135" s="18" t="inlineStr">
        <is>
          <t>Curriculum mapping review</t>
        </is>
      </c>
      <c r="K135" s="18" t="inlineStr">
        <is>
          <t>D03 owns capability target; D04 owns programme implementation.</t>
        </is>
      </c>
    </row>
    <row r="136">
      <c r="A136" s="18" t="inlineStr">
        <is>
          <t>CD08</t>
        </is>
      </c>
      <c r="B136" s="18" t="inlineStr">
        <is>
          <t>D03</t>
        </is>
      </c>
      <c r="C136" s="18" t="inlineStr">
        <is>
          <t>I17</t>
        </is>
      </c>
      <c r="D136" s="18" t="inlineStr">
        <is>
          <t>Non-Technical Discipline AI Capability</t>
        </is>
      </c>
      <c r="E136" s="18" t="inlineStr">
        <is>
          <t>D04</t>
        </is>
      </c>
      <c r="F136" s="18" t="inlineStr">
        <is>
          <t>I11</t>
        </is>
      </c>
      <c r="G136" s="18" t="inlineStr">
        <is>
          <t>Transfer Capability</t>
        </is>
      </c>
      <c r="H136" s="18" t="inlineStr">
        <is>
          <t>Capability architecture → curriculum operationalisation</t>
        </is>
      </c>
      <c r="I136" s="18" t="inlineStr">
        <is>
          <t>If target human capabilities are strong but programmes do not operationalise them, flag capability-to-curriculum gap.</t>
        </is>
      </c>
      <c r="J136" s="18" t="inlineStr">
        <is>
          <t>Curriculum mapping review</t>
        </is>
      </c>
      <c r="K136" s="18" t="inlineStr">
        <is>
          <t>D03 owns capability target; D04 owns programme implementation.</t>
        </is>
      </c>
    </row>
    <row r="137">
      <c r="A137" s="18" t="inlineStr">
        <is>
          <t>CD09</t>
        </is>
      </c>
      <c r="B137" s="18" t="inlineStr">
        <is>
          <t>D03</t>
        </is>
      </c>
      <c r="C137" s="18" t="inlineStr">
        <is>
          <t>I02</t>
        </is>
      </c>
      <c r="D137" s="18" t="inlineStr">
        <is>
          <t>Critical Reasoning Development</t>
        </is>
      </c>
      <c r="E137" s="18" t="inlineStr">
        <is>
          <t>D06</t>
        </is>
      </c>
      <c r="F137" s="18" t="inlineStr">
        <is>
          <t>I02</t>
        </is>
      </c>
      <c r="G137" s="18" t="inlineStr">
        <is>
          <t>Critical AI Evaluation</t>
        </is>
      </c>
      <c r="H137" s="18" t="inlineStr">
        <is>
          <t>Institutional capability intent → student reality</t>
        </is>
      </c>
      <c r="I137" s="18" t="inlineStr">
        <is>
          <t>If institutional capability architecture is strong but student agency/transfer evidence is weak, flag intent-to-experience gap.</t>
        </is>
      </c>
      <c r="J137" s="18" t="inlineStr">
        <is>
          <t>Student capability review</t>
        </is>
      </c>
      <c r="K137" s="18" t="inlineStr">
        <is>
          <t>Student evidence does not automatically raise D03.</t>
        </is>
      </c>
    </row>
    <row r="138">
      <c r="A138" s="18" t="inlineStr">
        <is>
          <t>CD09</t>
        </is>
      </c>
      <c r="B138" s="18" t="inlineStr">
        <is>
          <t>D03</t>
        </is>
      </c>
      <c r="C138" s="18" t="inlineStr">
        <is>
          <t>I02</t>
        </is>
      </c>
      <c r="D138" s="18" t="inlineStr">
        <is>
          <t>Critical Reasoning Development</t>
        </is>
      </c>
      <c r="E138" s="18" t="inlineStr">
        <is>
          <t>D06</t>
        </is>
      </c>
      <c r="F138" s="18" t="inlineStr">
        <is>
          <t>I03</t>
        </is>
      </c>
      <c r="G138" s="18" t="inlineStr">
        <is>
          <t>Learning Agency</t>
        </is>
      </c>
      <c r="H138" s="18" t="inlineStr">
        <is>
          <t>Institutional capability intent → student reality</t>
        </is>
      </c>
      <c r="I138" s="18" t="inlineStr">
        <is>
          <t>If institutional capability architecture is strong but student agency/transfer evidence is weak, flag intent-to-experience gap.</t>
        </is>
      </c>
      <c r="J138" s="18" t="inlineStr">
        <is>
          <t>Student capability review</t>
        </is>
      </c>
      <c r="K138" s="18" t="inlineStr">
        <is>
          <t>Student evidence does not automatically raise D03.</t>
        </is>
      </c>
    </row>
    <row r="139">
      <c r="A139" s="18" t="inlineStr">
        <is>
          <t>CD09</t>
        </is>
      </c>
      <c r="B139" s="18" t="inlineStr">
        <is>
          <t>D03</t>
        </is>
      </c>
      <c r="C139" s="18" t="inlineStr">
        <is>
          <t>I02</t>
        </is>
      </c>
      <c r="D139" s="18" t="inlineStr">
        <is>
          <t>Critical Reasoning Development</t>
        </is>
      </c>
      <c r="E139" s="18" t="inlineStr">
        <is>
          <t>D06</t>
        </is>
      </c>
      <c r="F139" s="18" t="inlineStr">
        <is>
          <t>I04</t>
        </is>
      </c>
      <c r="G139" s="18" t="inlineStr">
        <is>
          <t>Independent Intellectual Agency</t>
        </is>
      </c>
      <c r="H139" s="18" t="inlineStr">
        <is>
          <t>Institutional capability intent → student reality</t>
        </is>
      </c>
      <c r="I139" s="18" t="inlineStr">
        <is>
          <t>If institutional capability architecture is strong but student agency/transfer evidence is weak, flag intent-to-experience gap.</t>
        </is>
      </c>
      <c r="J139" s="18" t="inlineStr">
        <is>
          <t>Student capability review</t>
        </is>
      </c>
      <c r="K139" s="18" t="inlineStr">
        <is>
          <t>Student evidence does not automatically raise D03.</t>
        </is>
      </c>
    </row>
    <row r="140">
      <c r="A140" s="18" t="inlineStr">
        <is>
          <t>CD09</t>
        </is>
      </c>
      <c r="B140" s="18" t="inlineStr">
        <is>
          <t>D03</t>
        </is>
      </c>
      <c r="C140" s="18" t="inlineStr">
        <is>
          <t>I02</t>
        </is>
      </c>
      <c r="D140" s="18" t="inlineStr">
        <is>
          <t>Critical Reasoning Development</t>
        </is>
      </c>
      <c r="E140" s="18" t="inlineStr">
        <is>
          <t>D06</t>
        </is>
      </c>
      <c r="F140" s="18" t="inlineStr">
        <is>
          <t>I10</t>
        </is>
      </c>
      <c r="G140" s="18" t="inlineStr">
        <is>
          <t>Problem Solving &amp; Transfer</t>
        </is>
      </c>
      <c r="H140" s="18" t="inlineStr">
        <is>
          <t>Institutional capability intent → student reality</t>
        </is>
      </c>
      <c r="I140" s="18" t="inlineStr">
        <is>
          <t>If institutional capability architecture is strong but student agency/transfer evidence is weak, flag intent-to-experience gap.</t>
        </is>
      </c>
      <c r="J140" s="18" t="inlineStr">
        <is>
          <t>Student capability review</t>
        </is>
      </c>
      <c r="K140" s="18" t="inlineStr">
        <is>
          <t>Student evidence does not automatically raise D03.</t>
        </is>
      </c>
    </row>
    <row r="141">
      <c r="A141" s="18" t="inlineStr">
        <is>
          <t>CD09</t>
        </is>
      </c>
      <c r="B141" s="18" t="inlineStr">
        <is>
          <t>D03</t>
        </is>
      </c>
      <c r="C141" s="18" t="inlineStr">
        <is>
          <t>I02</t>
        </is>
      </c>
      <c r="D141" s="18" t="inlineStr">
        <is>
          <t>Critical Reasoning Development</t>
        </is>
      </c>
      <c r="E141" s="18" t="inlineStr">
        <is>
          <t>D06</t>
        </is>
      </c>
      <c r="F141" s="18" t="inlineStr">
        <is>
          <t>I14</t>
        </is>
      </c>
      <c r="G141" s="18" t="inlineStr">
        <is>
          <t>Student Voice &amp; Feedback Loop</t>
        </is>
      </c>
      <c r="H141" s="18" t="inlineStr">
        <is>
          <t>Institutional capability intent → student reality</t>
        </is>
      </c>
      <c r="I141" s="18" t="inlineStr">
        <is>
          <t>If institutional capability architecture is strong but student agency/transfer evidence is weak, flag intent-to-experience gap.</t>
        </is>
      </c>
      <c r="J141" s="18" t="inlineStr">
        <is>
          <t>Student capability review</t>
        </is>
      </c>
      <c r="K141" s="18" t="inlineStr">
        <is>
          <t>Student evidence does not automatically raise D03.</t>
        </is>
      </c>
    </row>
    <row r="142">
      <c r="A142" s="18" t="inlineStr">
        <is>
          <t>CD09</t>
        </is>
      </c>
      <c r="B142" s="18" t="inlineStr">
        <is>
          <t>D03</t>
        </is>
      </c>
      <c r="C142" s="18" t="inlineStr">
        <is>
          <t>I05</t>
        </is>
      </c>
      <c r="D142" s="18" t="inlineStr">
        <is>
          <t>Problem Formulation</t>
        </is>
      </c>
      <c r="E142" s="18" t="inlineStr">
        <is>
          <t>D06</t>
        </is>
      </c>
      <c r="F142" s="18" t="inlineStr">
        <is>
          <t>I02</t>
        </is>
      </c>
      <c r="G142" s="18" t="inlineStr">
        <is>
          <t>Critical AI Evaluation</t>
        </is>
      </c>
      <c r="H142" s="18" t="inlineStr">
        <is>
          <t>Institutional capability intent → student reality</t>
        </is>
      </c>
      <c r="I142" s="18" t="inlineStr">
        <is>
          <t>If institutional capability architecture is strong but student agency/transfer evidence is weak, flag intent-to-experience gap.</t>
        </is>
      </c>
      <c r="J142" s="18" t="inlineStr">
        <is>
          <t>Student capability review</t>
        </is>
      </c>
      <c r="K142" s="18" t="inlineStr">
        <is>
          <t>Student evidence does not automatically raise D03.</t>
        </is>
      </c>
    </row>
    <row r="143">
      <c r="A143" s="18" t="inlineStr">
        <is>
          <t>CD09</t>
        </is>
      </c>
      <c r="B143" s="18" t="inlineStr">
        <is>
          <t>D03</t>
        </is>
      </c>
      <c r="C143" s="18" t="inlineStr">
        <is>
          <t>I05</t>
        </is>
      </c>
      <c r="D143" s="18" t="inlineStr">
        <is>
          <t>Problem Formulation</t>
        </is>
      </c>
      <c r="E143" s="18" t="inlineStr">
        <is>
          <t>D06</t>
        </is>
      </c>
      <c r="F143" s="18" t="inlineStr">
        <is>
          <t>I03</t>
        </is>
      </c>
      <c r="G143" s="18" t="inlineStr">
        <is>
          <t>Learning Agency</t>
        </is>
      </c>
      <c r="H143" s="18" t="inlineStr">
        <is>
          <t>Institutional capability intent → student reality</t>
        </is>
      </c>
      <c r="I143" s="18" t="inlineStr">
        <is>
          <t>If institutional capability architecture is strong but student agency/transfer evidence is weak, flag intent-to-experience gap.</t>
        </is>
      </c>
      <c r="J143" s="18" t="inlineStr">
        <is>
          <t>Student capability review</t>
        </is>
      </c>
      <c r="K143" s="18" t="inlineStr">
        <is>
          <t>Student evidence does not automatically raise D03.</t>
        </is>
      </c>
    </row>
    <row r="144">
      <c r="A144" s="18" t="inlineStr">
        <is>
          <t>CD09</t>
        </is>
      </c>
      <c r="B144" s="18" t="inlineStr">
        <is>
          <t>D03</t>
        </is>
      </c>
      <c r="C144" s="18" t="inlineStr">
        <is>
          <t>I05</t>
        </is>
      </c>
      <c r="D144" s="18" t="inlineStr">
        <is>
          <t>Problem Formulation</t>
        </is>
      </c>
      <c r="E144" s="18" t="inlineStr">
        <is>
          <t>D06</t>
        </is>
      </c>
      <c r="F144" s="18" t="inlineStr">
        <is>
          <t>I04</t>
        </is>
      </c>
      <c r="G144" s="18" t="inlineStr">
        <is>
          <t>Independent Intellectual Agency</t>
        </is>
      </c>
      <c r="H144" s="18" t="inlineStr">
        <is>
          <t>Institutional capability intent → student reality</t>
        </is>
      </c>
      <c r="I144" s="18" t="inlineStr">
        <is>
          <t>If institutional capability architecture is strong but student agency/transfer evidence is weak, flag intent-to-experience gap.</t>
        </is>
      </c>
      <c r="J144" s="18" t="inlineStr">
        <is>
          <t>Student capability review</t>
        </is>
      </c>
      <c r="K144" s="18" t="inlineStr">
        <is>
          <t>Student evidence does not automatically raise D03.</t>
        </is>
      </c>
    </row>
    <row r="145">
      <c r="A145" s="18" t="inlineStr">
        <is>
          <t>CD09</t>
        </is>
      </c>
      <c r="B145" s="18" t="inlineStr">
        <is>
          <t>D03</t>
        </is>
      </c>
      <c r="C145" s="18" t="inlineStr">
        <is>
          <t>I05</t>
        </is>
      </c>
      <c r="D145" s="18" t="inlineStr">
        <is>
          <t>Problem Formulation</t>
        </is>
      </c>
      <c r="E145" s="18" t="inlineStr">
        <is>
          <t>D06</t>
        </is>
      </c>
      <c r="F145" s="18" t="inlineStr">
        <is>
          <t>I10</t>
        </is>
      </c>
      <c r="G145" s="18" t="inlineStr">
        <is>
          <t>Problem Solving &amp; Transfer</t>
        </is>
      </c>
      <c r="H145" s="18" t="inlineStr">
        <is>
          <t>Institutional capability intent → student reality</t>
        </is>
      </c>
      <c r="I145" s="18" t="inlineStr">
        <is>
          <t>If institutional capability architecture is strong but student agency/transfer evidence is weak, flag intent-to-experience gap.</t>
        </is>
      </c>
      <c r="J145" s="18" t="inlineStr">
        <is>
          <t>Student capability review</t>
        </is>
      </c>
      <c r="K145" s="18" t="inlineStr">
        <is>
          <t>Student evidence does not automatically raise D03.</t>
        </is>
      </c>
    </row>
    <row r="146">
      <c r="A146" s="18" t="inlineStr">
        <is>
          <t>CD09</t>
        </is>
      </c>
      <c r="B146" s="18" t="inlineStr">
        <is>
          <t>D03</t>
        </is>
      </c>
      <c r="C146" s="18" t="inlineStr">
        <is>
          <t>I05</t>
        </is>
      </c>
      <c r="D146" s="18" t="inlineStr">
        <is>
          <t>Problem Formulation</t>
        </is>
      </c>
      <c r="E146" s="18" t="inlineStr">
        <is>
          <t>D06</t>
        </is>
      </c>
      <c r="F146" s="18" t="inlineStr">
        <is>
          <t>I14</t>
        </is>
      </c>
      <c r="G146" s="18" t="inlineStr">
        <is>
          <t>Student Voice &amp; Feedback Loop</t>
        </is>
      </c>
      <c r="H146" s="18" t="inlineStr">
        <is>
          <t>Institutional capability intent → student reality</t>
        </is>
      </c>
      <c r="I146" s="18" t="inlineStr">
        <is>
          <t>If institutional capability architecture is strong but student agency/transfer evidence is weak, flag intent-to-experience gap.</t>
        </is>
      </c>
      <c r="J146" s="18" t="inlineStr">
        <is>
          <t>Student capability review</t>
        </is>
      </c>
      <c r="K146" s="18" t="inlineStr">
        <is>
          <t>Student evidence does not automatically raise D03.</t>
        </is>
      </c>
    </row>
    <row r="147">
      <c r="A147" s="18" t="inlineStr">
        <is>
          <t>CD09</t>
        </is>
      </c>
      <c r="B147" s="18" t="inlineStr">
        <is>
          <t>D03</t>
        </is>
      </c>
      <c r="C147" s="18" t="inlineStr">
        <is>
          <t>I08</t>
        </is>
      </c>
      <c r="D147" s="18" t="inlineStr">
        <is>
          <t>AI Verification Capability</t>
        </is>
      </c>
      <c r="E147" s="18" t="inlineStr">
        <is>
          <t>D06</t>
        </is>
      </c>
      <c r="F147" s="18" t="inlineStr">
        <is>
          <t>I02</t>
        </is>
      </c>
      <c r="G147" s="18" t="inlineStr">
        <is>
          <t>Critical AI Evaluation</t>
        </is>
      </c>
      <c r="H147" s="18" t="inlineStr">
        <is>
          <t>Institutional capability intent → student reality</t>
        </is>
      </c>
      <c r="I147" s="18" t="inlineStr">
        <is>
          <t>If institutional capability architecture is strong but student agency/transfer evidence is weak, flag intent-to-experience gap.</t>
        </is>
      </c>
      <c r="J147" s="18" t="inlineStr">
        <is>
          <t>Student capability review</t>
        </is>
      </c>
      <c r="K147" s="18" t="inlineStr">
        <is>
          <t>Student evidence does not automatically raise D03.</t>
        </is>
      </c>
    </row>
    <row r="148">
      <c r="A148" s="18" t="inlineStr">
        <is>
          <t>CD09</t>
        </is>
      </c>
      <c r="B148" s="18" t="inlineStr">
        <is>
          <t>D03</t>
        </is>
      </c>
      <c r="C148" s="18" t="inlineStr">
        <is>
          <t>I08</t>
        </is>
      </c>
      <c r="D148" s="18" t="inlineStr">
        <is>
          <t>AI Verification Capability</t>
        </is>
      </c>
      <c r="E148" s="18" t="inlineStr">
        <is>
          <t>D06</t>
        </is>
      </c>
      <c r="F148" s="18" t="inlineStr">
        <is>
          <t>I03</t>
        </is>
      </c>
      <c r="G148" s="18" t="inlineStr">
        <is>
          <t>Learning Agency</t>
        </is>
      </c>
      <c r="H148" s="18" t="inlineStr">
        <is>
          <t>Institutional capability intent → student reality</t>
        </is>
      </c>
      <c r="I148" s="18" t="inlineStr">
        <is>
          <t>If institutional capability architecture is strong but student agency/transfer evidence is weak, flag intent-to-experience gap.</t>
        </is>
      </c>
      <c r="J148" s="18" t="inlineStr">
        <is>
          <t>Student capability review</t>
        </is>
      </c>
      <c r="K148" s="18" t="inlineStr">
        <is>
          <t>Student evidence does not automatically raise D03.</t>
        </is>
      </c>
    </row>
    <row r="149">
      <c r="A149" s="18" t="inlineStr">
        <is>
          <t>CD09</t>
        </is>
      </c>
      <c r="B149" s="18" t="inlineStr">
        <is>
          <t>D03</t>
        </is>
      </c>
      <c r="C149" s="18" t="inlineStr">
        <is>
          <t>I08</t>
        </is>
      </c>
      <c r="D149" s="18" t="inlineStr">
        <is>
          <t>AI Verification Capability</t>
        </is>
      </c>
      <c r="E149" s="18" t="inlineStr">
        <is>
          <t>D06</t>
        </is>
      </c>
      <c r="F149" s="18" t="inlineStr">
        <is>
          <t>I04</t>
        </is>
      </c>
      <c r="G149" s="18" t="inlineStr">
        <is>
          <t>Independent Intellectual Agency</t>
        </is>
      </c>
      <c r="H149" s="18" t="inlineStr">
        <is>
          <t>Institutional capability intent → student reality</t>
        </is>
      </c>
      <c r="I149" s="18" t="inlineStr">
        <is>
          <t>If institutional capability architecture is strong but student agency/transfer evidence is weak, flag intent-to-experience gap.</t>
        </is>
      </c>
      <c r="J149" s="18" t="inlineStr">
        <is>
          <t>Student capability review</t>
        </is>
      </c>
      <c r="K149" s="18" t="inlineStr">
        <is>
          <t>Student evidence does not automatically raise D03.</t>
        </is>
      </c>
    </row>
    <row r="150">
      <c r="A150" s="18" t="inlineStr">
        <is>
          <t>CD09</t>
        </is>
      </c>
      <c r="B150" s="18" t="inlineStr">
        <is>
          <t>D03</t>
        </is>
      </c>
      <c r="C150" s="18" t="inlineStr">
        <is>
          <t>I08</t>
        </is>
      </c>
      <c r="D150" s="18" t="inlineStr">
        <is>
          <t>AI Verification Capability</t>
        </is>
      </c>
      <c r="E150" s="18" t="inlineStr">
        <is>
          <t>D06</t>
        </is>
      </c>
      <c r="F150" s="18" t="inlineStr">
        <is>
          <t>I10</t>
        </is>
      </c>
      <c r="G150" s="18" t="inlineStr">
        <is>
          <t>Problem Solving &amp; Transfer</t>
        </is>
      </c>
      <c r="H150" s="18" t="inlineStr">
        <is>
          <t>Institutional capability intent → student reality</t>
        </is>
      </c>
      <c r="I150" s="18" t="inlineStr">
        <is>
          <t>If institutional capability architecture is strong but student agency/transfer evidence is weak, flag intent-to-experience gap.</t>
        </is>
      </c>
      <c r="J150" s="18" t="inlineStr">
        <is>
          <t>Student capability review</t>
        </is>
      </c>
      <c r="K150" s="18" t="inlineStr">
        <is>
          <t>Student evidence does not automatically raise D03.</t>
        </is>
      </c>
    </row>
    <row r="151">
      <c r="A151" s="18" t="inlineStr">
        <is>
          <t>CD09</t>
        </is>
      </c>
      <c r="B151" s="18" t="inlineStr">
        <is>
          <t>D03</t>
        </is>
      </c>
      <c r="C151" s="18" t="inlineStr">
        <is>
          <t>I08</t>
        </is>
      </c>
      <c r="D151" s="18" t="inlineStr">
        <is>
          <t>AI Verification Capability</t>
        </is>
      </c>
      <c r="E151" s="18" t="inlineStr">
        <is>
          <t>D06</t>
        </is>
      </c>
      <c r="F151" s="18" t="inlineStr">
        <is>
          <t>I14</t>
        </is>
      </c>
      <c r="G151" s="18" t="inlineStr">
        <is>
          <t>Student Voice &amp; Feedback Loop</t>
        </is>
      </c>
      <c r="H151" s="18" t="inlineStr">
        <is>
          <t>Institutional capability intent → student reality</t>
        </is>
      </c>
      <c r="I151" s="18" t="inlineStr">
        <is>
          <t>If institutional capability architecture is strong but student agency/transfer evidence is weak, flag intent-to-experience gap.</t>
        </is>
      </c>
      <c r="J151" s="18" t="inlineStr">
        <is>
          <t>Student capability review</t>
        </is>
      </c>
      <c r="K151" s="18" t="inlineStr">
        <is>
          <t>Student evidence does not automatically raise D03.</t>
        </is>
      </c>
    </row>
    <row r="152">
      <c r="A152" s="18" t="inlineStr">
        <is>
          <t>CD09</t>
        </is>
      </c>
      <c r="B152" s="18" t="inlineStr">
        <is>
          <t>D03</t>
        </is>
      </c>
      <c r="C152" s="18" t="inlineStr">
        <is>
          <t>I15</t>
        </is>
      </c>
      <c r="D152" s="18" t="inlineStr">
        <is>
          <t>Intellectual Agency</t>
        </is>
      </c>
      <c r="E152" s="18" t="inlineStr">
        <is>
          <t>D06</t>
        </is>
      </c>
      <c r="F152" s="18" t="inlineStr">
        <is>
          <t>I02</t>
        </is>
      </c>
      <c r="G152" s="18" t="inlineStr">
        <is>
          <t>Critical AI Evaluation</t>
        </is>
      </c>
      <c r="H152" s="18" t="inlineStr">
        <is>
          <t>Institutional capability intent → student reality</t>
        </is>
      </c>
      <c r="I152" s="18" t="inlineStr">
        <is>
          <t>If institutional capability architecture is strong but student agency/transfer evidence is weak, flag intent-to-experience gap.</t>
        </is>
      </c>
      <c r="J152" s="18" t="inlineStr">
        <is>
          <t>Student capability review</t>
        </is>
      </c>
      <c r="K152" s="18" t="inlineStr">
        <is>
          <t>Student evidence does not automatically raise D03.</t>
        </is>
      </c>
    </row>
    <row r="153">
      <c r="A153" s="18" t="inlineStr">
        <is>
          <t>CD09</t>
        </is>
      </c>
      <c r="B153" s="18" t="inlineStr">
        <is>
          <t>D03</t>
        </is>
      </c>
      <c r="C153" s="18" t="inlineStr">
        <is>
          <t>I15</t>
        </is>
      </c>
      <c r="D153" s="18" t="inlineStr">
        <is>
          <t>Intellectual Agency</t>
        </is>
      </c>
      <c r="E153" s="18" t="inlineStr">
        <is>
          <t>D06</t>
        </is>
      </c>
      <c r="F153" s="18" t="inlineStr">
        <is>
          <t>I03</t>
        </is>
      </c>
      <c r="G153" s="18" t="inlineStr">
        <is>
          <t>Learning Agency</t>
        </is>
      </c>
      <c r="H153" s="18" t="inlineStr">
        <is>
          <t>Institutional capability intent → student reality</t>
        </is>
      </c>
      <c r="I153" s="18" t="inlineStr">
        <is>
          <t>If institutional capability architecture is strong but student agency/transfer evidence is weak, flag intent-to-experience gap.</t>
        </is>
      </c>
      <c r="J153" s="18" t="inlineStr">
        <is>
          <t>Student capability review</t>
        </is>
      </c>
      <c r="K153" s="18" t="inlineStr">
        <is>
          <t>Student evidence does not automatically raise D03.</t>
        </is>
      </c>
    </row>
    <row r="154">
      <c r="A154" s="18" t="inlineStr">
        <is>
          <t>CD09</t>
        </is>
      </c>
      <c r="B154" s="18" t="inlineStr">
        <is>
          <t>D03</t>
        </is>
      </c>
      <c r="C154" s="18" t="inlineStr">
        <is>
          <t>I15</t>
        </is>
      </c>
      <c r="D154" s="18" t="inlineStr">
        <is>
          <t>Intellectual Agency</t>
        </is>
      </c>
      <c r="E154" s="18" t="inlineStr">
        <is>
          <t>D06</t>
        </is>
      </c>
      <c r="F154" s="18" t="inlineStr">
        <is>
          <t>I04</t>
        </is>
      </c>
      <c r="G154" s="18" t="inlineStr">
        <is>
          <t>Independent Intellectual Agency</t>
        </is>
      </c>
      <c r="H154" s="18" t="inlineStr">
        <is>
          <t>Institutional capability intent → student reality</t>
        </is>
      </c>
      <c r="I154" s="18" t="inlineStr">
        <is>
          <t>If institutional capability architecture is strong but student agency/transfer evidence is weak, flag intent-to-experience gap.</t>
        </is>
      </c>
      <c r="J154" s="18" t="inlineStr">
        <is>
          <t>Student capability review</t>
        </is>
      </c>
      <c r="K154" s="18" t="inlineStr">
        <is>
          <t>Student evidence does not automatically raise D03.</t>
        </is>
      </c>
    </row>
    <row r="155">
      <c r="A155" s="18" t="inlineStr">
        <is>
          <t>CD09</t>
        </is>
      </c>
      <c r="B155" s="18" t="inlineStr">
        <is>
          <t>D03</t>
        </is>
      </c>
      <c r="C155" s="18" t="inlineStr">
        <is>
          <t>I15</t>
        </is>
      </c>
      <c r="D155" s="18" t="inlineStr">
        <is>
          <t>Intellectual Agency</t>
        </is>
      </c>
      <c r="E155" s="18" t="inlineStr">
        <is>
          <t>D06</t>
        </is>
      </c>
      <c r="F155" s="18" t="inlineStr">
        <is>
          <t>I10</t>
        </is>
      </c>
      <c r="G155" s="18" t="inlineStr">
        <is>
          <t>Problem Solving &amp; Transfer</t>
        </is>
      </c>
      <c r="H155" s="18" t="inlineStr">
        <is>
          <t>Institutional capability intent → student reality</t>
        </is>
      </c>
      <c r="I155" s="18" t="inlineStr">
        <is>
          <t>If institutional capability architecture is strong but student agency/transfer evidence is weak, flag intent-to-experience gap.</t>
        </is>
      </c>
      <c r="J155" s="18" t="inlineStr">
        <is>
          <t>Student capability review</t>
        </is>
      </c>
      <c r="K155" s="18" t="inlineStr">
        <is>
          <t>Student evidence does not automatically raise D03.</t>
        </is>
      </c>
    </row>
    <row r="156">
      <c r="A156" s="18" t="inlineStr">
        <is>
          <t>CD09</t>
        </is>
      </c>
      <c r="B156" s="18" t="inlineStr">
        <is>
          <t>D03</t>
        </is>
      </c>
      <c r="C156" s="18" t="inlineStr">
        <is>
          <t>I15</t>
        </is>
      </c>
      <c r="D156" s="18" t="inlineStr">
        <is>
          <t>Intellectual Agency</t>
        </is>
      </c>
      <c r="E156" s="18" t="inlineStr">
        <is>
          <t>D06</t>
        </is>
      </c>
      <c r="F156" s="18" t="inlineStr">
        <is>
          <t>I14</t>
        </is>
      </c>
      <c r="G156" s="18" t="inlineStr">
        <is>
          <t>Student Voice &amp; Feedback Loop</t>
        </is>
      </c>
      <c r="H156" s="18" t="inlineStr">
        <is>
          <t>Institutional capability intent → student reality</t>
        </is>
      </c>
      <c r="I156" s="18" t="inlineStr">
        <is>
          <t>If institutional capability architecture is strong but student agency/transfer evidence is weak, flag intent-to-experience gap.</t>
        </is>
      </c>
      <c r="J156" s="18" t="inlineStr">
        <is>
          <t>Student capability review</t>
        </is>
      </c>
      <c r="K156" s="18" t="inlineStr">
        <is>
          <t>Student evidence does not automatically raise D03.</t>
        </is>
      </c>
    </row>
    <row r="157">
      <c r="A157" s="18" t="inlineStr">
        <is>
          <t>CD09</t>
        </is>
      </c>
      <c r="B157" s="18" t="inlineStr">
        <is>
          <t>D03</t>
        </is>
      </c>
      <c r="C157" s="18" t="inlineStr">
        <is>
          <t>I16</t>
        </is>
      </c>
      <c r="D157" s="18" t="inlineStr">
        <is>
          <t>Transfer Capability</t>
        </is>
      </c>
      <c r="E157" s="18" t="inlineStr">
        <is>
          <t>D06</t>
        </is>
      </c>
      <c r="F157" s="18" t="inlineStr">
        <is>
          <t>I02</t>
        </is>
      </c>
      <c r="G157" s="18" t="inlineStr">
        <is>
          <t>Critical AI Evaluation</t>
        </is>
      </c>
      <c r="H157" s="18" t="inlineStr">
        <is>
          <t>Institutional capability intent → student reality</t>
        </is>
      </c>
      <c r="I157" s="18" t="inlineStr">
        <is>
          <t>If institutional capability architecture is strong but student agency/transfer evidence is weak, flag intent-to-experience gap.</t>
        </is>
      </c>
      <c r="J157" s="18" t="inlineStr">
        <is>
          <t>Student capability review</t>
        </is>
      </c>
      <c r="K157" s="18" t="inlineStr">
        <is>
          <t>Student evidence does not automatically raise D03.</t>
        </is>
      </c>
    </row>
    <row r="158">
      <c r="A158" s="18" t="inlineStr">
        <is>
          <t>CD09</t>
        </is>
      </c>
      <c r="B158" s="18" t="inlineStr">
        <is>
          <t>D03</t>
        </is>
      </c>
      <c r="C158" s="18" t="inlineStr">
        <is>
          <t>I16</t>
        </is>
      </c>
      <c r="D158" s="18" t="inlineStr">
        <is>
          <t>Transfer Capability</t>
        </is>
      </c>
      <c r="E158" s="18" t="inlineStr">
        <is>
          <t>D06</t>
        </is>
      </c>
      <c r="F158" s="18" t="inlineStr">
        <is>
          <t>I03</t>
        </is>
      </c>
      <c r="G158" s="18" t="inlineStr">
        <is>
          <t>Learning Agency</t>
        </is>
      </c>
      <c r="H158" s="18" t="inlineStr">
        <is>
          <t>Institutional capability intent → student reality</t>
        </is>
      </c>
      <c r="I158" s="18" t="inlineStr">
        <is>
          <t>If institutional capability architecture is strong but student agency/transfer evidence is weak, flag intent-to-experience gap.</t>
        </is>
      </c>
      <c r="J158" s="18" t="inlineStr">
        <is>
          <t>Student capability review</t>
        </is>
      </c>
      <c r="K158" s="18" t="inlineStr">
        <is>
          <t>Student evidence does not automatically raise D03.</t>
        </is>
      </c>
    </row>
    <row r="159">
      <c r="A159" s="18" t="inlineStr">
        <is>
          <t>CD09</t>
        </is>
      </c>
      <c r="B159" s="18" t="inlineStr">
        <is>
          <t>D03</t>
        </is>
      </c>
      <c r="C159" s="18" t="inlineStr">
        <is>
          <t>I16</t>
        </is>
      </c>
      <c r="D159" s="18" t="inlineStr">
        <is>
          <t>Transfer Capability</t>
        </is>
      </c>
      <c r="E159" s="18" t="inlineStr">
        <is>
          <t>D06</t>
        </is>
      </c>
      <c r="F159" s="18" t="inlineStr">
        <is>
          <t>I04</t>
        </is>
      </c>
      <c r="G159" s="18" t="inlineStr">
        <is>
          <t>Independent Intellectual Agency</t>
        </is>
      </c>
      <c r="H159" s="18" t="inlineStr">
        <is>
          <t>Institutional capability intent → student reality</t>
        </is>
      </c>
      <c r="I159" s="18" t="inlineStr">
        <is>
          <t>If institutional capability architecture is strong but student agency/transfer evidence is weak, flag intent-to-experience gap.</t>
        </is>
      </c>
      <c r="J159" s="18" t="inlineStr">
        <is>
          <t>Student capability review</t>
        </is>
      </c>
      <c r="K159" s="18" t="inlineStr">
        <is>
          <t>Student evidence does not automatically raise D03.</t>
        </is>
      </c>
    </row>
    <row r="160">
      <c r="A160" s="18" t="inlineStr">
        <is>
          <t>CD09</t>
        </is>
      </c>
      <c r="B160" s="18" t="inlineStr">
        <is>
          <t>D03</t>
        </is>
      </c>
      <c r="C160" s="18" t="inlineStr">
        <is>
          <t>I16</t>
        </is>
      </c>
      <c r="D160" s="18" t="inlineStr">
        <is>
          <t>Transfer Capability</t>
        </is>
      </c>
      <c r="E160" s="18" t="inlineStr">
        <is>
          <t>D06</t>
        </is>
      </c>
      <c r="F160" s="18" t="inlineStr">
        <is>
          <t>I10</t>
        </is>
      </c>
      <c r="G160" s="18" t="inlineStr">
        <is>
          <t>Problem Solving &amp; Transfer</t>
        </is>
      </c>
      <c r="H160" s="18" t="inlineStr">
        <is>
          <t>Institutional capability intent → student reality</t>
        </is>
      </c>
      <c r="I160" s="18" t="inlineStr">
        <is>
          <t>If institutional capability architecture is strong but student agency/transfer evidence is weak, flag intent-to-experience gap.</t>
        </is>
      </c>
      <c r="J160" s="18" t="inlineStr">
        <is>
          <t>Student capability review</t>
        </is>
      </c>
      <c r="K160" s="18" t="inlineStr">
        <is>
          <t>Student evidence does not automatically raise D03.</t>
        </is>
      </c>
    </row>
    <row r="161">
      <c r="A161" s="18" t="inlineStr">
        <is>
          <t>CD09</t>
        </is>
      </c>
      <c r="B161" s="18" t="inlineStr">
        <is>
          <t>D03</t>
        </is>
      </c>
      <c r="C161" s="18" t="inlineStr">
        <is>
          <t>I16</t>
        </is>
      </c>
      <c r="D161" s="18" t="inlineStr">
        <is>
          <t>Transfer Capability</t>
        </is>
      </c>
      <c r="E161" s="18" t="inlineStr">
        <is>
          <t>D06</t>
        </is>
      </c>
      <c r="F161" s="18" t="inlineStr">
        <is>
          <t>I14</t>
        </is>
      </c>
      <c r="G161" s="18" t="inlineStr">
        <is>
          <t>Student Voice &amp; Feedback Loop</t>
        </is>
      </c>
      <c r="H161" s="18" t="inlineStr">
        <is>
          <t>Institutional capability intent → student reality</t>
        </is>
      </c>
      <c r="I161" s="18" t="inlineStr">
        <is>
          <t>If institutional capability architecture is strong but student agency/transfer evidence is weak, flag intent-to-experience gap.</t>
        </is>
      </c>
      <c r="J161" s="18" t="inlineStr">
        <is>
          <t>Student capability review</t>
        </is>
      </c>
      <c r="K161" s="18" t="inlineStr">
        <is>
          <t>Student evidence does not automatically raise D03.</t>
        </is>
      </c>
    </row>
    <row r="162">
      <c r="A162" s="18" t="inlineStr">
        <is>
          <t>CD10</t>
        </is>
      </c>
      <c r="B162" s="18" t="inlineStr">
        <is>
          <t>D03</t>
        </is>
      </c>
      <c r="C162" s="18" t="inlineStr">
        <is>
          <t>I02</t>
        </is>
      </c>
      <c r="D162" s="18" t="inlineStr">
        <is>
          <t>Critical Reasoning Development</t>
        </is>
      </c>
      <c r="E162" s="18" t="inlineStr">
        <is>
          <t>D07</t>
        </is>
      </c>
      <c r="F162" s="18" t="inlineStr">
        <is>
          <t>I02</t>
        </is>
      </c>
      <c r="G162" s="18" t="inlineStr">
        <is>
          <t>Cognitive Demonstration Depth</t>
        </is>
      </c>
      <c r="H162" s="18" t="inlineStr">
        <is>
          <t>Capability target → proof of capability</t>
        </is>
      </c>
      <c r="I162" s="18" t="inlineStr">
        <is>
          <t>If target capabilities are explicit but assessments cannot demonstrate them, flag capability-proof gap.</t>
        </is>
      </c>
      <c r="J162" s="18" t="inlineStr">
        <is>
          <t>Assessment alignment review</t>
        </is>
      </c>
      <c r="K162" s="18" t="inlineStr">
        <is>
          <t>D03 defines target; D07 verifies it.</t>
        </is>
      </c>
    </row>
    <row r="163">
      <c r="A163" s="18" t="inlineStr">
        <is>
          <t>CD10</t>
        </is>
      </c>
      <c r="B163" s="18" t="inlineStr">
        <is>
          <t>D03</t>
        </is>
      </c>
      <c r="C163" s="18" t="inlineStr">
        <is>
          <t>I02</t>
        </is>
      </c>
      <c r="D163" s="18" t="inlineStr">
        <is>
          <t>Critical Reasoning Development</t>
        </is>
      </c>
      <c r="E163" s="18" t="inlineStr">
        <is>
          <t>D07</t>
        </is>
      </c>
      <c r="F163" s="18" t="inlineStr">
        <is>
          <t>I03</t>
        </is>
      </c>
      <c r="G163" s="18" t="inlineStr">
        <is>
          <t>Authenticity of Demonstration</t>
        </is>
      </c>
      <c r="H163" s="18" t="inlineStr">
        <is>
          <t>Capability target → proof of capability</t>
        </is>
      </c>
      <c r="I163" s="18" t="inlineStr">
        <is>
          <t>If target capabilities are explicit but assessments cannot demonstrate them, flag capability-proof gap.</t>
        </is>
      </c>
      <c r="J163" s="18" t="inlineStr">
        <is>
          <t>Assessment alignment review</t>
        </is>
      </c>
      <c r="K163" s="18" t="inlineStr">
        <is>
          <t>D03 defines target; D07 verifies it.</t>
        </is>
      </c>
    </row>
    <row r="164">
      <c r="A164" s="18" t="inlineStr">
        <is>
          <t>CD10</t>
        </is>
      </c>
      <c r="B164" s="18" t="inlineStr">
        <is>
          <t>D03</t>
        </is>
      </c>
      <c r="C164" s="18" t="inlineStr">
        <is>
          <t>I02</t>
        </is>
      </c>
      <c r="D164" s="18" t="inlineStr">
        <is>
          <t>Critical Reasoning Development</t>
        </is>
      </c>
      <c r="E164" s="18" t="inlineStr">
        <is>
          <t>D07</t>
        </is>
      </c>
      <c r="F164" s="18" t="inlineStr">
        <is>
          <t>I05</t>
        </is>
      </c>
      <c r="G164" s="18" t="inlineStr">
        <is>
          <t>Verification &amp; Defence</t>
        </is>
      </c>
      <c r="H164" s="18" t="inlineStr">
        <is>
          <t>Capability target → proof of capability</t>
        </is>
      </c>
      <c r="I164" s="18" t="inlineStr">
        <is>
          <t>If target capabilities are explicit but assessments cannot demonstrate them, flag capability-proof gap.</t>
        </is>
      </c>
      <c r="J164" s="18" t="inlineStr">
        <is>
          <t>Assessment alignment review</t>
        </is>
      </c>
      <c r="K164" s="18" t="inlineStr">
        <is>
          <t>D03 defines target; D07 verifies it.</t>
        </is>
      </c>
    </row>
    <row r="165">
      <c r="A165" s="18" t="inlineStr">
        <is>
          <t>CD10</t>
        </is>
      </c>
      <c r="B165" s="18" t="inlineStr">
        <is>
          <t>D03</t>
        </is>
      </c>
      <c r="C165" s="18" t="inlineStr">
        <is>
          <t>I02</t>
        </is>
      </c>
      <c r="D165" s="18" t="inlineStr">
        <is>
          <t>Critical Reasoning Development</t>
        </is>
      </c>
      <c r="E165" s="18" t="inlineStr">
        <is>
          <t>D07</t>
        </is>
      </c>
      <c r="F165" s="18" t="inlineStr">
        <is>
          <t>I07</t>
        </is>
      </c>
      <c r="G165" s="18" t="inlineStr">
        <is>
          <t>Evidence of Learning</t>
        </is>
      </c>
      <c r="H165" s="18" t="inlineStr">
        <is>
          <t>Capability target → proof of capability</t>
        </is>
      </c>
      <c r="I165" s="18" t="inlineStr">
        <is>
          <t>If target capabilities are explicit but assessments cannot demonstrate them, flag capability-proof gap.</t>
        </is>
      </c>
      <c r="J165" s="18" t="inlineStr">
        <is>
          <t>Assessment alignment review</t>
        </is>
      </c>
      <c r="K165" s="18" t="inlineStr">
        <is>
          <t>D03 defines target; D07 verifies it.</t>
        </is>
      </c>
    </row>
    <row r="166">
      <c r="A166" s="18" t="inlineStr">
        <is>
          <t>CD10</t>
        </is>
      </c>
      <c r="B166" s="18" t="inlineStr">
        <is>
          <t>D03</t>
        </is>
      </c>
      <c r="C166" s="18" t="inlineStr">
        <is>
          <t>I02</t>
        </is>
      </c>
      <c r="D166" s="18" t="inlineStr">
        <is>
          <t>Critical Reasoning Development</t>
        </is>
      </c>
      <c r="E166" s="18" t="inlineStr">
        <is>
          <t>D07</t>
        </is>
      </c>
      <c r="F166" s="18" t="inlineStr">
        <is>
          <t>I08</t>
        </is>
      </c>
      <c r="G166" s="18" t="inlineStr">
        <is>
          <t>Capability Outcome Measurement</t>
        </is>
      </c>
      <c r="H166" s="18" t="inlineStr">
        <is>
          <t>Capability target → proof of capability</t>
        </is>
      </c>
      <c r="I166" s="18" t="inlineStr">
        <is>
          <t>If target capabilities are explicit but assessments cannot demonstrate them, flag capability-proof gap.</t>
        </is>
      </c>
      <c r="J166" s="18" t="inlineStr">
        <is>
          <t>Assessment alignment review</t>
        </is>
      </c>
      <c r="K166" s="18" t="inlineStr">
        <is>
          <t>D03 defines target; D07 verifies it.</t>
        </is>
      </c>
    </row>
    <row r="167">
      <c r="A167" s="18" t="inlineStr">
        <is>
          <t>CD10</t>
        </is>
      </c>
      <c r="B167" s="18" t="inlineStr">
        <is>
          <t>D03</t>
        </is>
      </c>
      <c r="C167" s="18" t="inlineStr">
        <is>
          <t>I05</t>
        </is>
      </c>
      <c r="D167" s="18" t="inlineStr">
        <is>
          <t>Problem Formulation</t>
        </is>
      </c>
      <c r="E167" s="18" t="inlineStr">
        <is>
          <t>D07</t>
        </is>
      </c>
      <c r="F167" s="18" t="inlineStr">
        <is>
          <t>I02</t>
        </is>
      </c>
      <c r="G167" s="18" t="inlineStr">
        <is>
          <t>Cognitive Demonstration Depth</t>
        </is>
      </c>
      <c r="H167" s="18" t="inlineStr">
        <is>
          <t>Capability target → proof of capability</t>
        </is>
      </c>
      <c r="I167" s="18" t="inlineStr">
        <is>
          <t>If target capabilities are explicit but assessments cannot demonstrate them, flag capability-proof gap.</t>
        </is>
      </c>
      <c r="J167" s="18" t="inlineStr">
        <is>
          <t>Assessment alignment review</t>
        </is>
      </c>
      <c r="K167" s="18" t="inlineStr">
        <is>
          <t>D03 defines target; D07 verifies it.</t>
        </is>
      </c>
    </row>
    <row r="168">
      <c r="A168" s="18" t="inlineStr">
        <is>
          <t>CD10</t>
        </is>
      </c>
      <c r="B168" s="18" t="inlineStr">
        <is>
          <t>D03</t>
        </is>
      </c>
      <c r="C168" s="18" t="inlineStr">
        <is>
          <t>I05</t>
        </is>
      </c>
      <c r="D168" s="18" t="inlineStr">
        <is>
          <t>Problem Formulation</t>
        </is>
      </c>
      <c r="E168" s="18" t="inlineStr">
        <is>
          <t>D07</t>
        </is>
      </c>
      <c r="F168" s="18" t="inlineStr">
        <is>
          <t>I03</t>
        </is>
      </c>
      <c r="G168" s="18" t="inlineStr">
        <is>
          <t>Authenticity of Demonstration</t>
        </is>
      </c>
      <c r="H168" s="18" t="inlineStr">
        <is>
          <t>Capability target → proof of capability</t>
        </is>
      </c>
      <c r="I168" s="18" t="inlineStr">
        <is>
          <t>If target capabilities are explicit but assessments cannot demonstrate them, flag capability-proof gap.</t>
        </is>
      </c>
      <c r="J168" s="18" t="inlineStr">
        <is>
          <t>Assessment alignment review</t>
        </is>
      </c>
      <c r="K168" s="18" t="inlineStr">
        <is>
          <t>D03 defines target; D07 verifies it.</t>
        </is>
      </c>
    </row>
    <row r="169">
      <c r="A169" s="18" t="inlineStr">
        <is>
          <t>CD10</t>
        </is>
      </c>
      <c r="B169" s="18" t="inlineStr">
        <is>
          <t>D03</t>
        </is>
      </c>
      <c r="C169" s="18" t="inlineStr">
        <is>
          <t>I05</t>
        </is>
      </c>
      <c r="D169" s="18" t="inlineStr">
        <is>
          <t>Problem Formulation</t>
        </is>
      </c>
      <c r="E169" s="18" t="inlineStr">
        <is>
          <t>D07</t>
        </is>
      </c>
      <c r="F169" s="18" t="inlineStr">
        <is>
          <t>I05</t>
        </is>
      </c>
      <c r="G169" s="18" t="inlineStr">
        <is>
          <t>Verification &amp; Defence</t>
        </is>
      </c>
      <c r="H169" s="18" t="inlineStr">
        <is>
          <t>Capability target → proof of capability</t>
        </is>
      </c>
      <c r="I169" s="18" t="inlineStr">
        <is>
          <t>If target capabilities are explicit but assessments cannot demonstrate them, flag capability-proof gap.</t>
        </is>
      </c>
      <c r="J169" s="18" t="inlineStr">
        <is>
          <t>Assessment alignment review</t>
        </is>
      </c>
      <c r="K169" s="18" t="inlineStr">
        <is>
          <t>D03 defines target; D07 verifies it.</t>
        </is>
      </c>
    </row>
    <row r="170">
      <c r="A170" s="18" t="inlineStr">
        <is>
          <t>CD10</t>
        </is>
      </c>
      <c r="B170" s="18" t="inlineStr">
        <is>
          <t>D03</t>
        </is>
      </c>
      <c r="C170" s="18" t="inlineStr">
        <is>
          <t>I05</t>
        </is>
      </c>
      <c r="D170" s="18" t="inlineStr">
        <is>
          <t>Problem Formulation</t>
        </is>
      </c>
      <c r="E170" s="18" t="inlineStr">
        <is>
          <t>D07</t>
        </is>
      </c>
      <c r="F170" s="18" t="inlineStr">
        <is>
          <t>I07</t>
        </is>
      </c>
      <c r="G170" s="18" t="inlineStr">
        <is>
          <t>Evidence of Learning</t>
        </is>
      </c>
      <c r="H170" s="18" t="inlineStr">
        <is>
          <t>Capability target → proof of capability</t>
        </is>
      </c>
      <c r="I170" s="18" t="inlineStr">
        <is>
          <t>If target capabilities are explicit but assessments cannot demonstrate them, flag capability-proof gap.</t>
        </is>
      </c>
      <c r="J170" s="18" t="inlineStr">
        <is>
          <t>Assessment alignment review</t>
        </is>
      </c>
      <c r="K170" s="18" t="inlineStr">
        <is>
          <t>D03 defines target; D07 verifies it.</t>
        </is>
      </c>
    </row>
    <row r="171">
      <c r="A171" s="18" t="inlineStr">
        <is>
          <t>CD10</t>
        </is>
      </c>
      <c r="B171" s="18" t="inlineStr">
        <is>
          <t>D03</t>
        </is>
      </c>
      <c r="C171" s="18" t="inlineStr">
        <is>
          <t>I05</t>
        </is>
      </c>
      <c r="D171" s="18" t="inlineStr">
        <is>
          <t>Problem Formulation</t>
        </is>
      </c>
      <c r="E171" s="18" t="inlineStr">
        <is>
          <t>D07</t>
        </is>
      </c>
      <c r="F171" s="18" t="inlineStr">
        <is>
          <t>I08</t>
        </is>
      </c>
      <c r="G171" s="18" t="inlineStr">
        <is>
          <t>Capability Outcome Measurement</t>
        </is>
      </c>
      <c r="H171" s="18" t="inlineStr">
        <is>
          <t>Capability target → proof of capability</t>
        </is>
      </c>
      <c r="I171" s="18" t="inlineStr">
        <is>
          <t>If target capabilities are explicit but assessments cannot demonstrate them, flag capability-proof gap.</t>
        </is>
      </c>
      <c r="J171" s="18" t="inlineStr">
        <is>
          <t>Assessment alignment review</t>
        </is>
      </c>
      <c r="K171" s="18" t="inlineStr">
        <is>
          <t>D03 defines target; D07 verifies it.</t>
        </is>
      </c>
    </row>
    <row r="172">
      <c r="A172" s="18" t="inlineStr">
        <is>
          <t>CD10</t>
        </is>
      </c>
      <c r="B172" s="18" t="inlineStr">
        <is>
          <t>D03</t>
        </is>
      </c>
      <c r="C172" s="18" t="inlineStr">
        <is>
          <t>I07</t>
        </is>
      </c>
      <c r="D172" s="18" t="inlineStr">
        <is>
          <t>Judgement Capability</t>
        </is>
      </c>
      <c r="E172" s="18" t="inlineStr">
        <is>
          <t>D07</t>
        </is>
      </c>
      <c r="F172" s="18" t="inlineStr">
        <is>
          <t>I02</t>
        </is>
      </c>
      <c r="G172" s="18" t="inlineStr">
        <is>
          <t>Cognitive Demonstration Depth</t>
        </is>
      </c>
      <c r="H172" s="18" t="inlineStr">
        <is>
          <t>Capability target → proof of capability</t>
        </is>
      </c>
      <c r="I172" s="18" t="inlineStr">
        <is>
          <t>If target capabilities are explicit but assessments cannot demonstrate them, flag capability-proof gap.</t>
        </is>
      </c>
      <c r="J172" s="18" t="inlineStr">
        <is>
          <t>Assessment alignment review</t>
        </is>
      </c>
      <c r="K172" s="18" t="inlineStr">
        <is>
          <t>D03 defines target; D07 verifies it.</t>
        </is>
      </c>
    </row>
    <row r="173">
      <c r="A173" s="18" t="inlineStr">
        <is>
          <t>CD10</t>
        </is>
      </c>
      <c r="B173" s="18" t="inlineStr">
        <is>
          <t>D03</t>
        </is>
      </c>
      <c r="C173" s="18" t="inlineStr">
        <is>
          <t>I07</t>
        </is>
      </c>
      <c r="D173" s="18" t="inlineStr">
        <is>
          <t>Judgement Capability</t>
        </is>
      </c>
      <c r="E173" s="18" t="inlineStr">
        <is>
          <t>D07</t>
        </is>
      </c>
      <c r="F173" s="18" t="inlineStr">
        <is>
          <t>I03</t>
        </is>
      </c>
      <c r="G173" s="18" t="inlineStr">
        <is>
          <t>Authenticity of Demonstration</t>
        </is>
      </c>
      <c r="H173" s="18" t="inlineStr">
        <is>
          <t>Capability target → proof of capability</t>
        </is>
      </c>
      <c r="I173" s="18" t="inlineStr">
        <is>
          <t>If target capabilities are explicit but assessments cannot demonstrate them, flag capability-proof gap.</t>
        </is>
      </c>
      <c r="J173" s="18" t="inlineStr">
        <is>
          <t>Assessment alignment review</t>
        </is>
      </c>
      <c r="K173" s="18" t="inlineStr">
        <is>
          <t>D03 defines target; D07 verifies it.</t>
        </is>
      </c>
    </row>
    <row r="174">
      <c r="A174" s="18" t="inlineStr">
        <is>
          <t>CD10</t>
        </is>
      </c>
      <c r="B174" s="18" t="inlineStr">
        <is>
          <t>D03</t>
        </is>
      </c>
      <c r="C174" s="18" t="inlineStr">
        <is>
          <t>I07</t>
        </is>
      </c>
      <c r="D174" s="18" t="inlineStr">
        <is>
          <t>Judgement Capability</t>
        </is>
      </c>
      <c r="E174" s="18" t="inlineStr">
        <is>
          <t>D07</t>
        </is>
      </c>
      <c r="F174" s="18" t="inlineStr">
        <is>
          <t>I05</t>
        </is>
      </c>
      <c r="G174" s="18" t="inlineStr">
        <is>
          <t>Verification &amp; Defence</t>
        </is>
      </c>
      <c r="H174" s="18" t="inlineStr">
        <is>
          <t>Capability target → proof of capability</t>
        </is>
      </c>
      <c r="I174" s="18" t="inlineStr">
        <is>
          <t>If target capabilities are explicit but assessments cannot demonstrate them, flag capability-proof gap.</t>
        </is>
      </c>
      <c r="J174" s="18" t="inlineStr">
        <is>
          <t>Assessment alignment review</t>
        </is>
      </c>
      <c r="K174" s="18" t="inlineStr">
        <is>
          <t>D03 defines target; D07 verifies it.</t>
        </is>
      </c>
    </row>
    <row r="175">
      <c r="A175" s="18" t="inlineStr">
        <is>
          <t>CD10</t>
        </is>
      </c>
      <c r="B175" s="18" t="inlineStr">
        <is>
          <t>D03</t>
        </is>
      </c>
      <c r="C175" s="18" t="inlineStr">
        <is>
          <t>I07</t>
        </is>
      </c>
      <c r="D175" s="18" t="inlineStr">
        <is>
          <t>Judgement Capability</t>
        </is>
      </c>
      <c r="E175" s="18" t="inlineStr">
        <is>
          <t>D07</t>
        </is>
      </c>
      <c r="F175" s="18" t="inlineStr">
        <is>
          <t>I07</t>
        </is>
      </c>
      <c r="G175" s="18" t="inlineStr">
        <is>
          <t>Evidence of Learning</t>
        </is>
      </c>
      <c r="H175" s="18" t="inlineStr">
        <is>
          <t>Capability target → proof of capability</t>
        </is>
      </c>
      <c r="I175" s="18" t="inlineStr">
        <is>
          <t>If target capabilities are explicit but assessments cannot demonstrate them, flag capability-proof gap.</t>
        </is>
      </c>
      <c r="J175" s="18" t="inlineStr">
        <is>
          <t>Assessment alignment review</t>
        </is>
      </c>
      <c r="K175" s="18" t="inlineStr">
        <is>
          <t>D03 defines target; D07 verifies it.</t>
        </is>
      </c>
    </row>
    <row r="176">
      <c r="A176" s="18" t="inlineStr">
        <is>
          <t>CD10</t>
        </is>
      </c>
      <c r="B176" s="18" t="inlineStr">
        <is>
          <t>D03</t>
        </is>
      </c>
      <c r="C176" s="18" t="inlineStr">
        <is>
          <t>I07</t>
        </is>
      </c>
      <c r="D176" s="18" t="inlineStr">
        <is>
          <t>Judgement Capability</t>
        </is>
      </c>
      <c r="E176" s="18" t="inlineStr">
        <is>
          <t>D07</t>
        </is>
      </c>
      <c r="F176" s="18" t="inlineStr">
        <is>
          <t>I08</t>
        </is>
      </c>
      <c r="G176" s="18" t="inlineStr">
        <is>
          <t>Capability Outcome Measurement</t>
        </is>
      </c>
      <c r="H176" s="18" t="inlineStr">
        <is>
          <t>Capability target → proof of capability</t>
        </is>
      </c>
      <c r="I176" s="18" t="inlineStr">
        <is>
          <t>If target capabilities are explicit but assessments cannot demonstrate them, flag capability-proof gap.</t>
        </is>
      </c>
      <c r="J176" s="18" t="inlineStr">
        <is>
          <t>Assessment alignment review</t>
        </is>
      </c>
      <c r="K176" s="18" t="inlineStr">
        <is>
          <t>D03 defines target; D07 verifies it.</t>
        </is>
      </c>
    </row>
    <row r="177">
      <c r="A177" s="18" t="inlineStr">
        <is>
          <t>CD10</t>
        </is>
      </c>
      <c r="B177" s="18" t="inlineStr">
        <is>
          <t>D03</t>
        </is>
      </c>
      <c r="C177" s="18" t="inlineStr">
        <is>
          <t>I16</t>
        </is>
      </c>
      <c r="D177" s="18" t="inlineStr">
        <is>
          <t>Transfer Capability</t>
        </is>
      </c>
      <c r="E177" s="18" t="inlineStr">
        <is>
          <t>D07</t>
        </is>
      </c>
      <c r="F177" s="18" t="inlineStr">
        <is>
          <t>I02</t>
        </is>
      </c>
      <c r="G177" s="18" t="inlineStr">
        <is>
          <t>Cognitive Demonstration Depth</t>
        </is>
      </c>
      <c r="H177" s="18" t="inlineStr">
        <is>
          <t>Capability target → proof of capability</t>
        </is>
      </c>
      <c r="I177" s="18" t="inlineStr">
        <is>
          <t>If target capabilities are explicit but assessments cannot demonstrate them, flag capability-proof gap.</t>
        </is>
      </c>
      <c r="J177" s="18" t="inlineStr">
        <is>
          <t>Assessment alignment review</t>
        </is>
      </c>
      <c r="K177" s="18" t="inlineStr">
        <is>
          <t>D03 defines target; D07 verifies it.</t>
        </is>
      </c>
    </row>
    <row r="178">
      <c r="A178" s="18" t="inlineStr">
        <is>
          <t>CD10</t>
        </is>
      </c>
      <c r="B178" s="18" t="inlineStr">
        <is>
          <t>D03</t>
        </is>
      </c>
      <c r="C178" s="18" t="inlineStr">
        <is>
          <t>I16</t>
        </is>
      </c>
      <c r="D178" s="18" t="inlineStr">
        <is>
          <t>Transfer Capability</t>
        </is>
      </c>
      <c r="E178" s="18" t="inlineStr">
        <is>
          <t>D07</t>
        </is>
      </c>
      <c r="F178" s="18" t="inlineStr">
        <is>
          <t>I03</t>
        </is>
      </c>
      <c r="G178" s="18" t="inlineStr">
        <is>
          <t>Authenticity of Demonstration</t>
        </is>
      </c>
      <c r="H178" s="18" t="inlineStr">
        <is>
          <t>Capability target → proof of capability</t>
        </is>
      </c>
      <c r="I178" s="18" t="inlineStr">
        <is>
          <t>If target capabilities are explicit but assessments cannot demonstrate them, flag capability-proof gap.</t>
        </is>
      </c>
      <c r="J178" s="18" t="inlineStr">
        <is>
          <t>Assessment alignment review</t>
        </is>
      </c>
      <c r="K178" s="18" t="inlineStr">
        <is>
          <t>D03 defines target; D07 verifies it.</t>
        </is>
      </c>
    </row>
    <row r="179">
      <c r="A179" s="18" t="inlineStr">
        <is>
          <t>CD10</t>
        </is>
      </c>
      <c r="B179" s="18" t="inlineStr">
        <is>
          <t>D03</t>
        </is>
      </c>
      <c r="C179" s="18" t="inlineStr">
        <is>
          <t>I16</t>
        </is>
      </c>
      <c r="D179" s="18" t="inlineStr">
        <is>
          <t>Transfer Capability</t>
        </is>
      </c>
      <c r="E179" s="18" t="inlineStr">
        <is>
          <t>D07</t>
        </is>
      </c>
      <c r="F179" s="18" t="inlineStr">
        <is>
          <t>I05</t>
        </is>
      </c>
      <c r="G179" s="18" t="inlineStr">
        <is>
          <t>Verification &amp; Defence</t>
        </is>
      </c>
      <c r="H179" s="18" t="inlineStr">
        <is>
          <t>Capability target → proof of capability</t>
        </is>
      </c>
      <c r="I179" s="18" t="inlineStr">
        <is>
          <t>If target capabilities are explicit but assessments cannot demonstrate them, flag capability-proof gap.</t>
        </is>
      </c>
      <c r="J179" s="18" t="inlineStr">
        <is>
          <t>Assessment alignment review</t>
        </is>
      </c>
      <c r="K179" s="18" t="inlineStr">
        <is>
          <t>D03 defines target; D07 verifies it.</t>
        </is>
      </c>
    </row>
    <row r="180">
      <c r="A180" s="18" t="inlineStr">
        <is>
          <t>CD10</t>
        </is>
      </c>
      <c r="B180" s="18" t="inlineStr">
        <is>
          <t>D03</t>
        </is>
      </c>
      <c r="C180" s="18" t="inlineStr">
        <is>
          <t>I16</t>
        </is>
      </c>
      <c r="D180" s="18" t="inlineStr">
        <is>
          <t>Transfer Capability</t>
        </is>
      </c>
      <c r="E180" s="18" t="inlineStr">
        <is>
          <t>D07</t>
        </is>
      </c>
      <c r="F180" s="18" t="inlineStr">
        <is>
          <t>I07</t>
        </is>
      </c>
      <c r="G180" s="18" t="inlineStr">
        <is>
          <t>Evidence of Learning</t>
        </is>
      </c>
      <c r="H180" s="18" t="inlineStr">
        <is>
          <t>Capability target → proof of capability</t>
        </is>
      </c>
      <c r="I180" s="18" t="inlineStr">
        <is>
          <t>If target capabilities are explicit but assessments cannot demonstrate them, flag capability-proof gap.</t>
        </is>
      </c>
      <c r="J180" s="18" t="inlineStr">
        <is>
          <t>Assessment alignment review</t>
        </is>
      </c>
      <c r="K180" s="18" t="inlineStr">
        <is>
          <t>D03 defines target; D07 verifies it.</t>
        </is>
      </c>
    </row>
    <row r="181">
      <c r="A181" s="18" t="inlineStr">
        <is>
          <t>CD10</t>
        </is>
      </c>
      <c r="B181" s="18" t="inlineStr">
        <is>
          <t>D03</t>
        </is>
      </c>
      <c r="C181" s="18" t="inlineStr">
        <is>
          <t>I16</t>
        </is>
      </c>
      <c r="D181" s="18" t="inlineStr">
        <is>
          <t>Transfer Capability</t>
        </is>
      </c>
      <c r="E181" s="18" t="inlineStr">
        <is>
          <t>D07</t>
        </is>
      </c>
      <c r="F181" s="18" t="inlineStr">
        <is>
          <t>I08</t>
        </is>
      </c>
      <c r="G181" s="18" t="inlineStr">
        <is>
          <t>Capability Outcome Measurement</t>
        </is>
      </c>
      <c r="H181" s="18" t="inlineStr">
        <is>
          <t>Capability target → proof of capability</t>
        </is>
      </c>
      <c r="I181" s="18" t="inlineStr">
        <is>
          <t>If target capabilities are explicit but assessments cannot demonstrate them, flag capability-proof gap.</t>
        </is>
      </c>
      <c r="J181" s="18" t="inlineStr">
        <is>
          <t>Assessment alignment review</t>
        </is>
      </c>
      <c r="K181" s="18" t="inlineStr">
        <is>
          <t>D03 defines target; D07 verifies it.</t>
        </is>
      </c>
    </row>
    <row r="182">
      <c r="A182" s="18" t="inlineStr">
        <is>
          <t>CD11</t>
        </is>
      </c>
      <c r="B182" s="18" t="inlineStr">
        <is>
          <t>D04</t>
        </is>
      </c>
      <c r="C182" s="18" t="inlineStr">
        <is>
          <t>I02</t>
        </is>
      </c>
      <c r="D182" s="18" t="inlineStr">
        <is>
          <t>Future Learning Outcome Alignment</t>
        </is>
      </c>
      <c r="E182" s="18" t="inlineStr">
        <is>
          <t>D07</t>
        </is>
      </c>
      <c r="F182" s="18" t="inlineStr">
        <is>
          <t>I01</t>
        </is>
      </c>
      <c r="G182" s="18" t="inlineStr">
        <is>
          <t>Assessment Design Maturity</t>
        </is>
      </c>
      <c r="H182" s="18" t="inlineStr">
        <is>
          <t>Future curriculum → assessment evidence</t>
        </is>
      </c>
      <c r="I182" s="18" t="inlineStr">
        <is>
          <t>If programme redesign is strong but assessment remains answer-production oriented, flag curriculum-assessment disconnect.</t>
        </is>
      </c>
      <c r="J182" s="18" t="inlineStr">
        <is>
          <t>Assessment redesign</t>
        </is>
      </c>
      <c r="K182" s="18" t="inlineStr">
        <is>
          <t>No D04 uplift from assessment activity.</t>
        </is>
      </c>
    </row>
    <row r="183">
      <c r="A183" s="18" t="inlineStr">
        <is>
          <t>CD11</t>
        </is>
      </c>
      <c r="B183" s="18" t="inlineStr">
        <is>
          <t>D04</t>
        </is>
      </c>
      <c r="C183" s="18" t="inlineStr">
        <is>
          <t>I02</t>
        </is>
      </c>
      <c r="D183" s="18" t="inlineStr">
        <is>
          <t>Future Learning Outcome Alignment</t>
        </is>
      </c>
      <c r="E183" s="18" t="inlineStr">
        <is>
          <t>D07</t>
        </is>
      </c>
      <c r="F183" s="18" t="inlineStr">
        <is>
          <t>I02</t>
        </is>
      </c>
      <c r="G183" s="18" t="inlineStr">
        <is>
          <t>Cognitive Demonstration Depth</t>
        </is>
      </c>
      <c r="H183" s="18" t="inlineStr">
        <is>
          <t>Future curriculum → assessment evidence</t>
        </is>
      </c>
      <c r="I183" s="18" t="inlineStr">
        <is>
          <t>If programme redesign is strong but assessment remains answer-production oriented, flag curriculum-assessment disconnect.</t>
        </is>
      </c>
      <c r="J183" s="18" t="inlineStr">
        <is>
          <t>Assessment redesign</t>
        </is>
      </c>
      <c r="K183" s="18" t="inlineStr">
        <is>
          <t>No D04 uplift from assessment activity.</t>
        </is>
      </c>
    </row>
    <row r="184">
      <c r="A184" s="18" t="inlineStr">
        <is>
          <t>CD11</t>
        </is>
      </c>
      <c r="B184" s="18" t="inlineStr">
        <is>
          <t>D04</t>
        </is>
      </c>
      <c r="C184" s="18" t="inlineStr">
        <is>
          <t>I02</t>
        </is>
      </c>
      <c r="D184" s="18" t="inlineStr">
        <is>
          <t>Future Learning Outcome Alignment</t>
        </is>
      </c>
      <c r="E184" s="18" t="inlineStr">
        <is>
          <t>D07</t>
        </is>
      </c>
      <c r="F184" s="18" t="inlineStr">
        <is>
          <t>I04</t>
        </is>
      </c>
      <c r="G184" s="18" t="inlineStr">
        <is>
          <t>AI-Aware Assessment Maturity</t>
        </is>
      </c>
      <c r="H184" s="18" t="inlineStr">
        <is>
          <t>Future curriculum → assessment evidence</t>
        </is>
      </c>
      <c r="I184" s="18" t="inlineStr">
        <is>
          <t>If programme redesign is strong but assessment remains answer-production oriented, flag curriculum-assessment disconnect.</t>
        </is>
      </c>
      <c r="J184" s="18" t="inlineStr">
        <is>
          <t>Assessment redesign</t>
        </is>
      </c>
      <c r="K184" s="18" t="inlineStr">
        <is>
          <t>No D04 uplift from assessment activity.</t>
        </is>
      </c>
    </row>
    <row r="185">
      <c r="A185" s="18" t="inlineStr">
        <is>
          <t>CD11</t>
        </is>
      </c>
      <c r="B185" s="18" t="inlineStr">
        <is>
          <t>D04</t>
        </is>
      </c>
      <c r="C185" s="18" t="inlineStr">
        <is>
          <t>I02</t>
        </is>
      </c>
      <c r="D185" s="18" t="inlineStr">
        <is>
          <t>Future Learning Outcome Alignment</t>
        </is>
      </c>
      <c r="E185" s="18" t="inlineStr">
        <is>
          <t>D07</t>
        </is>
      </c>
      <c r="F185" s="18" t="inlineStr">
        <is>
          <t>I07</t>
        </is>
      </c>
      <c r="G185" s="18" t="inlineStr">
        <is>
          <t>Evidence of Learning</t>
        </is>
      </c>
      <c r="H185" s="18" t="inlineStr">
        <is>
          <t>Future curriculum → assessment evidence</t>
        </is>
      </c>
      <c r="I185" s="18" t="inlineStr">
        <is>
          <t>If programme redesign is strong but assessment remains answer-production oriented, flag curriculum-assessment disconnect.</t>
        </is>
      </c>
      <c r="J185" s="18" t="inlineStr">
        <is>
          <t>Assessment redesign</t>
        </is>
      </c>
      <c r="K185" s="18" t="inlineStr">
        <is>
          <t>No D04 uplift from assessment activity.</t>
        </is>
      </c>
    </row>
    <row r="186">
      <c r="A186" s="18" t="inlineStr">
        <is>
          <t>CD11</t>
        </is>
      </c>
      <c r="B186" s="18" t="inlineStr">
        <is>
          <t>D04</t>
        </is>
      </c>
      <c r="C186" s="18" t="inlineStr">
        <is>
          <t>I02</t>
        </is>
      </c>
      <c r="D186" s="18" t="inlineStr">
        <is>
          <t>Future Learning Outcome Alignment</t>
        </is>
      </c>
      <c r="E186" s="18" t="inlineStr">
        <is>
          <t>D07</t>
        </is>
      </c>
      <c r="F186" s="18" t="inlineStr">
        <is>
          <t>I08</t>
        </is>
      </c>
      <c r="G186" s="18" t="inlineStr">
        <is>
          <t>Capability Outcome Measurement</t>
        </is>
      </c>
      <c r="H186" s="18" t="inlineStr">
        <is>
          <t>Future curriculum → assessment evidence</t>
        </is>
      </c>
      <c r="I186" s="18" t="inlineStr">
        <is>
          <t>If programme redesign is strong but assessment remains answer-production oriented, flag curriculum-assessment disconnect.</t>
        </is>
      </c>
      <c r="J186" s="18" t="inlineStr">
        <is>
          <t>Assessment redesign</t>
        </is>
      </c>
      <c r="K186" s="18" t="inlineStr">
        <is>
          <t>No D04 uplift from assessment activity.</t>
        </is>
      </c>
    </row>
    <row r="187">
      <c r="A187" s="18" t="inlineStr">
        <is>
          <t>CD11</t>
        </is>
      </c>
      <c r="B187" s="18" t="inlineStr">
        <is>
          <t>D04</t>
        </is>
      </c>
      <c r="C187" s="18" t="inlineStr">
        <is>
          <t>I04</t>
        </is>
      </c>
      <c r="D187" s="18" t="inlineStr">
        <is>
          <t>Disciplinary AI Integration Depth</t>
        </is>
      </c>
      <c r="E187" s="18" t="inlineStr">
        <is>
          <t>D07</t>
        </is>
      </c>
      <c r="F187" s="18" t="inlineStr">
        <is>
          <t>I01</t>
        </is>
      </c>
      <c r="G187" s="18" t="inlineStr">
        <is>
          <t>Assessment Design Maturity</t>
        </is>
      </c>
      <c r="H187" s="18" t="inlineStr">
        <is>
          <t>Future curriculum → assessment evidence</t>
        </is>
      </c>
      <c r="I187" s="18" t="inlineStr">
        <is>
          <t>If programme redesign is strong but assessment remains answer-production oriented, flag curriculum-assessment disconnect.</t>
        </is>
      </c>
      <c r="J187" s="18" t="inlineStr">
        <is>
          <t>Assessment redesign</t>
        </is>
      </c>
      <c r="K187" s="18" t="inlineStr">
        <is>
          <t>No D04 uplift from assessment activity.</t>
        </is>
      </c>
    </row>
    <row r="188">
      <c r="A188" s="18" t="inlineStr">
        <is>
          <t>CD11</t>
        </is>
      </c>
      <c r="B188" s="18" t="inlineStr">
        <is>
          <t>D04</t>
        </is>
      </c>
      <c r="C188" s="18" t="inlineStr">
        <is>
          <t>I04</t>
        </is>
      </c>
      <c r="D188" s="18" t="inlineStr">
        <is>
          <t>Disciplinary AI Integration Depth</t>
        </is>
      </c>
      <c r="E188" s="18" t="inlineStr">
        <is>
          <t>D07</t>
        </is>
      </c>
      <c r="F188" s="18" t="inlineStr">
        <is>
          <t>I02</t>
        </is>
      </c>
      <c r="G188" s="18" t="inlineStr">
        <is>
          <t>Cognitive Demonstration Depth</t>
        </is>
      </c>
      <c r="H188" s="18" t="inlineStr">
        <is>
          <t>Future curriculum → assessment evidence</t>
        </is>
      </c>
      <c r="I188" s="18" t="inlineStr">
        <is>
          <t>If programme redesign is strong but assessment remains answer-production oriented, flag curriculum-assessment disconnect.</t>
        </is>
      </c>
      <c r="J188" s="18" t="inlineStr">
        <is>
          <t>Assessment redesign</t>
        </is>
      </c>
      <c r="K188" s="18" t="inlineStr">
        <is>
          <t>No D04 uplift from assessment activity.</t>
        </is>
      </c>
    </row>
    <row r="189">
      <c r="A189" s="18" t="inlineStr">
        <is>
          <t>CD11</t>
        </is>
      </c>
      <c r="B189" s="18" t="inlineStr">
        <is>
          <t>D04</t>
        </is>
      </c>
      <c r="C189" s="18" t="inlineStr">
        <is>
          <t>I04</t>
        </is>
      </c>
      <c r="D189" s="18" t="inlineStr">
        <is>
          <t>Disciplinary AI Integration Depth</t>
        </is>
      </c>
      <c r="E189" s="18" t="inlineStr">
        <is>
          <t>D07</t>
        </is>
      </c>
      <c r="F189" s="18" t="inlineStr">
        <is>
          <t>I04</t>
        </is>
      </c>
      <c r="G189" s="18" t="inlineStr">
        <is>
          <t>AI-Aware Assessment Maturity</t>
        </is>
      </c>
      <c r="H189" s="18" t="inlineStr">
        <is>
          <t>Future curriculum → assessment evidence</t>
        </is>
      </c>
      <c r="I189" s="18" t="inlineStr">
        <is>
          <t>If programme redesign is strong but assessment remains answer-production oriented, flag curriculum-assessment disconnect.</t>
        </is>
      </c>
      <c r="J189" s="18" t="inlineStr">
        <is>
          <t>Assessment redesign</t>
        </is>
      </c>
      <c r="K189" s="18" t="inlineStr">
        <is>
          <t>No D04 uplift from assessment activity.</t>
        </is>
      </c>
    </row>
    <row r="190">
      <c r="A190" s="18" t="inlineStr">
        <is>
          <t>CD11</t>
        </is>
      </c>
      <c r="B190" s="18" t="inlineStr">
        <is>
          <t>D04</t>
        </is>
      </c>
      <c r="C190" s="18" t="inlineStr">
        <is>
          <t>I04</t>
        </is>
      </c>
      <c r="D190" s="18" t="inlineStr">
        <is>
          <t>Disciplinary AI Integration Depth</t>
        </is>
      </c>
      <c r="E190" s="18" t="inlineStr">
        <is>
          <t>D07</t>
        </is>
      </c>
      <c r="F190" s="18" t="inlineStr">
        <is>
          <t>I07</t>
        </is>
      </c>
      <c r="G190" s="18" t="inlineStr">
        <is>
          <t>Evidence of Learning</t>
        </is>
      </c>
      <c r="H190" s="18" t="inlineStr">
        <is>
          <t>Future curriculum → assessment evidence</t>
        </is>
      </c>
      <c r="I190" s="18" t="inlineStr">
        <is>
          <t>If programme redesign is strong but assessment remains answer-production oriented, flag curriculum-assessment disconnect.</t>
        </is>
      </c>
      <c r="J190" s="18" t="inlineStr">
        <is>
          <t>Assessment redesign</t>
        </is>
      </c>
      <c r="K190" s="18" t="inlineStr">
        <is>
          <t>No D04 uplift from assessment activity.</t>
        </is>
      </c>
    </row>
    <row r="191">
      <c r="A191" s="18" t="inlineStr">
        <is>
          <t>CD11</t>
        </is>
      </c>
      <c r="B191" s="18" t="inlineStr">
        <is>
          <t>D04</t>
        </is>
      </c>
      <c r="C191" s="18" t="inlineStr">
        <is>
          <t>I04</t>
        </is>
      </c>
      <c r="D191" s="18" t="inlineStr">
        <is>
          <t>Disciplinary AI Integration Depth</t>
        </is>
      </c>
      <c r="E191" s="18" t="inlineStr">
        <is>
          <t>D07</t>
        </is>
      </c>
      <c r="F191" s="18" t="inlineStr">
        <is>
          <t>I08</t>
        </is>
      </c>
      <c r="G191" s="18" t="inlineStr">
        <is>
          <t>Capability Outcome Measurement</t>
        </is>
      </c>
      <c r="H191" s="18" t="inlineStr">
        <is>
          <t>Future curriculum → assessment evidence</t>
        </is>
      </c>
      <c r="I191" s="18" t="inlineStr">
        <is>
          <t>If programme redesign is strong but assessment remains answer-production oriented, flag curriculum-assessment disconnect.</t>
        </is>
      </c>
      <c r="J191" s="18" t="inlineStr">
        <is>
          <t>Assessment redesign</t>
        </is>
      </c>
      <c r="K191" s="18" t="inlineStr">
        <is>
          <t>No D04 uplift from assessment activity.</t>
        </is>
      </c>
    </row>
    <row r="192">
      <c r="A192" s="18" t="inlineStr">
        <is>
          <t>CD11</t>
        </is>
      </c>
      <c r="B192" s="18" t="inlineStr">
        <is>
          <t>D04</t>
        </is>
      </c>
      <c r="C192" s="18" t="inlineStr">
        <is>
          <t>I05</t>
        </is>
      </c>
      <c r="D192" s="18" t="inlineStr">
        <is>
          <t>Content Obsolescence Response</t>
        </is>
      </c>
      <c r="E192" s="18" t="inlineStr">
        <is>
          <t>D07</t>
        </is>
      </c>
      <c r="F192" s="18" t="inlineStr">
        <is>
          <t>I01</t>
        </is>
      </c>
      <c r="G192" s="18" t="inlineStr">
        <is>
          <t>Assessment Design Maturity</t>
        </is>
      </c>
      <c r="H192" s="18" t="inlineStr">
        <is>
          <t>Future curriculum → assessment evidence</t>
        </is>
      </c>
      <c r="I192" s="18" t="inlineStr">
        <is>
          <t>If programme redesign is strong but assessment remains answer-production oriented, flag curriculum-assessment disconnect.</t>
        </is>
      </c>
      <c r="J192" s="18" t="inlineStr">
        <is>
          <t>Assessment redesign</t>
        </is>
      </c>
      <c r="K192" s="18" t="inlineStr">
        <is>
          <t>No D04 uplift from assessment activity.</t>
        </is>
      </c>
    </row>
    <row r="193">
      <c r="A193" s="18" t="inlineStr">
        <is>
          <t>CD11</t>
        </is>
      </c>
      <c r="B193" s="18" t="inlineStr">
        <is>
          <t>D04</t>
        </is>
      </c>
      <c r="C193" s="18" t="inlineStr">
        <is>
          <t>I05</t>
        </is>
      </c>
      <c r="D193" s="18" t="inlineStr">
        <is>
          <t>Content Obsolescence Response</t>
        </is>
      </c>
      <c r="E193" s="18" t="inlineStr">
        <is>
          <t>D07</t>
        </is>
      </c>
      <c r="F193" s="18" t="inlineStr">
        <is>
          <t>I02</t>
        </is>
      </c>
      <c r="G193" s="18" t="inlineStr">
        <is>
          <t>Cognitive Demonstration Depth</t>
        </is>
      </c>
      <c r="H193" s="18" t="inlineStr">
        <is>
          <t>Future curriculum → assessment evidence</t>
        </is>
      </c>
      <c r="I193" s="18" t="inlineStr">
        <is>
          <t>If programme redesign is strong but assessment remains answer-production oriented, flag curriculum-assessment disconnect.</t>
        </is>
      </c>
      <c r="J193" s="18" t="inlineStr">
        <is>
          <t>Assessment redesign</t>
        </is>
      </c>
      <c r="K193" s="18" t="inlineStr">
        <is>
          <t>No D04 uplift from assessment activity.</t>
        </is>
      </c>
    </row>
    <row r="194">
      <c r="A194" s="18" t="inlineStr">
        <is>
          <t>CD11</t>
        </is>
      </c>
      <c r="B194" s="18" t="inlineStr">
        <is>
          <t>D04</t>
        </is>
      </c>
      <c r="C194" s="18" t="inlineStr">
        <is>
          <t>I05</t>
        </is>
      </c>
      <c r="D194" s="18" t="inlineStr">
        <is>
          <t>Content Obsolescence Response</t>
        </is>
      </c>
      <c r="E194" s="18" t="inlineStr">
        <is>
          <t>D07</t>
        </is>
      </c>
      <c r="F194" s="18" t="inlineStr">
        <is>
          <t>I04</t>
        </is>
      </c>
      <c r="G194" s="18" t="inlineStr">
        <is>
          <t>AI-Aware Assessment Maturity</t>
        </is>
      </c>
      <c r="H194" s="18" t="inlineStr">
        <is>
          <t>Future curriculum → assessment evidence</t>
        </is>
      </c>
      <c r="I194" s="18" t="inlineStr">
        <is>
          <t>If programme redesign is strong but assessment remains answer-production oriented, flag curriculum-assessment disconnect.</t>
        </is>
      </c>
      <c r="J194" s="18" t="inlineStr">
        <is>
          <t>Assessment redesign</t>
        </is>
      </c>
      <c r="K194" s="18" t="inlineStr">
        <is>
          <t>No D04 uplift from assessment activity.</t>
        </is>
      </c>
    </row>
    <row r="195">
      <c r="A195" s="18" t="inlineStr">
        <is>
          <t>CD11</t>
        </is>
      </c>
      <c r="B195" s="18" t="inlineStr">
        <is>
          <t>D04</t>
        </is>
      </c>
      <c r="C195" s="18" t="inlineStr">
        <is>
          <t>I05</t>
        </is>
      </c>
      <c r="D195" s="18" t="inlineStr">
        <is>
          <t>Content Obsolescence Response</t>
        </is>
      </c>
      <c r="E195" s="18" t="inlineStr">
        <is>
          <t>D07</t>
        </is>
      </c>
      <c r="F195" s="18" t="inlineStr">
        <is>
          <t>I07</t>
        </is>
      </c>
      <c r="G195" s="18" t="inlineStr">
        <is>
          <t>Evidence of Learning</t>
        </is>
      </c>
      <c r="H195" s="18" t="inlineStr">
        <is>
          <t>Future curriculum → assessment evidence</t>
        </is>
      </c>
      <c r="I195" s="18" t="inlineStr">
        <is>
          <t>If programme redesign is strong but assessment remains answer-production oriented, flag curriculum-assessment disconnect.</t>
        </is>
      </c>
      <c r="J195" s="18" t="inlineStr">
        <is>
          <t>Assessment redesign</t>
        </is>
      </c>
      <c r="K195" s="18" t="inlineStr">
        <is>
          <t>No D04 uplift from assessment activity.</t>
        </is>
      </c>
    </row>
    <row r="196">
      <c r="A196" s="18" t="inlineStr">
        <is>
          <t>CD11</t>
        </is>
      </c>
      <c r="B196" s="18" t="inlineStr">
        <is>
          <t>D04</t>
        </is>
      </c>
      <c r="C196" s="18" t="inlineStr">
        <is>
          <t>I05</t>
        </is>
      </c>
      <c r="D196" s="18" t="inlineStr">
        <is>
          <t>Content Obsolescence Response</t>
        </is>
      </c>
      <c r="E196" s="18" t="inlineStr">
        <is>
          <t>D07</t>
        </is>
      </c>
      <c r="F196" s="18" t="inlineStr">
        <is>
          <t>I08</t>
        </is>
      </c>
      <c r="G196" s="18" t="inlineStr">
        <is>
          <t>Capability Outcome Measurement</t>
        </is>
      </c>
      <c r="H196" s="18" t="inlineStr">
        <is>
          <t>Future curriculum → assessment evidence</t>
        </is>
      </c>
      <c r="I196" s="18" t="inlineStr">
        <is>
          <t>If programme redesign is strong but assessment remains answer-production oriented, flag curriculum-assessment disconnect.</t>
        </is>
      </c>
      <c r="J196" s="18" t="inlineStr">
        <is>
          <t>Assessment redesign</t>
        </is>
      </c>
      <c r="K196" s="18" t="inlineStr">
        <is>
          <t>No D04 uplift from assessment activity.</t>
        </is>
      </c>
    </row>
    <row r="197">
      <c r="A197" s="18" t="inlineStr">
        <is>
          <t>CD11</t>
        </is>
      </c>
      <c r="B197" s="18" t="inlineStr">
        <is>
          <t>D04</t>
        </is>
      </c>
      <c r="C197" s="18" t="inlineStr">
        <is>
          <t>I08</t>
        </is>
      </c>
      <c r="D197" s="18" t="inlineStr">
        <is>
          <t>Programme Agility</t>
        </is>
      </c>
      <c r="E197" s="18" t="inlineStr">
        <is>
          <t>D07</t>
        </is>
      </c>
      <c r="F197" s="18" t="inlineStr">
        <is>
          <t>I01</t>
        </is>
      </c>
      <c r="G197" s="18" t="inlineStr">
        <is>
          <t>Assessment Design Maturity</t>
        </is>
      </c>
      <c r="H197" s="18" t="inlineStr">
        <is>
          <t>Future curriculum → assessment evidence</t>
        </is>
      </c>
      <c r="I197" s="18" t="inlineStr">
        <is>
          <t>If programme redesign is strong but assessment remains answer-production oriented, flag curriculum-assessment disconnect.</t>
        </is>
      </c>
      <c r="J197" s="18" t="inlineStr">
        <is>
          <t>Assessment redesign</t>
        </is>
      </c>
      <c r="K197" s="18" t="inlineStr">
        <is>
          <t>No D04 uplift from assessment activity.</t>
        </is>
      </c>
    </row>
    <row r="198">
      <c r="A198" s="18" t="inlineStr">
        <is>
          <t>CD11</t>
        </is>
      </c>
      <c r="B198" s="18" t="inlineStr">
        <is>
          <t>D04</t>
        </is>
      </c>
      <c r="C198" s="18" t="inlineStr">
        <is>
          <t>I08</t>
        </is>
      </c>
      <c r="D198" s="18" t="inlineStr">
        <is>
          <t>Programme Agility</t>
        </is>
      </c>
      <c r="E198" s="18" t="inlineStr">
        <is>
          <t>D07</t>
        </is>
      </c>
      <c r="F198" s="18" t="inlineStr">
        <is>
          <t>I02</t>
        </is>
      </c>
      <c r="G198" s="18" t="inlineStr">
        <is>
          <t>Cognitive Demonstration Depth</t>
        </is>
      </c>
      <c r="H198" s="18" t="inlineStr">
        <is>
          <t>Future curriculum → assessment evidence</t>
        </is>
      </c>
      <c r="I198" s="18" t="inlineStr">
        <is>
          <t>If programme redesign is strong but assessment remains answer-production oriented, flag curriculum-assessment disconnect.</t>
        </is>
      </c>
      <c r="J198" s="18" t="inlineStr">
        <is>
          <t>Assessment redesign</t>
        </is>
      </c>
      <c r="K198" s="18" t="inlineStr">
        <is>
          <t>No D04 uplift from assessment activity.</t>
        </is>
      </c>
    </row>
    <row r="199">
      <c r="A199" s="18" t="inlineStr">
        <is>
          <t>CD11</t>
        </is>
      </c>
      <c r="B199" s="18" t="inlineStr">
        <is>
          <t>D04</t>
        </is>
      </c>
      <c r="C199" s="18" t="inlineStr">
        <is>
          <t>I08</t>
        </is>
      </c>
      <c r="D199" s="18" t="inlineStr">
        <is>
          <t>Programme Agility</t>
        </is>
      </c>
      <c r="E199" s="18" t="inlineStr">
        <is>
          <t>D07</t>
        </is>
      </c>
      <c r="F199" s="18" t="inlineStr">
        <is>
          <t>I04</t>
        </is>
      </c>
      <c r="G199" s="18" t="inlineStr">
        <is>
          <t>AI-Aware Assessment Maturity</t>
        </is>
      </c>
      <c r="H199" s="18" t="inlineStr">
        <is>
          <t>Future curriculum → assessment evidence</t>
        </is>
      </c>
      <c r="I199" s="18" t="inlineStr">
        <is>
          <t>If programme redesign is strong but assessment remains answer-production oriented, flag curriculum-assessment disconnect.</t>
        </is>
      </c>
      <c r="J199" s="18" t="inlineStr">
        <is>
          <t>Assessment redesign</t>
        </is>
      </c>
      <c r="K199" s="18" t="inlineStr">
        <is>
          <t>No D04 uplift from assessment activity.</t>
        </is>
      </c>
    </row>
    <row r="200">
      <c r="A200" s="18" t="inlineStr">
        <is>
          <t>CD11</t>
        </is>
      </c>
      <c r="B200" s="18" t="inlineStr">
        <is>
          <t>D04</t>
        </is>
      </c>
      <c r="C200" s="18" t="inlineStr">
        <is>
          <t>I08</t>
        </is>
      </c>
      <c r="D200" s="18" t="inlineStr">
        <is>
          <t>Programme Agility</t>
        </is>
      </c>
      <c r="E200" s="18" t="inlineStr">
        <is>
          <t>D07</t>
        </is>
      </c>
      <c r="F200" s="18" t="inlineStr">
        <is>
          <t>I07</t>
        </is>
      </c>
      <c r="G200" s="18" t="inlineStr">
        <is>
          <t>Evidence of Learning</t>
        </is>
      </c>
      <c r="H200" s="18" t="inlineStr">
        <is>
          <t>Future curriculum → assessment evidence</t>
        </is>
      </c>
      <c r="I200" s="18" t="inlineStr">
        <is>
          <t>If programme redesign is strong but assessment remains answer-production oriented, flag curriculum-assessment disconnect.</t>
        </is>
      </c>
      <c r="J200" s="18" t="inlineStr">
        <is>
          <t>Assessment redesign</t>
        </is>
      </c>
      <c r="K200" s="18" t="inlineStr">
        <is>
          <t>No D04 uplift from assessment activity.</t>
        </is>
      </c>
    </row>
    <row r="201">
      <c r="A201" s="18" t="inlineStr">
        <is>
          <t>CD11</t>
        </is>
      </c>
      <c r="B201" s="18" t="inlineStr">
        <is>
          <t>D04</t>
        </is>
      </c>
      <c r="C201" s="18" t="inlineStr">
        <is>
          <t>I08</t>
        </is>
      </c>
      <c r="D201" s="18" t="inlineStr">
        <is>
          <t>Programme Agility</t>
        </is>
      </c>
      <c r="E201" s="18" t="inlineStr">
        <is>
          <t>D07</t>
        </is>
      </c>
      <c r="F201" s="18" t="inlineStr">
        <is>
          <t>I08</t>
        </is>
      </c>
      <c r="G201" s="18" t="inlineStr">
        <is>
          <t>Capability Outcome Measurement</t>
        </is>
      </c>
      <c r="H201" s="18" t="inlineStr">
        <is>
          <t>Future curriculum → assessment evidence</t>
        </is>
      </c>
      <c r="I201" s="18" t="inlineStr">
        <is>
          <t>If programme redesign is strong but assessment remains answer-production oriented, flag curriculum-assessment disconnect.</t>
        </is>
      </c>
      <c r="J201" s="18" t="inlineStr">
        <is>
          <t>Assessment redesign</t>
        </is>
      </c>
      <c r="K201" s="18" t="inlineStr">
        <is>
          <t>No D04 uplift from assessment activity.</t>
        </is>
      </c>
    </row>
    <row r="202">
      <c r="A202" s="18" t="inlineStr">
        <is>
          <t>CD11</t>
        </is>
      </c>
      <c r="B202" s="18" t="inlineStr">
        <is>
          <t>D04</t>
        </is>
      </c>
      <c r="C202" s="18" t="inlineStr">
        <is>
          <t>I12</t>
        </is>
      </c>
      <c r="D202" s="18" t="inlineStr">
        <is>
          <t>Portfolio Foresight</t>
        </is>
      </c>
      <c r="E202" s="18" t="inlineStr">
        <is>
          <t>D07</t>
        </is>
      </c>
      <c r="F202" s="18" t="inlineStr">
        <is>
          <t>I01</t>
        </is>
      </c>
      <c r="G202" s="18" t="inlineStr">
        <is>
          <t>Assessment Design Maturity</t>
        </is>
      </c>
      <c r="H202" s="18" t="inlineStr">
        <is>
          <t>Future curriculum → assessment evidence</t>
        </is>
      </c>
      <c r="I202" s="18" t="inlineStr">
        <is>
          <t>If programme redesign is strong but assessment remains answer-production oriented, flag curriculum-assessment disconnect.</t>
        </is>
      </c>
      <c r="J202" s="18" t="inlineStr">
        <is>
          <t>Assessment redesign</t>
        </is>
      </c>
      <c r="K202" s="18" t="inlineStr">
        <is>
          <t>No D04 uplift from assessment activity.</t>
        </is>
      </c>
    </row>
    <row r="203">
      <c r="A203" s="18" t="inlineStr">
        <is>
          <t>CD11</t>
        </is>
      </c>
      <c r="B203" s="18" t="inlineStr">
        <is>
          <t>D04</t>
        </is>
      </c>
      <c r="C203" s="18" t="inlineStr">
        <is>
          <t>I12</t>
        </is>
      </c>
      <c r="D203" s="18" t="inlineStr">
        <is>
          <t>Portfolio Foresight</t>
        </is>
      </c>
      <c r="E203" s="18" t="inlineStr">
        <is>
          <t>D07</t>
        </is>
      </c>
      <c r="F203" s="18" t="inlineStr">
        <is>
          <t>I02</t>
        </is>
      </c>
      <c r="G203" s="18" t="inlineStr">
        <is>
          <t>Cognitive Demonstration Depth</t>
        </is>
      </c>
      <c r="H203" s="18" t="inlineStr">
        <is>
          <t>Future curriculum → assessment evidence</t>
        </is>
      </c>
      <c r="I203" s="18" t="inlineStr">
        <is>
          <t>If programme redesign is strong but assessment remains answer-production oriented, flag curriculum-assessment disconnect.</t>
        </is>
      </c>
      <c r="J203" s="18" t="inlineStr">
        <is>
          <t>Assessment redesign</t>
        </is>
      </c>
      <c r="K203" s="18" t="inlineStr">
        <is>
          <t>No D04 uplift from assessment activity.</t>
        </is>
      </c>
    </row>
    <row r="204">
      <c r="A204" s="18" t="inlineStr">
        <is>
          <t>CD11</t>
        </is>
      </c>
      <c r="B204" s="18" t="inlineStr">
        <is>
          <t>D04</t>
        </is>
      </c>
      <c r="C204" s="18" t="inlineStr">
        <is>
          <t>I12</t>
        </is>
      </c>
      <c r="D204" s="18" t="inlineStr">
        <is>
          <t>Portfolio Foresight</t>
        </is>
      </c>
      <c r="E204" s="18" t="inlineStr">
        <is>
          <t>D07</t>
        </is>
      </c>
      <c r="F204" s="18" t="inlineStr">
        <is>
          <t>I04</t>
        </is>
      </c>
      <c r="G204" s="18" t="inlineStr">
        <is>
          <t>AI-Aware Assessment Maturity</t>
        </is>
      </c>
      <c r="H204" s="18" t="inlineStr">
        <is>
          <t>Future curriculum → assessment evidence</t>
        </is>
      </c>
      <c r="I204" s="18" t="inlineStr">
        <is>
          <t>If programme redesign is strong but assessment remains answer-production oriented, flag curriculum-assessment disconnect.</t>
        </is>
      </c>
      <c r="J204" s="18" t="inlineStr">
        <is>
          <t>Assessment redesign</t>
        </is>
      </c>
      <c r="K204" s="18" t="inlineStr">
        <is>
          <t>No D04 uplift from assessment activity.</t>
        </is>
      </c>
    </row>
    <row r="205">
      <c r="A205" s="18" t="inlineStr">
        <is>
          <t>CD11</t>
        </is>
      </c>
      <c r="B205" s="18" t="inlineStr">
        <is>
          <t>D04</t>
        </is>
      </c>
      <c r="C205" s="18" t="inlineStr">
        <is>
          <t>I12</t>
        </is>
      </c>
      <c r="D205" s="18" t="inlineStr">
        <is>
          <t>Portfolio Foresight</t>
        </is>
      </c>
      <c r="E205" s="18" t="inlineStr">
        <is>
          <t>D07</t>
        </is>
      </c>
      <c r="F205" s="18" t="inlineStr">
        <is>
          <t>I07</t>
        </is>
      </c>
      <c r="G205" s="18" t="inlineStr">
        <is>
          <t>Evidence of Learning</t>
        </is>
      </c>
      <c r="H205" s="18" t="inlineStr">
        <is>
          <t>Future curriculum → assessment evidence</t>
        </is>
      </c>
      <c r="I205" s="18" t="inlineStr">
        <is>
          <t>If programme redesign is strong but assessment remains answer-production oriented, flag curriculum-assessment disconnect.</t>
        </is>
      </c>
      <c r="J205" s="18" t="inlineStr">
        <is>
          <t>Assessment redesign</t>
        </is>
      </c>
      <c r="K205" s="18" t="inlineStr">
        <is>
          <t>No D04 uplift from assessment activity.</t>
        </is>
      </c>
    </row>
    <row r="206">
      <c r="A206" s="18" t="inlineStr">
        <is>
          <t>CD11</t>
        </is>
      </c>
      <c r="B206" s="18" t="inlineStr">
        <is>
          <t>D04</t>
        </is>
      </c>
      <c r="C206" s="18" t="inlineStr">
        <is>
          <t>I12</t>
        </is>
      </c>
      <c r="D206" s="18" t="inlineStr">
        <is>
          <t>Portfolio Foresight</t>
        </is>
      </c>
      <c r="E206" s="18" t="inlineStr">
        <is>
          <t>D07</t>
        </is>
      </c>
      <c r="F206" s="18" t="inlineStr">
        <is>
          <t>I08</t>
        </is>
      </c>
      <c r="G206" s="18" t="inlineStr">
        <is>
          <t>Capability Outcome Measurement</t>
        </is>
      </c>
      <c r="H206" s="18" t="inlineStr">
        <is>
          <t>Future curriculum → assessment evidence</t>
        </is>
      </c>
      <c r="I206" s="18" t="inlineStr">
        <is>
          <t>If programme redesign is strong but assessment remains answer-production oriented, flag curriculum-assessment disconnect.</t>
        </is>
      </c>
      <c r="J206" s="18" t="inlineStr">
        <is>
          <t>Assessment redesign</t>
        </is>
      </c>
      <c r="K206" s="18" t="inlineStr">
        <is>
          <t>No D04 uplift from assessment activity.</t>
        </is>
      </c>
    </row>
    <row r="207">
      <c r="A207" s="18" t="inlineStr">
        <is>
          <t>CD12</t>
        </is>
      </c>
      <c r="B207" s="18" t="inlineStr">
        <is>
          <t>D05</t>
        </is>
      </c>
      <c r="C207" s="18" t="inlineStr">
        <is>
          <t>I03</t>
        </is>
      </c>
      <c r="D207" s="18" t="inlineStr">
        <is>
          <t>AI-Enhanced Pedagogy</t>
        </is>
      </c>
      <c r="E207" s="18" t="inlineStr">
        <is>
          <t>D07</t>
        </is>
      </c>
      <c r="F207" s="18" t="inlineStr">
        <is>
          <t>I01</t>
        </is>
      </c>
      <c r="G207" s="18" t="inlineStr">
        <is>
          <t>Assessment Design Maturity</t>
        </is>
      </c>
      <c r="H207" s="18" t="inlineStr">
        <is>
          <t>Faculty redesign capability → assessment change</t>
        </is>
      </c>
      <c r="I207" s="18" t="inlineStr">
        <is>
          <t>If faculty training/capability is high but assessment practice remains unchanged, flag training-to-practice gap.</t>
        </is>
      </c>
      <c r="J207" s="18" t="inlineStr">
        <is>
          <t>Faculty practice review</t>
        </is>
      </c>
      <c r="K207" s="18" t="inlineStr">
        <is>
          <t>Training attendance alone cannot raise D05 practice maturity.</t>
        </is>
      </c>
    </row>
    <row r="208">
      <c r="A208" s="18" t="inlineStr">
        <is>
          <t>CD12</t>
        </is>
      </c>
      <c r="B208" s="18" t="inlineStr">
        <is>
          <t>D05</t>
        </is>
      </c>
      <c r="C208" s="18" t="inlineStr">
        <is>
          <t>I03</t>
        </is>
      </c>
      <c r="D208" s="18" t="inlineStr">
        <is>
          <t>AI-Enhanced Pedagogy</t>
        </is>
      </c>
      <c r="E208" s="18" t="inlineStr">
        <is>
          <t>D07</t>
        </is>
      </c>
      <c r="F208" s="18" t="inlineStr">
        <is>
          <t>I04</t>
        </is>
      </c>
      <c r="G208" s="18" t="inlineStr">
        <is>
          <t>AI-Aware Assessment Maturity</t>
        </is>
      </c>
      <c r="H208" s="18" t="inlineStr">
        <is>
          <t>Faculty redesign capability → assessment change</t>
        </is>
      </c>
      <c r="I208" s="18" t="inlineStr">
        <is>
          <t>If faculty training/capability is high but assessment practice remains unchanged, flag training-to-practice gap.</t>
        </is>
      </c>
      <c r="J208" s="18" t="inlineStr">
        <is>
          <t>Faculty practice review</t>
        </is>
      </c>
      <c r="K208" s="18" t="inlineStr">
        <is>
          <t>Training attendance alone cannot raise D05 practice maturity.</t>
        </is>
      </c>
    </row>
    <row r="209">
      <c r="A209" s="18" t="inlineStr">
        <is>
          <t>CD12</t>
        </is>
      </c>
      <c r="B209" s="18" t="inlineStr">
        <is>
          <t>D05</t>
        </is>
      </c>
      <c r="C209" s="18" t="inlineStr">
        <is>
          <t>I03</t>
        </is>
      </c>
      <c r="D209" s="18" t="inlineStr">
        <is>
          <t>AI-Enhanced Pedagogy</t>
        </is>
      </c>
      <c r="E209" s="18" t="inlineStr">
        <is>
          <t>D07</t>
        </is>
      </c>
      <c r="F209" s="18" t="inlineStr">
        <is>
          <t>I05</t>
        </is>
      </c>
      <c r="G209" s="18" t="inlineStr">
        <is>
          <t>Verification &amp; Defence</t>
        </is>
      </c>
      <c r="H209" s="18" t="inlineStr">
        <is>
          <t>Faculty redesign capability → assessment change</t>
        </is>
      </c>
      <c r="I209" s="18" t="inlineStr">
        <is>
          <t>If faculty training/capability is high but assessment practice remains unchanged, flag training-to-practice gap.</t>
        </is>
      </c>
      <c r="J209" s="18" t="inlineStr">
        <is>
          <t>Faculty practice review</t>
        </is>
      </c>
      <c r="K209" s="18" t="inlineStr">
        <is>
          <t>Training attendance alone cannot raise D05 practice maturity.</t>
        </is>
      </c>
    </row>
    <row r="210">
      <c r="A210" s="18" t="inlineStr">
        <is>
          <t>CD12</t>
        </is>
      </c>
      <c r="B210" s="18" t="inlineStr">
        <is>
          <t>D05</t>
        </is>
      </c>
      <c r="C210" s="18" t="inlineStr">
        <is>
          <t>I03</t>
        </is>
      </c>
      <c r="D210" s="18" t="inlineStr">
        <is>
          <t>AI-Enhanced Pedagogy</t>
        </is>
      </c>
      <c r="E210" s="18" t="inlineStr">
        <is>
          <t>D07</t>
        </is>
      </c>
      <c r="F210" s="18" t="inlineStr">
        <is>
          <t>I11</t>
        </is>
      </c>
      <c r="G210" s="18" t="inlineStr">
        <is>
          <t>Assessment Innovation</t>
        </is>
      </c>
      <c r="H210" s="18" t="inlineStr">
        <is>
          <t>Faculty redesign capability → assessment change</t>
        </is>
      </c>
      <c r="I210" s="18" t="inlineStr">
        <is>
          <t>If faculty training/capability is high but assessment practice remains unchanged, flag training-to-practice gap.</t>
        </is>
      </c>
      <c r="J210" s="18" t="inlineStr">
        <is>
          <t>Faculty practice review</t>
        </is>
      </c>
      <c r="K210" s="18" t="inlineStr">
        <is>
          <t>Training attendance alone cannot raise D05 practice maturity.</t>
        </is>
      </c>
    </row>
    <row r="211">
      <c r="A211" s="18" t="inlineStr">
        <is>
          <t>CD12</t>
        </is>
      </c>
      <c r="B211" s="18" t="inlineStr">
        <is>
          <t>D05</t>
        </is>
      </c>
      <c r="C211" s="18" t="inlineStr">
        <is>
          <t>I04</t>
        </is>
      </c>
      <c r="D211" s="18" t="inlineStr">
        <is>
          <t>Assessment Redesign Capability</t>
        </is>
      </c>
      <c r="E211" s="18" t="inlineStr">
        <is>
          <t>D07</t>
        </is>
      </c>
      <c r="F211" s="18" t="inlineStr">
        <is>
          <t>I01</t>
        </is>
      </c>
      <c r="G211" s="18" t="inlineStr">
        <is>
          <t>Assessment Design Maturity</t>
        </is>
      </c>
      <c r="H211" s="18" t="inlineStr">
        <is>
          <t>Faculty redesign capability → assessment change</t>
        </is>
      </c>
      <c r="I211" s="18" t="inlineStr">
        <is>
          <t>If faculty training/capability is high but assessment practice remains unchanged, flag training-to-practice gap.</t>
        </is>
      </c>
      <c r="J211" s="18" t="inlineStr">
        <is>
          <t>Faculty practice review</t>
        </is>
      </c>
      <c r="K211" s="18" t="inlineStr">
        <is>
          <t>Training attendance alone cannot raise D05 practice maturity.</t>
        </is>
      </c>
    </row>
    <row r="212">
      <c r="A212" s="18" t="inlineStr">
        <is>
          <t>CD12</t>
        </is>
      </c>
      <c r="B212" s="18" t="inlineStr">
        <is>
          <t>D05</t>
        </is>
      </c>
      <c r="C212" s="18" t="inlineStr">
        <is>
          <t>I04</t>
        </is>
      </c>
      <c r="D212" s="18" t="inlineStr">
        <is>
          <t>Assessment Redesign Capability</t>
        </is>
      </c>
      <c r="E212" s="18" t="inlineStr">
        <is>
          <t>D07</t>
        </is>
      </c>
      <c r="F212" s="18" t="inlineStr">
        <is>
          <t>I04</t>
        </is>
      </c>
      <c r="G212" s="18" t="inlineStr">
        <is>
          <t>AI-Aware Assessment Maturity</t>
        </is>
      </c>
      <c r="H212" s="18" t="inlineStr">
        <is>
          <t>Faculty redesign capability → assessment change</t>
        </is>
      </c>
      <c r="I212" s="18" t="inlineStr">
        <is>
          <t>If faculty training/capability is high but assessment practice remains unchanged, flag training-to-practice gap.</t>
        </is>
      </c>
      <c r="J212" s="18" t="inlineStr">
        <is>
          <t>Faculty practice review</t>
        </is>
      </c>
      <c r="K212" s="18" t="inlineStr">
        <is>
          <t>Training attendance alone cannot raise D05 practice maturity.</t>
        </is>
      </c>
    </row>
    <row r="213">
      <c r="A213" s="18" t="inlineStr">
        <is>
          <t>CD12</t>
        </is>
      </c>
      <c r="B213" s="18" t="inlineStr">
        <is>
          <t>D05</t>
        </is>
      </c>
      <c r="C213" s="18" t="inlineStr">
        <is>
          <t>I04</t>
        </is>
      </c>
      <c r="D213" s="18" t="inlineStr">
        <is>
          <t>Assessment Redesign Capability</t>
        </is>
      </c>
      <c r="E213" s="18" t="inlineStr">
        <is>
          <t>D07</t>
        </is>
      </c>
      <c r="F213" s="18" t="inlineStr">
        <is>
          <t>I05</t>
        </is>
      </c>
      <c r="G213" s="18" t="inlineStr">
        <is>
          <t>Verification &amp; Defence</t>
        </is>
      </c>
      <c r="H213" s="18" t="inlineStr">
        <is>
          <t>Faculty redesign capability → assessment change</t>
        </is>
      </c>
      <c r="I213" s="18" t="inlineStr">
        <is>
          <t>If faculty training/capability is high but assessment practice remains unchanged, flag training-to-practice gap.</t>
        </is>
      </c>
      <c r="J213" s="18" t="inlineStr">
        <is>
          <t>Faculty practice review</t>
        </is>
      </c>
      <c r="K213" s="18" t="inlineStr">
        <is>
          <t>Training attendance alone cannot raise D05 practice maturity.</t>
        </is>
      </c>
    </row>
    <row r="214">
      <c r="A214" s="18" t="inlineStr">
        <is>
          <t>CD12</t>
        </is>
      </c>
      <c r="B214" s="18" t="inlineStr">
        <is>
          <t>D05</t>
        </is>
      </c>
      <c r="C214" s="18" t="inlineStr">
        <is>
          <t>I04</t>
        </is>
      </c>
      <c r="D214" s="18" t="inlineStr">
        <is>
          <t>Assessment Redesign Capability</t>
        </is>
      </c>
      <c r="E214" s="18" t="inlineStr">
        <is>
          <t>D07</t>
        </is>
      </c>
      <c r="F214" s="18" t="inlineStr">
        <is>
          <t>I11</t>
        </is>
      </c>
      <c r="G214" s="18" t="inlineStr">
        <is>
          <t>Assessment Innovation</t>
        </is>
      </c>
      <c r="H214" s="18" t="inlineStr">
        <is>
          <t>Faculty redesign capability → assessment change</t>
        </is>
      </c>
      <c r="I214" s="18" t="inlineStr">
        <is>
          <t>If faculty training/capability is high but assessment practice remains unchanged, flag training-to-practice gap.</t>
        </is>
      </c>
      <c r="J214" s="18" t="inlineStr">
        <is>
          <t>Faculty practice review</t>
        </is>
      </c>
      <c r="K214" s="18" t="inlineStr">
        <is>
          <t>Training attendance alone cannot raise D05 practice maturity.</t>
        </is>
      </c>
    </row>
    <row r="215">
      <c r="A215" s="18" t="inlineStr">
        <is>
          <t>CD12</t>
        </is>
      </c>
      <c r="B215" s="18" t="inlineStr">
        <is>
          <t>D05</t>
        </is>
      </c>
      <c r="C215" s="18" t="inlineStr">
        <is>
          <t>I05</t>
        </is>
      </c>
      <c r="D215" s="18" t="inlineStr">
        <is>
          <t>Faculty Learning &amp; Development Effectiveness</t>
        </is>
      </c>
      <c r="E215" s="18" t="inlineStr">
        <is>
          <t>D07</t>
        </is>
      </c>
      <c r="F215" s="18" t="inlineStr">
        <is>
          <t>I01</t>
        </is>
      </c>
      <c r="G215" s="18" t="inlineStr">
        <is>
          <t>Assessment Design Maturity</t>
        </is>
      </c>
      <c r="H215" s="18" t="inlineStr">
        <is>
          <t>Faculty redesign capability → assessment change</t>
        </is>
      </c>
      <c r="I215" s="18" t="inlineStr">
        <is>
          <t>If faculty training/capability is high but assessment practice remains unchanged, flag training-to-practice gap.</t>
        </is>
      </c>
      <c r="J215" s="18" t="inlineStr">
        <is>
          <t>Faculty practice review</t>
        </is>
      </c>
      <c r="K215" s="18" t="inlineStr">
        <is>
          <t>Training attendance alone cannot raise D05 practice maturity.</t>
        </is>
      </c>
    </row>
    <row r="216">
      <c r="A216" s="18" t="inlineStr">
        <is>
          <t>CD12</t>
        </is>
      </c>
      <c r="B216" s="18" t="inlineStr">
        <is>
          <t>D05</t>
        </is>
      </c>
      <c r="C216" s="18" t="inlineStr">
        <is>
          <t>I05</t>
        </is>
      </c>
      <c r="D216" s="18" t="inlineStr">
        <is>
          <t>Faculty Learning &amp; Development Effectiveness</t>
        </is>
      </c>
      <c r="E216" s="18" t="inlineStr">
        <is>
          <t>D07</t>
        </is>
      </c>
      <c r="F216" s="18" t="inlineStr">
        <is>
          <t>I04</t>
        </is>
      </c>
      <c r="G216" s="18" t="inlineStr">
        <is>
          <t>AI-Aware Assessment Maturity</t>
        </is>
      </c>
      <c r="H216" s="18" t="inlineStr">
        <is>
          <t>Faculty redesign capability → assessment change</t>
        </is>
      </c>
      <c r="I216" s="18" t="inlineStr">
        <is>
          <t>If faculty training/capability is high but assessment practice remains unchanged, flag training-to-practice gap.</t>
        </is>
      </c>
      <c r="J216" s="18" t="inlineStr">
        <is>
          <t>Faculty practice review</t>
        </is>
      </c>
      <c r="K216" s="18" t="inlineStr">
        <is>
          <t>Training attendance alone cannot raise D05 practice maturity.</t>
        </is>
      </c>
    </row>
    <row r="217">
      <c r="A217" s="18" t="inlineStr">
        <is>
          <t>CD12</t>
        </is>
      </c>
      <c r="B217" s="18" t="inlineStr">
        <is>
          <t>D05</t>
        </is>
      </c>
      <c r="C217" s="18" t="inlineStr">
        <is>
          <t>I05</t>
        </is>
      </c>
      <c r="D217" s="18" t="inlineStr">
        <is>
          <t>Faculty Learning &amp; Development Effectiveness</t>
        </is>
      </c>
      <c r="E217" s="18" t="inlineStr">
        <is>
          <t>D07</t>
        </is>
      </c>
      <c r="F217" s="18" t="inlineStr">
        <is>
          <t>I05</t>
        </is>
      </c>
      <c r="G217" s="18" t="inlineStr">
        <is>
          <t>Verification &amp; Defence</t>
        </is>
      </c>
      <c r="H217" s="18" t="inlineStr">
        <is>
          <t>Faculty redesign capability → assessment change</t>
        </is>
      </c>
      <c r="I217" s="18" t="inlineStr">
        <is>
          <t>If faculty training/capability is high but assessment practice remains unchanged, flag training-to-practice gap.</t>
        </is>
      </c>
      <c r="J217" s="18" t="inlineStr">
        <is>
          <t>Faculty practice review</t>
        </is>
      </c>
      <c r="K217" s="18" t="inlineStr">
        <is>
          <t>Training attendance alone cannot raise D05 practice maturity.</t>
        </is>
      </c>
    </row>
    <row r="218">
      <c r="A218" s="18" t="inlineStr">
        <is>
          <t>CD12</t>
        </is>
      </c>
      <c r="B218" s="18" t="inlineStr">
        <is>
          <t>D05</t>
        </is>
      </c>
      <c r="C218" s="18" t="inlineStr">
        <is>
          <t>I05</t>
        </is>
      </c>
      <c r="D218" s="18" t="inlineStr">
        <is>
          <t>Faculty Learning &amp; Development Effectiveness</t>
        </is>
      </c>
      <c r="E218" s="18" t="inlineStr">
        <is>
          <t>D07</t>
        </is>
      </c>
      <c r="F218" s="18" t="inlineStr">
        <is>
          <t>I11</t>
        </is>
      </c>
      <c r="G218" s="18" t="inlineStr">
        <is>
          <t>Assessment Innovation</t>
        </is>
      </c>
      <c r="H218" s="18" t="inlineStr">
        <is>
          <t>Faculty redesign capability → assessment change</t>
        </is>
      </c>
      <c r="I218" s="18" t="inlineStr">
        <is>
          <t>If faculty training/capability is high but assessment practice remains unchanged, flag training-to-practice gap.</t>
        </is>
      </c>
      <c r="J218" s="18" t="inlineStr">
        <is>
          <t>Faculty practice review</t>
        </is>
      </c>
      <c r="K218" s="18" t="inlineStr">
        <is>
          <t>Training attendance alone cannot raise D05 practice maturity.</t>
        </is>
      </c>
    </row>
    <row r="219">
      <c r="A219" s="18" t="inlineStr">
        <is>
          <t>CD12</t>
        </is>
      </c>
      <c r="B219" s="18" t="inlineStr">
        <is>
          <t>D05</t>
        </is>
      </c>
      <c r="C219" s="18" t="inlineStr">
        <is>
          <t>I12</t>
        </is>
      </c>
      <c r="D219" s="18" t="inlineStr">
        <is>
          <t>Faculty Adoption Learning Loop</t>
        </is>
      </c>
      <c r="E219" s="18" t="inlineStr">
        <is>
          <t>D07</t>
        </is>
      </c>
      <c r="F219" s="18" t="inlineStr">
        <is>
          <t>I01</t>
        </is>
      </c>
      <c r="G219" s="18" t="inlineStr">
        <is>
          <t>Assessment Design Maturity</t>
        </is>
      </c>
      <c r="H219" s="18" t="inlineStr">
        <is>
          <t>Faculty redesign capability → assessment change</t>
        </is>
      </c>
      <c r="I219" s="18" t="inlineStr">
        <is>
          <t>If faculty training/capability is high but assessment practice remains unchanged, flag training-to-practice gap.</t>
        </is>
      </c>
      <c r="J219" s="18" t="inlineStr">
        <is>
          <t>Faculty practice review</t>
        </is>
      </c>
      <c r="K219" s="18" t="inlineStr">
        <is>
          <t>Training attendance alone cannot raise D05 practice maturity.</t>
        </is>
      </c>
    </row>
    <row r="220">
      <c r="A220" s="18" t="inlineStr">
        <is>
          <t>CD12</t>
        </is>
      </c>
      <c r="B220" s="18" t="inlineStr">
        <is>
          <t>D05</t>
        </is>
      </c>
      <c r="C220" s="18" t="inlineStr">
        <is>
          <t>I12</t>
        </is>
      </c>
      <c r="D220" s="18" t="inlineStr">
        <is>
          <t>Faculty Adoption Learning Loop</t>
        </is>
      </c>
      <c r="E220" s="18" t="inlineStr">
        <is>
          <t>D07</t>
        </is>
      </c>
      <c r="F220" s="18" t="inlineStr">
        <is>
          <t>I04</t>
        </is>
      </c>
      <c r="G220" s="18" t="inlineStr">
        <is>
          <t>AI-Aware Assessment Maturity</t>
        </is>
      </c>
      <c r="H220" s="18" t="inlineStr">
        <is>
          <t>Faculty redesign capability → assessment change</t>
        </is>
      </c>
      <c r="I220" s="18" t="inlineStr">
        <is>
          <t>If faculty training/capability is high but assessment practice remains unchanged, flag training-to-practice gap.</t>
        </is>
      </c>
      <c r="J220" s="18" t="inlineStr">
        <is>
          <t>Faculty practice review</t>
        </is>
      </c>
      <c r="K220" s="18" t="inlineStr">
        <is>
          <t>Training attendance alone cannot raise D05 practice maturity.</t>
        </is>
      </c>
    </row>
    <row r="221">
      <c r="A221" s="18" t="inlineStr">
        <is>
          <t>CD12</t>
        </is>
      </c>
      <c r="B221" s="18" t="inlineStr">
        <is>
          <t>D05</t>
        </is>
      </c>
      <c r="C221" s="18" t="inlineStr">
        <is>
          <t>I12</t>
        </is>
      </c>
      <c r="D221" s="18" t="inlineStr">
        <is>
          <t>Faculty Adoption Learning Loop</t>
        </is>
      </c>
      <c r="E221" s="18" t="inlineStr">
        <is>
          <t>D07</t>
        </is>
      </c>
      <c r="F221" s="18" t="inlineStr">
        <is>
          <t>I05</t>
        </is>
      </c>
      <c r="G221" s="18" t="inlineStr">
        <is>
          <t>Verification &amp; Defence</t>
        </is>
      </c>
      <c r="H221" s="18" t="inlineStr">
        <is>
          <t>Faculty redesign capability → assessment change</t>
        </is>
      </c>
      <c r="I221" s="18" t="inlineStr">
        <is>
          <t>If faculty training/capability is high but assessment practice remains unchanged, flag training-to-practice gap.</t>
        </is>
      </c>
      <c r="J221" s="18" t="inlineStr">
        <is>
          <t>Faculty practice review</t>
        </is>
      </c>
      <c r="K221" s="18" t="inlineStr">
        <is>
          <t>Training attendance alone cannot raise D05 practice maturity.</t>
        </is>
      </c>
    </row>
    <row r="222">
      <c r="A222" s="18" t="inlineStr">
        <is>
          <t>CD12</t>
        </is>
      </c>
      <c r="B222" s="18" t="inlineStr">
        <is>
          <t>D05</t>
        </is>
      </c>
      <c r="C222" s="18" t="inlineStr">
        <is>
          <t>I12</t>
        </is>
      </c>
      <c r="D222" s="18" t="inlineStr">
        <is>
          <t>Faculty Adoption Learning Loop</t>
        </is>
      </c>
      <c r="E222" s="18" t="inlineStr">
        <is>
          <t>D07</t>
        </is>
      </c>
      <c r="F222" s="18" t="inlineStr">
        <is>
          <t>I11</t>
        </is>
      </c>
      <c r="G222" s="18" t="inlineStr">
        <is>
          <t>Assessment Innovation</t>
        </is>
      </c>
      <c r="H222" s="18" t="inlineStr">
        <is>
          <t>Faculty redesign capability → assessment change</t>
        </is>
      </c>
      <c r="I222" s="18" t="inlineStr">
        <is>
          <t>If faculty training/capability is high but assessment practice remains unchanged, flag training-to-practice gap.</t>
        </is>
      </c>
      <c r="J222" s="18" t="inlineStr">
        <is>
          <t>Faculty practice review</t>
        </is>
      </c>
      <c r="K222" s="18" t="inlineStr">
        <is>
          <t>Training attendance alone cannot raise D05 practice maturity.</t>
        </is>
      </c>
    </row>
    <row r="223">
      <c r="A223" s="18" t="inlineStr">
        <is>
          <t>CD13</t>
        </is>
      </c>
      <c r="B223" s="18" t="inlineStr">
        <is>
          <t>D06</t>
        </is>
      </c>
      <c r="C223" s="18" t="inlineStr">
        <is>
          <t>I04</t>
        </is>
      </c>
      <c r="D223" s="18" t="inlineStr">
        <is>
          <t>Independent Intellectual Agency</t>
        </is>
      </c>
      <c r="E223" s="18" t="inlineStr">
        <is>
          <t>D09</t>
        </is>
      </c>
      <c r="F223" s="18" t="inlineStr">
        <is>
          <t>I05</t>
        </is>
      </c>
      <c r="G223" s="18" t="inlineStr">
        <is>
          <t>Recruiter Confidence</t>
        </is>
      </c>
      <c r="H223" s="18" t="inlineStr">
        <is>
          <t>Student capability → external employability</t>
        </is>
      </c>
      <c r="I223" s="18" t="inlineStr">
        <is>
          <t>If student capability is strong but external validation/outcomes are weak, flag capability-to-career translation gap.</t>
        </is>
      </c>
      <c r="J223" s="18" t="inlineStr">
        <is>
          <t>Employability evidence review</t>
        </is>
      </c>
      <c r="K223" s="18" t="inlineStr">
        <is>
          <t>D09 owns external validation.</t>
        </is>
      </c>
    </row>
    <row r="224">
      <c r="A224" s="18" t="inlineStr">
        <is>
          <t>CD13</t>
        </is>
      </c>
      <c r="B224" s="18" t="inlineStr">
        <is>
          <t>D06</t>
        </is>
      </c>
      <c r="C224" s="18" t="inlineStr">
        <is>
          <t>I04</t>
        </is>
      </c>
      <c r="D224" s="18" t="inlineStr">
        <is>
          <t>Independent Intellectual Agency</t>
        </is>
      </c>
      <c r="E224" s="18" t="inlineStr">
        <is>
          <t>D09</t>
        </is>
      </c>
      <c r="F224" s="18" t="inlineStr">
        <is>
          <t>I06</t>
        </is>
      </c>
      <c r="G224" s="18" t="inlineStr">
        <is>
          <t>Placement Outcome Quality</t>
        </is>
      </c>
      <c r="H224" s="18" t="inlineStr">
        <is>
          <t>Student capability → external employability</t>
        </is>
      </c>
      <c r="I224" s="18" t="inlineStr">
        <is>
          <t>If student capability is strong but external validation/outcomes are weak, flag capability-to-career translation gap.</t>
        </is>
      </c>
      <c r="J224" s="18" t="inlineStr">
        <is>
          <t>Employability evidence review</t>
        </is>
      </c>
      <c r="K224" s="18" t="inlineStr">
        <is>
          <t>D09 owns external validation.</t>
        </is>
      </c>
    </row>
    <row r="225">
      <c r="A225" s="18" t="inlineStr">
        <is>
          <t>CD13</t>
        </is>
      </c>
      <c r="B225" s="18" t="inlineStr">
        <is>
          <t>D06</t>
        </is>
      </c>
      <c r="C225" s="18" t="inlineStr">
        <is>
          <t>I04</t>
        </is>
      </c>
      <c r="D225" s="18" t="inlineStr">
        <is>
          <t>Independent Intellectual Agency</t>
        </is>
      </c>
      <c r="E225" s="18" t="inlineStr">
        <is>
          <t>D09</t>
        </is>
      </c>
      <c r="F225" s="18" t="inlineStr">
        <is>
          <t>I07</t>
        </is>
      </c>
      <c r="G225" s="18" t="inlineStr">
        <is>
          <t>Career Adaptability</t>
        </is>
      </c>
      <c r="H225" s="18" t="inlineStr">
        <is>
          <t>Student capability → external employability</t>
        </is>
      </c>
      <c r="I225" s="18" t="inlineStr">
        <is>
          <t>If student capability is strong but external validation/outcomes are weak, flag capability-to-career translation gap.</t>
        </is>
      </c>
      <c r="J225" s="18" t="inlineStr">
        <is>
          <t>Employability evidence review</t>
        </is>
      </c>
      <c r="K225" s="18" t="inlineStr">
        <is>
          <t>D09 owns external validation.</t>
        </is>
      </c>
    </row>
    <row r="226">
      <c r="A226" s="18" t="inlineStr">
        <is>
          <t>CD13</t>
        </is>
      </c>
      <c r="B226" s="18" t="inlineStr">
        <is>
          <t>D06</t>
        </is>
      </c>
      <c r="C226" s="18" t="inlineStr">
        <is>
          <t>I04</t>
        </is>
      </c>
      <c r="D226" s="18" t="inlineStr">
        <is>
          <t>Independent Intellectual Agency</t>
        </is>
      </c>
      <c r="E226" s="18" t="inlineStr">
        <is>
          <t>D09</t>
        </is>
      </c>
      <c r="F226" s="18" t="inlineStr">
        <is>
          <t>I08</t>
        </is>
      </c>
      <c r="G226" s="18" t="inlineStr">
        <is>
          <t>AI-Era Employability Readiness</t>
        </is>
      </c>
      <c r="H226" s="18" t="inlineStr">
        <is>
          <t>Student capability → external employability</t>
        </is>
      </c>
      <c r="I226" s="18" t="inlineStr">
        <is>
          <t>If student capability is strong but external validation/outcomes are weak, flag capability-to-career translation gap.</t>
        </is>
      </c>
      <c r="J226" s="18" t="inlineStr">
        <is>
          <t>Employability evidence review</t>
        </is>
      </c>
      <c r="K226" s="18" t="inlineStr">
        <is>
          <t>D09 owns external validation.</t>
        </is>
      </c>
    </row>
    <row r="227">
      <c r="A227" s="18" t="inlineStr">
        <is>
          <t>CD13</t>
        </is>
      </c>
      <c r="B227" s="18" t="inlineStr">
        <is>
          <t>D06</t>
        </is>
      </c>
      <c r="C227" s="18" t="inlineStr">
        <is>
          <t>I04</t>
        </is>
      </c>
      <c r="D227" s="18" t="inlineStr">
        <is>
          <t>Independent Intellectual Agency</t>
        </is>
      </c>
      <c r="E227" s="18" t="inlineStr">
        <is>
          <t>D09</t>
        </is>
      </c>
      <c r="F227" s="18" t="inlineStr">
        <is>
          <t>I09</t>
        </is>
      </c>
      <c r="G227" s="18" t="inlineStr">
        <is>
          <t>Capability Signalling</t>
        </is>
      </c>
      <c r="H227" s="18" t="inlineStr">
        <is>
          <t>Student capability → external employability</t>
        </is>
      </c>
      <c r="I227" s="18" t="inlineStr">
        <is>
          <t>If student capability is strong but external validation/outcomes are weak, flag capability-to-career translation gap.</t>
        </is>
      </c>
      <c r="J227" s="18" t="inlineStr">
        <is>
          <t>Employability evidence review</t>
        </is>
      </c>
      <c r="K227" s="18" t="inlineStr">
        <is>
          <t>D09 owns external validation.</t>
        </is>
      </c>
    </row>
    <row r="228">
      <c r="A228" s="18" t="inlineStr">
        <is>
          <t>CD13</t>
        </is>
      </c>
      <c r="B228" s="18" t="inlineStr">
        <is>
          <t>D06</t>
        </is>
      </c>
      <c r="C228" s="18" t="inlineStr">
        <is>
          <t>I07</t>
        </is>
      </c>
      <c r="D228" s="18" t="inlineStr">
        <is>
          <t>Practical Capability</t>
        </is>
      </c>
      <c r="E228" s="18" t="inlineStr">
        <is>
          <t>D09</t>
        </is>
      </c>
      <c r="F228" s="18" t="inlineStr">
        <is>
          <t>I05</t>
        </is>
      </c>
      <c r="G228" s="18" t="inlineStr">
        <is>
          <t>Recruiter Confidence</t>
        </is>
      </c>
      <c r="H228" s="18" t="inlineStr">
        <is>
          <t>Student capability → external employability</t>
        </is>
      </c>
      <c r="I228" s="18" t="inlineStr">
        <is>
          <t>If student capability is strong but external validation/outcomes are weak, flag capability-to-career translation gap.</t>
        </is>
      </c>
      <c r="J228" s="18" t="inlineStr">
        <is>
          <t>Employability evidence review</t>
        </is>
      </c>
      <c r="K228" s="18" t="inlineStr">
        <is>
          <t>D09 owns external validation.</t>
        </is>
      </c>
    </row>
    <row r="229">
      <c r="A229" s="18" t="inlineStr">
        <is>
          <t>CD13</t>
        </is>
      </c>
      <c r="B229" s="18" t="inlineStr">
        <is>
          <t>D06</t>
        </is>
      </c>
      <c r="C229" s="18" t="inlineStr">
        <is>
          <t>I07</t>
        </is>
      </c>
      <c r="D229" s="18" t="inlineStr">
        <is>
          <t>Practical Capability</t>
        </is>
      </c>
      <c r="E229" s="18" t="inlineStr">
        <is>
          <t>D09</t>
        </is>
      </c>
      <c r="F229" s="18" t="inlineStr">
        <is>
          <t>I06</t>
        </is>
      </c>
      <c r="G229" s="18" t="inlineStr">
        <is>
          <t>Placement Outcome Quality</t>
        </is>
      </c>
      <c r="H229" s="18" t="inlineStr">
        <is>
          <t>Student capability → external employability</t>
        </is>
      </c>
      <c r="I229" s="18" t="inlineStr">
        <is>
          <t>If student capability is strong but external validation/outcomes are weak, flag capability-to-career translation gap.</t>
        </is>
      </c>
      <c r="J229" s="18" t="inlineStr">
        <is>
          <t>Employability evidence review</t>
        </is>
      </c>
      <c r="K229" s="18" t="inlineStr">
        <is>
          <t>D09 owns external validation.</t>
        </is>
      </c>
    </row>
    <row r="230">
      <c r="A230" s="18" t="inlineStr">
        <is>
          <t>CD13</t>
        </is>
      </c>
      <c r="B230" s="18" t="inlineStr">
        <is>
          <t>D06</t>
        </is>
      </c>
      <c r="C230" s="18" t="inlineStr">
        <is>
          <t>I07</t>
        </is>
      </c>
      <c r="D230" s="18" t="inlineStr">
        <is>
          <t>Practical Capability</t>
        </is>
      </c>
      <c r="E230" s="18" t="inlineStr">
        <is>
          <t>D09</t>
        </is>
      </c>
      <c r="F230" s="18" t="inlineStr">
        <is>
          <t>I07</t>
        </is>
      </c>
      <c r="G230" s="18" t="inlineStr">
        <is>
          <t>Career Adaptability</t>
        </is>
      </c>
      <c r="H230" s="18" t="inlineStr">
        <is>
          <t>Student capability → external employability</t>
        </is>
      </c>
      <c r="I230" s="18" t="inlineStr">
        <is>
          <t>If student capability is strong but external validation/outcomes are weak, flag capability-to-career translation gap.</t>
        </is>
      </c>
      <c r="J230" s="18" t="inlineStr">
        <is>
          <t>Employability evidence review</t>
        </is>
      </c>
      <c r="K230" s="18" t="inlineStr">
        <is>
          <t>D09 owns external validation.</t>
        </is>
      </c>
    </row>
    <row r="231">
      <c r="A231" s="18" t="inlineStr">
        <is>
          <t>CD13</t>
        </is>
      </c>
      <c r="B231" s="18" t="inlineStr">
        <is>
          <t>D06</t>
        </is>
      </c>
      <c r="C231" s="18" t="inlineStr">
        <is>
          <t>I07</t>
        </is>
      </c>
      <c r="D231" s="18" t="inlineStr">
        <is>
          <t>Practical Capability</t>
        </is>
      </c>
      <c r="E231" s="18" t="inlineStr">
        <is>
          <t>D09</t>
        </is>
      </c>
      <c r="F231" s="18" t="inlineStr">
        <is>
          <t>I08</t>
        </is>
      </c>
      <c r="G231" s="18" t="inlineStr">
        <is>
          <t>AI-Era Employability Readiness</t>
        </is>
      </c>
      <c r="H231" s="18" t="inlineStr">
        <is>
          <t>Student capability → external employability</t>
        </is>
      </c>
      <c r="I231" s="18" t="inlineStr">
        <is>
          <t>If student capability is strong but external validation/outcomes are weak, flag capability-to-career translation gap.</t>
        </is>
      </c>
      <c r="J231" s="18" t="inlineStr">
        <is>
          <t>Employability evidence review</t>
        </is>
      </c>
      <c r="K231" s="18" t="inlineStr">
        <is>
          <t>D09 owns external validation.</t>
        </is>
      </c>
    </row>
    <row r="232">
      <c r="A232" s="18" t="inlineStr">
        <is>
          <t>CD13</t>
        </is>
      </c>
      <c r="B232" s="18" t="inlineStr">
        <is>
          <t>D06</t>
        </is>
      </c>
      <c r="C232" s="18" t="inlineStr">
        <is>
          <t>I07</t>
        </is>
      </c>
      <c r="D232" s="18" t="inlineStr">
        <is>
          <t>Practical Capability</t>
        </is>
      </c>
      <c r="E232" s="18" t="inlineStr">
        <is>
          <t>D09</t>
        </is>
      </c>
      <c r="F232" s="18" t="inlineStr">
        <is>
          <t>I09</t>
        </is>
      </c>
      <c r="G232" s="18" t="inlineStr">
        <is>
          <t>Capability Signalling</t>
        </is>
      </c>
      <c r="H232" s="18" t="inlineStr">
        <is>
          <t>Student capability → external employability</t>
        </is>
      </c>
      <c r="I232" s="18" t="inlineStr">
        <is>
          <t>If student capability is strong but external validation/outcomes are weak, flag capability-to-career translation gap.</t>
        </is>
      </c>
      <c r="J232" s="18" t="inlineStr">
        <is>
          <t>Employability evidence review</t>
        </is>
      </c>
      <c r="K232" s="18" t="inlineStr">
        <is>
          <t>D09 owns external validation.</t>
        </is>
      </c>
    </row>
    <row r="233">
      <c r="A233" s="18" t="inlineStr">
        <is>
          <t>CD13</t>
        </is>
      </c>
      <c r="B233" s="18" t="inlineStr">
        <is>
          <t>D06</t>
        </is>
      </c>
      <c r="C233" s="18" t="inlineStr">
        <is>
          <t>I08</t>
        </is>
      </c>
      <c r="D233" s="18" t="inlineStr">
        <is>
          <t>Career Adaptability</t>
        </is>
      </c>
      <c r="E233" s="18" t="inlineStr">
        <is>
          <t>D09</t>
        </is>
      </c>
      <c r="F233" s="18" t="inlineStr">
        <is>
          <t>I05</t>
        </is>
      </c>
      <c r="G233" s="18" t="inlineStr">
        <is>
          <t>Recruiter Confidence</t>
        </is>
      </c>
      <c r="H233" s="18" t="inlineStr">
        <is>
          <t>Student capability → external employability</t>
        </is>
      </c>
      <c r="I233" s="18" t="inlineStr">
        <is>
          <t>If student capability is strong but external validation/outcomes are weak, flag capability-to-career translation gap.</t>
        </is>
      </c>
      <c r="J233" s="18" t="inlineStr">
        <is>
          <t>Employability evidence review</t>
        </is>
      </c>
      <c r="K233" s="18" t="inlineStr">
        <is>
          <t>D09 owns external validation.</t>
        </is>
      </c>
    </row>
    <row r="234">
      <c r="A234" s="18" t="inlineStr">
        <is>
          <t>CD13</t>
        </is>
      </c>
      <c r="B234" s="18" t="inlineStr">
        <is>
          <t>D06</t>
        </is>
      </c>
      <c r="C234" s="18" t="inlineStr">
        <is>
          <t>I08</t>
        </is>
      </c>
      <c r="D234" s="18" t="inlineStr">
        <is>
          <t>Career Adaptability</t>
        </is>
      </c>
      <c r="E234" s="18" t="inlineStr">
        <is>
          <t>D09</t>
        </is>
      </c>
      <c r="F234" s="18" t="inlineStr">
        <is>
          <t>I06</t>
        </is>
      </c>
      <c r="G234" s="18" t="inlineStr">
        <is>
          <t>Placement Outcome Quality</t>
        </is>
      </c>
      <c r="H234" s="18" t="inlineStr">
        <is>
          <t>Student capability → external employability</t>
        </is>
      </c>
      <c r="I234" s="18" t="inlineStr">
        <is>
          <t>If student capability is strong but external validation/outcomes are weak, flag capability-to-career translation gap.</t>
        </is>
      </c>
      <c r="J234" s="18" t="inlineStr">
        <is>
          <t>Employability evidence review</t>
        </is>
      </c>
      <c r="K234" s="18" t="inlineStr">
        <is>
          <t>D09 owns external validation.</t>
        </is>
      </c>
    </row>
    <row r="235">
      <c r="A235" s="18" t="inlineStr">
        <is>
          <t>CD13</t>
        </is>
      </c>
      <c r="B235" s="18" t="inlineStr">
        <is>
          <t>D06</t>
        </is>
      </c>
      <c r="C235" s="18" t="inlineStr">
        <is>
          <t>I08</t>
        </is>
      </c>
      <c r="D235" s="18" t="inlineStr">
        <is>
          <t>Career Adaptability</t>
        </is>
      </c>
      <c r="E235" s="18" t="inlineStr">
        <is>
          <t>D09</t>
        </is>
      </c>
      <c r="F235" s="18" t="inlineStr">
        <is>
          <t>I07</t>
        </is>
      </c>
      <c r="G235" s="18" t="inlineStr">
        <is>
          <t>Career Adaptability</t>
        </is>
      </c>
      <c r="H235" s="18" t="inlineStr">
        <is>
          <t>Student capability → external employability</t>
        </is>
      </c>
      <c r="I235" s="18" t="inlineStr">
        <is>
          <t>If student capability is strong but external validation/outcomes are weak, flag capability-to-career translation gap.</t>
        </is>
      </c>
      <c r="J235" s="18" t="inlineStr">
        <is>
          <t>Employability evidence review</t>
        </is>
      </c>
      <c r="K235" s="18" t="inlineStr">
        <is>
          <t>D09 owns external validation.</t>
        </is>
      </c>
    </row>
    <row r="236">
      <c r="A236" s="18" t="inlineStr">
        <is>
          <t>CD13</t>
        </is>
      </c>
      <c r="B236" s="18" t="inlineStr">
        <is>
          <t>D06</t>
        </is>
      </c>
      <c r="C236" s="18" t="inlineStr">
        <is>
          <t>I08</t>
        </is>
      </c>
      <c r="D236" s="18" t="inlineStr">
        <is>
          <t>Career Adaptability</t>
        </is>
      </c>
      <c r="E236" s="18" t="inlineStr">
        <is>
          <t>D09</t>
        </is>
      </c>
      <c r="F236" s="18" t="inlineStr">
        <is>
          <t>I08</t>
        </is>
      </c>
      <c r="G236" s="18" t="inlineStr">
        <is>
          <t>AI-Era Employability Readiness</t>
        </is>
      </c>
      <c r="H236" s="18" t="inlineStr">
        <is>
          <t>Student capability → external employability</t>
        </is>
      </c>
      <c r="I236" s="18" t="inlineStr">
        <is>
          <t>If student capability is strong but external validation/outcomes are weak, flag capability-to-career translation gap.</t>
        </is>
      </c>
      <c r="J236" s="18" t="inlineStr">
        <is>
          <t>Employability evidence review</t>
        </is>
      </c>
      <c r="K236" s="18" t="inlineStr">
        <is>
          <t>D09 owns external validation.</t>
        </is>
      </c>
    </row>
    <row r="237">
      <c r="A237" s="18" t="inlineStr">
        <is>
          <t>CD13</t>
        </is>
      </c>
      <c r="B237" s="18" t="inlineStr">
        <is>
          <t>D06</t>
        </is>
      </c>
      <c r="C237" s="18" t="inlineStr">
        <is>
          <t>I08</t>
        </is>
      </c>
      <c r="D237" s="18" t="inlineStr">
        <is>
          <t>Career Adaptability</t>
        </is>
      </c>
      <c r="E237" s="18" t="inlineStr">
        <is>
          <t>D09</t>
        </is>
      </c>
      <c r="F237" s="18" t="inlineStr">
        <is>
          <t>I09</t>
        </is>
      </c>
      <c r="G237" s="18" t="inlineStr">
        <is>
          <t>Capability Signalling</t>
        </is>
      </c>
      <c r="H237" s="18" t="inlineStr">
        <is>
          <t>Student capability → external employability</t>
        </is>
      </c>
      <c r="I237" s="18" t="inlineStr">
        <is>
          <t>If student capability is strong but external validation/outcomes are weak, flag capability-to-career translation gap.</t>
        </is>
      </c>
      <c r="J237" s="18" t="inlineStr">
        <is>
          <t>Employability evidence review</t>
        </is>
      </c>
      <c r="K237" s="18" t="inlineStr">
        <is>
          <t>D09 owns external validation.</t>
        </is>
      </c>
    </row>
    <row r="238">
      <c r="A238" s="18" t="inlineStr">
        <is>
          <t>CD13</t>
        </is>
      </c>
      <c r="B238" s="18" t="inlineStr">
        <is>
          <t>D06</t>
        </is>
      </c>
      <c r="C238" s="18" t="inlineStr">
        <is>
          <t>I09</t>
        </is>
      </c>
      <c r="D238" s="18" t="inlineStr">
        <is>
          <t>Portfolio &amp; Capability Signalling</t>
        </is>
      </c>
      <c r="E238" s="18" t="inlineStr">
        <is>
          <t>D09</t>
        </is>
      </c>
      <c r="F238" s="18" t="inlineStr">
        <is>
          <t>I05</t>
        </is>
      </c>
      <c r="G238" s="18" t="inlineStr">
        <is>
          <t>Recruiter Confidence</t>
        </is>
      </c>
      <c r="H238" s="18" t="inlineStr">
        <is>
          <t>Student capability → external employability</t>
        </is>
      </c>
      <c r="I238" s="18" t="inlineStr">
        <is>
          <t>If student capability is strong but external validation/outcomes are weak, flag capability-to-career translation gap.</t>
        </is>
      </c>
      <c r="J238" s="18" t="inlineStr">
        <is>
          <t>Employability evidence review</t>
        </is>
      </c>
      <c r="K238" s="18" t="inlineStr">
        <is>
          <t>D09 owns external validation.</t>
        </is>
      </c>
    </row>
    <row r="239">
      <c r="A239" s="18" t="inlineStr">
        <is>
          <t>CD13</t>
        </is>
      </c>
      <c r="B239" s="18" t="inlineStr">
        <is>
          <t>D06</t>
        </is>
      </c>
      <c r="C239" s="18" t="inlineStr">
        <is>
          <t>I09</t>
        </is>
      </c>
      <c r="D239" s="18" t="inlineStr">
        <is>
          <t>Portfolio &amp; Capability Signalling</t>
        </is>
      </c>
      <c r="E239" s="18" t="inlineStr">
        <is>
          <t>D09</t>
        </is>
      </c>
      <c r="F239" s="18" t="inlineStr">
        <is>
          <t>I06</t>
        </is>
      </c>
      <c r="G239" s="18" t="inlineStr">
        <is>
          <t>Placement Outcome Quality</t>
        </is>
      </c>
      <c r="H239" s="18" t="inlineStr">
        <is>
          <t>Student capability → external employability</t>
        </is>
      </c>
      <c r="I239" s="18" t="inlineStr">
        <is>
          <t>If student capability is strong but external validation/outcomes are weak, flag capability-to-career translation gap.</t>
        </is>
      </c>
      <c r="J239" s="18" t="inlineStr">
        <is>
          <t>Employability evidence review</t>
        </is>
      </c>
      <c r="K239" s="18" t="inlineStr">
        <is>
          <t>D09 owns external validation.</t>
        </is>
      </c>
    </row>
    <row r="240">
      <c r="A240" s="18" t="inlineStr">
        <is>
          <t>CD13</t>
        </is>
      </c>
      <c r="B240" s="18" t="inlineStr">
        <is>
          <t>D06</t>
        </is>
      </c>
      <c r="C240" s="18" t="inlineStr">
        <is>
          <t>I09</t>
        </is>
      </c>
      <c r="D240" s="18" t="inlineStr">
        <is>
          <t>Portfolio &amp; Capability Signalling</t>
        </is>
      </c>
      <c r="E240" s="18" t="inlineStr">
        <is>
          <t>D09</t>
        </is>
      </c>
      <c r="F240" s="18" t="inlineStr">
        <is>
          <t>I07</t>
        </is>
      </c>
      <c r="G240" s="18" t="inlineStr">
        <is>
          <t>Career Adaptability</t>
        </is>
      </c>
      <c r="H240" s="18" t="inlineStr">
        <is>
          <t>Student capability → external employability</t>
        </is>
      </c>
      <c r="I240" s="18" t="inlineStr">
        <is>
          <t>If student capability is strong but external validation/outcomes are weak, flag capability-to-career translation gap.</t>
        </is>
      </c>
      <c r="J240" s="18" t="inlineStr">
        <is>
          <t>Employability evidence review</t>
        </is>
      </c>
      <c r="K240" s="18" t="inlineStr">
        <is>
          <t>D09 owns external validation.</t>
        </is>
      </c>
    </row>
    <row r="241">
      <c r="A241" s="18" t="inlineStr">
        <is>
          <t>CD13</t>
        </is>
      </c>
      <c r="B241" s="18" t="inlineStr">
        <is>
          <t>D06</t>
        </is>
      </c>
      <c r="C241" s="18" t="inlineStr">
        <is>
          <t>I09</t>
        </is>
      </c>
      <c r="D241" s="18" t="inlineStr">
        <is>
          <t>Portfolio &amp; Capability Signalling</t>
        </is>
      </c>
      <c r="E241" s="18" t="inlineStr">
        <is>
          <t>D09</t>
        </is>
      </c>
      <c r="F241" s="18" t="inlineStr">
        <is>
          <t>I08</t>
        </is>
      </c>
      <c r="G241" s="18" t="inlineStr">
        <is>
          <t>AI-Era Employability Readiness</t>
        </is>
      </c>
      <c r="H241" s="18" t="inlineStr">
        <is>
          <t>Student capability → external employability</t>
        </is>
      </c>
      <c r="I241" s="18" t="inlineStr">
        <is>
          <t>If student capability is strong but external validation/outcomes are weak, flag capability-to-career translation gap.</t>
        </is>
      </c>
      <c r="J241" s="18" t="inlineStr">
        <is>
          <t>Employability evidence review</t>
        </is>
      </c>
      <c r="K241" s="18" t="inlineStr">
        <is>
          <t>D09 owns external validation.</t>
        </is>
      </c>
    </row>
    <row r="242">
      <c r="A242" s="18" t="inlineStr">
        <is>
          <t>CD13</t>
        </is>
      </c>
      <c r="B242" s="18" t="inlineStr">
        <is>
          <t>D06</t>
        </is>
      </c>
      <c r="C242" s="18" t="inlineStr">
        <is>
          <t>I09</t>
        </is>
      </c>
      <c r="D242" s="18" t="inlineStr">
        <is>
          <t>Portfolio &amp; Capability Signalling</t>
        </is>
      </c>
      <c r="E242" s="18" t="inlineStr">
        <is>
          <t>D09</t>
        </is>
      </c>
      <c r="F242" s="18" t="inlineStr">
        <is>
          <t>I09</t>
        </is>
      </c>
      <c r="G242" s="18" t="inlineStr">
        <is>
          <t>Capability Signalling</t>
        </is>
      </c>
      <c r="H242" s="18" t="inlineStr">
        <is>
          <t>Student capability → external employability</t>
        </is>
      </c>
      <c r="I242" s="18" t="inlineStr">
        <is>
          <t>If student capability is strong but external validation/outcomes are weak, flag capability-to-career translation gap.</t>
        </is>
      </c>
      <c r="J242" s="18" t="inlineStr">
        <is>
          <t>Employability evidence review</t>
        </is>
      </c>
      <c r="K242" s="18" t="inlineStr">
        <is>
          <t>D09 owns external validation.</t>
        </is>
      </c>
    </row>
    <row r="243">
      <c r="A243" s="18" t="inlineStr">
        <is>
          <t>CD13</t>
        </is>
      </c>
      <c r="B243" s="18" t="inlineStr">
        <is>
          <t>D06</t>
        </is>
      </c>
      <c r="C243" s="18" t="inlineStr">
        <is>
          <t>I10</t>
        </is>
      </c>
      <c r="D243" s="18" t="inlineStr">
        <is>
          <t>Problem Solving &amp; Transfer</t>
        </is>
      </c>
      <c r="E243" s="18" t="inlineStr">
        <is>
          <t>D09</t>
        </is>
      </c>
      <c r="F243" s="18" t="inlineStr">
        <is>
          <t>I05</t>
        </is>
      </c>
      <c r="G243" s="18" t="inlineStr">
        <is>
          <t>Recruiter Confidence</t>
        </is>
      </c>
      <c r="H243" s="18" t="inlineStr">
        <is>
          <t>Student capability → external employability</t>
        </is>
      </c>
      <c r="I243" s="18" t="inlineStr">
        <is>
          <t>If student capability is strong but external validation/outcomes are weak, flag capability-to-career translation gap.</t>
        </is>
      </c>
      <c r="J243" s="18" t="inlineStr">
        <is>
          <t>Employability evidence review</t>
        </is>
      </c>
      <c r="K243" s="18" t="inlineStr">
        <is>
          <t>D09 owns external validation.</t>
        </is>
      </c>
    </row>
    <row r="244">
      <c r="A244" s="18" t="inlineStr">
        <is>
          <t>CD13</t>
        </is>
      </c>
      <c r="B244" s="18" t="inlineStr">
        <is>
          <t>D06</t>
        </is>
      </c>
      <c r="C244" s="18" t="inlineStr">
        <is>
          <t>I10</t>
        </is>
      </c>
      <c r="D244" s="18" t="inlineStr">
        <is>
          <t>Problem Solving &amp; Transfer</t>
        </is>
      </c>
      <c r="E244" s="18" t="inlineStr">
        <is>
          <t>D09</t>
        </is>
      </c>
      <c r="F244" s="18" t="inlineStr">
        <is>
          <t>I06</t>
        </is>
      </c>
      <c r="G244" s="18" t="inlineStr">
        <is>
          <t>Placement Outcome Quality</t>
        </is>
      </c>
      <c r="H244" s="18" t="inlineStr">
        <is>
          <t>Student capability → external employability</t>
        </is>
      </c>
      <c r="I244" s="18" t="inlineStr">
        <is>
          <t>If student capability is strong but external validation/outcomes are weak, flag capability-to-career translation gap.</t>
        </is>
      </c>
      <c r="J244" s="18" t="inlineStr">
        <is>
          <t>Employability evidence review</t>
        </is>
      </c>
      <c r="K244" s="18" t="inlineStr">
        <is>
          <t>D09 owns external validation.</t>
        </is>
      </c>
    </row>
    <row r="245">
      <c r="A245" s="18" t="inlineStr">
        <is>
          <t>CD13</t>
        </is>
      </c>
      <c r="B245" s="18" t="inlineStr">
        <is>
          <t>D06</t>
        </is>
      </c>
      <c r="C245" s="18" t="inlineStr">
        <is>
          <t>I10</t>
        </is>
      </c>
      <c r="D245" s="18" t="inlineStr">
        <is>
          <t>Problem Solving &amp; Transfer</t>
        </is>
      </c>
      <c r="E245" s="18" t="inlineStr">
        <is>
          <t>D09</t>
        </is>
      </c>
      <c r="F245" s="18" t="inlineStr">
        <is>
          <t>I07</t>
        </is>
      </c>
      <c r="G245" s="18" t="inlineStr">
        <is>
          <t>Career Adaptability</t>
        </is>
      </c>
      <c r="H245" s="18" t="inlineStr">
        <is>
          <t>Student capability → external employability</t>
        </is>
      </c>
      <c r="I245" s="18" t="inlineStr">
        <is>
          <t>If student capability is strong but external validation/outcomes are weak, flag capability-to-career translation gap.</t>
        </is>
      </c>
      <c r="J245" s="18" t="inlineStr">
        <is>
          <t>Employability evidence review</t>
        </is>
      </c>
      <c r="K245" s="18" t="inlineStr">
        <is>
          <t>D09 owns external validation.</t>
        </is>
      </c>
    </row>
    <row r="246">
      <c r="A246" s="18" t="inlineStr">
        <is>
          <t>CD13</t>
        </is>
      </c>
      <c r="B246" s="18" t="inlineStr">
        <is>
          <t>D06</t>
        </is>
      </c>
      <c r="C246" s="18" t="inlineStr">
        <is>
          <t>I10</t>
        </is>
      </c>
      <c r="D246" s="18" t="inlineStr">
        <is>
          <t>Problem Solving &amp; Transfer</t>
        </is>
      </c>
      <c r="E246" s="18" t="inlineStr">
        <is>
          <t>D09</t>
        </is>
      </c>
      <c r="F246" s="18" t="inlineStr">
        <is>
          <t>I08</t>
        </is>
      </c>
      <c r="G246" s="18" t="inlineStr">
        <is>
          <t>AI-Era Employability Readiness</t>
        </is>
      </c>
      <c r="H246" s="18" t="inlineStr">
        <is>
          <t>Student capability → external employability</t>
        </is>
      </c>
      <c r="I246" s="18" t="inlineStr">
        <is>
          <t>If student capability is strong but external validation/outcomes are weak, flag capability-to-career translation gap.</t>
        </is>
      </c>
      <c r="J246" s="18" t="inlineStr">
        <is>
          <t>Employability evidence review</t>
        </is>
      </c>
      <c r="K246" s="18" t="inlineStr">
        <is>
          <t>D09 owns external validation.</t>
        </is>
      </c>
    </row>
    <row r="247">
      <c r="A247" s="18" t="inlineStr">
        <is>
          <t>CD13</t>
        </is>
      </c>
      <c r="B247" s="18" t="inlineStr">
        <is>
          <t>D06</t>
        </is>
      </c>
      <c r="C247" s="18" t="inlineStr">
        <is>
          <t>I10</t>
        </is>
      </c>
      <c r="D247" s="18" t="inlineStr">
        <is>
          <t>Problem Solving &amp; Transfer</t>
        </is>
      </c>
      <c r="E247" s="18" t="inlineStr">
        <is>
          <t>D09</t>
        </is>
      </c>
      <c r="F247" s="18" t="inlineStr">
        <is>
          <t>I09</t>
        </is>
      </c>
      <c r="G247" s="18" t="inlineStr">
        <is>
          <t>Capability Signalling</t>
        </is>
      </c>
      <c r="H247" s="18" t="inlineStr">
        <is>
          <t>Student capability → external employability</t>
        </is>
      </c>
      <c r="I247" s="18" t="inlineStr">
        <is>
          <t>If student capability is strong but external validation/outcomes are weak, flag capability-to-career translation gap.</t>
        </is>
      </c>
      <c r="J247" s="18" t="inlineStr">
        <is>
          <t>Employability evidence review</t>
        </is>
      </c>
      <c r="K247" s="18" t="inlineStr">
        <is>
          <t>D09 owns external validation.</t>
        </is>
      </c>
    </row>
    <row r="248">
      <c r="A248" s="18" t="inlineStr">
        <is>
          <t>CD13</t>
        </is>
      </c>
      <c r="B248" s="18" t="inlineStr">
        <is>
          <t>D06</t>
        </is>
      </c>
      <c r="C248" s="18" t="inlineStr">
        <is>
          <t>I11</t>
        </is>
      </c>
      <c r="D248" s="18" t="inlineStr">
        <is>
          <t>Creator &amp; Entrepreneurial Agency</t>
        </is>
      </c>
      <c r="E248" s="18" t="inlineStr">
        <is>
          <t>D09</t>
        </is>
      </c>
      <c r="F248" s="18" t="inlineStr">
        <is>
          <t>I05</t>
        </is>
      </c>
      <c r="G248" s="18" t="inlineStr">
        <is>
          <t>Recruiter Confidence</t>
        </is>
      </c>
      <c r="H248" s="18" t="inlineStr">
        <is>
          <t>Student capability → external employability</t>
        </is>
      </c>
      <c r="I248" s="18" t="inlineStr">
        <is>
          <t>If student capability is strong but external validation/outcomes are weak, flag capability-to-career translation gap.</t>
        </is>
      </c>
      <c r="J248" s="18" t="inlineStr">
        <is>
          <t>Employability evidence review</t>
        </is>
      </c>
      <c r="K248" s="18" t="inlineStr">
        <is>
          <t>D09 owns external validation.</t>
        </is>
      </c>
    </row>
    <row r="249">
      <c r="A249" s="18" t="inlineStr">
        <is>
          <t>CD13</t>
        </is>
      </c>
      <c r="B249" s="18" t="inlineStr">
        <is>
          <t>D06</t>
        </is>
      </c>
      <c r="C249" s="18" t="inlineStr">
        <is>
          <t>I11</t>
        </is>
      </c>
      <c r="D249" s="18" t="inlineStr">
        <is>
          <t>Creator &amp; Entrepreneurial Agency</t>
        </is>
      </c>
      <c r="E249" s="18" t="inlineStr">
        <is>
          <t>D09</t>
        </is>
      </c>
      <c r="F249" s="18" t="inlineStr">
        <is>
          <t>I06</t>
        </is>
      </c>
      <c r="G249" s="18" t="inlineStr">
        <is>
          <t>Placement Outcome Quality</t>
        </is>
      </c>
      <c r="H249" s="18" t="inlineStr">
        <is>
          <t>Student capability → external employability</t>
        </is>
      </c>
      <c r="I249" s="18" t="inlineStr">
        <is>
          <t>If student capability is strong but external validation/outcomes are weak, flag capability-to-career translation gap.</t>
        </is>
      </c>
      <c r="J249" s="18" t="inlineStr">
        <is>
          <t>Employability evidence review</t>
        </is>
      </c>
      <c r="K249" s="18" t="inlineStr">
        <is>
          <t>D09 owns external validation.</t>
        </is>
      </c>
    </row>
    <row r="250">
      <c r="A250" s="18" t="inlineStr">
        <is>
          <t>CD13</t>
        </is>
      </c>
      <c r="B250" s="18" t="inlineStr">
        <is>
          <t>D06</t>
        </is>
      </c>
      <c r="C250" s="18" t="inlineStr">
        <is>
          <t>I11</t>
        </is>
      </c>
      <c r="D250" s="18" t="inlineStr">
        <is>
          <t>Creator &amp; Entrepreneurial Agency</t>
        </is>
      </c>
      <c r="E250" s="18" t="inlineStr">
        <is>
          <t>D09</t>
        </is>
      </c>
      <c r="F250" s="18" t="inlineStr">
        <is>
          <t>I07</t>
        </is>
      </c>
      <c r="G250" s="18" t="inlineStr">
        <is>
          <t>Career Adaptability</t>
        </is>
      </c>
      <c r="H250" s="18" t="inlineStr">
        <is>
          <t>Student capability → external employability</t>
        </is>
      </c>
      <c r="I250" s="18" t="inlineStr">
        <is>
          <t>If student capability is strong but external validation/outcomes are weak, flag capability-to-career translation gap.</t>
        </is>
      </c>
      <c r="J250" s="18" t="inlineStr">
        <is>
          <t>Employability evidence review</t>
        </is>
      </c>
      <c r="K250" s="18" t="inlineStr">
        <is>
          <t>D09 owns external validation.</t>
        </is>
      </c>
    </row>
    <row r="251">
      <c r="A251" s="18" t="inlineStr">
        <is>
          <t>CD13</t>
        </is>
      </c>
      <c r="B251" s="18" t="inlineStr">
        <is>
          <t>D06</t>
        </is>
      </c>
      <c r="C251" s="18" t="inlineStr">
        <is>
          <t>I11</t>
        </is>
      </c>
      <c r="D251" s="18" t="inlineStr">
        <is>
          <t>Creator &amp; Entrepreneurial Agency</t>
        </is>
      </c>
      <c r="E251" s="18" t="inlineStr">
        <is>
          <t>D09</t>
        </is>
      </c>
      <c r="F251" s="18" t="inlineStr">
        <is>
          <t>I08</t>
        </is>
      </c>
      <c r="G251" s="18" t="inlineStr">
        <is>
          <t>AI-Era Employability Readiness</t>
        </is>
      </c>
      <c r="H251" s="18" t="inlineStr">
        <is>
          <t>Student capability → external employability</t>
        </is>
      </c>
      <c r="I251" s="18" t="inlineStr">
        <is>
          <t>If student capability is strong but external validation/outcomes are weak, flag capability-to-career translation gap.</t>
        </is>
      </c>
      <c r="J251" s="18" t="inlineStr">
        <is>
          <t>Employability evidence review</t>
        </is>
      </c>
      <c r="K251" s="18" t="inlineStr">
        <is>
          <t>D09 owns external validation.</t>
        </is>
      </c>
    </row>
    <row r="252">
      <c r="A252" s="18" t="inlineStr">
        <is>
          <t>CD13</t>
        </is>
      </c>
      <c r="B252" s="18" t="inlineStr">
        <is>
          <t>D06</t>
        </is>
      </c>
      <c r="C252" s="18" t="inlineStr">
        <is>
          <t>I11</t>
        </is>
      </c>
      <c r="D252" s="18" t="inlineStr">
        <is>
          <t>Creator &amp; Entrepreneurial Agency</t>
        </is>
      </c>
      <c r="E252" s="18" t="inlineStr">
        <is>
          <t>D09</t>
        </is>
      </c>
      <c r="F252" s="18" t="inlineStr">
        <is>
          <t>I09</t>
        </is>
      </c>
      <c r="G252" s="18" t="inlineStr">
        <is>
          <t>Capability Signalling</t>
        </is>
      </c>
      <c r="H252" s="18" t="inlineStr">
        <is>
          <t>Student capability → external employability</t>
        </is>
      </c>
      <c r="I252" s="18" t="inlineStr">
        <is>
          <t>If student capability is strong but external validation/outcomes are weak, flag capability-to-career translation gap.</t>
        </is>
      </c>
      <c r="J252" s="18" t="inlineStr">
        <is>
          <t>Employability evidence review</t>
        </is>
      </c>
      <c r="K252" s="18" t="inlineStr">
        <is>
          <t>D09 owns external validation.</t>
        </is>
      </c>
    </row>
    <row r="253">
      <c r="A253" s="18" t="inlineStr">
        <is>
          <t>CD14</t>
        </is>
      </c>
      <c r="B253" s="18" t="inlineStr">
        <is>
          <t>D07</t>
        </is>
      </c>
      <c r="C253" s="18" t="inlineStr">
        <is>
          <t>I07</t>
        </is>
      </c>
      <c r="D253" s="18" t="inlineStr">
        <is>
          <t>Evidence of Learning</t>
        </is>
      </c>
      <c r="E253" s="18" t="inlineStr">
        <is>
          <t>D08</t>
        </is>
      </c>
      <c r="F253" s="18" t="inlineStr">
        <is>
          <t>I02</t>
        </is>
      </c>
      <c r="G253" s="18" t="inlineStr">
        <is>
          <t>Institutional Data Architecture</t>
        </is>
      </c>
      <c r="H253" s="18" t="inlineStr">
        <is>
          <t>Assessment evidence → data infrastructure</t>
        </is>
      </c>
      <c r="I253" s="18" t="inlineStr">
        <is>
          <t>If assessment evidence analytics are claimed but data quality/interoperability/intelligence are weak, flag evidence infrastructure gap.</t>
        </is>
      </c>
      <c r="J253" s="18" t="inlineStr">
        <is>
          <t>Data/evidence architecture review</t>
        </is>
      </c>
      <c r="K253" s="18" t="inlineStr">
        <is>
          <t>Data capability is an enabler, not assessment quality itself.</t>
        </is>
      </c>
    </row>
    <row r="254">
      <c r="A254" s="18" t="inlineStr">
        <is>
          <t>CD14</t>
        </is>
      </c>
      <c r="B254" s="18" t="inlineStr">
        <is>
          <t>D07</t>
        </is>
      </c>
      <c r="C254" s="18" t="inlineStr">
        <is>
          <t>I07</t>
        </is>
      </c>
      <c r="D254" s="18" t="inlineStr">
        <is>
          <t>Evidence of Learning</t>
        </is>
      </c>
      <c r="E254" s="18" t="inlineStr">
        <is>
          <t>D08</t>
        </is>
      </c>
      <c r="F254" s="18" t="inlineStr">
        <is>
          <t>I03</t>
        </is>
      </c>
      <c r="G254" s="18" t="inlineStr">
        <is>
          <t>Data Quality &amp; Integrity</t>
        </is>
      </c>
      <c r="H254" s="18" t="inlineStr">
        <is>
          <t>Assessment evidence → data infrastructure</t>
        </is>
      </c>
      <c r="I254" s="18" t="inlineStr">
        <is>
          <t>If assessment evidence analytics are claimed but data quality/interoperability/intelligence are weak, flag evidence infrastructure gap.</t>
        </is>
      </c>
      <c r="J254" s="18" t="inlineStr">
        <is>
          <t>Data/evidence architecture review</t>
        </is>
      </c>
      <c r="K254" s="18" t="inlineStr">
        <is>
          <t>Data capability is an enabler, not assessment quality itself.</t>
        </is>
      </c>
    </row>
    <row r="255">
      <c r="A255" s="18" t="inlineStr">
        <is>
          <t>CD14</t>
        </is>
      </c>
      <c r="B255" s="18" t="inlineStr">
        <is>
          <t>D07</t>
        </is>
      </c>
      <c r="C255" s="18" t="inlineStr">
        <is>
          <t>I07</t>
        </is>
      </c>
      <c r="D255" s="18" t="inlineStr">
        <is>
          <t>Evidence of Learning</t>
        </is>
      </c>
      <c r="E255" s="18" t="inlineStr">
        <is>
          <t>D08</t>
        </is>
      </c>
      <c r="F255" s="18" t="inlineStr">
        <is>
          <t>I04</t>
        </is>
      </c>
      <c r="G255" s="18" t="inlineStr">
        <is>
          <t>System Interoperability</t>
        </is>
      </c>
      <c r="H255" s="18" t="inlineStr">
        <is>
          <t>Assessment evidence → data infrastructure</t>
        </is>
      </c>
      <c r="I255" s="18" t="inlineStr">
        <is>
          <t>If assessment evidence analytics are claimed but data quality/interoperability/intelligence are weak, flag evidence infrastructure gap.</t>
        </is>
      </c>
      <c r="J255" s="18" t="inlineStr">
        <is>
          <t>Data/evidence architecture review</t>
        </is>
      </c>
      <c r="K255" s="18" t="inlineStr">
        <is>
          <t>Data capability is an enabler, not assessment quality itself.</t>
        </is>
      </c>
    </row>
    <row r="256">
      <c r="A256" s="18" t="inlineStr">
        <is>
          <t>CD14</t>
        </is>
      </c>
      <c r="B256" s="18" t="inlineStr">
        <is>
          <t>D07</t>
        </is>
      </c>
      <c r="C256" s="18" t="inlineStr">
        <is>
          <t>I07</t>
        </is>
      </c>
      <c r="D256" s="18" t="inlineStr">
        <is>
          <t>Evidence of Learning</t>
        </is>
      </c>
      <c r="E256" s="18" t="inlineStr">
        <is>
          <t>D08</t>
        </is>
      </c>
      <c r="F256" s="18" t="inlineStr">
        <is>
          <t>I05</t>
        </is>
      </c>
      <c r="G256" s="18" t="inlineStr">
        <is>
          <t>Decision Intelligence</t>
        </is>
      </c>
      <c r="H256" s="18" t="inlineStr">
        <is>
          <t>Assessment evidence → data infrastructure</t>
        </is>
      </c>
      <c r="I256" s="18" t="inlineStr">
        <is>
          <t>If assessment evidence analytics are claimed but data quality/interoperability/intelligence are weak, flag evidence infrastructure gap.</t>
        </is>
      </c>
      <c r="J256" s="18" t="inlineStr">
        <is>
          <t>Data/evidence architecture review</t>
        </is>
      </c>
      <c r="K256" s="18" t="inlineStr">
        <is>
          <t>Data capability is an enabler, not assessment quality itself.</t>
        </is>
      </c>
    </row>
    <row r="257">
      <c r="A257" s="18" t="inlineStr">
        <is>
          <t>CD14</t>
        </is>
      </c>
      <c r="B257" s="18" t="inlineStr">
        <is>
          <t>D07</t>
        </is>
      </c>
      <c r="C257" s="18" t="inlineStr">
        <is>
          <t>I07</t>
        </is>
      </c>
      <c r="D257" s="18" t="inlineStr">
        <is>
          <t>Evidence of Learning</t>
        </is>
      </c>
      <c r="E257" s="18" t="inlineStr">
        <is>
          <t>D08</t>
        </is>
      </c>
      <c r="F257" s="18" t="inlineStr">
        <is>
          <t>I12</t>
        </is>
      </c>
      <c r="G257" s="18" t="inlineStr">
        <is>
          <t>Institutional Intelligence Capability</t>
        </is>
      </c>
      <c r="H257" s="18" t="inlineStr">
        <is>
          <t>Assessment evidence → data infrastructure</t>
        </is>
      </c>
      <c r="I257" s="18" t="inlineStr">
        <is>
          <t>If assessment evidence analytics are claimed but data quality/interoperability/intelligence are weak, flag evidence infrastructure gap.</t>
        </is>
      </c>
      <c r="J257" s="18" t="inlineStr">
        <is>
          <t>Data/evidence architecture review</t>
        </is>
      </c>
      <c r="K257" s="18" t="inlineStr">
        <is>
          <t>Data capability is an enabler, not assessment quality itself.</t>
        </is>
      </c>
    </row>
    <row r="258">
      <c r="A258" s="18" t="inlineStr">
        <is>
          <t>CD14</t>
        </is>
      </c>
      <c r="B258" s="18" t="inlineStr">
        <is>
          <t>D07</t>
        </is>
      </c>
      <c r="C258" s="18" t="inlineStr">
        <is>
          <t>I08</t>
        </is>
      </c>
      <c r="D258" s="18" t="inlineStr">
        <is>
          <t>Capability Outcome Measurement</t>
        </is>
      </c>
      <c r="E258" s="18" t="inlineStr">
        <is>
          <t>D08</t>
        </is>
      </c>
      <c r="F258" s="18" t="inlineStr">
        <is>
          <t>I02</t>
        </is>
      </c>
      <c r="G258" s="18" t="inlineStr">
        <is>
          <t>Institutional Data Architecture</t>
        </is>
      </c>
      <c r="H258" s="18" t="inlineStr">
        <is>
          <t>Assessment evidence → data infrastructure</t>
        </is>
      </c>
      <c r="I258" s="18" t="inlineStr">
        <is>
          <t>If assessment evidence analytics are claimed but data quality/interoperability/intelligence are weak, flag evidence infrastructure gap.</t>
        </is>
      </c>
      <c r="J258" s="18" t="inlineStr">
        <is>
          <t>Data/evidence architecture review</t>
        </is>
      </c>
      <c r="K258" s="18" t="inlineStr">
        <is>
          <t>Data capability is an enabler, not assessment quality itself.</t>
        </is>
      </c>
    </row>
    <row r="259">
      <c r="A259" s="18" t="inlineStr">
        <is>
          <t>CD14</t>
        </is>
      </c>
      <c r="B259" s="18" t="inlineStr">
        <is>
          <t>D07</t>
        </is>
      </c>
      <c r="C259" s="18" t="inlineStr">
        <is>
          <t>I08</t>
        </is>
      </c>
      <c r="D259" s="18" t="inlineStr">
        <is>
          <t>Capability Outcome Measurement</t>
        </is>
      </c>
      <c r="E259" s="18" t="inlineStr">
        <is>
          <t>D08</t>
        </is>
      </c>
      <c r="F259" s="18" t="inlineStr">
        <is>
          <t>I03</t>
        </is>
      </c>
      <c r="G259" s="18" t="inlineStr">
        <is>
          <t>Data Quality &amp; Integrity</t>
        </is>
      </c>
      <c r="H259" s="18" t="inlineStr">
        <is>
          <t>Assessment evidence → data infrastructure</t>
        </is>
      </c>
      <c r="I259" s="18" t="inlineStr">
        <is>
          <t>If assessment evidence analytics are claimed but data quality/interoperability/intelligence are weak, flag evidence infrastructure gap.</t>
        </is>
      </c>
      <c r="J259" s="18" t="inlineStr">
        <is>
          <t>Data/evidence architecture review</t>
        </is>
      </c>
      <c r="K259" s="18" t="inlineStr">
        <is>
          <t>Data capability is an enabler, not assessment quality itself.</t>
        </is>
      </c>
    </row>
    <row r="260">
      <c r="A260" s="18" t="inlineStr">
        <is>
          <t>CD14</t>
        </is>
      </c>
      <c r="B260" s="18" t="inlineStr">
        <is>
          <t>D07</t>
        </is>
      </c>
      <c r="C260" s="18" t="inlineStr">
        <is>
          <t>I08</t>
        </is>
      </c>
      <c r="D260" s="18" t="inlineStr">
        <is>
          <t>Capability Outcome Measurement</t>
        </is>
      </c>
      <c r="E260" s="18" t="inlineStr">
        <is>
          <t>D08</t>
        </is>
      </c>
      <c r="F260" s="18" t="inlineStr">
        <is>
          <t>I04</t>
        </is>
      </c>
      <c r="G260" s="18" t="inlineStr">
        <is>
          <t>System Interoperability</t>
        </is>
      </c>
      <c r="H260" s="18" t="inlineStr">
        <is>
          <t>Assessment evidence → data infrastructure</t>
        </is>
      </c>
      <c r="I260" s="18" t="inlineStr">
        <is>
          <t>If assessment evidence analytics are claimed but data quality/interoperability/intelligence are weak, flag evidence infrastructure gap.</t>
        </is>
      </c>
      <c r="J260" s="18" t="inlineStr">
        <is>
          <t>Data/evidence architecture review</t>
        </is>
      </c>
      <c r="K260" s="18" t="inlineStr">
        <is>
          <t>Data capability is an enabler, not assessment quality itself.</t>
        </is>
      </c>
    </row>
    <row r="261">
      <c r="A261" s="18" t="inlineStr">
        <is>
          <t>CD14</t>
        </is>
      </c>
      <c r="B261" s="18" t="inlineStr">
        <is>
          <t>D07</t>
        </is>
      </c>
      <c r="C261" s="18" t="inlineStr">
        <is>
          <t>I08</t>
        </is>
      </c>
      <c r="D261" s="18" t="inlineStr">
        <is>
          <t>Capability Outcome Measurement</t>
        </is>
      </c>
      <c r="E261" s="18" t="inlineStr">
        <is>
          <t>D08</t>
        </is>
      </c>
      <c r="F261" s="18" t="inlineStr">
        <is>
          <t>I05</t>
        </is>
      </c>
      <c r="G261" s="18" t="inlineStr">
        <is>
          <t>Decision Intelligence</t>
        </is>
      </c>
      <c r="H261" s="18" t="inlineStr">
        <is>
          <t>Assessment evidence → data infrastructure</t>
        </is>
      </c>
      <c r="I261" s="18" t="inlineStr">
        <is>
          <t>If assessment evidence analytics are claimed but data quality/interoperability/intelligence are weak, flag evidence infrastructure gap.</t>
        </is>
      </c>
      <c r="J261" s="18" t="inlineStr">
        <is>
          <t>Data/evidence architecture review</t>
        </is>
      </c>
      <c r="K261" s="18" t="inlineStr">
        <is>
          <t>Data capability is an enabler, not assessment quality itself.</t>
        </is>
      </c>
    </row>
    <row r="262">
      <c r="A262" s="18" t="inlineStr">
        <is>
          <t>CD14</t>
        </is>
      </c>
      <c r="B262" s="18" t="inlineStr">
        <is>
          <t>D07</t>
        </is>
      </c>
      <c r="C262" s="18" t="inlineStr">
        <is>
          <t>I08</t>
        </is>
      </c>
      <c r="D262" s="18" t="inlineStr">
        <is>
          <t>Capability Outcome Measurement</t>
        </is>
      </c>
      <c r="E262" s="18" t="inlineStr">
        <is>
          <t>D08</t>
        </is>
      </c>
      <c r="F262" s="18" t="inlineStr">
        <is>
          <t>I12</t>
        </is>
      </c>
      <c r="G262" s="18" t="inlineStr">
        <is>
          <t>Institutional Intelligence Capability</t>
        </is>
      </c>
      <c r="H262" s="18" t="inlineStr">
        <is>
          <t>Assessment evidence → data infrastructure</t>
        </is>
      </c>
      <c r="I262" s="18" t="inlineStr">
        <is>
          <t>If assessment evidence analytics are claimed but data quality/interoperability/intelligence are weak, flag evidence infrastructure gap.</t>
        </is>
      </c>
      <c r="J262" s="18" t="inlineStr">
        <is>
          <t>Data/evidence architecture review</t>
        </is>
      </c>
      <c r="K262" s="18" t="inlineStr">
        <is>
          <t>Data capability is an enabler, not assessment quality itself.</t>
        </is>
      </c>
    </row>
    <row r="263">
      <c r="A263" s="18" t="inlineStr">
        <is>
          <t>CD14</t>
        </is>
      </c>
      <c r="B263" s="18" t="inlineStr">
        <is>
          <t>D07</t>
        </is>
      </c>
      <c r="C263" s="18" t="inlineStr">
        <is>
          <t>I12</t>
        </is>
      </c>
      <c r="D263" s="18" t="inlineStr">
        <is>
          <t>Learning Evidence Analytics</t>
        </is>
      </c>
      <c r="E263" s="18" t="inlineStr">
        <is>
          <t>D08</t>
        </is>
      </c>
      <c r="F263" s="18" t="inlineStr">
        <is>
          <t>I02</t>
        </is>
      </c>
      <c r="G263" s="18" t="inlineStr">
        <is>
          <t>Institutional Data Architecture</t>
        </is>
      </c>
      <c r="H263" s="18" t="inlineStr">
        <is>
          <t>Assessment evidence → data infrastructure</t>
        </is>
      </c>
      <c r="I263" s="18" t="inlineStr">
        <is>
          <t>If assessment evidence analytics are claimed but data quality/interoperability/intelligence are weak, flag evidence infrastructure gap.</t>
        </is>
      </c>
      <c r="J263" s="18" t="inlineStr">
        <is>
          <t>Data/evidence architecture review</t>
        </is>
      </c>
      <c r="K263" s="18" t="inlineStr">
        <is>
          <t>Data capability is an enabler, not assessment quality itself.</t>
        </is>
      </c>
    </row>
    <row r="264">
      <c r="A264" s="18" t="inlineStr">
        <is>
          <t>CD14</t>
        </is>
      </c>
      <c r="B264" s="18" t="inlineStr">
        <is>
          <t>D07</t>
        </is>
      </c>
      <c r="C264" s="18" t="inlineStr">
        <is>
          <t>I12</t>
        </is>
      </c>
      <c r="D264" s="18" t="inlineStr">
        <is>
          <t>Learning Evidence Analytics</t>
        </is>
      </c>
      <c r="E264" s="18" t="inlineStr">
        <is>
          <t>D08</t>
        </is>
      </c>
      <c r="F264" s="18" t="inlineStr">
        <is>
          <t>I03</t>
        </is>
      </c>
      <c r="G264" s="18" t="inlineStr">
        <is>
          <t>Data Quality &amp; Integrity</t>
        </is>
      </c>
      <c r="H264" s="18" t="inlineStr">
        <is>
          <t>Assessment evidence → data infrastructure</t>
        </is>
      </c>
      <c r="I264" s="18" t="inlineStr">
        <is>
          <t>If assessment evidence analytics are claimed but data quality/interoperability/intelligence are weak, flag evidence infrastructure gap.</t>
        </is>
      </c>
      <c r="J264" s="18" t="inlineStr">
        <is>
          <t>Data/evidence architecture review</t>
        </is>
      </c>
      <c r="K264" s="18" t="inlineStr">
        <is>
          <t>Data capability is an enabler, not assessment quality itself.</t>
        </is>
      </c>
    </row>
    <row r="265">
      <c r="A265" s="18" t="inlineStr">
        <is>
          <t>CD14</t>
        </is>
      </c>
      <c r="B265" s="18" t="inlineStr">
        <is>
          <t>D07</t>
        </is>
      </c>
      <c r="C265" s="18" t="inlineStr">
        <is>
          <t>I12</t>
        </is>
      </c>
      <c r="D265" s="18" t="inlineStr">
        <is>
          <t>Learning Evidence Analytics</t>
        </is>
      </c>
      <c r="E265" s="18" t="inlineStr">
        <is>
          <t>D08</t>
        </is>
      </c>
      <c r="F265" s="18" t="inlineStr">
        <is>
          <t>I04</t>
        </is>
      </c>
      <c r="G265" s="18" t="inlineStr">
        <is>
          <t>System Interoperability</t>
        </is>
      </c>
      <c r="H265" s="18" t="inlineStr">
        <is>
          <t>Assessment evidence → data infrastructure</t>
        </is>
      </c>
      <c r="I265" s="18" t="inlineStr">
        <is>
          <t>If assessment evidence analytics are claimed but data quality/interoperability/intelligence are weak, flag evidence infrastructure gap.</t>
        </is>
      </c>
      <c r="J265" s="18" t="inlineStr">
        <is>
          <t>Data/evidence architecture review</t>
        </is>
      </c>
      <c r="K265" s="18" t="inlineStr">
        <is>
          <t>Data capability is an enabler, not assessment quality itself.</t>
        </is>
      </c>
    </row>
    <row r="266">
      <c r="A266" s="18" t="inlineStr">
        <is>
          <t>CD14</t>
        </is>
      </c>
      <c r="B266" s="18" t="inlineStr">
        <is>
          <t>D07</t>
        </is>
      </c>
      <c r="C266" s="18" t="inlineStr">
        <is>
          <t>I12</t>
        </is>
      </c>
      <c r="D266" s="18" t="inlineStr">
        <is>
          <t>Learning Evidence Analytics</t>
        </is>
      </c>
      <c r="E266" s="18" t="inlineStr">
        <is>
          <t>D08</t>
        </is>
      </c>
      <c r="F266" s="18" t="inlineStr">
        <is>
          <t>I05</t>
        </is>
      </c>
      <c r="G266" s="18" t="inlineStr">
        <is>
          <t>Decision Intelligence</t>
        </is>
      </c>
      <c r="H266" s="18" t="inlineStr">
        <is>
          <t>Assessment evidence → data infrastructure</t>
        </is>
      </c>
      <c r="I266" s="18" t="inlineStr">
        <is>
          <t>If assessment evidence analytics are claimed but data quality/interoperability/intelligence are weak, flag evidence infrastructure gap.</t>
        </is>
      </c>
      <c r="J266" s="18" t="inlineStr">
        <is>
          <t>Data/evidence architecture review</t>
        </is>
      </c>
      <c r="K266" s="18" t="inlineStr">
        <is>
          <t>Data capability is an enabler, not assessment quality itself.</t>
        </is>
      </c>
    </row>
    <row r="267">
      <c r="A267" s="18" t="inlineStr">
        <is>
          <t>CD14</t>
        </is>
      </c>
      <c r="B267" s="18" t="inlineStr">
        <is>
          <t>D07</t>
        </is>
      </c>
      <c r="C267" s="18" t="inlineStr">
        <is>
          <t>I12</t>
        </is>
      </c>
      <c r="D267" s="18" t="inlineStr">
        <is>
          <t>Learning Evidence Analytics</t>
        </is>
      </c>
      <c r="E267" s="18" t="inlineStr">
        <is>
          <t>D08</t>
        </is>
      </c>
      <c r="F267" s="18" t="inlineStr">
        <is>
          <t>I12</t>
        </is>
      </c>
      <c r="G267" s="18" t="inlineStr">
        <is>
          <t>Institutional Intelligence Capability</t>
        </is>
      </c>
      <c r="H267" s="18" t="inlineStr">
        <is>
          <t>Assessment evidence → data infrastructure</t>
        </is>
      </c>
      <c r="I267" s="18" t="inlineStr">
        <is>
          <t>If assessment evidence analytics are claimed but data quality/interoperability/intelligence are weak, flag evidence infrastructure gap.</t>
        </is>
      </c>
      <c r="J267" s="18" t="inlineStr">
        <is>
          <t>Data/evidence architecture review</t>
        </is>
      </c>
      <c r="K267" s="18" t="inlineStr">
        <is>
          <t>Data capability is an enabler, not assessment quality itself.</t>
        </is>
      </c>
    </row>
    <row r="268">
      <c r="A268" s="18" t="inlineStr">
        <is>
          <t>CD15</t>
        </is>
      </c>
      <c r="B268" s="18" t="inlineStr">
        <is>
          <t>D08</t>
        </is>
      </c>
      <c r="C268" s="18" t="inlineStr">
        <is>
          <t>I05</t>
        </is>
      </c>
      <c r="D268" s="18" t="inlineStr">
        <is>
          <t>Decision Intelligence</t>
        </is>
      </c>
      <c r="E268" s="18" t="inlineStr">
        <is>
          <t>D09</t>
        </is>
      </c>
      <c r="F268" s="18" t="inlineStr">
        <is>
          <t>I01</t>
        </is>
      </c>
      <c r="G268" s="18" t="inlineStr">
        <is>
          <t>Employer Demand Sensing</t>
        </is>
      </c>
      <c r="H268" s="18" t="inlineStr">
        <is>
          <t>Institutional intelligence → labour-market response</t>
        </is>
      </c>
      <c r="I268" s="18" t="inlineStr">
        <is>
          <t>If institutional intelligence is strong but employer signals are not translated into programme/career decisions, flag intelligence-to-relevance gap.</t>
        </is>
      </c>
      <c r="J268" s="18" t="inlineStr">
        <is>
          <t>Labour-market intelligence review</t>
        </is>
      </c>
      <c r="K268" s="18" t="inlineStr">
        <is>
          <t>D09 owns external relevance.</t>
        </is>
      </c>
    </row>
    <row r="269">
      <c r="A269" s="18" t="inlineStr">
        <is>
          <t>CD15</t>
        </is>
      </c>
      <c r="B269" s="18" t="inlineStr">
        <is>
          <t>D08</t>
        </is>
      </c>
      <c r="C269" s="18" t="inlineStr">
        <is>
          <t>I05</t>
        </is>
      </c>
      <c r="D269" s="18" t="inlineStr">
        <is>
          <t>Decision Intelligence</t>
        </is>
      </c>
      <c r="E269" s="18" t="inlineStr">
        <is>
          <t>D09</t>
        </is>
      </c>
      <c r="F269" s="18" t="inlineStr">
        <is>
          <t>I02</t>
        </is>
      </c>
      <c r="G269" s="18" t="inlineStr">
        <is>
          <t>Employability Capability Architecture</t>
        </is>
      </c>
      <c r="H269" s="18" t="inlineStr">
        <is>
          <t>Institutional intelligence → labour-market response</t>
        </is>
      </c>
      <c r="I269" s="18" t="inlineStr">
        <is>
          <t>If institutional intelligence is strong but employer signals are not translated into programme/career decisions, flag intelligence-to-relevance gap.</t>
        </is>
      </c>
      <c r="J269" s="18" t="inlineStr">
        <is>
          <t>Labour-market intelligence review</t>
        </is>
      </c>
      <c r="K269" s="18" t="inlineStr">
        <is>
          <t>D09 owns external relevance.</t>
        </is>
      </c>
    </row>
    <row r="270">
      <c r="A270" s="18" t="inlineStr">
        <is>
          <t>CD15</t>
        </is>
      </c>
      <c r="B270" s="18" t="inlineStr">
        <is>
          <t>D08</t>
        </is>
      </c>
      <c r="C270" s="18" t="inlineStr">
        <is>
          <t>I05</t>
        </is>
      </c>
      <c r="D270" s="18" t="inlineStr">
        <is>
          <t>Decision Intelligence</t>
        </is>
      </c>
      <c r="E270" s="18" t="inlineStr">
        <is>
          <t>D09</t>
        </is>
      </c>
      <c r="F270" s="18" t="inlineStr">
        <is>
          <t>I03</t>
        </is>
      </c>
      <c r="G270" s="18" t="inlineStr">
        <is>
          <t>Industry-Validated Curriculum</t>
        </is>
      </c>
      <c r="H270" s="18" t="inlineStr">
        <is>
          <t>Institutional intelligence → labour-market response</t>
        </is>
      </c>
      <c r="I270" s="18" t="inlineStr">
        <is>
          <t>If institutional intelligence is strong but employer signals are not translated into programme/career decisions, flag intelligence-to-relevance gap.</t>
        </is>
      </c>
      <c r="J270" s="18" t="inlineStr">
        <is>
          <t>Labour-market intelligence review</t>
        </is>
      </c>
      <c r="K270" s="18" t="inlineStr">
        <is>
          <t>D09 owns external relevance.</t>
        </is>
      </c>
    </row>
    <row r="271">
      <c r="A271" s="18" t="inlineStr">
        <is>
          <t>CD15</t>
        </is>
      </c>
      <c r="B271" s="18" t="inlineStr">
        <is>
          <t>D08</t>
        </is>
      </c>
      <c r="C271" s="18" t="inlineStr">
        <is>
          <t>I05</t>
        </is>
      </c>
      <c r="D271" s="18" t="inlineStr">
        <is>
          <t>Decision Intelligence</t>
        </is>
      </c>
      <c r="E271" s="18" t="inlineStr">
        <is>
          <t>D09</t>
        </is>
      </c>
      <c r="F271" s="18" t="inlineStr">
        <is>
          <t>I12</t>
        </is>
      </c>
      <c r="G271" s="18" t="inlineStr">
        <is>
          <t>Alumni Career Intelligence</t>
        </is>
      </c>
      <c r="H271" s="18" t="inlineStr">
        <is>
          <t>Institutional intelligence → labour-market response</t>
        </is>
      </c>
      <c r="I271" s="18" t="inlineStr">
        <is>
          <t>If institutional intelligence is strong but employer signals are not translated into programme/career decisions, flag intelligence-to-relevance gap.</t>
        </is>
      </c>
      <c r="J271" s="18" t="inlineStr">
        <is>
          <t>Labour-market intelligence review</t>
        </is>
      </c>
      <c r="K271" s="18" t="inlineStr">
        <is>
          <t>D09 owns external relevance.</t>
        </is>
      </c>
    </row>
    <row r="272">
      <c r="A272" s="18" t="inlineStr">
        <is>
          <t>CD15</t>
        </is>
      </c>
      <c r="B272" s="18" t="inlineStr">
        <is>
          <t>D08</t>
        </is>
      </c>
      <c r="C272" s="18" t="inlineStr">
        <is>
          <t>I12</t>
        </is>
      </c>
      <c r="D272" s="18" t="inlineStr">
        <is>
          <t>Institutional Intelligence Capability</t>
        </is>
      </c>
      <c r="E272" s="18" t="inlineStr">
        <is>
          <t>D09</t>
        </is>
      </c>
      <c r="F272" s="18" t="inlineStr">
        <is>
          <t>I01</t>
        </is>
      </c>
      <c r="G272" s="18" t="inlineStr">
        <is>
          <t>Employer Demand Sensing</t>
        </is>
      </c>
      <c r="H272" s="18" t="inlineStr">
        <is>
          <t>Institutional intelligence → labour-market response</t>
        </is>
      </c>
      <c r="I272" s="18" t="inlineStr">
        <is>
          <t>If institutional intelligence is strong but employer signals are not translated into programme/career decisions, flag intelligence-to-relevance gap.</t>
        </is>
      </c>
      <c r="J272" s="18" t="inlineStr">
        <is>
          <t>Labour-market intelligence review</t>
        </is>
      </c>
      <c r="K272" s="18" t="inlineStr">
        <is>
          <t>D09 owns external relevance.</t>
        </is>
      </c>
    </row>
    <row r="273">
      <c r="A273" s="18" t="inlineStr">
        <is>
          <t>CD15</t>
        </is>
      </c>
      <c r="B273" s="18" t="inlineStr">
        <is>
          <t>D08</t>
        </is>
      </c>
      <c r="C273" s="18" t="inlineStr">
        <is>
          <t>I12</t>
        </is>
      </c>
      <c r="D273" s="18" t="inlineStr">
        <is>
          <t>Institutional Intelligence Capability</t>
        </is>
      </c>
      <c r="E273" s="18" t="inlineStr">
        <is>
          <t>D09</t>
        </is>
      </c>
      <c r="F273" s="18" t="inlineStr">
        <is>
          <t>I02</t>
        </is>
      </c>
      <c r="G273" s="18" t="inlineStr">
        <is>
          <t>Employability Capability Architecture</t>
        </is>
      </c>
      <c r="H273" s="18" t="inlineStr">
        <is>
          <t>Institutional intelligence → labour-market response</t>
        </is>
      </c>
      <c r="I273" s="18" t="inlineStr">
        <is>
          <t>If institutional intelligence is strong but employer signals are not translated into programme/career decisions, flag intelligence-to-relevance gap.</t>
        </is>
      </c>
      <c r="J273" s="18" t="inlineStr">
        <is>
          <t>Labour-market intelligence review</t>
        </is>
      </c>
      <c r="K273" s="18" t="inlineStr">
        <is>
          <t>D09 owns external relevance.</t>
        </is>
      </c>
    </row>
    <row r="274">
      <c r="A274" s="18" t="inlineStr">
        <is>
          <t>CD15</t>
        </is>
      </c>
      <c r="B274" s="18" t="inlineStr">
        <is>
          <t>D08</t>
        </is>
      </c>
      <c r="C274" s="18" t="inlineStr">
        <is>
          <t>I12</t>
        </is>
      </c>
      <c r="D274" s="18" t="inlineStr">
        <is>
          <t>Institutional Intelligence Capability</t>
        </is>
      </c>
      <c r="E274" s="18" t="inlineStr">
        <is>
          <t>D09</t>
        </is>
      </c>
      <c r="F274" s="18" t="inlineStr">
        <is>
          <t>I03</t>
        </is>
      </c>
      <c r="G274" s="18" t="inlineStr">
        <is>
          <t>Industry-Validated Curriculum</t>
        </is>
      </c>
      <c r="H274" s="18" t="inlineStr">
        <is>
          <t>Institutional intelligence → labour-market response</t>
        </is>
      </c>
      <c r="I274" s="18" t="inlineStr">
        <is>
          <t>If institutional intelligence is strong but employer signals are not translated into programme/career decisions, flag intelligence-to-relevance gap.</t>
        </is>
      </c>
      <c r="J274" s="18" t="inlineStr">
        <is>
          <t>Labour-market intelligence review</t>
        </is>
      </c>
      <c r="K274" s="18" t="inlineStr">
        <is>
          <t>D09 owns external relevance.</t>
        </is>
      </c>
    </row>
    <row r="275">
      <c r="A275" s="18" t="inlineStr">
        <is>
          <t>CD15</t>
        </is>
      </c>
      <c r="B275" s="18" t="inlineStr">
        <is>
          <t>D08</t>
        </is>
      </c>
      <c r="C275" s="18" t="inlineStr">
        <is>
          <t>I12</t>
        </is>
      </c>
      <c r="D275" s="18" t="inlineStr">
        <is>
          <t>Institutional Intelligence Capability</t>
        </is>
      </c>
      <c r="E275" s="18" t="inlineStr">
        <is>
          <t>D09</t>
        </is>
      </c>
      <c r="F275" s="18" t="inlineStr">
        <is>
          <t>I12</t>
        </is>
      </c>
      <c r="G275" s="18" t="inlineStr">
        <is>
          <t>Alumni Career Intelligence</t>
        </is>
      </c>
      <c r="H275" s="18" t="inlineStr">
        <is>
          <t>Institutional intelligence → labour-market response</t>
        </is>
      </c>
      <c r="I275" s="18" t="inlineStr">
        <is>
          <t>If institutional intelligence is strong but employer signals are not translated into programme/career decisions, flag intelligence-to-relevance gap.</t>
        </is>
      </c>
      <c r="J275" s="18" t="inlineStr">
        <is>
          <t>Labour-market intelligence review</t>
        </is>
      </c>
      <c r="K275" s="18" t="inlineStr">
        <is>
          <t>D09 owns external relevance.</t>
        </is>
      </c>
    </row>
    <row r="276">
      <c r="A276" s="18" t="inlineStr">
        <is>
          <t>CD16</t>
        </is>
      </c>
      <c r="B276" s="18" t="inlineStr">
        <is>
          <t>D09</t>
        </is>
      </c>
      <c r="C276" s="18" t="inlineStr">
        <is>
          <t>I01</t>
        </is>
      </c>
      <c r="D276" s="18" t="inlineStr">
        <is>
          <t>Employer Demand Sensing</t>
        </is>
      </c>
      <c r="E276" s="18" t="inlineStr">
        <is>
          <t>D04</t>
        </is>
      </c>
      <c r="F276" s="18" t="inlineStr">
        <is>
          <t>I01</t>
        </is>
      </c>
      <c r="G276" s="18" t="inlineStr">
        <is>
          <t>Curriculum Sensing Maturity</t>
        </is>
      </c>
      <c r="H276" s="18" t="inlineStr">
        <is>
          <t>Employer signal → programme evolution</t>
        </is>
      </c>
      <c r="I276" s="18" t="inlineStr">
        <is>
          <t>If employer intelligence is strong but programme evolution is weak, flag signal-to-curriculum response gap.</t>
        </is>
      </c>
      <c r="J276" s="18" t="inlineStr">
        <is>
          <t>Programme portfolio review</t>
        </is>
      </c>
      <c r="K276" s="18" t="inlineStr">
        <is>
          <t>Employer signal is an input, not duplicate programme maturity.</t>
        </is>
      </c>
    </row>
    <row r="277">
      <c r="A277" s="18" t="inlineStr">
        <is>
          <t>CD16</t>
        </is>
      </c>
      <c r="B277" s="18" t="inlineStr">
        <is>
          <t>D09</t>
        </is>
      </c>
      <c r="C277" s="18" t="inlineStr">
        <is>
          <t>I01</t>
        </is>
      </c>
      <c r="D277" s="18" t="inlineStr">
        <is>
          <t>Employer Demand Sensing</t>
        </is>
      </c>
      <c r="E277" s="18" t="inlineStr">
        <is>
          <t>D04</t>
        </is>
      </c>
      <c r="F277" s="18" t="inlineStr">
        <is>
          <t>I03</t>
        </is>
      </c>
      <c r="G277" s="18" t="inlineStr">
        <is>
          <t>Programme Review Effectiveness</t>
        </is>
      </c>
      <c r="H277" s="18" t="inlineStr">
        <is>
          <t>Employer signal → programme evolution</t>
        </is>
      </c>
      <c r="I277" s="18" t="inlineStr">
        <is>
          <t>If employer intelligence is strong but programme evolution is weak, flag signal-to-curriculum response gap.</t>
        </is>
      </c>
      <c r="J277" s="18" t="inlineStr">
        <is>
          <t>Programme portfolio review</t>
        </is>
      </c>
      <c r="K277" s="18" t="inlineStr">
        <is>
          <t>Employer signal is an input, not duplicate programme maturity.</t>
        </is>
      </c>
    </row>
    <row r="278">
      <c r="A278" s="18" t="inlineStr">
        <is>
          <t>CD16</t>
        </is>
      </c>
      <c r="B278" s="18" t="inlineStr">
        <is>
          <t>D09</t>
        </is>
      </c>
      <c r="C278" s="18" t="inlineStr">
        <is>
          <t>I01</t>
        </is>
      </c>
      <c r="D278" s="18" t="inlineStr">
        <is>
          <t>Employer Demand Sensing</t>
        </is>
      </c>
      <c r="E278" s="18" t="inlineStr">
        <is>
          <t>D04</t>
        </is>
      </c>
      <c r="F278" s="18" t="inlineStr">
        <is>
          <t>I08</t>
        </is>
      </c>
      <c r="G278" s="18" t="inlineStr">
        <is>
          <t>Programme Agility</t>
        </is>
      </c>
      <c r="H278" s="18" t="inlineStr">
        <is>
          <t>Employer signal → programme evolution</t>
        </is>
      </c>
      <c r="I278" s="18" t="inlineStr">
        <is>
          <t>If employer intelligence is strong but programme evolution is weak, flag signal-to-curriculum response gap.</t>
        </is>
      </c>
      <c r="J278" s="18" t="inlineStr">
        <is>
          <t>Programme portfolio review</t>
        </is>
      </c>
      <c r="K278" s="18" t="inlineStr">
        <is>
          <t>Employer signal is an input, not duplicate programme maturity.</t>
        </is>
      </c>
    </row>
    <row r="279">
      <c r="A279" s="18" t="inlineStr">
        <is>
          <t>CD16</t>
        </is>
      </c>
      <c r="B279" s="18" t="inlineStr">
        <is>
          <t>D09</t>
        </is>
      </c>
      <c r="C279" s="18" t="inlineStr">
        <is>
          <t>I01</t>
        </is>
      </c>
      <c r="D279" s="18" t="inlineStr">
        <is>
          <t>Employer Demand Sensing</t>
        </is>
      </c>
      <c r="E279" s="18" t="inlineStr">
        <is>
          <t>D04</t>
        </is>
      </c>
      <c r="F279" s="18" t="inlineStr">
        <is>
          <t>I12</t>
        </is>
      </c>
      <c r="G279" s="18" t="inlineStr">
        <is>
          <t>Portfolio Foresight</t>
        </is>
      </c>
      <c r="H279" s="18" t="inlineStr">
        <is>
          <t>Employer signal → programme evolution</t>
        </is>
      </c>
      <c r="I279" s="18" t="inlineStr">
        <is>
          <t>If employer intelligence is strong but programme evolution is weak, flag signal-to-curriculum response gap.</t>
        </is>
      </c>
      <c r="J279" s="18" t="inlineStr">
        <is>
          <t>Programme portfolio review</t>
        </is>
      </c>
      <c r="K279" s="18" t="inlineStr">
        <is>
          <t>Employer signal is an input, not duplicate programme maturity.</t>
        </is>
      </c>
    </row>
    <row r="280">
      <c r="A280" s="18" t="inlineStr">
        <is>
          <t>CD16</t>
        </is>
      </c>
      <c r="B280" s="18" t="inlineStr">
        <is>
          <t>D09</t>
        </is>
      </c>
      <c r="C280" s="18" t="inlineStr">
        <is>
          <t>I03</t>
        </is>
      </c>
      <c r="D280" s="18" t="inlineStr">
        <is>
          <t>Industry-Validated Curriculum</t>
        </is>
      </c>
      <c r="E280" s="18" t="inlineStr">
        <is>
          <t>D04</t>
        </is>
      </c>
      <c r="F280" s="18" t="inlineStr">
        <is>
          <t>I01</t>
        </is>
      </c>
      <c r="G280" s="18" t="inlineStr">
        <is>
          <t>Curriculum Sensing Maturity</t>
        </is>
      </c>
      <c r="H280" s="18" t="inlineStr">
        <is>
          <t>Employer signal → programme evolution</t>
        </is>
      </c>
      <c r="I280" s="18" t="inlineStr">
        <is>
          <t>If employer intelligence is strong but programme evolution is weak, flag signal-to-curriculum response gap.</t>
        </is>
      </c>
      <c r="J280" s="18" t="inlineStr">
        <is>
          <t>Programme portfolio review</t>
        </is>
      </c>
      <c r="K280" s="18" t="inlineStr">
        <is>
          <t>Employer signal is an input, not duplicate programme maturity.</t>
        </is>
      </c>
    </row>
    <row r="281">
      <c r="A281" s="18" t="inlineStr">
        <is>
          <t>CD16</t>
        </is>
      </c>
      <c r="B281" s="18" t="inlineStr">
        <is>
          <t>D09</t>
        </is>
      </c>
      <c r="C281" s="18" t="inlineStr">
        <is>
          <t>I03</t>
        </is>
      </c>
      <c r="D281" s="18" t="inlineStr">
        <is>
          <t>Industry-Validated Curriculum</t>
        </is>
      </c>
      <c r="E281" s="18" t="inlineStr">
        <is>
          <t>D04</t>
        </is>
      </c>
      <c r="F281" s="18" t="inlineStr">
        <is>
          <t>I03</t>
        </is>
      </c>
      <c r="G281" s="18" t="inlineStr">
        <is>
          <t>Programme Review Effectiveness</t>
        </is>
      </c>
      <c r="H281" s="18" t="inlineStr">
        <is>
          <t>Employer signal → programme evolution</t>
        </is>
      </c>
      <c r="I281" s="18" t="inlineStr">
        <is>
          <t>If employer intelligence is strong but programme evolution is weak, flag signal-to-curriculum response gap.</t>
        </is>
      </c>
      <c r="J281" s="18" t="inlineStr">
        <is>
          <t>Programme portfolio review</t>
        </is>
      </c>
      <c r="K281" s="18" t="inlineStr">
        <is>
          <t>Employer signal is an input, not duplicate programme maturity.</t>
        </is>
      </c>
    </row>
    <row r="282">
      <c r="A282" s="18" t="inlineStr">
        <is>
          <t>CD16</t>
        </is>
      </c>
      <c r="B282" s="18" t="inlineStr">
        <is>
          <t>D09</t>
        </is>
      </c>
      <c r="C282" s="18" t="inlineStr">
        <is>
          <t>I03</t>
        </is>
      </c>
      <c r="D282" s="18" t="inlineStr">
        <is>
          <t>Industry-Validated Curriculum</t>
        </is>
      </c>
      <c r="E282" s="18" t="inlineStr">
        <is>
          <t>D04</t>
        </is>
      </c>
      <c r="F282" s="18" t="inlineStr">
        <is>
          <t>I08</t>
        </is>
      </c>
      <c r="G282" s="18" t="inlineStr">
        <is>
          <t>Programme Agility</t>
        </is>
      </c>
      <c r="H282" s="18" t="inlineStr">
        <is>
          <t>Employer signal → programme evolution</t>
        </is>
      </c>
      <c r="I282" s="18" t="inlineStr">
        <is>
          <t>If employer intelligence is strong but programme evolution is weak, flag signal-to-curriculum response gap.</t>
        </is>
      </c>
      <c r="J282" s="18" t="inlineStr">
        <is>
          <t>Programme portfolio review</t>
        </is>
      </c>
      <c r="K282" s="18" t="inlineStr">
        <is>
          <t>Employer signal is an input, not duplicate programme maturity.</t>
        </is>
      </c>
    </row>
    <row r="283">
      <c r="A283" s="18" t="inlineStr">
        <is>
          <t>CD16</t>
        </is>
      </c>
      <c r="B283" s="18" t="inlineStr">
        <is>
          <t>D09</t>
        </is>
      </c>
      <c r="C283" s="18" t="inlineStr">
        <is>
          <t>I03</t>
        </is>
      </c>
      <c r="D283" s="18" t="inlineStr">
        <is>
          <t>Industry-Validated Curriculum</t>
        </is>
      </c>
      <c r="E283" s="18" t="inlineStr">
        <is>
          <t>D04</t>
        </is>
      </c>
      <c r="F283" s="18" t="inlineStr">
        <is>
          <t>I12</t>
        </is>
      </c>
      <c r="G283" s="18" t="inlineStr">
        <is>
          <t>Portfolio Foresight</t>
        </is>
      </c>
      <c r="H283" s="18" t="inlineStr">
        <is>
          <t>Employer signal → programme evolution</t>
        </is>
      </c>
      <c r="I283" s="18" t="inlineStr">
        <is>
          <t>If employer intelligence is strong but programme evolution is weak, flag signal-to-curriculum response gap.</t>
        </is>
      </c>
      <c r="J283" s="18" t="inlineStr">
        <is>
          <t>Programme portfolio review</t>
        </is>
      </c>
      <c r="K283" s="18" t="inlineStr">
        <is>
          <t>Employer signal is an input, not duplicate programme maturity.</t>
        </is>
      </c>
    </row>
    <row r="284">
      <c r="A284" s="18" t="inlineStr">
        <is>
          <t>CD16</t>
        </is>
      </c>
      <c r="B284" s="18" t="inlineStr">
        <is>
          <t>D09</t>
        </is>
      </c>
      <c r="C284" s="18" t="inlineStr">
        <is>
          <t>I10</t>
        </is>
      </c>
      <c r="D284" s="18" t="inlineStr">
        <is>
          <t>Industry Co-Creation</t>
        </is>
      </c>
      <c r="E284" s="18" t="inlineStr">
        <is>
          <t>D04</t>
        </is>
      </c>
      <c r="F284" s="18" t="inlineStr">
        <is>
          <t>I01</t>
        </is>
      </c>
      <c r="G284" s="18" t="inlineStr">
        <is>
          <t>Curriculum Sensing Maturity</t>
        </is>
      </c>
      <c r="H284" s="18" t="inlineStr">
        <is>
          <t>Employer signal → programme evolution</t>
        </is>
      </c>
      <c r="I284" s="18" t="inlineStr">
        <is>
          <t>If employer intelligence is strong but programme evolution is weak, flag signal-to-curriculum response gap.</t>
        </is>
      </c>
      <c r="J284" s="18" t="inlineStr">
        <is>
          <t>Programme portfolio review</t>
        </is>
      </c>
      <c r="K284" s="18" t="inlineStr">
        <is>
          <t>Employer signal is an input, not duplicate programme maturity.</t>
        </is>
      </c>
    </row>
    <row r="285">
      <c r="A285" s="18" t="inlineStr">
        <is>
          <t>CD16</t>
        </is>
      </c>
      <c r="B285" s="18" t="inlineStr">
        <is>
          <t>D09</t>
        </is>
      </c>
      <c r="C285" s="18" t="inlineStr">
        <is>
          <t>I10</t>
        </is>
      </c>
      <c r="D285" s="18" t="inlineStr">
        <is>
          <t>Industry Co-Creation</t>
        </is>
      </c>
      <c r="E285" s="18" t="inlineStr">
        <is>
          <t>D04</t>
        </is>
      </c>
      <c r="F285" s="18" t="inlineStr">
        <is>
          <t>I03</t>
        </is>
      </c>
      <c r="G285" s="18" t="inlineStr">
        <is>
          <t>Programme Review Effectiveness</t>
        </is>
      </c>
      <c r="H285" s="18" t="inlineStr">
        <is>
          <t>Employer signal → programme evolution</t>
        </is>
      </c>
      <c r="I285" s="18" t="inlineStr">
        <is>
          <t>If employer intelligence is strong but programme evolution is weak, flag signal-to-curriculum response gap.</t>
        </is>
      </c>
      <c r="J285" s="18" t="inlineStr">
        <is>
          <t>Programme portfolio review</t>
        </is>
      </c>
      <c r="K285" s="18" t="inlineStr">
        <is>
          <t>Employer signal is an input, not duplicate programme maturity.</t>
        </is>
      </c>
    </row>
    <row r="286">
      <c r="A286" s="18" t="inlineStr">
        <is>
          <t>CD16</t>
        </is>
      </c>
      <c r="B286" s="18" t="inlineStr">
        <is>
          <t>D09</t>
        </is>
      </c>
      <c r="C286" s="18" t="inlineStr">
        <is>
          <t>I10</t>
        </is>
      </c>
      <c r="D286" s="18" t="inlineStr">
        <is>
          <t>Industry Co-Creation</t>
        </is>
      </c>
      <c r="E286" s="18" t="inlineStr">
        <is>
          <t>D04</t>
        </is>
      </c>
      <c r="F286" s="18" t="inlineStr">
        <is>
          <t>I08</t>
        </is>
      </c>
      <c r="G286" s="18" t="inlineStr">
        <is>
          <t>Programme Agility</t>
        </is>
      </c>
      <c r="H286" s="18" t="inlineStr">
        <is>
          <t>Employer signal → programme evolution</t>
        </is>
      </c>
      <c r="I286" s="18" t="inlineStr">
        <is>
          <t>If employer intelligence is strong but programme evolution is weak, flag signal-to-curriculum response gap.</t>
        </is>
      </c>
      <c r="J286" s="18" t="inlineStr">
        <is>
          <t>Programme portfolio review</t>
        </is>
      </c>
      <c r="K286" s="18" t="inlineStr">
        <is>
          <t>Employer signal is an input, not duplicate programme maturity.</t>
        </is>
      </c>
    </row>
    <row r="287">
      <c r="A287" s="18" t="inlineStr">
        <is>
          <t>CD16</t>
        </is>
      </c>
      <c r="B287" s="18" t="inlineStr">
        <is>
          <t>D09</t>
        </is>
      </c>
      <c r="C287" s="18" t="inlineStr">
        <is>
          <t>I10</t>
        </is>
      </c>
      <c r="D287" s="18" t="inlineStr">
        <is>
          <t>Industry Co-Creation</t>
        </is>
      </c>
      <c r="E287" s="18" t="inlineStr">
        <is>
          <t>D04</t>
        </is>
      </c>
      <c r="F287" s="18" t="inlineStr">
        <is>
          <t>I12</t>
        </is>
      </c>
      <c r="G287" s="18" t="inlineStr">
        <is>
          <t>Portfolio Foresight</t>
        </is>
      </c>
      <c r="H287" s="18" t="inlineStr">
        <is>
          <t>Employer signal → programme evolution</t>
        </is>
      </c>
      <c r="I287" s="18" t="inlineStr">
        <is>
          <t>If employer intelligence is strong but programme evolution is weak, flag signal-to-curriculum response gap.</t>
        </is>
      </c>
      <c r="J287" s="18" t="inlineStr">
        <is>
          <t>Programme portfolio review</t>
        </is>
      </c>
      <c r="K287" s="18" t="inlineStr">
        <is>
          <t>Employer signal is an input, not duplicate programme maturity.</t>
        </is>
      </c>
    </row>
    <row r="288">
      <c r="A288" s="18" t="inlineStr">
        <is>
          <t>CD16</t>
        </is>
      </c>
      <c r="B288" s="18" t="inlineStr">
        <is>
          <t>D09</t>
        </is>
      </c>
      <c r="C288" s="18" t="inlineStr">
        <is>
          <t>I11</t>
        </is>
      </c>
      <c r="D288" s="18" t="inlineStr">
        <is>
          <t>Regional/Economic Relevance</t>
        </is>
      </c>
      <c r="E288" s="18" t="inlineStr">
        <is>
          <t>D04</t>
        </is>
      </c>
      <c r="F288" s="18" t="inlineStr">
        <is>
          <t>I01</t>
        </is>
      </c>
      <c r="G288" s="18" t="inlineStr">
        <is>
          <t>Curriculum Sensing Maturity</t>
        </is>
      </c>
      <c r="H288" s="18" t="inlineStr">
        <is>
          <t>Employer signal → programme evolution</t>
        </is>
      </c>
      <c r="I288" s="18" t="inlineStr">
        <is>
          <t>If employer intelligence is strong but programme evolution is weak, flag signal-to-curriculum response gap.</t>
        </is>
      </c>
      <c r="J288" s="18" t="inlineStr">
        <is>
          <t>Programme portfolio review</t>
        </is>
      </c>
      <c r="K288" s="18" t="inlineStr">
        <is>
          <t>Employer signal is an input, not duplicate programme maturity.</t>
        </is>
      </c>
    </row>
    <row r="289">
      <c r="A289" s="18" t="inlineStr">
        <is>
          <t>CD16</t>
        </is>
      </c>
      <c r="B289" s="18" t="inlineStr">
        <is>
          <t>D09</t>
        </is>
      </c>
      <c r="C289" s="18" t="inlineStr">
        <is>
          <t>I11</t>
        </is>
      </c>
      <c r="D289" s="18" t="inlineStr">
        <is>
          <t>Regional/Economic Relevance</t>
        </is>
      </c>
      <c r="E289" s="18" t="inlineStr">
        <is>
          <t>D04</t>
        </is>
      </c>
      <c r="F289" s="18" t="inlineStr">
        <is>
          <t>I03</t>
        </is>
      </c>
      <c r="G289" s="18" t="inlineStr">
        <is>
          <t>Programme Review Effectiveness</t>
        </is>
      </c>
      <c r="H289" s="18" t="inlineStr">
        <is>
          <t>Employer signal → programme evolution</t>
        </is>
      </c>
      <c r="I289" s="18" t="inlineStr">
        <is>
          <t>If employer intelligence is strong but programme evolution is weak, flag signal-to-curriculum response gap.</t>
        </is>
      </c>
      <c r="J289" s="18" t="inlineStr">
        <is>
          <t>Programme portfolio review</t>
        </is>
      </c>
      <c r="K289" s="18" t="inlineStr">
        <is>
          <t>Employer signal is an input, not duplicate programme maturity.</t>
        </is>
      </c>
    </row>
    <row r="290">
      <c r="A290" s="18" t="inlineStr">
        <is>
          <t>CD16</t>
        </is>
      </c>
      <c r="B290" s="18" t="inlineStr">
        <is>
          <t>D09</t>
        </is>
      </c>
      <c r="C290" s="18" t="inlineStr">
        <is>
          <t>I11</t>
        </is>
      </c>
      <c r="D290" s="18" t="inlineStr">
        <is>
          <t>Regional/Economic Relevance</t>
        </is>
      </c>
      <c r="E290" s="18" t="inlineStr">
        <is>
          <t>D04</t>
        </is>
      </c>
      <c r="F290" s="18" t="inlineStr">
        <is>
          <t>I08</t>
        </is>
      </c>
      <c r="G290" s="18" t="inlineStr">
        <is>
          <t>Programme Agility</t>
        </is>
      </c>
      <c r="H290" s="18" t="inlineStr">
        <is>
          <t>Employer signal → programme evolution</t>
        </is>
      </c>
      <c r="I290" s="18" t="inlineStr">
        <is>
          <t>If employer intelligence is strong but programme evolution is weak, flag signal-to-curriculum response gap.</t>
        </is>
      </c>
      <c r="J290" s="18" t="inlineStr">
        <is>
          <t>Programme portfolio review</t>
        </is>
      </c>
      <c r="K290" s="18" t="inlineStr">
        <is>
          <t>Employer signal is an input, not duplicate programme maturity.</t>
        </is>
      </c>
    </row>
    <row r="291">
      <c r="A291" s="18" t="inlineStr">
        <is>
          <t>CD16</t>
        </is>
      </c>
      <c r="B291" s="18" t="inlineStr">
        <is>
          <t>D09</t>
        </is>
      </c>
      <c r="C291" s="18" t="inlineStr">
        <is>
          <t>I11</t>
        </is>
      </c>
      <c r="D291" s="18" t="inlineStr">
        <is>
          <t>Regional/Economic Relevance</t>
        </is>
      </c>
      <c r="E291" s="18" t="inlineStr">
        <is>
          <t>D04</t>
        </is>
      </c>
      <c r="F291" s="18" t="inlineStr">
        <is>
          <t>I12</t>
        </is>
      </c>
      <c r="G291" s="18" t="inlineStr">
        <is>
          <t>Portfolio Foresight</t>
        </is>
      </c>
      <c r="H291" s="18" t="inlineStr">
        <is>
          <t>Employer signal → programme evolution</t>
        </is>
      </c>
      <c r="I291" s="18" t="inlineStr">
        <is>
          <t>If employer intelligence is strong but programme evolution is weak, flag signal-to-curriculum response gap.</t>
        </is>
      </c>
      <c r="J291" s="18" t="inlineStr">
        <is>
          <t>Programme portfolio review</t>
        </is>
      </c>
      <c r="K291" s="18" t="inlineStr">
        <is>
          <t>Employer signal is an input, not duplicate programme maturity.</t>
        </is>
      </c>
    </row>
    <row r="292">
      <c r="A292" s="18" t="inlineStr">
        <is>
          <t>CD17</t>
        </is>
      </c>
      <c r="B292" s="18" t="inlineStr">
        <is>
          <t>D09</t>
        </is>
      </c>
      <c r="C292" s="18" t="inlineStr">
        <is>
          <t>I03</t>
        </is>
      </c>
      <c r="D292" s="18" t="inlineStr">
        <is>
          <t>Industry-Validated Curriculum</t>
        </is>
      </c>
      <c r="E292" s="18" t="inlineStr">
        <is>
          <t>D05</t>
        </is>
      </c>
      <c r="F292" s="18" t="inlineStr">
        <is>
          <t>I02</t>
        </is>
      </c>
      <c r="G292" s="18" t="inlineStr">
        <is>
          <t>Discipline-Specific AI Practice</t>
        </is>
      </c>
      <c r="H292" s="18" t="inlineStr">
        <is>
          <t>Industry requirement → faculty capability</t>
        </is>
      </c>
      <c r="I292" s="18" t="inlineStr">
        <is>
          <t>If industry requirements change but faculty capability/role redesign does not respond, flag workforce alignment gap.</t>
        </is>
      </c>
      <c r="J292" s="18" t="inlineStr">
        <is>
          <t>Faculty capability review</t>
        </is>
      </c>
      <c r="K292" s="18" t="inlineStr">
        <is>
          <t>External signal does not itself raise D05.</t>
        </is>
      </c>
    </row>
    <row r="293">
      <c r="A293" s="18" t="inlineStr">
        <is>
          <t>CD17</t>
        </is>
      </c>
      <c r="B293" s="18" t="inlineStr">
        <is>
          <t>D09</t>
        </is>
      </c>
      <c r="C293" s="18" t="inlineStr">
        <is>
          <t>I03</t>
        </is>
      </c>
      <c r="D293" s="18" t="inlineStr">
        <is>
          <t>Industry-Validated Curriculum</t>
        </is>
      </c>
      <c r="E293" s="18" t="inlineStr">
        <is>
          <t>D05</t>
        </is>
      </c>
      <c r="F293" s="18" t="inlineStr">
        <is>
          <t>I05</t>
        </is>
      </c>
      <c r="G293" s="18" t="inlineStr">
        <is>
          <t>Faculty Learning &amp; Development Effectiveness</t>
        </is>
      </c>
      <c r="H293" s="18" t="inlineStr">
        <is>
          <t>Industry requirement → faculty capability</t>
        </is>
      </c>
      <c r="I293" s="18" t="inlineStr">
        <is>
          <t>If industry requirements change but faculty capability/role redesign does not respond, flag workforce alignment gap.</t>
        </is>
      </c>
      <c r="J293" s="18" t="inlineStr">
        <is>
          <t>Faculty capability review</t>
        </is>
      </c>
      <c r="K293" s="18" t="inlineStr">
        <is>
          <t>External signal does not itself raise D05.</t>
        </is>
      </c>
    </row>
    <row r="294">
      <c r="A294" s="18" t="inlineStr">
        <is>
          <t>CD17</t>
        </is>
      </c>
      <c r="B294" s="18" t="inlineStr">
        <is>
          <t>D09</t>
        </is>
      </c>
      <c r="C294" s="18" t="inlineStr">
        <is>
          <t>I03</t>
        </is>
      </c>
      <c r="D294" s="18" t="inlineStr">
        <is>
          <t>Industry-Validated Curriculum</t>
        </is>
      </c>
      <c r="E294" s="18" t="inlineStr">
        <is>
          <t>D05</t>
        </is>
      </c>
      <c r="F294" s="18" t="inlineStr">
        <is>
          <t>I08</t>
        </is>
      </c>
      <c r="G294" s="18" t="inlineStr">
        <is>
          <t>Academic Role Redesign</t>
        </is>
      </c>
      <c r="H294" s="18" t="inlineStr">
        <is>
          <t>Industry requirement → faculty capability</t>
        </is>
      </c>
      <c r="I294" s="18" t="inlineStr">
        <is>
          <t>If industry requirements change but faculty capability/role redesign does not respond, flag workforce alignment gap.</t>
        </is>
      </c>
      <c r="J294" s="18" t="inlineStr">
        <is>
          <t>Faculty capability review</t>
        </is>
      </c>
      <c r="K294" s="18" t="inlineStr">
        <is>
          <t>External signal does not itself raise D05.</t>
        </is>
      </c>
    </row>
    <row r="295">
      <c r="A295" s="18" t="inlineStr">
        <is>
          <t>CD17</t>
        </is>
      </c>
      <c r="B295" s="18" t="inlineStr">
        <is>
          <t>D09</t>
        </is>
      </c>
      <c r="C295" s="18" t="inlineStr">
        <is>
          <t>I03</t>
        </is>
      </c>
      <c r="D295" s="18" t="inlineStr">
        <is>
          <t>Industry-Validated Curriculum</t>
        </is>
      </c>
      <c r="E295" s="18" t="inlineStr">
        <is>
          <t>D05</t>
        </is>
      </c>
      <c r="F295" s="18" t="inlineStr">
        <is>
          <t>I12</t>
        </is>
      </c>
      <c r="G295" s="18" t="inlineStr">
        <is>
          <t>Faculty Adoption Learning Loop</t>
        </is>
      </c>
      <c r="H295" s="18" t="inlineStr">
        <is>
          <t>Industry requirement → faculty capability</t>
        </is>
      </c>
      <c r="I295" s="18" t="inlineStr">
        <is>
          <t>If industry requirements change but faculty capability/role redesign does not respond, flag workforce alignment gap.</t>
        </is>
      </c>
      <c r="J295" s="18" t="inlineStr">
        <is>
          <t>Faculty capability review</t>
        </is>
      </c>
      <c r="K295" s="18" t="inlineStr">
        <is>
          <t>External signal does not itself raise D05.</t>
        </is>
      </c>
    </row>
    <row r="296">
      <c r="A296" s="18" t="inlineStr">
        <is>
          <t>CD17</t>
        </is>
      </c>
      <c r="B296" s="18" t="inlineStr">
        <is>
          <t>D09</t>
        </is>
      </c>
      <c r="C296" s="18" t="inlineStr">
        <is>
          <t>I10</t>
        </is>
      </c>
      <c r="D296" s="18" t="inlineStr">
        <is>
          <t>Industry Co-Creation</t>
        </is>
      </c>
      <c r="E296" s="18" t="inlineStr">
        <is>
          <t>D05</t>
        </is>
      </c>
      <c r="F296" s="18" t="inlineStr">
        <is>
          <t>I02</t>
        </is>
      </c>
      <c r="G296" s="18" t="inlineStr">
        <is>
          <t>Discipline-Specific AI Practice</t>
        </is>
      </c>
      <c r="H296" s="18" t="inlineStr">
        <is>
          <t>Industry requirement → faculty capability</t>
        </is>
      </c>
      <c r="I296" s="18" t="inlineStr">
        <is>
          <t>If industry requirements change but faculty capability/role redesign does not respond, flag workforce alignment gap.</t>
        </is>
      </c>
      <c r="J296" s="18" t="inlineStr">
        <is>
          <t>Faculty capability review</t>
        </is>
      </c>
      <c r="K296" s="18" t="inlineStr">
        <is>
          <t>External signal does not itself raise D05.</t>
        </is>
      </c>
    </row>
    <row r="297">
      <c r="A297" s="18" t="inlineStr">
        <is>
          <t>CD17</t>
        </is>
      </c>
      <c r="B297" s="18" t="inlineStr">
        <is>
          <t>D09</t>
        </is>
      </c>
      <c r="C297" s="18" t="inlineStr">
        <is>
          <t>I10</t>
        </is>
      </c>
      <c r="D297" s="18" t="inlineStr">
        <is>
          <t>Industry Co-Creation</t>
        </is>
      </c>
      <c r="E297" s="18" t="inlineStr">
        <is>
          <t>D05</t>
        </is>
      </c>
      <c r="F297" s="18" t="inlineStr">
        <is>
          <t>I05</t>
        </is>
      </c>
      <c r="G297" s="18" t="inlineStr">
        <is>
          <t>Faculty Learning &amp; Development Effectiveness</t>
        </is>
      </c>
      <c r="H297" s="18" t="inlineStr">
        <is>
          <t>Industry requirement → faculty capability</t>
        </is>
      </c>
      <c r="I297" s="18" t="inlineStr">
        <is>
          <t>If industry requirements change but faculty capability/role redesign does not respond, flag workforce alignment gap.</t>
        </is>
      </c>
      <c r="J297" s="18" t="inlineStr">
        <is>
          <t>Faculty capability review</t>
        </is>
      </c>
      <c r="K297" s="18" t="inlineStr">
        <is>
          <t>External signal does not itself raise D05.</t>
        </is>
      </c>
    </row>
    <row r="298">
      <c r="A298" s="18" t="inlineStr">
        <is>
          <t>CD17</t>
        </is>
      </c>
      <c r="B298" s="18" t="inlineStr">
        <is>
          <t>D09</t>
        </is>
      </c>
      <c r="C298" s="18" t="inlineStr">
        <is>
          <t>I10</t>
        </is>
      </c>
      <c r="D298" s="18" t="inlineStr">
        <is>
          <t>Industry Co-Creation</t>
        </is>
      </c>
      <c r="E298" s="18" t="inlineStr">
        <is>
          <t>D05</t>
        </is>
      </c>
      <c r="F298" s="18" t="inlineStr">
        <is>
          <t>I08</t>
        </is>
      </c>
      <c r="G298" s="18" t="inlineStr">
        <is>
          <t>Academic Role Redesign</t>
        </is>
      </c>
      <c r="H298" s="18" t="inlineStr">
        <is>
          <t>Industry requirement → faculty capability</t>
        </is>
      </c>
      <c r="I298" s="18" t="inlineStr">
        <is>
          <t>If industry requirements change but faculty capability/role redesign does not respond, flag workforce alignment gap.</t>
        </is>
      </c>
      <c r="J298" s="18" t="inlineStr">
        <is>
          <t>Faculty capability review</t>
        </is>
      </c>
      <c r="K298" s="18" t="inlineStr">
        <is>
          <t>External signal does not itself raise D05.</t>
        </is>
      </c>
    </row>
    <row r="299">
      <c r="A299" s="18" t="inlineStr">
        <is>
          <t>CD17</t>
        </is>
      </c>
      <c r="B299" s="18" t="inlineStr">
        <is>
          <t>D09</t>
        </is>
      </c>
      <c r="C299" s="18" t="inlineStr">
        <is>
          <t>I10</t>
        </is>
      </c>
      <c r="D299" s="18" t="inlineStr">
        <is>
          <t>Industry Co-Creation</t>
        </is>
      </c>
      <c r="E299" s="18" t="inlineStr">
        <is>
          <t>D05</t>
        </is>
      </c>
      <c r="F299" s="18" t="inlineStr">
        <is>
          <t>I12</t>
        </is>
      </c>
      <c r="G299" s="18" t="inlineStr">
        <is>
          <t>Faculty Adoption Learning Loop</t>
        </is>
      </c>
      <c r="H299" s="18" t="inlineStr">
        <is>
          <t>Industry requirement → faculty capability</t>
        </is>
      </c>
      <c r="I299" s="18" t="inlineStr">
        <is>
          <t>If industry requirements change but faculty capability/role redesign does not respond, flag workforce alignment gap.</t>
        </is>
      </c>
      <c r="J299" s="18" t="inlineStr">
        <is>
          <t>Faculty capability review</t>
        </is>
      </c>
      <c r="K299" s="18" t="inlineStr">
        <is>
          <t>External signal does not itself raise D05.</t>
        </is>
      </c>
    </row>
    <row r="300">
      <c r="A300" s="18" t="inlineStr">
        <is>
          <t>CD18</t>
        </is>
      </c>
      <c r="B300" s="18" t="inlineStr">
        <is>
          <t>D09</t>
        </is>
      </c>
      <c r="C300" s="18" t="inlineStr">
        <is>
          <t>I05</t>
        </is>
      </c>
      <c r="D300" s="18" t="inlineStr">
        <is>
          <t>Recruiter Confidence</t>
        </is>
      </c>
      <c r="E300" s="18" t="inlineStr">
        <is>
          <t>D06</t>
        </is>
      </c>
      <c r="F300" s="18" t="inlineStr">
        <is>
          <t>I07</t>
        </is>
      </c>
      <c r="G300" s="18" t="inlineStr">
        <is>
          <t>Practical Capability</t>
        </is>
      </c>
      <c r="H300" s="18" t="inlineStr">
        <is>
          <t>External outcomes → student development</t>
        </is>
      </c>
      <c r="I300" s="18" t="inlineStr">
        <is>
          <t>If employment evidence exposes capability gaps but student development is unchanged, flag outcome-to-learning-loop gap.</t>
        </is>
      </c>
      <c r="J300" s="18" t="inlineStr">
        <is>
          <t>Student development review</t>
        </is>
      </c>
      <c r="K300" s="18" t="inlineStr">
        <is>
          <t>Outcomes inform D06 but are not duplicate D06 scores.</t>
        </is>
      </c>
    </row>
    <row r="301">
      <c r="A301" s="18" t="inlineStr">
        <is>
          <t>CD18</t>
        </is>
      </c>
      <c r="B301" s="18" t="inlineStr">
        <is>
          <t>D09</t>
        </is>
      </c>
      <c r="C301" s="18" t="inlineStr">
        <is>
          <t>I05</t>
        </is>
      </c>
      <c r="D301" s="18" t="inlineStr">
        <is>
          <t>Recruiter Confidence</t>
        </is>
      </c>
      <c r="E301" s="18" t="inlineStr">
        <is>
          <t>D06</t>
        </is>
      </c>
      <c r="F301" s="18" t="inlineStr">
        <is>
          <t>I08</t>
        </is>
      </c>
      <c r="G301" s="18" t="inlineStr">
        <is>
          <t>Career Adaptability</t>
        </is>
      </c>
      <c r="H301" s="18" t="inlineStr">
        <is>
          <t>External outcomes → student development</t>
        </is>
      </c>
      <c r="I301" s="18" t="inlineStr">
        <is>
          <t>If employment evidence exposes capability gaps but student development is unchanged, flag outcome-to-learning-loop gap.</t>
        </is>
      </c>
      <c r="J301" s="18" t="inlineStr">
        <is>
          <t>Student development review</t>
        </is>
      </c>
      <c r="K301" s="18" t="inlineStr">
        <is>
          <t>Outcomes inform D06 but are not duplicate D06 scores.</t>
        </is>
      </c>
    </row>
    <row r="302">
      <c r="A302" s="18" t="inlineStr">
        <is>
          <t>CD18</t>
        </is>
      </c>
      <c r="B302" s="18" t="inlineStr">
        <is>
          <t>D09</t>
        </is>
      </c>
      <c r="C302" s="18" t="inlineStr">
        <is>
          <t>I05</t>
        </is>
      </c>
      <c r="D302" s="18" t="inlineStr">
        <is>
          <t>Recruiter Confidence</t>
        </is>
      </c>
      <c r="E302" s="18" t="inlineStr">
        <is>
          <t>D06</t>
        </is>
      </c>
      <c r="F302" s="18" t="inlineStr">
        <is>
          <t>I09</t>
        </is>
      </c>
      <c r="G302" s="18" t="inlineStr">
        <is>
          <t>Portfolio &amp; Capability Signalling</t>
        </is>
      </c>
      <c r="H302" s="18" t="inlineStr">
        <is>
          <t>External outcomes → student development</t>
        </is>
      </c>
      <c r="I302" s="18" t="inlineStr">
        <is>
          <t>If employment evidence exposes capability gaps but student development is unchanged, flag outcome-to-learning-loop gap.</t>
        </is>
      </c>
      <c r="J302" s="18" t="inlineStr">
        <is>
          <t>Student development review</t>
        </is>
      </c>
      <c r="K302" s="18" t="inlineStr">
        <is>
          <t>Outcomes inform D06 but are not duplicate D06 scores.</t>
        </is>
      </c>
    </row>
    <row r="303">
      <c r="A303" s="18" t="inlineStr">
        <is>
          <t>CD18</t>
        </is>
      </c>
      <c r="B303" s="18" t="inlineStr">
        <is>
          <t>D09</t>
        </is>
      </c>
      <c r="C303" s="18" t="inlineStr">
        <is>
          <t>I05</t>
        </is>
      </c>
      <c r="D303" s="18" t="inlineStr">
        <is>
          <t>Recruiter Confidence</t>
        </is>
      </c>
      <c r="E303" s="18" t="inlineStr">
        <is>
          <t>D06</t>
        </is>
      </c>
      <c r="F303" s="18" t="inlineStr">
        <is>
          <t>I14</t>
        </is>
      </c>
      <c r="G303" s="18" t="inlineStr">
        <is>
          <t>Student Voice &amp; Feedback Loop</t>
        </is>
      </c>
      <c r="H303" s="18" t="inlineStr">
        <is>
          <t>External outcomes → student development</t>
        </is>
      </c>
      <c r="I303" s="18" t="inlineStr">
        <is>
          <t>If employment evidence exposes capability gaps but student development is unchanged, flag outcome-to-learning-loop gap.</t>
        </is>
      </c>
      <c r="J303" s="18" t="inlineStr">
        <is>
          <t>Student development review</t>
        </is>
      </c>
      <c r="K303" s="18" t="inlineStr">
        <is>
          <t>Outcomes inform D06 but are not duplicate D06 scores.</t>
        </is>
      </c>
    </row>
    <row r="304">
      <c r="A304" s="18" t="inlineStr">
        <is>
          <t>CD18</t>
        </is>
      </c>
      <c r="B304" s="18" t="inlineStr">
        <is>
          <t>D09</t>
        </is>
      </c>
      <c r="C304" s="18" t="inlineStr">
        <is>
          <t>I06</t>
        </is>
      </c>
      <c r="D304" s="18" t="inlineStr">
        <is>
          <t>Placement Outcome Quality</t>
        </is>
      </c>
      <c r="E304" s="18" t="inlineStr">
        <is>
          <t>D06</t>
        </is>
      </c>
      <c r="F304" s="18" t="inlineStr">
        <is>
          <t>I07</t>
        </is>
      </c>
      <c r="G304" s="18" t="inlineStr">
        <is>
          <t>Practical Capability</t>
        </is>
      </c>
      <c r="H304" s="18" t="inlineStr">
        <is>
          <t>External outcomes → student development</t>
        </is>
      </c>
      <c r="I304" s="18" t="inlineStr">
        <is>
          <t>If employment evidence exposes capability gaps but student development is unchanged, flag outcome-to-learning-loop gap.</t>
        </is>
      </c>
      <c r="J304" s="18" t="inlineStr">
        <is>
          <t>Student development review</t>
        </is>
      </c>
      <c r="K304" s="18" t="inlineStr">
        <is>
          <t>Outcomes inform D06 but are not duplicate D06 scores.</t>
        </is>
      </c>
    </row>
    <row r="305">
      <c r="A305" s="18" t="inlineStr">
        <is>
          <t>CD18</t>
        </is>
      </c>
      <c r="B305" s="18" t="inlineStr">
        <is>
          <t>D09</t>
        </is>
      </c>
      <c r="C305" s="18" t="inlineStr">
        <is>
          <t>I06</t>
        </is>
      </c>
      <c r="D305" s="18" t="inlineStr">
        <is>
          <t>Placement Outcome Quality</t>
        </is>
      </c>
      <c r="E305" s="18" t="inlineStr">
        <is>
          <t>D06</t>
        </is>
      </c>
      <c r="F305" s="18" t="inlineStr">
        <is>
          <t>I08</t>
        </is>
      </c>
      <c r="G305" s="18" t="inlineStr">
        <is>
          <t>Career Adaptability</t>
        </is>
      </c>
      <c r="H305" s="18" t="inlineStr">
        <is>
          <t>External outcomes → student development</t>
        </is>
      </c>
      <c r="I305" s="18" t="inlineStr">
        <is>
          <t>If employment evidence exposes capability gaps but student development is unchanged, flag outcome-to-learning-loop gap.</t>
        </is>
      </c>
      <c r="J305" s="18" t="inlineStr">
        <is>
          <t>Student development review</t>
        </is>
      </c>
      <c r="K305" s="18" t="inlineStr">
        <is>
          <t>Outcomes inform D06 but are not duplicate D06 scores.</t>
        </is>
      </c>
    </row>
    <row r="306">
      <c r="A306" s="18" t="inlineStr">
        <is>
          <t>CD18</t>
        </is>
      </c>
      <c r="B306" s="18" t="inlineStr">
        <is>
          <t>D09</t>
        </is>
      </c>
      <c r="C306" s="18" t="inlineStr">
        <is>
          <t>I06</t>
        </is>
      </c>
      <c r="D306" s="18" t="inlineStr">
        <is>
          <t>Placement Outcome Quality</t>
        </is>
      </c>
      <c r="E306" s="18" t="inlineStr">
        <is>
          <t>D06</t>
        </is>
      </c>
      <c r="F306" s="18" t="inlineStr">
        <is>
          <t>I09</t>
        </is>
      </c>
      <c r="G306" s="18" t="inlineStr">
        <is>
          <t>Portfolio &amp; Capability Signalling</t>
        </is>
      </c>
      <c r="H306" s="18" t="inlineStr">
        <is>
          <t>External outcomes → student development</t>
        </is>
      </c>
      <c r="I306" s="18" t="inlineStr">
        <is>
          <t>If employment evidence exposes capability gaps but student development is unchanged, flag outcome-to-learning-loop gap.</t>
        </is>
      </c>
      <c r="J306" s="18" t="inlineStr">
        <is>
          <t>Student development review</t>
        </is>
      </c>
      <c r="K306" s="18" t="inlineStr">
        <is>
          <t>Outcomes inform D06 but are not duplicate D06 scores.</t>
        </is>
      </c>
    </row>
    <row r="307">
      <c r="A307" s="18" t="inlineStr">
        <is>
          <t>CD18</t>
        </is>
      </c>
      <c r="B307" s="18" t="inlineStr">
        <is>
          <t>D09</t>
        </is>
      </c>
      <c r="C307" s="18" t="inlineStr">
        <is>
          <t>I06</t>
        </is>
      </c>
      <c r="D307" s="18" t="inlineStr">
        <is>
          <t>Placement Outcome Quality</t>
        </is>
      </c>
      <c r="E307" s="18" t="inlineStr">
        <is>
          <t>D06</t>
        </is>
      </c>
      <c r="F307" s="18" t="inlineStr">
        <is>
          <t>I14</t>
        </is>
      </c>
      <c r="G307" s="18" t="inlineStr">
        <is>
          <t>Student Voice &amp; Feedback Loop</t>
        </is>
      </c>
      <c r="H307" s="18" t="inlineStr">
        <is>
          <t>External outcomes → student development</t>
        </is>
      </c>
      <c r="I307" s="18" t="inlineStr">
        <is>
          <t>If employment evidence exposes capability gaps but student development is unchanged, flag outcome-to-learning-loop gap.</t>
        </is>
      </c>
      <c r="J307" s="18" t="inlineStr">
        <is>
          <t>Student development review</t>
        </is>
      </c>
      <c r="K307" s="18" t="inlineStr">
        <is>
          <t>Outcomes inform D06 but are not duplicate D06 scores.</t>
        </is>
      </c>
    </row>
    <row r="308">
      <c r="A308" s="18" t="inlineStr">
        <is>
          <t>CD18</t>
        </is>
      </c>
      <c r="B308" s="18" t="inlineStr">
        <is>
          <t>D09</t>
        </is>
      </c>
      <c r="C308" s="18" t="inlineStr">
        <is>
          <t>I07</t>
        </is>
      </c>
      <c r="D308" s="18" t="inlineStr">
        <is>
          <t>Career Adaptability</t>
        </is>
      </c>
      <c r="E308" s="18" t="inlineStr">
        <is>
          <t>D06</t>
        </is>
      </c>
      <c r="F308" s="18" t="inlineStr">
        <is>
          <t>I07</t>
        </is>
      </c>
      <c r="G308" s="18" t="inlineStr">
        <is>
          <t>Practical Capability</t>
        </is>
      </c>
      <c r="H308" s="18" t="inlineStr">
        <is>
          <t>External outcomes → student development</t>
        </is>
      </c>
      <c r="I308" s="18" t="inlineStr">
        <is>
          <t>If employment evidence exposes capability gaps but student development is unchanged, flag outcome-to-learning-loop gap.</t>
        </is>
      </c>
      <c r="J308" s="18" t="inlineStr">
        <is>
          <t>Student development review</t>
        </is>
      </c>
      <c r="K308" s="18" t="inlineStr">
        <is>
          <t>Outcomes inform D06 but are not duplicate D06 scores.</t>
        </is>
      </c>
    </row>
    <row r="309">
      <c r="A309" s="18" t="inlineStr">
        <is>
          <t>CD18</t>
        </is>
      </c>
      <c r="B309" s="18" t="inlineStr">
        <is>
          <t>D09</t>
        </is>
      </c>
      <c r="C309" s="18" t="inlineStr">
        <is>
          <t>I07</t>
        </is>
      </c>
      <c r="D309" s="18" t="inlineStr">
        <is>
          <t>Career Adaptability</t>
        </is>
      </c>
      <c r="E309" s="18" t="inlineStr">
        <is>
          <t>D06</t>
        </is>
      </c>
      <c r="F309" s="18" t="inlineStr">
        <is>
          <t>I08</t>
        </is>
      </c>
      <c r="G309" s="18" t="inlineStr">
        <is>
          <t>Career Adaptability</t>
        </is>
      </c>
      <c r="H309" s="18" t="inlineStr">
        <is>
          <t>External outcomes → student development</t>
        </is>
      </c>
      <c r="I309" s="18" t="inlineStr">
        <is>
          <t>If employment evidence exposes capability gaps but student development is unchanged, flag outcome-to-learning-loop gap.</t>
        </is>
      </c>
      <c r="J309" s="18" t="inlineStr">
        <is>
          <t>Student development review</t>
        </is>
      </c>
      <c r="K309" s="18" t="inlineStr">
        <is>
          <t>Outcomes inform D06 but are not duplicate D06 scores.</t>
        </is>
      </c>
    </row>
    <row r="310">
      <c r="A310" s="18" t="inlineStr">
        <is>
          <t>CD18</t>
        </is>
      </c>
      <c r="B310" s="18" t="inlineStr">
        <is>
          <t>D09</t>
        </is>
      </c>
      <c r="C310" s="18" t="inlineStr">
        <is>
          <t>I07</t>
        </is>
      </c>
      <c r="D310" s="18" t="inlineStr">
        <is>
          <t>Career Adaptability</t>
        </is>
      </c>
      <c r="E310" s="18" t="inlineStr">
        <is>
          <t>D06</t>
        </is>
      </c>
      <c r="F310" s="18" t="inlineStr">
        <is>
          <t>I09</t>
        </is>
      </c>
      <c r="G310" s="18" t="inlineStr">
        <is>
          <t>Portfolio &amp; Capability Signalling</t>
        </is>
      </c>
      <c r="H310" s="18" t="inlineStr">
        <is>
          <t>External outcomes → student development</t>
        </is>
      </c>
      <c r="I310" s="18" t="inlineStr">
        <is>
          <t>If employment evidence exposes capability gaps but student development is unchanged, flag outcome-to-learning-loop gap.</t>
        </is>
      </c>
      <c r="J310" s="18" t="inlineStr">
        <is>
          <t>Student development review</t>
        </is>
      </c>
      <c r="K310" s="18" t="inlineStr">
        <is>
          <t>Outcomes inform D06 but are not duplicate D06 scores.</t>
        </is>
      </c>
    </row>
    <row r="311">
      <c r="A311" s="18" t="inlineStr">
        <is>
          <t>CD18</t>
        </is>
      </c>
      <c r="B311" s="18" t="inlineStr">
        <is>
          <t>D09</t>
        </is>
      </c>
      <c r="C311" s="18" t="inlineStr">
        <is>
          <t>I07</t>
        </is>
      </c>
      <c r="D311" s="18" t="inlineStr">
        <is>
          <t>Career Adaptability</t>
        </is>
      </c>
      <c r="E311" s="18" t="inlineStr">
        <is>
          <t>D06</t>
        </is>
      </c>
      <c r="F311" s="18" t="inlineStr">
        <is>
          <t>I14</t>
        </is>
      </c>
      <c r="G311" s="18" t="inlineStr">
        <is>
          <t>Student Voice &amp; Feedback Loop</t>
        </is>
      </c>
      <c r="H311" s="18" t="inlineStr">
        <is>
          <t>External outcomes → student development</t>
        </is>
      </c>
      <c r="I311" s="18" t="inlineStr">
        <is>
          <t>If employment evidence exposes capability gaps but student development is unchanged, flag outcome-to-learning-loop gap.</t>
        </is>
      </c>
      <c r="J311" s="18" t="inlineStr">
        <is>
          <t>Student development review</t>
        </is>
      </c>
      <c r="K311" s="18" t="inlineStr">
        <is>
          <t>Outcomes inform D06 but are not duplicate D06 scores.</t>
        </is>
      </c>
    </row>
    <row r="312">
      <c r="A312" s="18" t="inlineStr">
        <is>
          <t>CD18</t>
        </is>
      </c>
      <c r="B312" s="18" t="inlineStr">
        <is>
          <t>D09</t>
        </is>
      </c>
      <c r="C312" s="18" t="inlineStr">
        <is>
          <t>I12</t>
        </is>
      </c>
      <c r="D312" s="18" t="inlineStr">
        <is>
          <t>Alumni Career Intelligence</t>
        </is>
      </c>
      <c r="E312" s="18" t="inlineStr">
        <is>
          <t>D06</t>
        </is>
      </c>
      <c r="F312" s="18" t="inlineStr">
        <is>
          <t>I07</t>
        </is>
      </c>
      <c r="G312" s="18" t="inlineStr">
        <is>
          <t>Practical Capability</t>
        </is>
      </c>
      <c r="H312" s="18" t="inlineStr">
        <is>
          <t>External outcomes → student development</t>
        </is>
      </c>
      <c r="I312" s="18" t="inlineStr">
        <is>
          <t>If employment evidence exposes capability gaps but student development is unchanged, flag outcome-to-learning-loop gap.</t>
        </is>
      </c>
      <c r="J312" s="18" t="inlineStr">
        <is>
          <t>Student development review</t>
        </is>
      </c>
      <c r="K312" s="18" t="inlineStr">
        <is>
          <t>Outcomes inform D06 but are not duplicate D06 scores.</t>
        </is>
      </c>
    </row>
    <row r="313">
      <c r="A313" s="18" t="inlineStr">
        <is>
          <t>CD18</t>
        </is>
      </c>
      <c r="B313" s="18" t="inlineStr">
        <is>
          <t>D09</t>
        </is>
      </c>
      <c r="C313" s="18" t="inlineStr">
        <is>
          <t>I12</t>
        </is>
      </c>
      <c r="D313" s="18" t="inlineStr">
        <is>
          <t>Alumni Career Intelligence</t>
        </is>
      </c>
      <c r="E313" s="18" t="inlineStr">
        <is>
          <t>D06</t>
        </is>
      </c>
      <c r="F313" s="18" t="inlineStr">
        <is>
          <t>I08</t>
        </is>
      </c>
      <c r="G313" s="18" t="inlineStr">
        <is>
          <t>Career Adaptability</t>
        </is>
      </c>
      <c r="H313" s="18" t="inlineStr">
        <is>
          <t>External outcomes → student development</t>
        </is>
      </c>
      <c r="I313" s="18" t="inlineStr">
        <is>
          <t>If employment evidence exposes capability gaps but student development is unchanged, flag outcome-to-learning-loop gap.</t>
        </is>
      </c>
      <c r="J313" s="18" t="inlineStr">
        <is>
          <t>Student development review</t>
        </is>
      </c>
      <c r="K313" s="18" t="inlineStr">
        <is>
          <t>Outcomes inform D06 but are not duplicate D06 scores.</t>
        </is>
      </c>
    </row>
    <row r="314">
      <c r="A314" s="18" t="inlineStr">
        <is>
          <t>CD18</t>
        </is>
      </c>
      <c r="B314" s="18" t="inlineStr">
        <is>
          <t>D09</t>
        </is>
      </c>
      <c r="C314" s="18" t="inlineStr">
        <is>
          <t>I12</t>
        </is>
      </c>
      <c r="D314" s="18" t="inlineStr">
        <is>
          <t>Alumni Career Intelligence</t>
        </is>
      </c>
      <c r="E314" s="18" t="inlineStr">
        <is>
          <t>D06</t>
        </is>
      </c>
      <c r="F314" s="18" t="inlineStr">
        <is>
          <t>I09</t>
        </is>
      </c>
      <c r="G314" s="18" t="inlineStr">
        <is>
          <t>Portfolio &amp; Capability Signalling</t>
        </is>
      </c>
      <c r="H314" s="18" t="inlineStr">
        <is>
          <t>External outcomes → student development</t>
        </is>
      </c>
      <c r="I314" s="18" t="inlineStr">
        <is>
          <t>If employment evidence exposes capability gaps but student development is unchanged, flag outcome-to-learning-loop gap.</t>
        </is>
      </c>
      <c r="J314" s="18" t="inlineStr">
        <is>
          <t>Student development review</t>
        </is>
      </c>
      <c r="K314" s="18" t="inlineStr">
        <is>
          <t>Outcomes inform D06 but are not duplicate D06 scores.</t>
        </is>
      </c>
    </row>
    <row r="315">
      <c r="A315" s="18" t="inlineStr">
        <is>
          <t>CD18</t>
        </is>
      </c>
      <c r="B315" s="18" t="inlineStr">
        <is>
          <t>D09</t>
        </is>
      </c>
      <c r="C315" s="18" t="inlineStr">
        <is>
          <t>I12</t>
        </is>
      </c>
      <c r="D315" s="18" t="inlineStr">
        <is>
          <t>Alumni Career Intelligence</t>
        </is>
      </c>
      <c r="E315" s="18" t="inlineStr">
        <is>
          <t>D06</t>
        </is>
      </c>
      <c r="F315" s="18" t="inlineStr">
        <is>
          <t>I14</t>
        </is>
      </c>
      <c r="G315" s="18" t="inlineStr">
        <is>
          <t>Student Voice &amp; Feedback Loop</t>
        </is>
      </c>
      <c r="H315" s="18" t="inlineStr">
        <is>
          <t>External outcomes → student development</t>
        </is>
      </c>
      <c r="I315" s="18" t="inlineStr">
        <is>
          <t>If employment evidence exposes capability gaps but student development is unchanged, flag outcome-to-learning-loop gap.</t>
        </is>
      </c>
      <c r="J315" s="18" t="inlineStr">
        <is>
          <t>Student development review</t>
        </is>
      </c>
      <c r="K315" s="18" t="inlineStr">
        <is>
          <t>Outcomes inform D06 but are not duplicate D06 scores.</t>
        </is>
      </c>
    </row>
    <row r="316">
      <c r="A316" s="18" t="inlineStr">
        <is>
          <t>CD19</t>
        </is>
      </c>
      <c r="B316" s="18" t="inlineStr">
        <is>
          <t>D10</t>
        </is>
      </c>
      <c r="C316" s="18" t="inlineStr">
        <is>
          <t>I03</t>
        </is>
      </c>
      <c r="D316" s="18" t="inlineStr">
        <is>
          <t>Interdisciplinary Research Capability</t>
        </is>
      </c>
      <c r="E316" s="18" t="inlineStr">
        <is>
          <t>D03</t>
        </is>
      </c>
      <c r="F316" s="18" t="inlineStr">
        <is>
          <t>I05</t>
        </is>
      </c>
      <c r="G316" s="18" t="inlineStr">
        <is>
          <t>Problem Formulation</t>
        </is>
      </c>
      <c r="H316" s="18" t="inlineStr">
        <is>
          <t>Research → human capability</t>
        </is>
      </c>
      <c r="I316" s="18" t="inlineStr">
        <is>
          <t>If research/creator capability is strong but student higher-order capability pathways are absent, flag research-to-learning disconnect.</t>
        </is>
      </c>
      <c r="J316" s="18" t="inlineStr">
        <is>
          <t>Research-learning review</t>
        </is>
      </c>
      <c r="K316" s="18" t="inlineStr">
        <is>
          <t>Research strength does not automatically raise D03.</t>
        </is>
      </c>
    </row>
    <row r="317">
      <c r="A317" s="18" t="inlineStr">
        <is>
          <t>CD19</t>
        </is>
      </c>
      <c r="B317" s="18" t="inlineStr">
        <is>
          <t>D10</t>
        </is>
      </c>
      <c r="C317" s="18" t="inlineStr">
        <is>
          <t>I03</t>
        </is>
      </c>
      <c r="D317" s="18" t="inlineStr">
        <is>
          <t>Interdisciplinary Research Capability</t>
        </is>
      </c>
      <c r="E317" s="18" t="inlineStr">
        <is>
          <t>D03</t>
        </is>
      </c>
      <c r="F317" s="18" t="inlineStr">
        <is>
          <t>I06</t>
        </is>
      </c>
      <c r="G317" s="18" t="inlineStr">
        <is>
          <t>Creativity &amp; Originality</t>
        </is>
      </c>
      <c r="H317" s="18" t="inlineStr">
        <is>
          <t>Research → human capability</t>
        </is>
      </c>
      <c r="I317" s="18" t="inlineStr">
        <is>
          <t>If research/creator capability is strong but student higher-order capability pathways are absent, flag research-to-learning disconnect.</t>
        </is>
      </c>
      <c r="J317" s="18" t="inlineStr">
        <is>
          <t>Research-learning review</t>
        </is>
      </c>
      <c r="K317" s="18" t="inlineStr">
        <is>
          <t>Research strength does not automatically raise D03.</t>
        </is>
      </c>
    </row>
    <row r="318">
      <c r="A318" s="18" t="inlineStr">
        <is>
          <t>CD19</t>
        </is>
      </c>
      <c r="B318" s="18" t="inlineStr">
        <is>
          <t>D10</t>
        </is>
      </c>
      <c r="C318" s="18" t="inlineStr">
        <is>
          <t>I03</t>
        </is>
      </c>
      <c r="D318" s="18" t="inlineStr">
        <is>
          <t>Interdisciplinary Research Capability</t>
        </is>
      </c>
      <c r="E318" s="18" t="inlineStr">
        <is>
          <t>D03</t>
        </is>
      </c>
      <c r="F318" s="18" t="inlineStr">
        <is>
          <t>I07</t>
        </is>
      </c>
      <c r="G318" s="18" t="inlineStr">
        <is>
          <t>Judgement Capability</t>
        </is>
      </c>
      <c r="H318" s="18" t="inlineStr">
        <is>
          <t>Research → human capability</t>
        </is>
      </c>
      <c r="I318" s="18" t="inlineStr">
        <is>
          <t>If research/creator capability is strong but student higher-order capability pathways are absent, flag research-to-learning disconnect.</t>
        </is>
      </c>
      <c r="J318" s="18" t="inlineStr">
        <is>
          <t>Research-learning review</t>
        </is>
      </c>
      <c r="K318" s="18" t="inlineStr">
        <is>
          <t>Research strength does not automatically raise D03.</t>
        </is>
      </c>
    </row>
    <row r="319">
      <c r="A319" s="18" t="inlineStr">
        <is>
          <t>CD19</t>
        </is>
      </c>
      <c r="B319" s="18" t="inlineStr">
        <is>
          <t>D10</t>
        </is>
      </c>
      <c r="C319" s="18" t="inlineStr">
        <is>
          <t>I03</t>
        </is>
      </c>
      <c r="D319" s="18" t="inlineStr">
        <is>
          <t>Interdisciplinary Research Capability</t>
        </is>
      </c>
      <c r="E319" s="18" t="inlineStr">
        <is>
          <t>D03</t>
        </is>
      </c>
      <c r="F319" s="18" t="inlineStr">
        <is>
          <t>I13</t>
        </is>
      </c>
      <c r="G319" s="18" t="inlineStr">
        <is>
          <t>Practical Capability</t>
        </is>
      </c>
      <c r="H319" s="18" t="inlineStr">
        <is>
          <t>Research → human capability</t>
        </is>
      </c>
      <c r="I319" s="18" t="inlineStr">
        <is>
          <t>If research/creator capability is strong but student higher-order capability pathways are absent, flag research-to-learning disconnect.</t>
        </is>
      </c>
      <c r="J319" s="18" t="inlineStr">
        <is>
          <t>Research-learning review</t>
        </is>
      </c>
      <c r="K319" s="18" t="inlineStr">
        <is>
          <t>Research strength does not automatically raise D03.</t>
        </is>
      </c>
    </row>
    <row r="320">
      <c r="A320" s="18" t="inlineStr">
        <is>
          <t>CD19</t>
        </is>
      </c>
      <c r="B320" s="18" t="inlineStr">
        <is>
          <t>D10</t>
        </is>
      </c>
      <c r="C320" s="18" t="inlineStr">
        <is>
          <t>I03</t>
        </is>
      </c>
      <c r="D320" s="18" t="inlineStr">
        <is>
          <t>Interdisciplinary Research Capability</t>
        </is>
      </c>
      <c r="E320" s="18" t="inlineStr">
        <is>
          <t>D03</t>
        </is>
      </c>
      <c r="F320" s="18" t="inlineStr">
        <is>
          <t>I16</t>
        </is>
      </c>
      <c r="G320" s="18" t="inlineStr">
        <is>
          <t>Transfer Capability</t>
        </is>
      </c>
      <c r="H320" s="18" t="inlineStr">
        <is>
          <t>Research → human capability</t>
        </is>
      </c>
      <c r="I320" s="18" t="inlineStr">
        <is>
          <t>If research/creator capability is strong but student higher-order capability pathways are absent, flag research-to-learning disconnect.</t>
        </is>
      </c>
      <c r="J320" s="18" t="inlineStr">
        <is>
          <t>Research-learning review</t>
        </is>
      </c>
      <c r="K320" s="18" t="inlineStr">
        <is>
          <t>Research strength does not automatically raise D03.</t>
        </is>
      </c>
    </row>
    <row r="321">
      <c r="A321" s="18" t="inlineStr">
        <is>
          <t>CD19</t>
        </is>
      </c>
      <c r="B321" s="18" t="inlineStr">
        <is>
          <t>D10</t>
        </is>
      </c>
      <c r="C321" s="18" t="inlineStr">
        <is>
          <t>I08</t>
        </is>
      </c>
      <c r="D321" s="18" t="inlineStr">
        <is>
          <t>Knowledge Translation Capability</t>
        </is>
      </c>
      <c r="E321" s="18" t="inlineStr">
        <is>
          <t>D03</t>
        </is>
      </c>
      <c r="F321" s="18" t="inlineStr">
        <is>
          <t>I05</t>
        </is>
      </c>
      <c r="G321" s="18" t="inlineStr">
        <is>
          <t>Problem Formulation</t>
        </is>
      </c>
      <c r="H321" s="18" t="inlineStr">
        <is>
          <t>Research → human capability</t>
        </is>
      </c>
      <c r="I321" s="18" t="inlineStr">
        <is>
          <t>If research/creator capability is strong but student higher-order capability pathways are absent, flag research-to-learning disconnect.</t>
        </is>
      </c>
      <c r="J321" s="18" t="inlineStr">
        <is>
          <t>Research-learning review</t>
        </is>
      </c>
      <c r="K321" s="18" t="inlineStr">
        <is>
          <t>Research strength does not automatically raise D03.</t>
        </is>
      </c>
    </row>
    <row r="322">
      <c r="A322" s="18" t="inlineStr">
        <is>
          <t>CD19</t>
        </is>
      </c>
      <c r="B322" s="18" t="inlineStr">
        <is>
          <t>D10</t>
        </is>
      </c>
      <c r="C322" s="18" t="inlineStr">
        <is>
          <t>I08</t>
        </is>
      </c>
      <c r="D322" s="18" t="inlineStr">
        <is>
          <t>Knowledge Translation Capability</t>
        </is>
      </c>
      <c r="E322" s="18" t="inlineStr">
        <is>
          <t>D03</t>
        </is>
      </c>
      <c r="F322" s="18" t="inlineStr">
        <is>
          <t>I06</t>
        </is>
      </c>
      <c r="G322" s="18" t="inlineStr">
        <is>
          <t>Creativity &amp; Originality</t>
        </is>
      </c>
      <c r="H322" s="18" t="inlineStr">
        <is>
          <t>Research → human capability</t>
        </is>
      </c>
      <c r="I322" s="18" t="inlineStr">
        <is>
          <t>If research/creator capability is strong but student higher-order capability pathways are absent, flag research-to-learning disconnect.</t>
        </is>
      </c>
      <c r="J322" s="18" t="inlineStr">
        <is>
          <t>Research-learning review</t>
        </is>
      </c>
      <c r="K322" s="18" t="inlineStr">
        <is>
          <t>Research strength does not automatically raise D03.</t>
        </is>
      </c>
    </row>
    <row r="323">
      <c r="A323" s="18" t="inlineStr">
        <is>
          <t>CD19</t>
        </is>
      </c>
      <c r="B323" s="18" t="inlineStr">
        <is>
          <t>D10</t>
        </is>
      </c>
      <c r="C323" s="18" t="inlineStr">
        <is>
          <t>I08</t>
        </is>
      </c>
      <c r="D323" s="18" t="inlineStr">
        <is>
          <t>Knowledge Translation Capability</t>
        </is>
      </c>
      <c r="E323" s="18" t="inlineStr">
        <is>
          <t>D03</t>
        </is>
      </c>
      <c r="F323" s="18" t="inlineStr">
        <is>
          <t>I07</t>
        </is>
      </c>
      <c r="G323" s="18" t="inlineStr">
        <is>
          <t>Judgement Capability</t>
        </is>
      </c>
      <c r="H323" s="18" t="inlineStr">
        <is>
          <t>Research → human capability</t>
        </is>
      </c>
      <c r="I323" s="18" t="inlineStr">
        <is>
          <t>If research/creator capability is strong but student higher-order capability pathways are absent, flag research-to-learning disconnect.</t>
        </is>
      </c>
      <c r="J323" s="18" t="inlineStr">
        <is>
          <t>Research-learning review</t>
        </is>
      </c>
      <c r="K323" s="18" t="inlineStr">
        <is>
          <t>Research strength does not automatically raise D03.</t>
        </is>
      </c>
    </row>
    <row r="324">
      <c r="A324" s="18" t="inlineStr">
        <is>
          <t>CD19</t>
        </is>
      </c>
      <c r="B324" s="18" t="inlineStr">
        <is>
          <t>D10</t>
        </is>
      </c>
      <c r="C324" s="18" t="inlineStr">
        <is>
          <t>I08</t>
        </is>
      </c>
      <c r="D324" s="18" t="inlineStr">
        <is>
          <t>Knowledge Translation Capability</t>
        </is>
      </c>
      <c r="E324" s="18" t="inlineStr">
        <is>
          <t>D03</t>
        </is>
      </c>
      <c r="F324" s="18" t="inlineStr">
        <is>
          <t>I13</t>
        </is>
      </c>
      <c r="G324" s="18" t="inlineStr">
        <is>
          <t>Practical Capability</t>
        </is>
      </c>
      <c r="H324" s="18" t="inlineStr">
        <is>
          <t>Research → human capability</t>
        </is>
      </c>
      <c r="I324" s="18" t="inlineStr">
        <is>
          <t>If research/creator capability is strong but student higher-order capability pathways are absent, flag research-to-learning disconnect.</t>
        </is>
      </c>
      <c r="J324" s="18" t="inlineStr">
        <is>
          <t>Research-learning review</t>
        </is>
      </c>
      <c r="K324" s="18" t="inlineStr">
        <is>
          <t>Research strength does not automatically raise D03.</t>
        </is>
      </c>
    </row>
    <row r="325">
      <c r="A325" s="18" t="inlineStr">
        <is>
          <t>CD19</t>
        </is>
      </c>
      <c r="B325" s="18" t="inlineStr">
        <is>
          <t>D10</t>
        </is>
      </c>
      <c r="C325" s="18" t="inlineStr">
        <is>
          <t>I08</t>
        </is>
      </c>
      <c r="D325" s="18" t="inlineStr">
        <is>
          <t>Knowledge Translation Capability</t>
        </is>
      </c>
      <c r="E325" s="18" t="inlineStr">
        <is>
          <t>D03</t>
        </is>
      </c>
      <c r="F325" s="18" t="inlineStr">
        <is>
          <t>I16</t>
        </is>
      </c>
      <c r="G325" s="18" t="inlineStr">
        <is>
          <t>Transfer Capability</t>
        </is>
      </c>
      <c r="H325" s="18" t="inlineStr">
        <is>
          <t>Research → human capability</t>
        </is>
      </c>
      <c r="I325" s="18" t="inlineStr">
        <is>
          <t>If research/creator capability is strong but student higher-order capability pathways are absent, flag research-to-learning disconnect.</t>
        </is>
      </c>
      <c r="J325" s="18" t="inlineStr">
        <is>
          <t>Research-learning review</t>
        </is>
      </c>
      <c r="K325" s="18" t="inlineStr">
        <is>
          <t>Research strength does not automatically raise D03.</t>
        </is>
      </c>
    </row>
    <row r="326">
      <c r="A326" s="18" t="inlineStr">
        <is>
          <t>CD19</t>
        </is>
      </c>
      <c r="B326" s="18" t="inlineStr">
        <is>
          <t>D10</t>
        </is>
      </c>
      <c r="C326" s="18" t="inlineStr">
        <is>
          <t>I14</t>
        </is>
      </c>
      <c r="D326" s="18" t="inlineStr">
        <is>
          <t>Student Research Capability</t>
        </is>
      </c>
      <c r="E326" s="18" t="inlineStr">
        <is>
          <t>D03</t>
        </is>
      </c>
      <c r="F326" s="18" t="inlineStr">
        <is>
          <t>I05</t>
        </is>
      </c>
      <c r="G326" s="18" t="inlineStr">
        <is>
          <t>Problem Formulation</t>
        </is>
      </c>
      <c r="H326" s="18" t="inlineStr">
        <is>
          <t>Research → human capability</t>
        </is>
      </c>
      <c r="I326" s="18" t="inlineStr">
        <is>
          <t>If research/creator capability is strong but student higher-order capability pathways are absent, flag research-to-learning disconnect.</t>
        </is>
      </c>
      <c r="J326" s="18" t="inlineStr">
        <is>
          <t>Research-learning review</t>
        </is>
      </c>
      <c r="K326" s="18" t="inlineStr">
        <is>
          <t>Research strength does not automatically raise D03.</t>
        </is>
      </c>
    </row>
    <row r="327">
      <c r="A327" s="18" t="inlineStr">
        <is>
          <t>CD19</t>
        </is>
      </c>
      <c r="B327" s="18" t="inlineStr">
        <is>
          <t>D10</t>
        </is>
      </c>
      <c r="C327" s="18" t="inlineStr">
        <is>
          <t>I14</t>
        </is>
      </c>
      <c r="D327" s="18" t="inlineStr">
        <is>
          <t>Student Research Capability</t>
        </is>
      </c>
      <c r="E327" s="18" t="inlineStr">
        <is>
          <t>D03</t>
        </is>
      </c>
      <c r="F327" s="18" t="inlineStr">
        <is>
          <t>I06</t>
        </is>
      </c>
      <c r="G327" s="18" t="inlineStr">
        <is>
          <t>Creativity &amp; Originality</t>
        </is>
      </c>
      <c r="H327" s="18" t="inlineStr">
        <is>
          <t>Research → human capability</t>
        </is>
      </c>
      <c r="I327" s="18" t="inlineStr">
        <is>
          <t>If research/creator capability is strong but student higher-order capability pathways are absent, flag research-to-learning disconnect.</t>
        </is>
      </c>
      <c r="J327" s="18" t="inlineStr">
        <is>
          <t>Research-learning review</t>
        </is>
      </c>
      <c r="K327" s="18" t="inlineStr">
        <is>
          <t>Research strength does not automatically raise D03.</t>
        </is>
      </c>
    </row>
    <row r="328">
      <c r="A328" s="18" t="inlineStr">
        <is>
          <t>CD19</t>
        </is>
      </c>
      <c r="B328" s="18" t="inlineStr">
        <is>
          <t>D10</t>
        </is>
      </c>
      <c r="C328" s="18" t="inlineStr">
        <is>
          <t>I14</t>
        </is>
      </c>
      <c r="D328" s="18" t="inlineStr">
        <is>
          <t>Student Research Capability</t>
        </is>
      </c>
      <c r="E328" s="18" t="inlineStr">
        <is>
          <t>D03</t>
        </is>
      </c>
      <c r="F328" s="18" t="inlineStr">
        <is>
          <t>I07</t>
        </is>
      </c>
      <c r="G328" s="18" t="inlineStr">
        <is>
          <t>Judgement Capability</t>
        </is>
      </c>
      <c r="H328" s="18" t="inlineStr">
        <is>
          <t>Research → human capability</t>
        </is>
      </c>
      <c r="I328" s="18" t="inlineStr">
        <is>
          <t>If research/creator capability is strong but student higher-order capability pathways are absent, flag research-to-learning disconnect.</t>
        </is>
      </c>
      <c r="J328" s="18" t="inlineStr">
        <is>
          <t>Research-learning review</t>
        </is>
      </c>
      <c r="K328" s="18" t="inlineStr">
        <is>
          <t>Research strength does not automatically raise D03.</t>
        </is>
      </c>
    </row>
    <row r="329">
      <c r="A329" s="18" t="inlineStr">
        <is>
          <t>CD19</t>
        </is>
      </c>
      <c r="B329" s="18" t="inlineStr">
        <is>
          <t>D10</t>
        </is>
      </c>
      <c r="C329" s="18" t="inlineStr">
        <is>
          <t>I14</t>
        </is>
      </c>
      <c r="D329" s="18" t="inlineStr">
        <is>
          <t>Student Research Capability</t>
        </is>
      </c>
      <c r="E329" s="18" t="inlineStr">
        <is>
          <t>D03</t>
        </is>
      </c>
      <c r="F329" s="18" t="inlineStr">
        <is>
          <t>I13</t>
        </is>
      </c>
      <c r="G329" s="18" t="inlineStr">
        <is>
          <t>Practical Capability</t>
        </is>
      </c>
      <c r="H329" s="18" t="inlineStr">
        <is>
          <t>Research → human capability</t>
        </is>
      </c>
      <c r="I329" s="18" t="inlineStr">
        <is>
          <t>If research/creator capability is strong but student higher-order capability pathways are absent, flag research-to-learning disconnect.</t>
        </is>
      </c>
      <c r="J329" s="18" t="inlineStr">
        <is>
          <t>Research-learning review</t>
        </is>
      </c>
      <c r="K329" s="18" t="inlineStr">
        <is>
          <t>Research strength does not automatically raise D03.</t>
        </is>
      </c>
    </row>
    <row r="330">
      <c r="A330" s="18" t="inlineStr">
        <is>
          <t>CD19</t>
        </is>
      </c>
      <c r="B330" s="18" t="inlineStr">
        <is>
          <t>D10</t>
        </is>
      </c>
      <c r="C330" s="18" t="inlineStr">
        <is>
          <t>I14</t>
        </is>
      </c>
      <c r="D330" s="18" t="inlineStr">
        <is>
          <t>Student Research Capability</t>
        </is>
      </c>
      <c r="E330" s="18" t="inlineStr">
        <is>
          <t>D03</t>
        </is>
      </c>
      <c r="F330" s="18" t="inlineStr">
        <is>
          <t>I16</t>
        </is>
      </c>
      <c r="G330" s="18" t="inlineStr">
        <is>
          <t>Transfer Capability</t>
        </is>
      </c>
      <c r="H330" s="18" t="inlineStr">
        <is>
          <t>Research → human capability</t>
        </is>
      </c>
      <c r="I330" s="18" t="inlineStr">
        <is>
          <t>If research/creator capability is strong but student higher-order capability pathways are absent, flag research-to-learning disconnect.</t>
        </is>
      </c>
      <c r="J330" s="18" t="inlineStr">
        <is>
          <t>Research-learning review</t>
        </is>
      </c>
      <c r="K330" s="18" t="inlineStr">
        <is>
          <t>Research strength does not automatically raise D03.</t>
        </is>
      </c>
    </row>
    <row r="331">
      <c r="A331" s="18" t="inlineStr">
        <is>
          <t>CD20</t>
        </is>
      </c>
      <c r="B331" s="18" t="inlineStr">
        <is>
          <t>D10</t>
        </is>
      </c>
      <c r="C331" s="18" t="inlineStr">
        <is>
          <t>I08</t>
        </is>
      </c>
      <c r="D331" s="18" t="inlineStr">
        <is>
          <t>Knowledge Translation Capability</t>
        </is>
      </c>
      <c r="E331" s="18" t="inlineStr">
        <is>
          <t>D09</t>
        </is>
      </c>
      <c r="F331" s="18" t="inlineStr">
        <is>
          <t>I05</t>
        </is>
      </c>
      <c r="G331" s="18" t="inlineStr">
        <is>
          <t>Recruiter Confidence</t>
        </is>
      </c>
      <c r="H331" s="18" t="inlineStr">
        <is>
          <t>Research/innovation → external value</t>
        </is>
      </c>
      <c r="I331" s="18" t="inlineStr">
        <is>
          <t>If translation/industry/impact claims are strong but external value evidence is weak, flag research-to-value gap.</t>
        </is>
      </c>
      <c r="J331" s="18" t="inlineStr">
        <is>
          <t>Translation review</t>
        </is>
      </c>
      <c r="K331" s="18" t="inlineStr">
        <is>
          <t>Do not double count impact evidence.</t>
        </is>
      </c>
    </row>
    <row r="332">
      <c r="A332" s="18" t="inlineStr">
        <is>
          <t>CD20</t>
        </is>
      </c>
      <c r="B332" s="18" t="inlineStr">
        <is>
          <t>D10</t>
        </is>
      </c>
      <c r="C332" s="18" t="inlineStr">
        <is>
          <t>I08</t>
        </is>
      </c>
      <c r="D332" s="18" t="inlineStr">
        <is>
          <t>Knowledge Translation Capability</t>
        </is>
      </c>
      <c r="E332" s="18" t="inlineStr">
        <is>
          <t>D09</t>
        </is>
      </c>
      <c r="F332" s="18" t="inlineStr">
        <is>
          <t>I10</t>
        </is>
      </c>
      <c r="G332" s="18" t="inlineStr">
        <is>
          <t>Industry Co-Creation</t>
        </is>
      </c>
      <c r="H332" s="18" t="inlineStr">
        <is>
          <t>Research/innovation → external value</t>
        </is>
      </c>
      <c r="I332" s="18" t="inlineStr">
        <is>
          <t>If translation/industry/impact claims are strong but external value evidence is weak, flag research-to-value gap.</t>
        </is>
      </c>
      <c r="J332" s="18" t="inlineStr">
        <is>
          <t>Translation review</t>
        </is>
      </c>
      <c r="K332" s="18" t="inlineStr">
        <is>
          <t>Do not double count impact evidence.</t>
        </is>
      </c>
    </row>
    <row r="333">
      <c r="A333" s="18" t="inlineStr">
        <is>
          <t>CD20</t>
        </is>
      </c>
      <c r="B333" s="18" t="inlineStr">
        <is>
          <t>D10</t>
        </is>
      </c>
      <c r="C333" s="18" t="inlineStr">
        <is>
          <t>I08</t>
        </is>
      </c>
      <c r="D333" s="18" t="inlineStr">
        <is>
          <t>Knowledge Translation Capability</t>
        </is>
      </c>
      <c r="E333" s="18" t="inlineStr">
        <is>
          <t>D09</t>
        </is>
      </c>
      <c r="F333" s="18" t="inlineStr">
        <is>
          <t>I11</t>
        </is>
      </c>
      <c r="G333" s="18" t="inlineStr">
        <is>
          <t>Regional/Economic Relevance</t>
        </is>
      </c>
      <c r="H333" s="18" t="inlineStr">
        <is>
          <t>Research/innovation → external value</t>
        </is>
      </c>
      <c r="I333" s="18" t="inlineStr">
        <is>
          <t>If translation/industry/impact claims are strong but external value evidence is weak, flag research-to-value gap.</t>
        </is>
      </c>
      <c r="J333" s="18" t="inlineStr">
        <is>
          <t>Translation review</t>
        </is>
      </c>
      <c r="K333" s="18" t="inlineStr">
        <is>
          <t>Do not double count impact evidence.</t>
        </is>
      </c>
    </row>
    <row r="334">
      <c r="A334" s="18" t="inlineStr">
        <is>
          <t>CD20</t>
        </is>
      </c>
      <c r="B334" s="18" t="inlineStr">
        <is>
          <t>D10</t>
        </is>
      </c>
      <c r="C334" s="18" t="inlineStr">
        <is>
          <t>I08</t>
        </is>
      </c>
      <c r="D334" s="18" t="inlineStr">
        <is>
          <t>Knowledge Translation Capability</t>
        </is>
      </c>
      <c r="E334" s="18" t="inlineStr">
        <is>
          <t>D09</t>
        </is>
      </c>
      <c r="F334" s="18" t="inlineStr">
        <is>
          <t>I12</t>
        </is>
      </c>
      <c r="G334" s="18" t="inlineStr">
        <is>
          <t>Alumni Career Intelligence</t>
        </is>
      </c>
      <c r="H334" s="18" t="inlineStr">
        <is>
          <t>Research/innovation → external value</t>
        </is>
      </c>
      <c r="I334" s="18" t="inlineStr">
        <is>
          <t>If translation/industry/impact claims are strong but external value evidence is weak, flag research-to-value gap.</t>
        </is>
      </c>
      <c r="J334" s="18" t="inlineStr">
        <is>
          <t>Translation review</t>
        </is>
      </c>
      <c r="K334" s="18" t="inlineStr">
        <is>
          <t>Do not double count impact evidence.</t>
        </is>
      </c>
    </row>
    <row r="335">
      <c r="A335" s="18" t="inlineStr">
        <is>
          <t>CD20</t>
        </is>
      </c>
      <c r="B335" s="18" t="inlineStr">
        <is>
          <t>D10</t>
        </is>
      </c>
      <c r="C335" s="18" t="inlineStr">
        <is>
          <t>I09</t>
        </is>
      </c>
      <c r="D335" s="18" t="inlineStr">
        <is>
          <t>Industry-Linked Research</t>
        </is>
      </c>
      <c r="E335" s="18" t="inlineStr">
        <is>
          <t>D09</t>
        </is>
      </c>
      <c r="F335" s="18" t="inlineStr">
        <is>
          <t>I05</t>
        </is>
      </c>
      <c r="G335" s="18" t="inlineStr">
        <is>
          <t>Recruiter Confidence</t>
        </is>
      </c>
      <c r="H335" s="18" t="inlineStr">
        <is>
          <t>Research/innovation → external value</t>
        </is>
      </c>
      <c r="I335" s="18" t="inlineStr">
        <is>
          <t>If translation/industry/impact claims are strong but external value evidence is weak, flag research-to-value gap.</t>
        </is>
      </c>
      <c r="J335" s="18" t="inlineStr">
        <is>
          <t>Translation review</t>
        </is>
      </c>
      <c r="K335" s="18" t="inlineStr">
        <is>
          <t>Do not double count impact evidence.</t>
        </is>
      </c>
    </row>
    <row r="336">
      <c r="A336" s="18" t="inlineStr">
        <is>
          <t>CD20</t>
        </is>
      </c>
      <c r="B336" s="18" t="inlineStr">
        <is>
          <t>D10</t>
        </is>
      </c>
      <c r="C336" s="18" t="inlineStr">
        <is>
          <t>I09</t>
        </is>
      </c>
      <c r="D336" s="18" t="inlineStr">
        <is>
          <t>Industry-Linked Research</t>
        </is>
      </c>
      <c r="E336" s="18" t="inlineStr">
        <is>
          <t>D09</t>
        </is>
      </c>
      <c r="F336" s="18" t="inlineStr">
        <is>
          <t>I10</t>
        </is>
      </c>
      <c r="G336" s="18" t="inlineStr">
        <is>
          <t>Industry Co-Creation</t>
        </is>
      </c>
      <c r="H336" s="18" t="inlineStr">
        <is>
          <t>Research/innovation → external value</t>
        </is>
      </c>
      <c r="I336" s="18" t="inlineStr">
        <is>
          <t>If translation/industry/impact claims are strong but external value evidence is weak, flag research-to-value gap.</t>
        </is>
      </c>
      <c r="J336" s="18" t="inlineStr">
        <is>
          <t>Translation review</t>
        </is>
      </c>
      <c r="K336" s="18" t="inlineStr">
        <is>
          <t>Do not double count impact evidence.</t>
        </is>
      </c>
    </row>
    <row r="337">
      <c r="A337" s="18" t="inlineStr">
        <is>
          <t>CD20</t>
        </is>
      </c>
      <c r="B337" s="18" t="inlineStr">
        <is>
          <t>D10</t>
        </is>
      </c>
      <c r="C337" s="18" t="inlineStr">
        <is>
          <t>I09</t>
        </is>
      </c>
      <c r="D337" s="18" t="inlineStr">
        <is>
          <t>Industry-Linked Research</t>
        </is>
      </c>
      <c r="E337" s="18" t="inlineStr">
        <is>
          <t>D09</t>
        </is>
      </c>
      <c r="F337" s="18" t="inlineStr">
        <is>
          <t>I11</t>
        </is>
      </c>
      <c r="G337" s="18" t="inlineStr">
        <is>
          <t>Regional/Economic Relevance</t>
        </is>
      </c>
      <c r="H337" s="18" t="inlineStr">
        <is>
          <t>Research/innovation → external value</t>
        </is>
      </c>
      <c r="I337" s="18" t="inlineStr">
        <is>
          <t>If translation/industry/impact claims are strong but external value evidence is weak, flag research-to-value gap.</t>
        </is>
      </c>
      <c r="J337" s="18" t="inlineStr">
        <is>
          <t>Translation review</t>
        </is>
      </c>
      <c r="K337" s="18" t="inlineStr">
        <is>
          <t>Do not double count impact evidence.</t>
        </is>
      </c>
    </row>
    <row r="338">
      <c r="A338" s="18" t="inlineStr">
        <is>
          <t>CD20</t>
        </is>
      </c>
      <c r="B338" s="18" t="inlineStr">
        <is>
          <t>D10</t>
        </is>
      </c>
      <c r="C338" s="18" t="inlineStr">
        <is>
          <t>I09</t>
        </is>
      </c>
      <c r="D338" s="18" t="inlineStr">
        <is>
          <t>Industry-Linked Research</t>
        </is>
      </c>
      <c r="E338" s="18" t="inlineStr">
        <is>
          <t>D09</t>
        </is>
      </c>
      <c r="F338" s="18" t="inlineStr">
        <is>
          <t>I12</t>
        </is>
      </c>
      <c r="G338" s="18" t="inlineStr">
        <is>
          <t>Alumni Career Intelligence</t>
        </is>
      </c>
      <c r="H338" s="18" t="inlineStr">
        <is>
          <t>Research/innovation → external value</t>
        </is>
      </c>
      <c r="I338" s="18" t="inlineStr">
        <is>
          <t>If translation/industry/impact claims are strong but external value evidence is weak, flag research-to-value gap.</t>
        </is>
      </c>
      <c r="J338" s="18" t="inlineStr">
        <is>
          <t>Translation review</t>
        </is>
      </c>
      <c r="K338" s="18" t="inlineStr">
        <is>
          <t>Do not double count impact evidence.</t>
        </is>
      </c>
    </row>
    <row r="339">
      <c r="A339" s="18" t="inlineStr">
        <is>
          <t>CD20</t>
        </is>
      </c>
      <c r="B339" s="18" t="inlineStr">
        <is>
          <t>D10</t>
        </is>
      </c>
      <c r="C339" s="18" t="inlineStr">
        <is>
          <t>I10</t>
        </is>
      </c>
      <c r="D339" s="18" t="inlineStr">
        <is>
          <t>Research-to-Innovation Pipeline</t>
        </is>
      </c>
      <c r="E339" s="18" t="inlineStr">
        <is>
          <t>D09</t>
        </is>
      </c>
      <c r="F339" s="18" t="inlineStr">
        <is>
          <t>I05</t>
        </is>
      </c>
      <c r="G339" s="18" t="inlineStr">
        <is>
          <t>Recruiter Confidence</t>
        </is>
      </c>
      <c r="H339" s="18" t="inlineStr">
        <is>
          <t>Research/innovation → external value</t>
        </is>
      </c>
      <c r="I339" s="18" t="inlineStr">
        <is>
          <t>If translation/industry/impact claims are strong but external value evidence is weak, flag research-to-value gap.</t>
        </is>
      </c>
      <c r="J339" s="18" t="inlineStr">
        <is>
          <t>Translation review</t>
        </is>
      </c>
      <c r="K339" s="18" t="inlineStr">
        <is>
          <t>Do not double count impact evidence.</t>
        </is>
      </c>
    </row>
    <row r="340">
      <c r="A340" s="18" t="inlineStr">
        <is>
          <t>CD20</t>
        </is>
      </c>
      <c r="B340" s="18" t="inlineStr">
        <is>
          <t>D10</t>
        </is>
      </c>
      <c r="C340" s="18" t="inlineStr">
        <is>
          <t>I10</t>
        </is>
      </c>
      <c r="D340" s="18" t="inlineStr">
        <is>
          <t>Research-to-Innovation Pipeline</t>
        </is>
      </c>
      <c r="E340" s="18" t="inlineStr">
        <is>
          <t>D09</t>
        </is>
      </c>
      <c r="F340" s="18" t="inlineStr">
        <is>
          <t>I10</t>
        </is>
      </c>
      <c r="G340" s="18" t="inlineStr">
        <is>
          <t>Industry Co-Creation</t>
        </is>
      </c>
      <c r="H340" s="18" t="inlineStr">
        <is>
          <t>Research/innovation → external value</t>
        </is>
      </c>
      <c r="I340" s="18" t="inlineStr">
        <is>
          <t>If translation/industry/impact claims are strong but external value evidence is weak, flag research-to-value gap.</t>
        </is>
      </c>
      <c r="J340" s="18" t="inlineStr">
        <is>
          <t>Translation review</t>
        </is>
      </c>
      <c r="K340" s="18" t="inlineStr">
        <is>
          <t>Do not double count impact evidence.</t>
        </is>
      </c>
    </row>
    <row r="341">
      <c r="A341" s="18" t="inlineStr">
        <is>
          <t>CD20</t>
        </is>
      </c>
      <c r="B341" s="18" t="inlineStr">
        <is>
          <t>D10</t>
        </is>
      </c>
      <c r="C341" s="18" t="inlineStr">
        <is>
          <t>I10</t>
        </is>
      </c>
      <c r="D341" s="18" t="inlineStr">
        <is>
          <t>Research-to-Innovation Pipeline</t>
        </is>
      </c>
      <c r="E341" s="18" t="inlineStr">
        <is>
          <t>D09</t>
        </is>
      </c>
      <c r="F341" s="18" t="inlineStr">
        <is>
          <t>I11</t>
        </is>
      </c>
      <c r="G341" s="18" t="inlineStr">
        <is>
          <t>Regional/Economic Relevance</t>
        </is>
      </c>
      <c r="H341" s="18" t="inlineStr">
        <is>
          <t>Research/innovation → external value</t>
        </is>
      </c>
      <c r="I341" s="18" t="inlineStr">
        <is>
          <t>If translation/industry/impact claims are strong but external value evidence is weak, flag research-to-value gap.</t>
        </is>
      </c>
      <c r="J341" s="18" t="inlineStr">
        <is>
          <t>Translation review</t>
        </is>
      </c>
      <c r="K341" s="18" t="inlineStr">
        <is>
          <t>Do not double count impact evidence.</t>
        </is>
      </c>
    </row>
    <row r="342">
      <c r="A342" s="18" t="inlineStr">
        <is>
          <t>CD20</t>
        </is>
      </c>
      <c r="B342" s="18" t="inlineStr">
        <is>
          <t>D10</t>
        </is>
      </c>
      <c r="C342" s="18" t="inlineStr">
        <is>
          <t>I10</t>
        </is>
      </c>
      <c r="D342" s="18" t="inlineStr">
        <is>
          <t>Research-to-Innovation Pipeline</t>
        </is>
      </c>
      <c r="E342" s="18" t="inlineStr">
        <is>
          <t>D09</t>
        </is>
      </c>
      <c r="F342" s="18" t="inlineStr">
        <is>
          <t>I12</t>
        </is>
      </c>
      <c r="G342" s="18" t="inlineStr">
        <is>
          <t>Alumni Career Intelligence</t>
        </is>
      </c>
      <c r="H342" s="18" t="inlineStr">
        <is>
          <t>Research/innovation → external value</t>
        </is>
      </c>
      <c r="I342" s="18" t="inlineStr">
        <is>
          <t>If translation/industry/impact claims are strong but external value evidence is weak, flag research-to-value gap.</t>
        </is>
      </c>
      <c r="J342" s="18" t="inlineStr">
        <is>
          <t>Translation review</t>
        </is>
      </c>
      <c r="K342" s="18" t="inlineStr">
        <is>
          <t>Do not double count impact evidence.</t>
        </is>
      </c>
    </row>
    <row r="343">
      <c r="A343" s="18" t="inlineStr">
        <is>
          <t>CD20</t>
        </is>
      </c>
      <c r="B343" s="18" t="inlineStr">
        <is>
          <t>D10</t>
        </is>
      </c>
      <c r="C343" s="18" t="inlineStr">
        <is>
          <t>I13</t>
        </is>
      </c>
      <c r="D343" s="18" t="inlineStr">
        <is>
          <t>Research Impact Evidence</t>
        </is>
      </c>
      <c r="E343" s="18" t="inlineStr">
        <is>
          <t>D09</t>
        </is>
      </c>
      <c r="F343" s="18" t="inlineStr">
        <is>
          <t>I05</t>
        </is>
      </c>
      <c r="G343" s="18" t="inlineStr">
        <is>
          <t>Recruiter Confidence</t>
        </is>
      </c>
      <c r="H343" s="18" t="inlineStr">
        <is>
          <t>Research/innovation → external value</t>
        </is>
      </c>
      <c r="I343" s="18" t="inlineStr">
        <is>
          <t>If translation/industry/impact claims are strong but external value evidence is weak, flag research-to-value gap.</t>
        </is>
      </c>
      <c r="J343" s="18" t="inlineStr">
        <is>
          <t>Translation review</t>
        </is>
      </c>
      <c r="K343" s="18" t="inlineStr">
        <is>
          <t>Do not double count impact evidence.</t>
        </is>
      </c>
    </row>
    <row r="344">
      <c r="A344" s="18" t="inlineStr">
        <is>
          <t>CD20</t>
        </is>
      </c>
      <c r="B344" s="18" t="inlineStr">
        <is>
          <t>D10</t>
        </is>
      </c>
      <c r="C344" s="18" t="inlineStr">
        <is>
          <t>I13</t>
        </is>
      </c>
      <c r="D344" s="18" t="inlineStr">
        <is>
          <t>Research Impact Evidence</t>
        </is>
      </c>
      <c r="E344" s="18" t="inlineStr">
        <is>
          <t>D09</t>
        </is>
      </c>
      <c r="F344" s="18" t="inlineStr">
        <is>
          <t>I10</t>
        </is>
      </c>
      <c r="G344" s="18" t="inlineStr">
        <is>
          <t>Industry Co-Creation</t>
        </is>
      </c>
      <c r="H344" s="18" t="inlineStr">
        <is>
          <t>Research/innovation → external value</t>
        </is>
      </c>
      <c r="I344" s="18" t="inlineStr">
        <is>
          <t>If translation/industry/impact claims are strong but external value evidence is weak, flag research-to-value gap.</t>
        </is>
      </c>
      <c r="J344" s="18" t="inlineStr">
        <is>
          <t>Translation review</t>
        </is>
      </c>
      <c r="K344" s="18" t="inlineStr">
        <is>
          <t>Do not double count impact evidence.</t>
        </is>
      </c>
    </row>
    <row r="345">
      <c r="A345" s="18" t="inlineStr">
        <is>
          <t>CD20</t>
        </is>
      </c>
      <c r="B345" s="18" t="inlineStr">
        <is>
          <t>D10</t>
        </is>
      </c>
      <c r="C345" s="18" t="inlineStr">
        <is>
          <t>I13</t>
        </is>
      </c>
      <c r="D345" s="18" t="inlineStr">
        <is>
          <t>Research Impact Evidence</t>
        </is>
      </c>
      <c r="E345" s="18" t="inlineStr">
        <is>
          <t>D09</t>
        </is>
      </c>
      <c r="F345" s="18" t="inlineStr">
        <is>
          <t>I11</t>
        </is>
      </c>
      <c r="G345" s="18" t="inlineStr">
        <is>
          <t>Regional/Economic Relevance</t>
        </is>
      </c>
      <c r="H345" s="18" t="inlineStr">
        <is>
          <t>Research/innovation → external value</t>
        </is>
      </c>
      <c r="I345" s="18" t="inlineStr">
        <is>
          <t>If translation/industry/impact claims are strong but external value evidence is weak, flag research-to-value gap.</t>
        </is>
      </c>
      <c r="J345" s="18" t="inlineStr">
        <is>
          <t>Translation review</t>
        </is>
      </c>
      <c r="K345" s="18" t="inlineStr">
        <is>
          <t>Do not double count impact evidence.</t>
        </is>
      </c>
    </row>
    <row r="346">
      <c r="A346" s="18" t="inlineStr">
        <is>
          <t>CD20</t>
        </is>
      </c>
      <c r="B346" s="18" t="inlineStr">
        <is>
          <t>D10</t>
        </is>
      </c>
      <c r="C346" s="18" t="inlineStr">
        <is>
          <t>I13</t>
        </is>
      </c>
      <c r="D346" s="18" t="inlineStr">
        <is>
          <t>Research Impact Evidence</t>
        </is>
      </c>
      <c r="E346" s="18" t="inlineStr">
        <is>
          <t>D09</t>
        </is>
      </c>
      <c r="F346" s="18" t="inlineStr">
        <is>
          <t>I12</t>
        </is>
      </c>
      <c r="G346" s="18" t="inlineStr">
        <is>
          <t>Alumni Career Intelligence</t>
        </is>
      </c>
      <c r="H346" s="18" t="inlineStr">
        <is>
          <t>Research/innovation → external value</t>
        </is>
      </c>
      <c r="I346" s="18" t="inlineStr">
        <is>
          <t>If translation/industry/impact claims are strong but external value evidence is weak, flag research-to-value gap.</t>
        </is>
      </c>
      <c r="J346" s="18" t="inlineStr">
        <is>
          <t>Translation review</t>
        </is>
      </c>
      <c r="K346" s="18" t="inlineStr">
        <is>
          <t>Do not double count impact evidence.</t>
        </is>
      </c>
    </row>
    <row r="347">
      <c r="A347" s="18" t="inlineStr">
        <is>
          <t>CD21</t>
        </is>
      </c>
      <c r="B347" s="18" t="inlineStr">
        <is>
          <t>D10</t>
        </is>
      </c>
      <c r="C347" s="18" t="inlineStr">
        <is>
          <t>I01</t>
        </is>
      </c>
      <c r="D347" s="18" t="inlineStr">
        <is>
          <t>Research Strategy Maturity</t>
        </is>
      </c>
      <c r="E347" s="18" t="inlineStr">
        <is>
          <t>D11</t>
        </is>
      </c>
      <c r="F347" s="18" t="inlineStr">
        <is>
          <t>I01</t>
        </is>
      </c>
      <c r="G347" s="18" t="inlineStr">
        <is>
          <t>External Change Sensing</t>
        </is>
      </c>
      <c r="H347" s="18" t="inlineStr">
        <is>
          <t>Research learning → institutional adaptation</t>
        </is>
      </c>
      <c r="I347" s="18" t="inlineStr">
        <is>
          <t>If research is claimed as a sensing/learning mechanism but institutional adaptation does not change, flag learning-loop gap.</t>
        </is>
      </c>
      <c r="J347" s="18" t="inlineStr">
        <is>
          <t>Institutional learning review</t>
        </is>
      </c>
      <c r="K347" s="18" t="inlineStr">
        <is>
          <t>D11 owns adaptation.</t>
        </is>
      </c>
    </row>
    <row r="348">
      <c r="A348" s="18" t="inlineStr">
        <is>
          <t>CD21</t>
        </is>
      </c>
      <c r="B348" s="18" t="inlineStr">
        <is>
          <t>D10</t>
        </is>
      </c>
      <c r="C348" s="18" t="inlineStr">
        <is>
          <t>I01</t>
        </is>
      </c>
      <c r="D348" s="18" t="inlineStr">
        <is>
          <t>Research Strategy Maturity</t>
        </is>
      </c>
      <c r="E348" s="18" t="inlineStr">
        <is>
          <t>D11</t>
        </is>
      </c>
      <c r="F348" s="18" t="inlineStr">
        <is>
          <t>I06</t>
        </is>
      </c>
      <c r="G348" s="18" t="inlineStr">
        <is>
          <t>Failure-to-Learning Capability</t>
        </is>
      </c>
      <c r="H348" s="18" t="inlineStr">
        <is>
          <t>Research learning → institutional adaptation</t>
        </is>
      </c>
      <c r="I348" s="18" t="inlineStr">
        <is>
          <t>If research is claimed as a sensing/learning mechanism but institutional adaptation does not change, flag learning-loop gap.</t>
        </is>
      </c>
      <c r="J348" s="18" t="inlineStr">
        <is>
          <t>Institutional learning review</t>
        </is>
      </c>
      <c r="K348" s="18" t="inlineStr">
        <is>
          <t>D11 owns adaptation.</t>
        </is>
      </c>
    </row>
    <row r="349">
      <c r="A349" s="18" t="inlineStr">
        <is>
          <t>CD21</t>
        </is>
      </c>
      <c r="B349" s="18" t="inlineStr">
        <is>
          <t>D10</t>
        </is>
      </c>
      <c r="C349" s="18" t="inlineStr">
        <is>
          <t>I01</t>
        </is>
      </c>
      <c r="D349" s="18" t="inlineStr">
        <is>
          <t>Research Strategy Maturity</t>
        </is>
      </c>
      <c r="E349" s="18" t="inlineStr">
        <is>
          <t>D11</t>
        </is>
      </c>
      <c r="F349" s="18" t="inlineStr">
        <is>
          <t>I13</t>
        </is>
      </c>
      <c r="G349" s="18" t="inlineStr">
        <is>
          <t>Institutional Learning System</t>
        </is>
      </c>
      <c r="H349" s="18" t="inlineStr">
        <is>
          <t>Research learning → institutional adaptation</t>
        </is>
      </c>
      <c r="I349" s="18" t="inlineStr">
        <is>
          <t>If research is claimed as a sensing/learning mechanism but institutional adaptation does not change, flag learning-loop gap.</t>
        </is>
      </c>
      <c r="J349" s="18" t="inlineStr">
        <is>
          <t>Institutional learning review</t>
        </is>
      </c>
      <c r="K349" s="18" t="inlineStr">
        <is>
          <t>D11 owns adaptation.</t>
        </is>
      </c>
    </row>
    <row r="350">
      <c r="A350" s="18" t="inlineStr">
        <is>
          <t>CD21</t>
        </is>
      </c>
      <c r="B350" s="18" t="inlineStr">
        <is>
          <t>D10</t>
        </is>
      </c>
      <c r="C350" s="18" t="inlineStr">
        <is>
          <t>I01</t>
        </is>
      </c>
      <c r="D350" s="18" t="inlineStr">
        <is>
          <t>Research Strategy Maturity</t>
        </is>
      </c>
      <c r="E350" s="18" t="inlineStr">
        <is>
          <t>D11</t>
        </is>
      </c>
      <c r="F350" s="18" t="inlineStr">
        <is>
          <t>I14</t>
        </is>
      </c>
      <c r="G350" s="18" t="inlineStr">
        <is>
          <t>Future Transformation Capacity</t>
        </is>
      </c>
      <c r="H350" s="18" t="inlineStr">
        <is>
          <t>Research learning → institutional adaptation</t>
        </is>
      </c>
      <c r="I350" s="18" t="inlineStr">
        <is>
          <t>If research is claimed as a sensing/learning mechanism but institutional adaptation does not change, flag learning-loop gap.</t>
        </is>
      </c>
      <c r="J350" s="18" t="inlineStr">
        <is>
          <t>Institutional learning review</t>
        </is>
      </c>
      <c r="K350" s="18" t="inlineStr">
        <is>
          <t>D11 owns adaptation.</t>
        </is>
      </c>
    </row>
    <row r="351">
      <c r="A351" s="18" t="inlineStr">
        <is>
          <t>CD21</t>
        </is>
      </c>
      <c r="B351" s="18" t="inlineStr">
        <is>
          <t>D10</t>
        </is>
      </c>
      <c r="C351" s="18" t="inlineStr">
        <is>
          <t>I02</t>
        </is>
      </c>
      <c r="D351" s="18" t="inlineStr">
        <is>
          <t>Research Portfolio Balance</t>
        </is>
      </c>
      <c r="E351" s="18" t="inlineStr">
        <is>
          <t>D11</t>
        </is>
      </c>
      <c r="F351" s="18" t="inlineStr">
        <is>
          <t>I01</t>
        </is>
      </c>
      <c r="G351" s="18" t="inlineStr">
        <is>
          <t>External Change Sensing</t>
        </is>
      </c>
      <c r="H351" s="18" t="inlineStr">
        <is>
          <t>Research learning → institutional adaptation</t>
        </is>
      </c>
      <c r="I351" s="18" t="inlineStr">
        <is>
          <t>If research is claimed as a sensing/learning mechanism but institutional adaptation does not change, flag learning-loop gap.</t>
        </is>
      </c>
      <c r="J351" s="18" t="inlineStr">
        <is>
          <t>Institutional learning review</t>
        </is>
      </c>
      <c r="K351" s="18" t="inlineStr">
        <is>
          <t>D11 owns adaptation.</t>
        </is>
      </c>
    </row>
    <row r="352">
      <c r="A352" s="18" t="inlineStr">
        <is>
          <t>CD21</t>
        </is>
      </c>
      <c r="B352" s="18" t="inlineStr">
        <is>
          <t>D10</t>
        </is>
      </c>
      <c r="C352" s="18" t="inlineStr">
        <is>
          <t>I02</t>
        </is>
      </c>
      <c r="D352" s="18" t="inlineStr">
        <is>
          <t>Research Portfolio Balance</t>
        </is>
      </c>
      <c r="E352" s="18" t="inlineStr">
        <is>
          <t>D11</t>
        </is>
      </c>
      <c r="F352" s="18" t="inlineStr">
        <is>
          <t>I06</t>
        </is>
      </c>
      <c r="G352" s="18" t="inlineStr">
        <is>
          <t>Failure-to-Learning Capability</t>
        </is>
      </c>
      <c r="H352" s="18" t="inlineStr">
        <is>
          <t>Research learning → institutional adaptation</t>
        </is>
      </c>
      <c r="I352" s="18" t="inlineStr">
        <is>
          <t>If research is claimed as a sensing/learning mechanism but institutional adaptation does not change, flag learning-loop gap.</t>
        </is>
      </c>
      <c r="J352" s="18" t="inlineStr">
        <is>
          <t>Institutional learning review</t>
        </is>
      </c>
      <c r="K352" s="18" t="inlineStr">
        <is>
          <t>D11 owns adaptation.</t>
        </is>
      </c>
    </row>
    <row r="353">
      <c r="A353" s="18" t="inlineStr">
        <is>
          <t>CD21</t>
        </is>
      </c>
      <c r="B353" s="18" t="inlineStr">
        <is>
          <t>D10</t>
        </is>
      </c>
      <c r="C353" s="18" t="inlineStr">
        <is>
          <t>I02</t>
        </is>
      </c>
      <c r="D353" s="18" t="inlineStr">
        <is>
          <t>Research Portfolio Balance</t>
        </is>
      </c>
      <c r="E353" s="18" t="inlineStr">
        <is>
          <t>D11</t>
        </is>
      </c>
      <c r="F353" s="18" t="inlineStr">
        <is>
          <t>I13</t>
        </is>
      </c>
      <c r="G353" s="18" t="inlineStr">
        <is>
          <t>Institutional Learning System</t>
        </is>
      </c>
      <c r="H353" s="18" t="inlineStr">
        <is>
          <t>Research learning → institutional adaptation</t>
        </is>
      </c>
      <c r="I353" s="18" t="inlineStr">
        <is>
          <t>If research is claimed as a sensing/learning mechanism but institutional adaptation does not change, flag learning-loop gap.</t>
        </is>
      </c>
      <c r="J353" s="18" t="inlineStr">
        <is>
          <t>Institutional learning review</t>
        </is>
      </c>
      <c r="K353" s="18" t="inlineStr">
        <is>
          <t>D11 owns adaptation.</t>
        </is>
      </c>
    </row>
    <row r="354">
      <c r="A354" s="18" t="inlineStr">
        <is>
          <t>CD21</t>
        </is>
      </c>
      <c r="B354" s="18" t="inlineStr">
        <is>
          <t>D10</t>
        </is>
      </c>
      <c r="C354" s="18" t="inlineStr">
        <is>
          <t>I02</t>
        </is>
      </c>
      <c r="D354" s="18" t="inlineStr">
        <is>
          <t>Research Portfolio Balance</t>
        </is>
      </c>
      <c r="E354" s="18" t="inlineStr">
        <is>
          <t>D11</t>
        </is>
      </c>
      <c r="F354" s="18" t="inlineStr">
        <is>
          <t>I14</t>
        </is>
      </c>
      <c r="G354" s="18" t="inlineStr">
        <is>
          <t>Future Transformation Capacity</t>
        </is>
      </c>
      <c r="H354" s="18" t="inlineStr">
        <is>
          <t>Research learning → institutional adaptation</t>
        </is>
      </c>
      <c r="I354" s="18" t="inlineStr">
        <is>
          <t>If research is claimed as a sensing/learning mechanism but institutional adaptation does not change, flag learning-loop gap.</t>
        </is>
      </c>
      <c r="J354" s="18" t="inlineStr">
        <is>
          <t>Institutional learning review</t>
        </is>
      </c>
      <c r="K354" s="18" t="inlineStr">
        <is>
          <t>D11 owns adaptation.</t>
        </is>
      </c>
    </row>
    <row r="355">
      <c r="A355" s="18" t="inlineStr">
        <is>
          <t>CD21</t>
        </is>
      </c>
      <c r="B355" s="18" t="inlineStr">
        <is>
          <t>D10</t>
        </is>
      </c>
      <c r="C355" s="18" t="inlineStr">
        <is>
          <t>I13</t>
        </is>
      </c>
      <c r="D355" s="18" t="inlineStr">
        <is>
          <t>Research Impact Evidence</t>
        </is>
      </c>
      <c r="E355" s="18" t="inlineStr">
        <is>
          <t>D11</t>
        </is>
      </c>
      <c r="F355" s="18" t="inlineStr">
        <is>
          <t>I01</t>
        </is>
      </c>
      <c r="G355" s="18" t="inlineStr">
        <is>
          <t>External Change Sensing</t>
        </is>
      </c>
      <c r="H355" s="18" t="inlineStr">
        <is>
          <t>Research learning → institutional adaptation</t>
        </is>
      </c>
      <c r="I355" s="18" t="inlineStr">
        <is>
          <t>If research is claimed as a sensing/learning mechanism but institutional adaptation does not change, flag learning-loop gap.</t>
        </is>
      </c>
      <c r="J355" s="18" t="inlineStr">
        <is>
          <t>Institutional learning review</t>
        </is>
      </c>
      <c r="K355" s="18" t="inlineStr">
        <is>
          <t>D11 owns adaptation.</t>
        </is>
      </c>
    </row>
    <row r="356">
      <c r="A356" s="18" t="inlineStr">
        <is>
          <t>CD21</t>
        </is>
      </c>
      <c r="B356" s="18" t="inlineStr">
        <is>
          <t>D10</t>
        </is>
      </c>
      <c r="C356" s="18" t="inlineStr">
        <is>
          <t>I13</t>
        </is>
      </c>
      <c r="D356" s="18" t="inlineStr">
        <is>
          <t>Research Impact Evidence</t>
        </is>
      </c>
      <c r="E356" s="18" t="inlineStr">
        <is>
          <t>D11</t>
        </is>
      </c>
      <c r="F356" s="18" t="inlineStr">
        <is>
          <t>I06</t>
        </is>
      </c>
      <c r="G356" s="18" t="inlineStr">
        <is>
          <t>Failure-to-Learning Capability</t>
        </is>
      </c>
      <c r="H356" s="18" t="inlineStr">
        <is>
          <t>Research learning → institutional adaptation</t>
        </is>
      </c>
      <c r="I356" s="18" t="inlineStr">
        <is>
          <t>If research is claimed as a sensing/learning mechanism but institutional adaptation does not change, flag learning-loop gap.</t>
        </is>
      </c>
      <c r="J356" s="18" t="inlineStr">
        <is>
          <t>Institutional learning review</t>
        </is>
      </c>
      <c r="K356" s="18" t="inlineStr">
        <is>
          <t>D11 owns adaptation.</t>
        </is>
      </c>
    </row>
    <row r="357">
      <c r="A357" s="18" t="inlineStr">
        <is>
          <t>CD21</t>
        </is>
      </c>
      <c r="B357" s="18" t="inlineStr">
        <is>
          <t>D10</t>
        </is>
      </c>
      <c r="C357" s="18" t="inlineStr">
        <is>
          <t>I13</t>
        </is>
      </c>
      <c r="D357" s="18" t="inlineStr">
        <is>
          <t>Research Impact Evidence</t>
        </is>
      </c>
      <c r="E357" s="18" t="inlineStr">
        <is>
          <t>D11</t>
        </is>
      </c>
      <c r="F357" s="18" t="inlineStr">
        <is>
          <t>I13</t>
        </is>
      </c>
      <c r="G357" s="18" t="inlineStr">
        <is>
          <t>Institutional Learning System</t>
        </is>
      </c>
      <c r="H357" s="18" t="inlineStr">
        <is>
          <t>Research learning → institutional adaptation</t>
        </is>
      </c>
      <c r="I357" s="18" t="inlineStr">
        <is>
          <t>If research is claimed as a sensing/learning mechanism but institutional adaptation does not change, flag learning-loop gap.</t>
        </is>
      </c>
      <c r="J357" s="18" t="inlineStr">
        <is>
          <t>Institutional learning review</t>
        </is>
      </c>
      <c r="K357" s="18" t="inlineStr">
        <is>
          <t>D11 owns adaptation.</t>
        </is>
      </c>
    </row>
    <row r="358">
      <c r="A358" s="18" t="inlineStr">
        <is>
          <t>CD21</t>
        </is>
      </c>
      <c r="B358" s="18" t="inlineStr">
        <is>
          <t>D10</t>
        </is>
      </c>
      <c r="C358" s="18" t="inlineStr">
        <is>
          <t>I13</t>
        </is>
      </c>
      <c r="D358" s="18" t="inlineStr">
        <is>
          <t>Research Impact Evidence</t>
        </is>
      </c>
      <c r="E358" s="18" t="inlineStr">
        <is>
          <t>D11</t>
        </is>
      </c>
      <c r="F358" s="18" t="inlineStr">
        <is>
          <t>I14</t>
        </is>
      </c>
      <c r="G358" s="18" t="inlineStr">
        <is>
          <t>Future Transformation Capacity</t>
        </is>
      </c>
      <c r="H358" s="18" t="inlineStr">
        <is>
          <t>Research learning → institutional adaptation</t>
        </is>
      </c>
      <c r="I358" s="18" t="inlineStr">
        <is>
          <t>If research is claimed as a sensing/learning mechanism but institutional adaptation does not change, flag learning-loop gap.</t>
        </is>
      </c>
      <c r="J358" s="18" t="inlineStr">
        <is>
          <t>Institutional learning review</t>
        </is>
      </c>
      <c r="K358" s="18" t="inlineStr">
        <is>
          <t>D11 owns adaptation.</t>
        </is>
      </c>
    </row>
    <row r="359">
      <c r="A359" s="18" t="inlineStr">
        <is>
          <t>CD22</t>
        </is>
      </c>
      <c r="B359" s="18" t="inlineStr">
        <is>
          <t>D11</t>
        </is>
      </c>
      <c r="C359" s="18" t="inlineStr">
        <is>
          <t>I01</t>
        </is>
      </c>
      <c r="D359" s="18" t="inlineStr">
        <is>
          <t>External Change Sensing</t>
        </is>
      </c>
      <c r="E359" s="18" t="inlineStr">
        <is>
          <t>D01</t>
        </is>
      </c>
      <c r="F359" s="18" t="inlineStr">
        <is>
          <t>I02</t>
        </is>
      </c>
      <c r="G359" s="18" t="inlineStr">
        <is>
          <t>Future Foresight Maturity</t>
        </is>
      </c>
      <c r="H359" s="18" t="inlineStr">
        <is>
          <t>Adaptation → strategy</t>
        </is>
      </c>
      <c r="I359" s="18" t="inlineStr">
        <is>
          <t>If adaptation evidence is strong but strategic assumptions/plans do not change, flag strategy learning disconnect.</t>
        </is>
      </c>
      <c r="J359" s="18" t="inlineStr">
        <is>
          <t>Strategy learning review</t>
        </is>
      </c>
      <c r="K359" s="18" t="inlineStr">
        <is>
          <t>Do not score the same change twice.</t>
        </is>
      </c>
    </row>
    <row r="360">
      <c r="A360" s="18" t="inlineStr">
        <is>
          <t>CD22</t>
        </is>
      </c>
      <c r="B360" s="18" t="inlineStr">
        <is>
          <t>D11</t>
        </is>
      </c>
      <c r="C360" s="18" t="inlineStr">
        <is>
          <t>I01</t>
        </is>
      </c>
      <c r="D360" s="18" t="inlineStr">
        <is>
          <t>External Change Sensing</t>
        </is>
      </c>
      <c r="E360" s="18" t="inlineStr">
        <is>
          <t>D01</t>
        </is>
      </c>
      <c r="F360" s="18" t="inlineStr">
        <is>
          <t>I03</t>
        </is>
      </c>
      <c r="G360" s="18" t="inlineStr">
        <is>
          <t>Strategic Translation Rate</t>
        </is>
      </c>
      <c r="H360" s="18" t="inlineStr">
        <is>
          <t>Adaptation → strategy</t>
        </is>
      </c>
      <c r="I360" s="18" t="inlineStr">
        <is>
          <t>If adaptation evidence is strong but strategic assumptions/plans do not change, flag strategy learning disconnect.</t>
        </is>
      </c>
      <c r="J360" s="18" t="inlineStr">
        <is>
          <t>Strategy learning review</t>
        </is>
      </c>
      <c r="K360" s="18" t="inlineStr">
        <is>
          <t>Do not score the same change twice.</t>
        </is>
      </c>
    </row>
    <row r="361">
      <c r="A361" s="18" t="inlineStr">
        <is>
          <t>CD22</t>
        </is>
      </c>
      <c r="B361" s="18" t="inlineStr">
        <is>
          <t>D11</t>
        </is>
      </c>
      <c r="C361" s="18" t="inlineStr">
        <is>
          <t>I01</t>
        </is>
      </c>
      <c r="D361" s="18" t="inlineStr">
        <is>
          <t>External Change Sensing</t>
        </is>
      </c>
      <c r="E361" s="18" t="inlineStr">
        <is>
          <t>D01</t>
        </is>
      </c>
      <c r="F361" s="18" t="inlineStr">
        <is>
          <t>I10</t>
        </is>
      </c>
      <c r="G361" s="18" t="inlineStr">
        <is>
          <t>Strategic Learning Rate</t>
        </is>
      </c>
      <c r="H361" s="18" t="inlineStr">
        <is>
          <t>Adaptation → strategy</t>
        </is>
      </c>
      <c r="I361" s="18" t="inlineStr">
        <is>
          <t>If adaptation evidence is strong but strategic assumptions/plans do not change, flag strategy learning disconnect.</t>
        </is>
      </c>
      <c r="J361" s="18" t="inlineStr">
        <is>
          <t>Strategy learning review</t>
        </is>
      </c>
      <c r="K361" s="18" t="inlineStr">
        <is>
          <t>Do not score the same change twice.</t>
        </is>
      </c>
    </row>
    <row r="362">
      <c r="A362" s="18" t="inlineStr">
        <is>
          <t>CD22</t>
        </is>
      </c>
      <c r="B362" s="18" t="inlineStr">
        <is>
          <t>D11</t>
        </is>
      </c>
      <c r="C362" s="18" t="inlineStr">
        <is>
          <t>I02</t>
        </is>
      </c>
      <c r="D362" s="18" t="inlineStr">
        <is>
          <t>Strategic Response Agility</t>
        </is>
      </c>
      <c r="E362" s="18" t="inlineStr">
        <is>
          <t>D01</t>
        </is>
      </c>
      <c r="F362" s="18" t="inlineStr">
        <is>
          <t>I02</t>
        </is>
      </c>
      <c r="G362" s="18" t="inlineStr">
        <is>
          <t>Future Foresight Maturity</t>
        </is>
      </c>
      <c r="H362" s="18" t="inlineStr">
        <is>
          <t>Adaptation → strategy</t>
        </is>
      </c>
      <c r="I362" s="18" t="inlineStr">
        <is>
          <t>If adaptation evidence is strong but strategic assumptions/plans do not change, flag strategy learning disconnect.</t>
        </is>
      </c>
      <c r="J362" s="18" t="inlineStr">
        <is>
          <t>Strategy learning review</t>
        </is>
      </c>
      <c r="K362" s="18" t="inlineStr">
        <is>
          <t>Do not score the same change twice.</t>
        </is>
      </c>
    </row>
    <row r="363">
      <c r="A363" s="18" t="inlineStr">
        <is>
          <t>CD22</t>
        </is>
      </c>
      <c r="B363" s="18" t="inlineStr">
        <is>
          <t>D11</t>
        </is>
      </c>
      <c r="C363" s="18" t="inlineStr">
        <is>
          <t>I02</t>
        </is>
      </c>
      <c r="D363" s="18" t="inlineStr">
        <is>
          <t>Strategic Response Agility</t>
        </is>
      </c>
      <c r="E363" s="18" t="inlineStr">
        <is>
          <t>D01</t>
        </is>
      </c>
      <c r="F363" s="18" t="inlineStr">
        <is>
          <t>I03</t>
        </is>
      </c>
      <c r="G363" s="18" t="inlineStr">
        <is>
          <t>Strategic Translation Rate</t>
        </is>
      </c>
      <c r="H363" s="18" t="inlineStr">
        <is>
          <t>Adaptation → strategy</t>
        </is>
      </c>
      <c r="I363" s="18" t="inlineStr">
        <is>
          <t>If adaptation evidence is strong but strategic assumptions/plans do not change, flag strategy learning disconnect.</t>
        </is>
      </c>
      <c r="J363" s="18" t="inlineStr">
        <is>
          <t>Strategy learning review</t>
        </is>
      </c>
      <c r="K363" s="18" t="inlineStr">
        <is>
          <t>Do not score the same change twice.</t>
        </is>
      </c>
    </row>
    <row r="364">
      <c r="A364" s="18" t="inlineStr">
        <is>
          <t>CD22</t>
        </is>
      </c>
      <c r="B364" s="18" t="inlineStr">
        <is>
          <t>D11</t>
        </is>
      </c>
      <c r="C364" s="18" t="inlineStr">
        <is>
          <t>I02</t>
        </is>
      </c>
      <c r="D364" s="18" t="inlineStr">
        <is>
          <t>Strategic Response Agility</t>
        </is>
      </c>
      <c r="E364" s="18" t="inlineStr">
        <is>
          <t>D01</t>
        </is>
      </c>
      <c r="F364" s="18" t="inlineStr">
        <is>
          <t>I10</t>
        </is>
      </c>
      <c r="G364" s="18" t="inlineStr">
        <is>
          <t>Strategic Learning Rate</t>
        </is>
      </c>
      <c r="H364" s="18" t="inlineStr">
        <is>
          <t>Adaptation → strategy</t>
        </is>
      </c>
      <c r="I364" s="18" t="inlineStr">
        <is>
          <t>If adaptation evidence is strong but strategic assumptions/plans do not change, flag strategy learning disconnect.</t>
        </is>
      </c>
      <c r="J364" s="18" t="inlineStr">
        <is>
          <t>Strategy learning review</t>
        </is>
      </c>
      <c r="K364" s="18" t="inlineStr">
        <is>
          <t>Do not score the same change twice.</t>
        </is>
      </c>
    </row>
    <row r="365">
      <c r="A365" s="18" t="inlineStr">
        <is>
          <t>CD22</t>
        </is>
      </c>
      <c r="B365" s="18" t="inlineStr">
        <is>
          <t>D11</t>
        </is>
      </c>
      <c r="C365" s="18" t="inlineStr">
        <is>
          <t>I06</t>
        </is>
      </c>
      <c r="D365" s="18" t="inlineStr">
        <is>
          <t>Failure-to-Learning Capability</t>
        </is>
      </c>
      <c r="E365" s="18" t="inlineStr">
        <is>
          <t>D01</t>
        </is>
      </c>
      <c r="F365" s="18" t="inlineStr">
        <is>
          <t>I02</t>
        </is>
      </c>
      <c r="G365" s="18" t="inlineStr">
        <is>
          <t>Future Foresight Maturity</t>
        </is>
      </c>
      <c r="H365" s="18" t="inlineStr">
        <is>
          <t>Adaptation → strategy</t>
        </is>
      </c>
      <c r="I365" s="18" t="inlineStr">
        <is>
          <t>If adaptation evidence is strong but strategic assumptions/plans do not change, flag strategy learning disconnect.</t>
        </is>
      </c>
      <c r="J365" s="18" t="inlineStr">
        <is>
          <t>Strategy learning review</t>
        </is>
      </c>
      <c r="K365" s="18" t="inlineStr">
        <is>
          <t>Do not score the same change twice.</t>
        </is>
      </c>
    </row>
    <row r="366">
      <c r="A366" s="18" t="inlineStr">
        <is>
          <t>CD22</t>
        </is>
      </c>
      <c r="B366" s="18" t="inlineStr">
        <is>
          <t>D11</t>
        </is>
      </c>
      <c r="C366" s="18" t="inlineStr">
        <is>
          <t>I06</t>
        </is>
      </c>
      <c r="D366" s="18" t="inlineStr">
        <is>
          <t>Failure-to-Learning Capability</t>
        </is>
      </c>
      <c r="E366" s="18" t="inlineStr">
        <is>
          <t>D01</t>
        </is>
      </c>
      <c r="F366" s="18" t="inlineStr">
        <is>
          <t>I03</t>
        </is>
      </c>
      <c r="G366" s="18" t="inlineStr">
        <is>
          <t>Strategic Translation Rate</t>
        </is>
      </c>
      <c r="H366" s="18" t="inlineStr">
        <is>
          <t>Adaptation → strategy</t>
        </is>
      </c>
      <c r="I366" s="18" t="inlineStr">
        <is>
          <t>If adaptation evidence is strong but strategic assumptions/plans do not change, flag strategy learning disconnect.</t>
        </is>
      </c>
      <c r="J366" s="18" t="inlineStr">
        <is>
          <t>Strategy learning review</t>
        </is>
      </c>
      <c r="K366" s="18" t="inlineStr">
        <is>
          <t>Do not score the same change twice.</t>
        </is>
      </c>
    </row>
    <row r="367">
      <c r="A367" s="18" t="inlineStr">
        <is>
          <t>CD22</t>
        </is>
      </c>
      <c r="B367" s="18" t="inlineStr">
        <is>
          <t>D11</t>
        </is>
      </c>
      <c r="C367" s="18" t="inlineStr">
        <is>
          <t>I06</t>
        </is>
      </c>
      <c r="D367" s="18" t="inlineStr">
        <is>
          <t>Failure-to-Learning Capability</t>
        </is>
      </c>
      <c r="E367" s="18" t="inlineStr">
        <is>
          <t>D01</t>
        </is>
      </c>
      <c r="F367" s="18" t="inlineStr">
        <is>
          <t>I10</t>
        </is>
      </c>
      <c r="G367" s="18" t="inlineStr">
        <is>
          <t>Strategic Learning Rate</t>
        </is>
      </c>
      <c r="H367" s="18" t="inlineStr">
        <is>
          <t>Adaptation → strategy</t>
        </is>
      </c>
      <c r="I367" s="18" t="inlineStr">
        <is>
          <t>If adaptation evidence is strong but strategic assumptions/plans do not change, flag strategy learning disconnect.</t>
        </is>
      </c>
      <c r="J367" s="18" t="inlineStr">
        <is>
          <t>Strategy learning review</t>
        </is>
      </c>
      <c r="K367" s="18" t="inlineStr">
        <is>
          <t>Do not score the same change twice.</t>
        </is>
      </c>
    </row>
    <row r="368">
      <c r="A368" s="18" t="inlineStr">
        <is>
          <t>CD22</t>
        </is>
      </c>
      <c r="B368" s="18" t="inlineStr">
        <is>
          <t>D11</t>
        </is>
      </c>
      <c r="C368" s="18" t="inlineStr">
        <is>
          <t>I13</t>
        </is>
      </c>
      <c r="D368" s="18" t="inlineStr">
        <is>
          <t>Institutional Learning System</t>
        </is>
      </c>
      <c r="E368" s="18" t="inlineStr">
        <is>
          <t>D01</t>
        </is>
      </c>
      <c r="F368" s="18" t="inlineStr">
        <is>
          <t>I02</t>
        </is>
      </c>
      <c r="G368" s="18" t="inlineStr">
        <is>
          <t>Future Foresight Maturity</t>
        </is>
      </c>
      <c r="H368" s="18" t="inlineStr">
        <is>
          <t>Adaptation → strategy</t>
        </is>
      </c>
      <c r="I368" s="18" t="inlineStr">
        <is>
          <t>If adaptation evidence is strong but strategic assumptions/plans do not change, flag strategy learning disconnect.</t>
        </is>
      </c>
      <c r="J368" s="18" t="inlineStr">
        <is>
          <t>Strategy learning review</t>
        </is>
      </c>
      <c r="K368" s="18" t="inlineStr">
        <is>
          <t>Do not score the same change twice.</t>
        </is>
      </c>
    </row>
    <row r="369">
      <c r="A369" s="18" t="inlineStr">
        <is>
          <t>CD22</t>
        </is>
      </c>
      <c r="B369" s="18" t="inlineStr">
        <is>
          <t>D11</t>
        </is>
      </c>
      <c r="C369" s="18" t="inlineStr">
        <is>
          <t>I13</t>
        </is>
      </c>
      <c r="D369" s="18" t="inlineStr">
        <is>
          <t>Institutional Learning System</t>
        </is>
      </c>
      <c r="E369" s="18" t="inlineStr">
        <is>
          <t>D01</t>
        </is>
      </c>
      <c r="F369" s="18" t="inlineStr">
        <is>
          <t>I03</t>
        </is>
      </c>
      <c r="G369" s="18" t="inlineStr">
        <is>
          <t>Strategic Translation Rate</t>
        </is>
      </c>
      <c r="H369" s="18" t="inlineStr">
        <is>
          <t>Adaptation → strategy</t>
        </is>
      </c>
      <c r="I369" s="18" t="inlineStr">
        <is>
          <t>If adaptation evidence is strong but strategic assumptions/plans do not change, flag strategy learning disconnect.</t>
        </is>
      </c>
      <c r="J369" s="18" t="inlineStr">
        <is>
          <t>Strategy learning review</t>
        </is>
      </c>
      <c r="K369" s="18" t="inlineStr">
        <is>
          <t>Do not score the same change twice.</t>
        </is>
      </c>
    </row>
    <row r="370">
      <c r="A370" s="18" t="inlineStr">
        <is>
          <t>CD22</t>
        </is>
      </c>
      <c r="B370" s="18" t="inlineStr">
        <is>
          <t>D11</t>
        </is>
      </c>
      <c r="C370" s="18" t="inlineStr">
        <is>
          <t>I13</t>
        </is>
      </c>
      <c r="D370" s="18" t="inlineStr">
        <is>
          <t>Institutional Learning System</t>
        </is>
      </c>
      <c r="E370" s="18" t="inlineStr">
        <is>
          <t>D01</t>
        </is>
      </c>
      <c r="F370" s="18" t="inlineStr">
        <is>
          <t>I10</t>
        </is>
      </c>
      <c r="G370" s="18" t="inlineStr">
        <is>
          <t>Strategic Learning Rate</t>
        </is>
      </c>
      <c r="H370" s="18" t="inlineStr">
        <is>
          <t>Adaptation → strategy</t>
        </is>
      </c>
      <c r="I370" s="18" t="inlineStr">
        <is>
          <t>If adaptation evidence is strong but strategic assumptions/plans do not change, flag strategy learning disconnect.</t>
        </is>
      </c>
      <c r="J370" s="18" t="inlineStr">
        <is>
          <t>Strategy learning review</t>
        </is>
      </c>
      <c r="K370" s="18" t="inlineStr">
        <is>
          <t>Do not score the same change twice.</t>
        </is>
      </c>
    </row>
    <row r="371">
      <c r="A371" s="18" t="inlineStr">
        <is>
          <t>CD22</t>
        </is>
      </c>
      <c r="B371" s="18" t="inlineStr">
        <is>
          <t>D11</t>
        </is>
      </c>
      <c r="C371" s="18" t="inlineStr">
        <is>
          <t>I14</t>
        </is>
      </c>
      <c r="D371" s="18" t="inlineStr">
        <is>
          <t>Future Transformation Capacity</t>
        </is>
      </c>
      <c r="E371" s="18" t="inlineStr">
        <is>
          <t>D01</t>
        </is>
      </c>
      <c r="F371" s="18" t="inlineStr">
        <is>
          <t>I02</t>
        </is>
      </c>
      <c r="G371" s="18" t="inlineStr">
        <is>
          <t>Future Foresight Maturity</t>
        </is>
      </c>
      <c r="H371" s="18" t="inlineStr">
        <is>
          <t>Adaptation → strategy</t>
        </is>
      </c>
      <c r="I371" s="18" t="inlineStr">
        <is>
          <t>If adaptation evidence is strong but strategic assumptions/plans do not change, flag strategy learning disconnect.</t>
        </is>
      </c>
      <c r="J371" s="18" t="inlineStr">
        <is>
          <t>Strategy learning review</t>
        </is>
      </c>
      <c r="K371" s="18" t="inlineStr">
        <is>
          <t>Do not score the same change twice.</t>
        </is>
      </c>
    </row>
    <row r="372">
      <c r="A372" s="18" t="inlineStr">
        <is>
          <t>CD22</t>
        </is>
      </c>
      <c r="B372" s="18" t="inlineStr">
        <is>
          <t>D11</t>
        </is>
      </c>
      <c r="C372" s="18" t="inlineStr">
        <is>
          <t>I14</t>
        </is>
      </c>
      <c r="D372" s="18" t="inlineStr">
        <is>
          <t>Future Transformation Capacity</t>
        </is>
      </c>
      <c r="E372" s="18" t="inlineStr">
        <is>
          <t>D01</t>
        </is>
      </c>
      <c r="F372" s="18" t="inlineStr">
        <is>
          <t>I03</t>
        </is>
      </c>
      <c r="G372" s="18" t="inlineStr">
        <is>
          <t>Strategic Translation Rate</t>
        </is>
      </c>
      <c r="H372" s="18" t="inlineStr">
        <is>
          <t>Adaptation → strategy</t>
        </is>
      </c>
      <c r="I372" s="18" t="inlineStr">
        <is>
          <t>If adaptation evidence is strong but strategic assumptions/plans do not change, flag strategy learning disconnect.</t>
        </is>
      </c>
      <c r="J372" s="18" t="inlineStr">
        <is>
          <t>Strategy learning review</t>
        </is>
      </c>
      <c r="K372" s="18" t="inlineStr">
        <is>
          <t>Do not score the same change twice.</t>
        </is>
      </c>
    </row>
    <row r="373">
      <c r="A373" s="18" t="inlineStr">
        <is>
          <t>CD22</t>
        </is>
      </c>
      <c r="B373" s="18" t="inlineStr">
        <is>
          <t>D11</t>
        </is>
      </c>
      <c r="C373" s="18" t="inlineStr">
        <is>
          <t>I14</t>
        </is>
      </c>
      <c r="D373" s="18" t="inlineStr">
        <is>
          <t>Future Transformation Capacity</t>
        </is>
      </c>
      <c r="E373" s="18" t="inlineStr">
        <is>
          <t>D01</t>
        </is>
      </c>
      <c r="F373" s="18" t="inlineStr">
        <is>
          <t>I10</t>
        </is>
      </c>
      <c r="G373" s="18" t="inlineStr">
        <is>
          <t>Strategic Learning Rate</t>
        </is>
      </c>
      <c r="H373" s="18" t="inlineStr">
        <is>
          <t>Adaptation → strategy</t>
        </is>
      </c>
      <c r="I373" s="18" t="inlineStr">
        <is>
          <t>If adaptation evidence is strong but strategic assumptions/plans do not change, flag strategy learning disconnect.</t>
        </is>
      </c>
      <c r="J373" s="18" t="inlineStr">
        <is>
          <t>Strategy learning review</t>
        </is>
      </c>
      <c r="K373" s="18" t="inlineStr">
        <is>
          <t>Do not score the same change twice.</t>
        </is>
      </c>
    </row>
    <row r="374">
      <c r="A374" s="18" t="inlineStr">
        <is>
          <t>CD23</t>
        </is>
      </c>
      <c r="B374" s="18" t="inlineStr">
        <is>
          <t>D11</t>
        </is>
      </c>
      <c r="C374" s="18" t="inlineStr">
        <is>
          <t>I02</t>
        </is>
      </c>
      <c r="D374" s="18" t="inlineStr">
        <is>
          <t>Strategic Response Agility</t>
        </is>
      </c>
      <c r="E374" s="18" t="inlineStr">
        <is>
          <t>D04</t>
        </is>
      </c>
      <c r="F374" s="18" t="inlineStr">
        <is>
          <t>I03</t>
        </is>
      </c>
      <c r="G374" s="18" t="inlineStr">
        <is>
          <t>Programme Review Effectiveness</t>
        </is>
      </c>
      <c r="H374" s="18" t="inlineStr">
        <is>
          <t>Adaptation → programme redesign</t>
        </is>
      </c>
      <c r="I374" s="18" t="inlineStr">
        <is>
          <t>If external change is sensed and action is claimed but programmes do not adapt where applicable, flag change-to-curriculum gap.</t>
        </is>
      </c>
      <c r="J374" s="18" t="inlineStr">
        <is>
          <t>Programme adaptation review</t>
        </is>
      </c>
      <c r="K374" s="18" t="inlineStr">
        <is>
          <t>Adaptation is separate from curriculum mechanics.</t>
        </is>
      </c>
    </row>
    <row r="375">
      <c r="A375" s="18" t="inlineStr">
        <is>
          <t>CD23</t>
        </is>
      </c>
      <c r="B375" s="18" t="inlineStr">
        <is>
          <t>D11</t>
        </is>
      </c>
      <c r="C375" s="18" t="inlineStr">
        <is>
          <t>I02</t>
        </is>
      </c>
      <c r="D375" s="18" t="inlineStr">
        <is>
          <t>Strategic Response Agility</t>
        </is>
      </c>
      <c r="E375" s="18" t="inlineStr">
        <is>
          <t>D04</t>
        </is>
      </c>
      <c r="F375" s="18" t="inlineStr">
        <is>
          <t>I05</t>
        </is>
      </c>
      <c r="G375" s="18" t="inlineStr">
        <is>
          <t>Content Obsolescence Response</t>
        </is>
      </c>
      <c r="H375" s="18" t="inlineStr">
        <is>
          <t>Adaptation → programme redesign</t>
        </is>
      </c>
      <c r="I375" s="18" t="inlineStr">
        <is>
          <t>If external change is sensed and action is claimed but programmes do not adapt where applicable, flag change-to-curriculum gap.</t>
        </is>
      </c>
      <c r="J375" s="18" t="inlineStr">
        <is>
          <t>Programme adaptation review</t>
        </is>
      </c>
      <c r="K375" s="18" t="inlineStr">
        <is>
          <t>Adaptation is separate from curriculum mechanics.</t>
        </is>
      </c>
    </row>
    <row r="376">
      <c r="A376" s="18" t="inlineStr">
        <is>
          <t>CD23</t>
        </is>
      </c>
      <c r="B376" s="18" t="inlineStr">
        <is>
          <t>D11</t>
        </is>
      </c>
      <c r="C376" s="18" t="inlineStr">
        <is>
          <t>I02</t>
        </is>
      </c>
      <c r="D376" s="18" t="inlineStr">
        <is>
          <t>Strategic Response Agility</t>
        </is>
      </c>
      <c r="E376" s="18" t="inlineStr">
        <is>
          <t>D04</t>
        </is>
      </c>
      <c r="F376" s="18" t="inlineStr">
        <is>
          <t>I08</t>
        </is>
      </c>
      <c r="G376" s="18" t="inlineStr">
        <is>
          <t>Programme Agility</t>
        </is>
      </c>
      <c r="H376" s="18" t="inlineStr">
        <is>
          <t>Adaptation → programme redesign</t>
        </is>
      </c>
      <c r="I376" s="18" t="inlineStr">
        <is>
          <t>If external change is sensed and action is claimed but programmes do not adapt where applicable, flag change-to-curriculum gap.</t>
        </is>
      </c>
      <c r="J376" s="18" t="inlineStr">
        <is>
          <t>Programme adaptation review</t>
        </is>
      </c>
      <c r="K376" s="18" t="inlineStr">
        <is>
          <t>Adaptation is separate from curriculum mechanics.</t>
        </is>
      </c>
    </row>
    <row r="377">
      <c r="A377" s="18" t="inlineStr">
        <is>
          <t>CD23</t>
        </is>
      </c>
      <c r="B377" s="18" t="inlineStr">
        <is>
          <t>D11</t>
        </is>
      </c>
      <c r="C377" s="18" t="inlineStr">
        <is>
          <t>I02</t>
        </is>
      </c>
      <c r="D377" s="18" t="inlineStr">
        <is>
          <t>Strategic Response Agility</t>
        </is>
      </c>
      <c r="E377" s="18" t="inlineStr">
        <is>
          <t>D04</t>
        </is>
      </c>
      <c r="F377" s="18" t="inlineStr">
        <is>
          <t>I12</t>
        </is>
      </c>
      <c r="G377" s="18" t="inlineStr">
        <is>
          <t>Portfolio Foresight</t>
        </is>
      </c>
      <c r="H377" s="18" t="inlineStr">
        <is>
          <t>Adaptation → programme redesign</t>
        </is>
      </c>
      <c r="I377" s="18" t="inlineStr">
        <is>
          <t>If external change is sensed and action is claimed but programmes do not adapt where applicable, flag change-to-curriculum gap.</t>
        </is>
      </c>
      <c r="J377" s="18" t="inlineStr">
        <is>
          <t>Programme adaptation review</t>
        </is>
      </c>
      <c r="K377" s="18" t="inlineStr">
        <is>
          <t>Adaptation is separate from curriculum mechanics.</t>
        </is>
      </c>
    </row>
    <row r="378">
      <c r="A378" s="18" t="inlineStr">
        <is>
          <t>CD23</t>
        </is>
      </c>
      <c r="B378" s="18" t="inlineStr">
        <is>
          <t>D11</t>
        </is>
      </c>
      <c r="C378" s="18" t="inlineStr">
        <is>
          <t>I04</t>
        </is>
      </c>
      <c r="D378" s="18" t="inlineStr">
        <is>
          <t>Resource Reallocation Agility</t>
        </is>
      </c>
      <c r="E378" s="18" t="inlineStr">
        <is>
          <t>D04</t>
        </is>
      </c>
      <c r="F378" s="18" t="inlineStr">
        <is>
          <t>I03</t>
        </is>
      </c>
      <c r="G378" s="18" t="inlineStr">
        <is>
          <t>Programme Review Effectiveness</t>
        </is>
      </c>
      <c r="H378" s="18" t="inlineStr">
        <is>
          <t>Adaptation → programme redesign</t>
        </is>
      </c>
      <c r="I378" s="18" t="inlineStr">
        <is>
          <t>If external change is sensed and action is claimed but programmes do not adapt where applicable, flag change-to-curriculum gap.</t>
        </is>
      </c>
      <c r="J378" s="18" t="inlineStr">
        <is>
          <t>Programme adaptation review</t>
        </is>
      </c>
      <c r="K378" s="18" t="inlineStr">
        <is>
          <t>Adaptation is separate from curriculum mechanics.</t>
        </is>
      </c>
    </row>
    <row r="379">
      <c r="A379" s="18" t="inlineStr">
        <is>
          <t>CD23</t>
        </is>
      </c>
      <c r="B379" s="18" t="inlineStr">
        <is>
          <t>D11</t>
        </is>
      </c>
      <c r="C379" s="18" t="inlineStr">
        <is>
          <t>I04</t>
        </is>
      </c>
      <c r="D379" s="18" t="inlineStr">
        <is>
          <t>Resource Reallocation Agility</t>
        </is>
      </c>
      <c r="E379" s="18" t="inlineStr">
        <is>
          <t>D04</t>
        </is>
      </c>
      <c r="F379" s="18" t="inlineStr">
        <is>
          <t>I05</t>
        </is>
      </c>
      <c r="G379" s="18" t="inlineStr">
        <is>
          <t>Content Obsolescence Response</t>
        </is>
      </c>
      <c r="H379" s="18" t="inlineStr">
        <is>
          <t>Adaptation → programme redesign</t>
        </is>
      </c>
      <c r="I379" s="18" t="inlineStr">
        <is>
          <t>If external change is sensed and action is claimed but programmes do not adapt where applicable, flag change-to-curriculum gap.</t>
        </is>
      </c>
      <c r="J379" s="18" t="inlineStr">
        <is>
          <t>Programme adaptation review</t>
        </is>
      </c>
      <c r="K379" s="18" t="inlineStr">
        <is>
          <t>Adaptation is separate from curriculum mechanics.</t>
        </is>
      </c>
    </row>
    <row r="380">
      <c r="A380" s="18" t="inlineStr">
        <is>
          <t>CD23</t>
        </is>
      </c>
      <c r="B380" s="18" t="inlineStr">
        <is>
          <t>D11</t>
        </is>
      </c>
      <c r="C380" s="18" t="inlineStr">
        <is>
          <t>I04</t>
        </is>
      </c>
      <c r="D380" s="18" t="inlineStr">
        <is>
          <t>Resource Reallocation Agility</t>
        </is>
      </c>
      <c r="E380" s="18" t="inlineStr">
        <is>
          <t>D04</t>
        </is>
      </c>
      <c r="F380" s="18" t="inlineStr">
        <is>
          <t>I08</t>
        </is>
      </c>
      <c r="G380" s="18" t="inlineStr">
        <is>
          <t>Programme Agility</t>
        </is>
      </c>
      <c r="H380" s="18" t="inlineStr">
        <is>
          <t>Adaptation → programme redesign</t>
        </is>
      </c>
      <c r="I380" s="18" t="inlineStr">
        <is>
          <t>If external change is sensed and action is claimed but programmes do not adapt where applicable, flag change-to-curriculum gap.</t>
        </is>
      </c>
      <c r="J380" s="18" t="inlineStr">
        <is>
          <t>Programme adaptation review</t>
        </is>
      </c>
      <c r="K380" s="18" t="inlineStr">
        <is>
          <t>Adaptation is separate from curriculum mechanics.</t>
        </is>
      </c>
    </row>
    <row r="381">
      <c r="A381" s="18" t="inlineStr">
        <is>
          <t>CD23</t>
        </is>
      </c>
      <c r="B381" s="18" t="inlineStr">
        <is>
          <t>D11</t>
        </is>
      </c>
      <c r="C381" s="18" t="inlineStr">
        <is>
          <t>I04</t>
        </is>
      </c>
      <c r="D381" s="18" t="inlineStr">
        <is>
          <t>Resource Reallocation Agility</t>
        </is>
      </c>
      <c r="E381" s="18" t="inlineStr">
        <is>
          <t>D04</t>
        </is>
      </c>
      <c r="F381" s="18" t="inlineStr">
        <is>
          <t>I12</t>
        </is>
      </c>
      <c r="G381" s="18" t="inlineStr">
        <is>
          <t>Portfolio Foresight</t>
        </is>
      </c>
      <c r="H381" s="18" t="inlineStr">
        <is>
          <t>Adaptation → programme redesign</t>
        </is>
      </c>
      <c r="I381" s="18" t="inlineStr">
        <is>
          <t>If external change is sensed and action is claimed but programmes do not adapt where applicable, flag change-to-curriculum gap.</t>
        </is>
      </c>
      <c r="J381" s="18" t="inlineStr">
        <is>
          <t>Programme adaptation review</t>
        </is>
      </c>
      <c r="K381" s="18" t="inlineStr">
        <is>
          <t>Adaptation is separate from curriculum mechanics.</t>
        </is>
      </c>
    </row>
    <row r="382">
      <c r="A382" s="18" t="inlineStr">
        <is>
          <t>CD23</t>
        </is>
      </c>
      <c r="B382" s="18" t="inlineStr">
        <is>
          <t>D11</t>
        </is>
      </c>
      <c r="C382" s="18" t="inlineStr">
        <is>
          <t>I07</t>
        </is>
      </c>
      <c r="D382" s="18" t="inlineStr">
        <is>
          <t>Change Management Capacity</t>
        </is>
      </c>
      <c r="E382" s="18" t="inlineStr">
        <is>
          <t>D04</t>
        </is>
      </c>
      <c r="F382" s="18" t="inlineStr">
        <is>
          <t>I03</t>
        </is>
      </c>
      <c r="G382" s="18" t="inlineStr">
        <is>
          <t>Programme Review Effectiveness</t>
        </is>
      </c>
      <c r="H382" s="18" t="inlineStr">
        <is>
          <t>Adaptation → programme redesign</t>
        </is>
      </c>
      <c r="I382" s="18" t="inlineStr">
        <is>
          <t>If external change is sensed and action is claimed but programmes do not adapt where applicable, flag change-to-curriculum gap.</t>
        </is>
      </c>
      <c r="J382" s="18" t="inlineStr">
        <is>
          <t>Programme adaptation review</t>
        </is>
      </c>
      <c r="K382" s="18" t="inlineStr">
        <is>
          <t>Adaptation is separate from curriculum mechanics.</t>
        </is>
      </c>
    </row>
    <row r="383">
      <c r="A383" s="18" t="inlineStr">
        <is>
          <t>CD23</t>
        </is>
      </c>
      <c r="B383" s="18" t="inlineStr">
        <is>
          <t>D11</t>
        </is>
      </c>
      <c r="C383" s="18" t="inlineStr">
        <is>
          <t>I07</t>
        </is>
      </c>
      <c r="D383" s="18" t="inlineStr">
        <is>
          <t>Change Management Capacity</t>
        </is>
      </c>
      <c r="E383" s="18" t="inlineStr">
        <is>
          <t>D04</t>
        </is>
      </c>
      <c r="F383" s="18" t="inlineStr">
        <is>
          <t>I05</t>
        </is>
      </c>
      <c r="G383" s="18" t="inlineStr">
        <is>
          <t>Content Obsolescence Response</t>
        </is>
      </c>
      <c r="H383" s="18" t="inlineStr">
        <is>
          <t>Adaptation → programme redesign</t>
        </is>
      </c>
      <c r="I383" s="18" t="inlineStr">
        <is>
          <t>If external change is sensed and action is claimed but programmes do not adapt where applicable, flag change-to-curriculum gap.</t>
        </is>
      </c>
      <c r="J383" s="18" t="inlineStr">
        <is>
          <t>Programme adaptation review</t>
        </is>
      </c>
      <c r="K383" s="18" t="inlineStr">
        <is>
          <t>Adaptation is separate from curriculum mechanics.</t>
        </is>
      </c>
    </row>
    <row r="384">
      <c r="A384" s="18" t="inlineStr">
        <is>
          <t>CD23</t>
        </is>
      </c>
      <c r="B384" s="18" t="inlineStr">
        <is>
          <t>D11</t>
        </is>
      </c>
      <c r="C384" s="18" t="inlineStr">
        <is>
          <t>I07</t>
        </is>
      </c>
      <c r="D384" s="18" t="inlineStr">
        <is>
          <t>Change Management Capacity</t>
        </is>
      </c>
      <c r="E384" s="18" t="inlineStr">
        <is>
          <t>D04</t>
        </is>
      </c>
      <c r="F384" s="18" t="inlineStr">
        <is>
          <t>I08</t>
        </is>
      </c>
      <c r="G384" s="18" t="inlineStr">
        <is>
          <t>Programme Agility</t>
        </is>
      </c>
      <c r="H384" s="18" t="inlineStr">
        <is>
          <t>Adaptation → programme redesign</t>
        </is>
      </c>
      <c r="I384" s="18" t="inlineStr">
        <is>
          <t>If external change is sensed and action is claimed but programmes do not adapt where applicable, flag change-to-curriculum gap.</t>
        </is>
      </c>
      <c r="J384" s="18" t="inlineStr">
        <is>
          <t>Programme adaptation review</t>
        </is>
      </c>
      <c r="K384" s="18" t="inlineStr">
        <is>
          <t>Adaptation is separate from curriculum mechanics.</t>
        </is>
      </c>
    </row>
    <row r="385">
      <c r="A385" s="18" t="inlineStr">
        <is>
          <t>CD23</t>
        </is>
      </c>
      <c r="B385" s="18" t="inlineStr">
        <is>
          <t>D11</t>
        </is>
      </c>
      <c r="C385" s="18" t="inlineStr">
        <is>
          <t>I07</t>
        </is>
      </c>
      <c r="D385" s="18" t="inlineStr">
        <is>
          <t>Change Management Capacity</t>
        </is>
      </c>
      <c r="E385" s="18" t="inlineStr">
        <is>
          <t>D04</t>
        </is>
      </c>
      <c r="F385" s="18" t="inlineStr">
        <is>
          <t>I12</t>
        </is>
      </c>
      <c r="G385" s="18" t="inlineStr">
        <is>
          <t>Portfolio Foresight</t>
        </is>
      </c>
      <c r="H385" s="18" t="inlineStr">
        <is>
          <t>Adaptation → programme redesign</t>
        </is>
      </c>
      <c r="I385" s="18" t="inlineStr">
        <is>
          <t>If external change is sensed and action is claimed but programmes do not adapt where applicable, flag change-to-curriculum gap.</t>
        </is>
      </c>
      <c r="J385" s="18" t="inlineStr">
        <is>
          <t>Programme adaptation review</t>
        </is>
      </c>
      <c r="K385" s="18" t="inlineStr">
        <is>
          <t>Adaptation is separate from curriculum mechanics.</t>
        </is>
      </c>
    </row>
    <row r="386">
      <c r="A386" s="18" t="inlineStr">
        <is>
          <t>CD23</t>
        </is>
      </c>
      <c r="B386" s="18" t="inlineStr">
        <is>
          <t>D11</t>
        </is>
      </c>
      <c r="C386" s="18" t="inlineStr">
        <is>
          <t>I09</t>
        </is>
      </c>
      <c r="D386" s="18" t="inlineStr">
        <is>
          <t>Learner Signal Responsiveness</t>
        </is>
      </c>
      <c r="E386" s="18" t="inlineStr">
        <is>
          <t>D04</t>
        </is>
      </c>
      <c r="F386" s="18" t="inlineStr">
        <is>
          <t>I03</t>
        </is>
      </c>
      <c r="G386" s="18" t="inlineStr">
        <is>
          <t>Programme Review Effectiveness</t>
        </is>
      </c>
      <c r="H386" s="18" t="inlineStr">
        <is>
          <t>Adaptation → programme redesign</t>
        </is>
      </c>
      <c r="I386" s="18" t="inlineStr">
        <is>
          <t>If external change is sensed and action is claimed but programmes do not adapt where applicable, flag change-to-curriculum gap.</t>
        </is>
      </c>
      <c r="J386" s="18" t="inlineStr">
        <is>
          <t>Programme adaptation review</t>
        </is>
      </c>
      <c r="K386" s="18" t="inlineStr">
        <is>
          <t>Adaptation is separate from curriculum mechanics.</t>
        </is>
      </c>
    </row>
    <row r="387">
      <c r="A387" s="18" t="inlineStr">
        <is>
          <t>CD23</t>
        </is>
      </c>
      <c r="B387" s="18" t="inlineStr">
        <is>
          <t>D11</t>
        </is>
      </c>
      <c r="C387" s="18" t="inlineStr">
        <is>
          <t>I09</t>
        </is>
      </c>
      <c r="D387" s="18" t="inlineStr">
        <is>
          <t>Learner Signal Responsiveness</t>
        </is>
      </c>
      <c r="E387" s="18" t="inlineStr">
        <is>
          <t>D04</t>
        </is>
      </c>
      <c r="F387" s="18" t="inlineStr">
        <is>
          <t>I05</t>
        </is>
      </c>
      <c r="G387" s="18" t="inlineStr">
        <is>
          <t>Content Obsolescence Response</t>
        </is>
      </c>
      <c r="H387" s="18" t="inlineStr">
        <is>
          <t>Adaptation → programme redesign</t>
        </is>
      </c>
      <c r="I387" s="18" t="inlineStr">
        <is>
          <t>If external change is sensed and action is claimed but programmes do not adapt where applicable, flag change-to-curriculum gap.</t>
        </is>
      </c>
      <c r="J387" s="18" t="inlineStr">
        <is>
          <t>Programme adaptation review</t>
        </is>
      </c>
      <c r="K387" s="18" t="inlineStr">
        <is>
          <t>Adaptation is separate from curriculum mechanics.</t>
        </is>
      </c>
    </row>
    <row r="388">
      <c r="A388" s="18" t="inlineStr">
        <is>
          <t>CD23</t>
        </is>
      </c>
      <c r="B388" s="18" t="inlineStr">
        <is>
          <t>D11</t>
        </is>
      </c>
      <c r="C388" s="18" t="inlineStr">
        <is>
          <t>I09</t>
        </is>
      </c>
      <c r="D388" s="18" t="inlineStr">
        <is>
          <t>Learner Signal Responsiveness</t>
        </is>
      </c>
      <c r="E388" s="18" t="inlineStr">
        <is>
          <t>D04</t>
        </is>
      </c>
      <c r="F388" s="18" t="inlineStr">
        <is>
          <t>I08</t>
        </is>
      </c>
      <c r="G388" s="18" t="inlineStr">
        <is>
          <t>Programme Agility</t>
        </is>
      </c>
      <c r="H388" s="18" t="inlineStr">
        <is>
          <t>Adaptation → programme redesign</t>
        </is>
      </c>
      <c r="I388" s="18" t="inlineStr">
        <is>
          <t>If external change is sensed and action is claimed but programmes do not adapt where applicable, flag change-to-curriculum gap.</t>
        </is>
      </c>
      <c r="J388" s="18" t="inlineStr">
        <is>
          <t>Programme adaptation review</t>
        </is>
      </c>
      <c r="K388" s="18" t="inlineStr">
        <is>
          <t>Adaptation is separate from curriculum mechanics.</t>
        </is>
      </c>
    </row>
    <row r="389">
      <c r="A389" s="18" t="inlineStr">
        <is>
          <t>CD23</t>
        </is>
      </c>
      <c r="B389" s="18" t="inlineStr">
        <is>
          <t>D11</t>
        </is>
      </c>
      <c r="C389" s="18" t="inlineStr">
        <is>
          <t>I09</t>
        </is>
      </c>
      <c r="D389" s="18" t="inlineStr">
        <is>
          <t>Learner Signal Responsiveness</t>
        </is>
      </c>
      <c r="E389" s="18" t="inlineStr">
        <is>
          <t>D04</t>
        </is>
      </c>
      <c r="F389" s="18" t="inlineStr">
        <is>
          <t>I12</t>
        </is>
      </c>
      <c r="G389" s="18" t="inlineStr">
        <is>
          <t>Portfolio Foresight</t>
        </is>
      </c>
      <c r="H389" s="18" t="inlineStr">
        <is>
          <t>Adaptation → programme redesign</t>
        </is>
      </c>
      <c r="I389" s="18" t="inlineStr">
        <is>
          <t>If external change is sensed and action is claimed but programmes do not adapt where applicable, flag change-to-curriculum gap.</t>
        </is>
      </c>
      <c r="J389" s="18" t="inlineStr">
        <is>
          <t>Programme adaptation review</t>
        </is>
      </c>
      <c r="K389" s="18" t="inlineStr">
        <is>
          <t>Adaptation is separate from curriculum mechanics.</t>
        </is>
      </c>
    </row>
    <row r="390">
      <c r="A390" s="18" t="inlineStr">
        <is>
          <t>CD23</t>
        </is>
      </c>
      <c r="B390" s="18" t="inlineStr">
        <is>
          <t>D11</t>
        </is>
      </c>
      <c r="C390" s="18" t="inlineStr">
        <is>
          <t>I10</t>
        </is>
      </c>
      <c r="D390" s="18" t="inlineStr">
        <is>
          <t>Economic &amp; Workforce Responsiveness</t>
        </is>
      </c>
      <c r="E390" s="18" t="inlineStr">
        <is>
          <t>D04</t>
        </is>
      </c>
      <c r="F390" s="18" t="inlineStr">
        <is>
          <t>I03</t>
        </is>
      </c>
      <c r="G390" s="18" t="inlineStr">
        <is>
          <t>Programme Review Effectiveness</t>
        </is>
      </c>
      <c r="H390" s="18" t="inlineStr">
        <is>
          <t>Adaptation → programme redesign</t>
        </is>
      </c>
      <c r="I390" s="18" t="inlineStr">
        <is>
          <t>If external change is sensed and action is claimed but programmes do not adapt where applicable, flag change-to-curriculum gap.</t>
        </is>
      </c>
      <c r="J390" s="18" t="inlineStr">
        <is>
          <t>Programme adaptation review</t>
        </is>
      </c>
      <c r="K390" s="18" t="inlineStr">
        <is>
          <t>Adaptation is separate from curriculum mechanics.</t>
        </is>
      </c>
    </row>
    <row r="391">
      <c r="A391" s="18" t="inlineStr">
        <is>
          <t>CD23</t>
        </is>
      </c>
      <c r="B391" s="18" t="inlineStr">
        <is>
          <t>D11</t>
        </is>
      </c>
      <c r="C391" s="18" t="inlineStr">
        <is>
          <t>I10</t>
        </is>
      </c>
      <c r="D391" s="18" t="inlineStr">
        <is>
          <t>Economic &amp; Workforce Responsiveness</t>
        </is>
      </c>
      <c r="E391" s="18" t="inlineStr">
        <is>
          <t>D04</t>
        </is>
      </c>
      <c r="F391" s="18" t="inlineStr">
        <is>
          <t>I05</t>
        </is>
      </c>
      <c r="G391" s="18" t="inlineStr">
        <is>
          <t>Content Obsolescence Response</t>
        </is>
      </c>
      <c r="H391" s="18" t="inlineStr">
        <is>
          <t>Adaptation → programme redesign</t>
        </is>
      </c>
      <c r="I391" s="18" t="inlineStr">
        <is>
          <t>If external change is sensed and action is claimed but programmes do not adapt where applicable, flag change-to-curriculum gap.</t>
        </is>
      </c>
      <c r="J391" s="18" t="inlineStr">
        <is>
          <t>Programme adaptation review</t>
        </is>
      </c>
      <c r="K391" s="18" t="inlineStr">
        <is>
          <t>Adaptation is separate from curriculum mechanics.</t>
        </is>
      </c>
    </row>
    <row r="392">
      <c r="A392" s="18" t="inlineStr">
        <is>
          <t>CD23</t>
        </is>
      </c>
      <c r="B392" s="18" t="inlineStr">
        <is>
          <t>D11</t>
        </is>
      </c>
      <c r="C392" s="18" t="inlineStr">
        <is>
          <t>I10</t>
        </is>
      </c>
      <c r="D392" s="18" t="inlineStr">
        <is>
          <t>Economic &amp; Workforce Responsiveness</t>
        </is>
      </c>
      <c r="E392" s="18" t="inlineStr">
        <is>
          <t>D04</t>
        </is>
      </c>
      <c r="F392" s="18" t="inlineStr">
        <is>
          <t>I08</t>
        </is>
      </c>
      <c r="G392" s="18" t="inlineStr">
        <is>
          <t>Programme Agility</t>
        </is>
      </c>
      <c r="H392" s="18" t="inlineStr">
        <is>
          <t>Adaptation → programme redesign</t>
        </is>
      </c>
      <c r="I392" s="18" t="inlineStr">
        <is>
          <t>If external change is sensed and action is claimed but programmes do not adapt where applicable, flag change-to-curriculum gap.</t>
        </is>
      </c>
      <c r="J392" s="18" t="inlineStr">
        <is>
          <t>Programme adaptation review</t>
        </is>
      </c>
      <c r="K392" s="18" t="inlineStr">
        <is>
          <t>Adaptation is separate from curriculum mechanics.</t>
        </is>
      </c>
    </row>
    <row r="393">
      <c r="A393" s="18" t="inlineStr">
        <is>
          <t>CD23</t>
        </is>
      </c>
      <c r="B393" s="18" t="inlineStr">
        <is>
          <t>D11</t>
        </is>
      </c>
      <c r="C393" s="18" t="inlineStr">
        <is>
          <t>I10</t>
        </is>
      </c>
      <c r="D393" s="18" t="inlineStr">
        <is>
          <t>Economic &amp; Workforce Responsiveness</t>
        </is>
      </c>
      <c r="E393" s="18" t="inlineStr">
        <is>
          <t>D04</t>
        </is>
      </c>
      <c r="F393" s="18" t="inlineStr">
        <is>
          <t>I12</t>
        </is>
      </c>
      <c r="G393" s="18" t="inlineStr">
        <is>
          <t>Portfolio Foresight</t>
        </is>
      </c>
      <c r="H393" s="18" t="inlineStr">
        <is>
          <t>Adaptation → programme redesign</t>
        </is>
      </c>
      <c r="I393" s="18" t="inlineStr">
        <is>
          <t>If external change is sensed and action is claimed but programmes do not adapt where applicable, flag change-to-curriculum gap.</t>
        </is>
      </c>
      <c r="J393" s="18" t="inlineStr">
        <is>
          <t>Programme adaptation review</t>
        </is>
      </c>
      <c r="K393" s="18" t="inlineStr">
        <is>
          <t>Adaptation is separate from curriculum mechanics.</t>
        </is>
      </c>
    </row>
    <row r="394">
      <c r="A394" s="18" t="inlineStr">
        <is>
          <t>CD24</t>
        </is>
      </c>
      <c r="B394" s="18" t="inlineStr">
        <is>
          <t>D11</t>
        </is>
      </c>
      <c r="C394" s="18" t="inlineStr">
        <is>
          <t>I02</t>
        </is>
      </c>
      <c r="D394" s="18" t="inlineStr">
        <is>
          <t>Strategic Response Agility</t>
        </is>
      </c>
      <c r="E394" s="18" t="inlineStr">
        <is>
          <t>D05</t>
        </is>
      </c>
      <c r="F394" s="18" t="inlineStr">
        <is>
          <t>I08</t>
        </is>
      </c>
      <c r="G394" s="18" t="inlineStr">
        <is>
          <t>Academic Role Redesign</t>
        </is>
      </c>
      <c r="H394" s="18" t="inlineStr">
        <is>
          <t>Adaptation → workforce transformation</t>
        </is>
      </c>
      <c r="I394" s="18" t="inlineStr">
        <is>
          <t>If institutional change is strong but faculty roles/workflows/support do not adapt, flag workforce adaptation gap.</t>
        </is>
      </c>
      <c r="J394" s="18" t="inlineStr">
        <is>
          <t>Academic workforce review</t>
        </is>
      </c>
      <c r="K394" s="18" t="inlineStr">
        <is>
          <t>No D11 uplift from isolated HR activity.</t>
        </is>
      </c>
    </row>
    <row r="395">
      <c r="A395" s="18" t="inlineStr">
        <is>
          <t>CD24</t>
        </is>
      </c>
      <c r="B395" s="18" t="inlineStr">
        <is>
          <t>D11</t>
        </is>
      </c>
      <c r="C395" s="18" t="inlineStr">
        <is>
          <t>I02</t>
        </is>
      </c>
      <c r="D395" s="18" t="inlineStr">
        <is>
          <t>Strategic Response Agility</t>
        </is>
      </c>
      <c r="E395" s="18" t="inlineStr">
        <is>
          <t>D05</t>
        </is>
      </c>
      <c r="F395" s="18" t="inlineStr">
        <is>
          <t>I09</t>
        </is>
      </c>
      <c r="G395" s="18" t="inlineStr">
        <is>
          <t>Workload &amp; Workflow Transformation</t>
        </is>
      </c>
      <c r="H395" s="18" t="inlineStr">
        <is>
          <t>Adaptation → workforce transformation</t>
        </is>
      </c>
      <c r="I395" s="18" t="inlineStr">
        <is>
          <t>If institutional change is strong but faculty roles/workflows/support do not adapt, flag workforce adaptation gap.</t>
        </is>
      </c>
      <c r="J395" s="18" t="inlineStr">
        <is>
          <t>Academic workforce review</t>
        </is>
      </c>
      <c r="K395" s="18" t="inlineStr">
        <is>
          <t>No D11 uplift from isolated HR activity.</t>
        </is>
      </c>
    </row>
    <row r="396">
      <c r="A396" s="18" t="inlineStr">
        <is>
          <t>CD24</t>
        </is>
      </c>
      <c r="B396" s="18" t="inlineStr">
        <is>
          <t>D11</t>
        </is>
      </c>
      <c r="C396" s="18" t="inlineStr">
        <is>
          <t>I02</t>
        </is>
      </c>
      <c r="D396" s="18" t="inlineStr">
        <is>
          <t>Strategic Response Agility</t>
        </is>
      </c>
      <c r="E396" s="18" t="inlineStr">
        <is>
          <t>D05</t>
        </is>
      </c>
      <c r="F396" s="18" t="inlineStr">
        <is>
          <t>I10</t>
        </is>
      </c>
      <c r="G396" s="18" t="inlineStr">
        <is>
          <t>Faculty Support Infrastructure</t>
        </is>
      </c>
      <c r="H396" s="18" t="inlineStr">
        <is>
          <t>Adaptation → workforce transformation</t>
        </is>
      </c>
      <c r="I396" s="18" t="inlineStr">
        <is>
          <t>If institutional change is strong but faculty roles/workflows/support do not adapt, flag workforce adaptation gap.</t>
        </is>
      </c>
      <c r="J396" s="18" t="inlineStr">
        <is>
          <t>Academic workforce review</t>
        </is>
      </c>
      <c r="K396" s="18" t="inlineStr">
        <is>
          <t>No D11 uplift from isolated HR activity.</t>
        </is>
      </c>
    </row>
    <row r="397">
      <c r="A397" s="18" t="inlineStr">
        <is>
          <t>CD24</t>
        </is>
      </c>
      <c r="B397" s="18" t="inlineStr">
        <is>
          <t>D11</t>
        </is>
      </c>
      <c r="C397" s="18" t="inlineStr">
        <is>
          <t>I02</t>
        </is>
      </c>
      <c r="D397" s="18" t="inlineStr">
        <is>
          <t>Strategic Response Agility</t>
        </is>
      </c>
      <c r="E397" s="18" t="inlineStr">
        <is>
          <t>D05</t>
        </is>
      </c>
      <c r="F397" s="18" t="inlineStr">
        <is>
          <t>I12</t>
        </is>
      </c>
      <c r="G397" s="18" t="inlineStr">
        <is>
          <t>Faculty Adoption Learning Loop</t>
        </is>
      </c>
      <c r="H397" s="18" t="inlineStr">
        <is>
          <t>Adaptation → workforce transformation</t>
        </is>
      </c>
      <c r="I397" s="18" t="inlineStr">
        <is>
          <t>If institutional change is strong but faculty roles/workflows/support do not adapt, flag workforce adaptation gap.</t>
        </is>
      </c>
      <c r="J397" s="18" t="inlineStr">
        <is>
          <t>Academic workforce review</t>
        </is>
      </c>
      <c r="K397" s="18" t="inlineStr">
        <is>
          <t>No D11 uplift from isolated HR activity.</t>
        </is>
      </c>
    </row>
    <row r="398">
      <c r="A398" s="18" t="inlineStr">
        <is>
          <t>CD24</t>
        </is>
      </c>
      <c r="B398" s="18" t="inlineStr">
        <is>
          <t>D11</t>
        </is>
      </c>
      <c r="C398" s="18" t="inlineStr">
        <is>
          <t>I07</t>
        </is>
      </c>
      <c r="D398" s="18" t="inlineStr">
        <is>
          <t>Change Management Capacity</t>
        </is>
      </c>
      <c r="E398" s="18" t="inlineStr">
        <is>
          <t>D05</t>
        </is>
      </c>
      <c r="F398" s="18" t="inlineStr">
        <is>
          <t>I08</t>
        </is>
      </c>
      <c r="G398" s="18" t="inlineStr">
        <is>
          <t>Academic Role Redesign</t>
        </is>
      </c>
      <c r="H398" s="18" t="inlineStr">
        <is>
          <t>Adaptation → workforce transformation</t>
        </is>
      </c>
      <c r="I398" s="18" t="inlineStr">
        <is>
          <t>If institutional change is strong but faculty roles/workflows/support do not adapt, flag workforce adaptation gap.</t>
        </is>
      </c>
      <c r="J398" s="18" t="inlineStr">
        <is>
          <t>Academic workforce review</t>
        </is>
      </c>
      <c r="K398" s="18" t="inlineStr">
        <is>
          <t>No D11 uplift from isolated HR activity.</t>
        </is>
      </c>
    </row>
    <row r="399">
      <c r="A399" s="18" t="inlineStr">
        <is>
          <t>CD24</t>
        </is>
      </c>
      <c r="B399" s="18" t="inlineStr">
        <is>
          <t>D11</t>
        </is>
      </c>
      <c r="C399" s="18" t="inlineStr">
        <is>
          <t>I07</t>
        </is>
      </c>
      <c r="D399" s="18" t="inlineStr">
        <is>
          <t>Change Management Capacity</t>
        </is>
      </c>
      <c r="E399" s="18" t="inlineStr">
        <is>
          <t>D05</t>
        </is>
      </c>
      <c r="F399" s="18" t="inlineStr">
        <is>
          <t>I09</t>
        </is>
      </c>
      <c r="G399" s="18" t="inlineStr">
        <is>
          <t>Workload &amp; Workflow Transformation</t>
        </is>
      </c>
      <c r="H399" s="18" t="inlineStr">
        <is>
          <t>Adaptation → workforce transformation</t>
        </is>
      </c>
      <c r="I399" s="18" t="inlineStr">
        <is>
          <t>If institutional change is strong but faculty roles/workflows/support do not adapt, flag workforce adaptation gap.</t>
        </is>
      </c>
      <c r="J399" s="18" t="inlineStr">
        <is>
          <t>Academic workforce review</t>
        </is>
      </c>
      <c r="K399" s="18" t="inlineStr">
        <is>
          <t>No D11 uplift from isolated HR activity.</t>
        </is>
      </c>
    </row>
    <row r="400">
      <c r="A400" s="18" t="inlineStr">
        <is>
          <t>CD24</t>
        </is>
      </c>
      <c r="B400" s="18" t="inlineStr">
        <is>
          <t>D11</t>
        </is>
      </c>
      <c r="C400" s="18" t="inlineStr">
        <is>
          <t>I07</t>
        </is>
      </c>
      <c r="D400" s="18" t="inlineStr">
        <is>
          <t>Change Management Capacity</t>
        </is>
      </c>
      <c r="E400" s="18" t="inlineStr">
        <is>
          <t>D05</t>
        </is>
      </c>
      <c r="F400" s="18" t="inlineStr">
        <is>
          <t>I10</t>
        </is>
      </c>
      <c r="G400" s="18" t="inlineStr">
        <is>
          <t>Faculty Support Infrastructure</t>
        </is>
      </c>
      <c r="H400" s="18" t="inlineStr">
        <is>
          <t>Adaptation → workforce transformation</t>
        </is>
      </c>
      <c r="I400" s="18" t="inlineStr">
        <is>
          <t>If institutional change is strong but faculty roles/workflows/support do not adapt, flag workforce adaptation gap.</t>
        </is>
      </c>
      <c r="J400" s="18" t="inlineStr">
        <is>
          <t>Academic workforce review</t>
        </is>
      </c>
      <c r="K400" s="18" t="inlineStr">
        <is>
          <t>No D11 uplift from isolated HR activity.</t>
        </is>
      </c>
    </row>
    <row r="401">
      <c r="A401" s="18" t="inlineStr">
        <is>
          <t>CD24</t>
        </is>
      </c>
      <c r="B401" s="18" t="inlineStr">
        <is>
          <t>D11</t>
        </is>
      </c>
      <c r="C401" s="18" t="inlineStr">
        <is>
          <t>I07</t>
        </is>
      </c>
      <c r="D401" s="18" t="inlineStr">
        <is>
          <t>Change Management Capacity</t>
        </is>
      </c>
      <c r="E401" s="18" t="inlineStr">
        <is>
          <t>D05</t>
        </is>
      </c>
      <c r="F401" s="18" t="inlineStr">
        <is>
          <t>I12</t>
        </is>
      </c>
      <c r="G401" s="18" t="inlineStr">
        <is>
          <t>Faculty Adoption Learning Loop</t>
        </is>
      </c>
      <c r="H401" s="18" t="inlineStr">
        <is>
          <t>Adaptation → workforce transformation</t>
        </is>
      </c>
      <c r="I401" s="18" t="inlineStr">
        <is>
          <t>If institutional change is strong but faculty roles/workflows/support do not adapt, flag workforce adaptation gap.</t>
        </is>
      </c>
      <c r="J401" s="18" t="inlineStr">
        <is>
          <t>Academic workforce review</t>
        </is>
      </c>
      <c r="K401" s="18" t="inlineStr">
        <is>
          <t>No D11 uplift from isolated HR activity.</t>
        </is>
      </c>
    </row>
    <row r="402">
      <c r="A402" s="18" t="inlineStr">
        <is>
          <t>CD24</t>
        </is>
      </c>
      <c r="B402" s="18" t="inlineStr">
        <is>
          <t>D11</t>
        </is>
      </c>
      <c r="C402" s="18" t="inlineStr">
        <is>
          <t>I08</t>
        </is>
      </c>
      <c r="D402" s="18" t="inlineStr">
        <is>
          <t>Adaptive Leadership Alignment</t>
        </is>
      </c>
      <c r="E402" s="18" t="inlineStr">
        <is>
          <t>D05</t>
        </is>
      </c>
      <c r="F402" s="18" t="inlineStr">
        <is>
          <t>I08</t>
        </is>
      </c>
      <c r="G402" s="18" t="inlineStr">
        <is>
          <t>Academic Role Redesign</t>
        </is>
      </c>
      <c r="H402" s="18" t="inlineStr">
        <is>
          <t>Adaptation → workforce transformation</t>
        </is>
      </c>
      <c r="I402" s="18" t="inlineStr">
        <is>
          <t>If institutional change is strong but faculty roles/workflows/support do not adapt, flag workforce adaptation gap.</t>
        </is>
      </c>
      <c r="J402" s="18" t="inlineStr">
        <is>
          <t>Academic workforce review</t>
        </is>
      </c>
      <c r="K402" s="18" t="inlineStr">
        <is>
          <t>No D11 uplift from isolated HR activity.</t>
        </is>
      </c>
    </row>
    <row r="403">
      <c r="A403" s="18" t="inlineStr">
        <is>
          <t>CD24</t>
        </is>
      </c>
      <c r="B403" s="18" t="inlineStr">
        <is>
          <t>D11</t>
        </is>
      </c>
      <c r="C403" s="18" t="inlineStr">
        <is>
          <t>I08</t>
        </is>
      </c>
      <c r="D403" s="18" t="inlineStr">
        <is>
          <t>Adaptive Leadership Alignment</t>
        </is>
      </c>
      <c r="E403" s="18" t="inlineStr">
        <is>
          <t>D05</t>
        </is>
      </c>
      <c r="F403" s="18" t="inlineStr">
        <is>
          <t>I09</t>
        </is>
      </c>
      <c r="G403" s="18" t="inlineStr">
        <is>
          <t>Workload &amp; Workflow Transformation</t>
        </is>
      </c>
      <c r="H403" s="18" t="inlineStr">
        <is>
          <t>Adaptation → workforce transformation</t>
        </is>
      </c>
      <c r="I403" s="18" t="inlineStr">
        <is>
          <t>If institutional change is strong but faculty roles/workflows/support do not adapt, flag workforce adaptation gap.</t>
        </is>
      </c>
      <c r="J403" s="18" t="inlineStr">
        <is>
          <t>Academic workforce review</t>
        </is>
      </c>
      <c r="K403" s="18" t="inlineStr">
        <is>
          <t>No D11 uplift from isolated HR activity.</t>
        </is>
      </c>
    </row>
    <row r="404">
      <c r="A404" s="18" t="inlineStr">
        <is>
          <t>CD24</t>
        </is>
      </c>
      <c r="B404" s="18" t="inlineStr">
        <is>
          <t>D11</t>
        </is>
      </c>
      <c r="C404" s="18" t="inlineStr">
        <is>
          <t>I08</t>
        </is>
      </c>
      <c r="D404" s="18" t="inlineStr">
        <is>
          <t>Adaptive Leadership Alignment</t>
        </is>
      </c>
      <c r="E404" s="18" t="inlineStr">
        <is>
          <t>D05</t>
        </is>
      </c>
      <c r="F404" s="18" t="inlineStr">
        <is>
          <t>I10</t>
        </is>
      </c>
      <c r="G404" s="18" t="inlineStr">
        <is>
          <t>Faculty Support Infrastructure</t>
        </is>
      </c>
      <c r="H404" s="18" t="inlineStr">
        <is>
          <t>Adaptation → workforce transformation</t>
        </is>
      </c>
      <c r="I404" s="18" t="inlineStr">
        <is>
          <t>If institutional change is strong but faculty roles/workflows/support do not adapt, flag workforce adaptation gap.</t>
        </is>
      </c>
      <c r="J404" s="18" t="inlineStr">
        <is>
          <t>Academic workforce review</t>
        </is>
      </c>
      <c r="K404" s="18" t="inlineStr">
        <is>
          <t>No D11 uplift from isolated HR activity.</t>
        </is>
      </c>
    </row>
    <row r="405">
      <c r="A405" s="18" t="inlineStr">
        <is>
          <t>CD24</t>
        </is>
      </c>
      <c r="B405" s="18" t="inlineStr">
        <is>
          <t>D11</t>
        </is>
      </c>
      <c r="C405" s="18" t="inlineStr">
        <is>
          <t>I08</t>
        </is>
      </c>
      <c r="D405" s="18" t="inlineStr">
        <is>
          <t>Adaptive Leadership Alignment</t>
        </is>
      </c>
      <c r="E405" s="18" t="inlineStr">
        <is>
          <t>D05</t>
        </is>
      </c>
      <c r="F405" s="18" t="inlineStr">
        <is>
          <t>I12</t>
        </is>
      </c>
      <c r="G405" s="18" t="inlineStr">
        <is>
          <t>Faculty Adoption Learning Loop</t>
        </is>
      </c>
      <c r="H405" s="18" t="inlineStr">
        <is>
          <t>Adaptation → workforce transformation</t>
        </is>
      </c>
      <c r="I405" s="18" t="inlineStr">
        <is>
          <t>If institutional change is strong but faculty roles/workflows/support do not adapt, flag workforce adaptation gap.</t>
        </is>
      </c>
      <c r="J405" s="18" t="inlineStr">
        <is>
          <t>Academic workforce review</t>
        </is>
      </c>
      <c r="K405" s="18" t="inlineStr">
        <is>
          <t>No D11 uplift from isolated HR activity.</t>
        </is>
      </c>
    </row>
    <row r="406">
      <c r="A406" s="18" t="inlineStr">
        <is>
          <t>CD25</t>
        </is>
      </c>
      <c r="B406" s="18" t="inlineStr">
        <is>
          <t>D11</t>
        </is>
      </c>
      <c r="C406" s="18" t="inlineStr">
        <is>
          <t>I09</t>
        </is>
      </c>
      <c r="D406" s="18" t="inlineStr">
        <is>
          <t>Learner Signal Responsiveness</t>
        </is>
      </c>
      <c r="E406" s="18" t="inlineStr">
        <is>
          <t>D06</t>
        </is>
      </c>
      <c r="F406" s="18" t="inlineStr">
        <is>
          <t>I08</t>
        </is>
      </c>
      <c r="G406" s="18" t="inlineStr">
        <is>
          <t>Career Adaptability</t>
        </is>
      </c>
      <c r="H406" s="18" t="inlineStr">
        <is>
          <t>Adaptation → learner response</t>
        </is>
      </c>
      <c r="I406" s="18" t="inlineStr">
        <is>
          <t>If learner/workforce signals are sensed but student capability/support does not change, flag learner responsiveness gap.</t>
        </is>
      </c>
      <c r="J406" s="18" t="inlineStr">
        <is>
          <t>Learner response review</t>
        </is>
      </c>
      <c r="K406" s="18" t="inlineStr">
        <is>
          <t>D11 owns institutional response; D06 owns student capability.</t>
        </is>
      </c>
    </row>
    <row r="407">
      <c r="A407" s="18" t="inlineStr">
        <is>
          <t>CD25</t>
        </is>
      </c>
      <c r="B407" s="18" t="inlineStr">
        <is>
          <t>D11</t>
        </is>
      </c>
      <c r="C407" s="18" t="inlineStr">
        <is>
          <t>I09</t>
        </is>
      </c>
      <c r="D407" s="18" t="inlineStr">
        <is>
          <t>Learner Signal Responsiveness</t>
        </is>
      </c>
      <c r="E407" s="18" t="inlineStr">
        <is>
          <t>D06</t>
        </is>
      </c>
      <c r="F407" s="18" t="inlineStr">
        <is>
          <t>I10</t>
        </is>
      </c>
      <c r="G407" s="18" t="inlineStr">
        <is>
          <t>Problem Solving &amp; Transfer</t>
        </is>
      </c>
      <c r="H407" s="18" t="inlineStr">
        <is>
          <t>Adaptation → learner response</t>
        </is>
      </c>
      <c r="I407" s="18" t="inlineStr">
        <is>
          <t>If learner/workforce signals are sensed but student capability/support does not change, flag learner responsiveness gap.</t>
        </is>
      </c>
      <c r="J407" s="18" t="inlineStr">
        <is>
          <t>Learner response review</t>
        </is>
      </c>
      <c r="K407" s="18" t="inlineStr">
        <is>
          <t>D11 owns institutional response; D06 owns student capability.</t>
        </is>
      </c>
    </row>
    <row r="408">
      <c r="A408" s="18" t="inlineStr">
        <is>
          <t>CD25</t>
        </is>
      </c>
      <c r="B408" s="18" t="inlineStr">
        <is>
          <t>D11</t>
        </is>
      </c>
      <c r="C408" s="18" t="inlineStr">
        <is>
          <t>I09</t>
        </is>
      </c>
      <c r="D408" s="18" t="inlineStr">
        <is>
          <t>Learner Signal Responsiveness</t>
        </is>
      </c>
      <c r="E408" s="18" t="inlineStr">
        <is>
          <t>D06</t>
        </is>
      </c>
      <c r="F408" s="18" t="inlineStr">
        <is>
          <t>I14</t>
        </is>
      </c>
      <c r="G408" s="18" t="inlineStr">
        <is>
          <t>Student Voice &amp; Feedback Loop</t>
        </is>
      </c>
      <c r="H408" s="18" t="inlineStr">
        <is>
          <t>Adaptation → learner response</t>
        </is>
      </c>
      <c r="I408" s="18" t="inlineStr">
        <is>
          <t>If learner/workforce signals are sensed but student capability/support does not change, flag learner responsiveness gap.</t>
        </is>
      </c>
      <c r="J408" s="18" t="inlineStr">
        <is>
          <t>Learner response review</t>
        </is>
      </c>
      <c r="K408" s="18" t="inlineStr">
        <is>
          <t>D11 owns institutional response; D06 owns student capability.</t>
        </is>
      </c>
    </row>
    <row r="409">
      <c r="A409" s="18" t="inlineStr">
        <is>
          <t>CD25</t>
        </is>
      </c>
      <c r="B409" s="18" t="inlineStr">
        <is>
          <t>D11</t>
        </is>
      </c>
      <c r="C409" s="18" t="inlineStr">
        <is>
          <t>I10</t>
        </is>
      </c>
      <c r="D409" s="18" t="inlineStr">
        <is>
          <t>Economic &amp; Workforce Responsiveness</t>
        </is>
      </c>
      <c r="E409" s="18" t="inlineStr">
        <is>
          <t>D06</t>
        </is>
      </c>
      <c r="F409" s="18" t="inlineStr">
        <is>
          <t>I08</t>
        </is>
      </c>
      <c r="G409" s="18" t="inlineStr">
        <is>
          <t>Career Adaptability</t>
        </is>
      </c>
      <c r="H409" s="18" t="inlineStr">
        <is>
          <t>Adaptation → learner response</t>
        </is>
      </c>
      <c r="I409" s="18" t="inlineStr">
        <is>
          <t>If learner/workforce signals are sensed but student capability/support does not change, flag learner responsiveness gap.</t>
        </is>
      </c>
      <c r="J409" s="18" t="inlineStr">
        <is>
          <t>Learner response review</t>
        </is>
      </c>
      <c r="K409" s="18" t="inlineStr">
        <is>
          <t>D11 owns institutional response; D06 owns student capability.</t>
        </is>
      </c>
    </row>
    <row r="410">
      <c r="A410" s="18" t="inlineStr">
        <is>
          <t>CD25</t>
        </is>
      </c>
      <c r="B410" s="18" t="inlineStr">
        <is>
          <t>D11</t>
        </is>
      </c>
      <c r="C410" s="18" t="inlineStr">
        <is>
          <t>I10</t>
        </is>
      </c>
      <c r="D410" s="18" t="inlineStr">
        <is>
          <t>Economic &amp; Workforce Responsiveness</t>
        </is>
      </c>
      <c r="E410" s="18" t="inlineStr">
        <is>
          <t>D06</t>
        </is>
      </c>
      <c r="F410" s="18" t="inlineStr">
        <is>
          <t>I10</t>
        </is>
      </c>
      <c r="G410" s="18" t="inlineStr">
        <is>
          <t>Problem Solving &amp; Transfer</t>
        </is>
      </c>
      <c r="H410" s="18" t="inlineStr">
        <is>
          <t>Adaptation → learner response</t>
        </is>
      </c>
      <c r="I410" s="18" t="inlineStr">
        <is>
          <t>If learner/workforce signals are sensed but student capability/support does not change, flag learner responsiveness gap.</t>
        </is>
      </c>
      <c r="J410" s="18" t="inlineStr">
        <is>
          <t>Learner response review</t>
        </is>
      </c>
      <c r="K410" s="18" t="inlineStr">
        <is>
          <t>D11 owns institutional response; D06 owns student capability.</t>
        </is>
      </c>
    </row>
    <row r="411">
      <c r="A411" s="18" t="inlineStr">
        <is>
          <t>CD25</t>
        </is>
      </c>
      <c r="B411" s="18" t="inlineStr">
        <is>
          <t>D11</t>
        </is>
      </c>
      <c r="C411" s="18" t="inlineStr">
        <is>
          <t>I10</t>
        </is>
      </c>
      <c r="D411" s="18" t="inlineStr">
        <is>
          <t>Economic &amp; Workforce Responsiveness</t>
        </is>
      </c>
      <c r="E411" s="18" t="inlineStr">
        <is>
          <t>D06</t>
        </is>
      </c>
      <c r="F411" s="18" t="inlineStr">
        <is>
          <t>I14</t>
        </is>
      </c>
      <c r="G411" s="18" t="inlineStr">
        <is>
          <t>Student Voice &amp; Feedback Loop</t>
        </is>
      </c>
      <c r="H411" s="18" t="inlineStr">
        <is>
          <t>Adaptation → learner response</t>
        </is>
      </c>
      <c r="I411" s="18" t="inlineStr">
        <is>
          <t>If learner/workforce signals are sensed but student capability/support does not change, flag learner responsiveness gap.</t>
        </is>
      </c>
      <c r="J411" s="18" t="inlineStr">
        <is>
          <t>Learner response review</t>
        </is>
      </c>
      <c r="K411" s="18" t="inlineStr">
        <is>
          <t>D11 owns institutional response; D06 owns student capability.</t>
        </is>
      </c>
    </row>
    <row r="412">
      <c r="A412" s="18" t="inlineStr">
        <is>
          <t>CD25</t>
        </is>
      </c>
      <c r="B412" s="18" t="inlineStr">
        <is>
          <t>D11</t>
        </is>
      </c>
      <c r="C412" s="18" t="inlineStr">
        <is>
          <t>I13</t>
        </is>
      </c>
      <c r="D412" s="18" t="inlineStr">
        <is>
          <t>Institutional Learning System</t>
        </is>
      </c>
      <c r="E412" s="18" t="inlineStr">
        <is>
          <t>D06</t>
        </is>
      </c>
      <c r="F412" s="18" t="inlineStr">
        <is>
          <t>I08</t>
        </is>
      </c>
      <c r="G412" s="18" t="inlineStr">
        <is>
          <t>Career Adaptability</t>
        </is>
      </c>
      <c r="H412" s="18" t="inlineStr">
        <is>
          <t>Adaptation → learner response</t>
        </is>
      </c>
      <c r="I412" s="18" t="inlineStr">
        <is>
          <t>If learner/workforce signals are sensed but student capability/support does not change, flag learner responsiveness gap.</t>
        </is>
      </c>
      <c r="J412" s="18" t="inlineStr">
        <is>
          <t>Learner response review</t>
        </is>
      </c>
      <c r="K412" s="18" t="inlineStr">
        <is>
          <t>D11 owns institutional response; D06 owns student capability.</t>
        </is>
      </c>
    </row>
    <row r="413">
      <c r="A413" s="18" t="inlineStr">
        <is>
          <t>CD25</t>
        </is>
      </c>
      <c r="B413" s="18" t="inlineStr">
        <is>
          <t>D11</t>
        </is>
      </c>
      <c r="C413" s="18" t="inlineStr">
        <is>
          <t>I13</t>
        </is>
      </c>
      <c r="D413" s="18" t="inlineStr">
        <is>
          <t>Institutional Learning System</t>
        </is>
      </c>
      <c r="E413" s="18" t="inlineStr">
        <is>
          <t>D06</t>
        </is>
      </c>
      <c r="F413" s="18" t="inlineStr">
        <is>
          <t>I10</t>
        </is>
      </c>
      <c r="G413" s="18" t="inlineStr">
        <is>
          <t>Problem Solving &amp; Transfer</t>
        </is>
      </c>
      <c r="H413" s="18" t="inlineStr">
        <is>
          <t>Adaptation → learner response</t>
        </is>
      </c>
      <c r="I413" s="18" t="inlineStr">
        <is>
          <t>If learner/workforce signals are sensed but student capability/support does not change, flag learner responsiveness gap.</t>
        </is>
      </c>
      <c r="J413" s="18" t="inlineStr">
        <is>
          <t>Learner response review</t>
        </is>
      </c>
      <c r="K413" s="18" t="inlineStr">
        <is>
          <t>D11 owns institutional response; D06 owns student capability.</t>
        </is>
      </c>
    </row>
    <row r="414">
      <c r="A414" s="18" t="inlineStr">
        <is>
          <t>CD25</t>
        </is>
      </c>
      <c r="B414" s="18" t="inlineStr">
        <is>
          <t>D11</t>
        </is>
      </c>
      <c r="C414" s="18" t="inlineStr">
        <is>
          <t>I13</t>
        </is>
      </c>
      <c r="D414" s="18" t="inlineStr">
        <is>
          <t>Institutional Learning System</t>
        </is>
      </c>
      <c r="E414" s="18" t="inlineStr">
        <is>
          <t>D06</t>
        </is>
      </c>
      <c r="F414" s="18" t="inlineStr">
        <is>
          <t>I14</t>
        </is>
      </c>
      <c r="G414" s="18" t="inlineStr">
        <is>
          <t>Student Voice &amp; Feedback Loop</t>
        </is>
      </c>
      <c r="H414" s="18" t="inlineStr">
        <is>
          <t>Adaptation → learner response</t>
        </is>
      </c>
      <c r="I414" s="18" t="inlineStr">
        <is>
          <t>If learner/workforce signals are sensed but student capability/support does not change, flag learner responsiveness gap.</t>
        </is>
      </c>
      <c r="J414" s="18" t="inlineStr">
        <is>
          <t>Learner response review</t>
        </is>
      </c>
      <c r="K414" s="18" t="inlineStr">
        <is>
          <t>D11 owns institutional response; D06 owns student capability.</t>
        </is>
      </c>
    </row>
  </sheetData>
  <autoFilter ref="A1:K414"/>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L414"/>
  <sheetViews>
    <sheetView showGridLines="0" workbookViewId="0">
      <pane ySplit="1" topLeftCell="A2" activePane="bottomLeft" state="frozen"/>
      <selection pane="bottomLeft" activeCell="A1" sqref="A1"/>
    </sheetView>
  </sheetViews>
  <sheetFormatPr baseColWidth="8" defaultRowHeight="15"/>
  <cols>
    <col width="12" customWidth="1" min="1" max="1"/>
    <col width="38" customWidth="1" min="2" max="2"/>
    <col width="38" customWidth="1" min="3" max="3"/>
    <col width="14" customWidth="1" min="4" max="4"/>
    <col width="14" customWidth="1" min="5" max="5"/>
    <col width="16" customWidth="1" min="6" max="6"/>
    <col width="16" customWidth="1" min="7" max="7"/>
    <col width="14" customWidth="1" min="8" max="8"/>
    <col width="14" customWidth="1" min="9" max="9"/>
    <col width="60" customWidth="1" min="10" max="10"/>
    <col width="14" customWidth="1" min="11" max="11"/>
    <col width="70" customWidth="1" min="12" max="12"/>
  </cols>
  <sheetData>
    <row r="1">
      <c r="A1" s="28" t="inlineStr">
        <is>
          <t>Rule ID</t>
        </is>
      </c>
      <c r="B1" s="28" t="inlineStr">
        <is>
          <t>From Metric</t>
        </is>
      </c>
      <c r="C1" s="28" t="inlineStr">
        <is>
          <t>To Metric</t>
        </is>
      </c>
      <c r="D1" s="28" t="inlineStr">
        <is>
          <t>From Score</t>
        </is>
      </c>
      <c r="E1" s="28" t="inlineStr">
        <is>
          <t>To Score</t>
        </is>
      </c>
      <c r="F1" s="28" t="inlineStr">
        <is>
          <t>From Required R</t>
        </is>
      </c>
      <c r="G1" s="28" t="inlineStr">
        <is>
          <t>To Required R</t>
        </is>
      </c>
      <c r="H1" s="28" t="inlineStr">
        <is>
          <t>From Gap</t>
        </is>
      </c>
      <c r="I1" s="28" t="inlineStr">
        <is>
          <t>To Gap</t>
        </is>
      </c>
      <c r="J1" s="28" t="inlineStr">
        <is>
          <t>Trigger</t>
        </is>
      </c>
      <c r="K1" s="28" t="inlineStr">
        <is>
          <t>Severity</t>
        </is>
      </c>
      <c r="L1" s="28" t="inlineStr">
        <is>
          <t>Diagnostic</t>
        </is>
      </c>
    </row>
    <row r="2">
      <c r="A2" s="18" t="inlineStr">
        <is>
          <t>CD01</t>
        </is>
      </c>
      <c r="B2" s="18" t="inlineStr">
        <is>
          <t>D01-I01</t>
        </is>
      </c>
      <c r="C2" s="18" t="inlineStr">
        <is>
          <t>D03-I01</t>
        </is>
      </c>
      <c r="D2" s="18">
        <f>'P0-3_Scorecard'!L2</f>
        <v/>
      </c>
      <c r="E2" s="18">
        <f>'P0-3_Scorecard'!L26</f>
        <v/>
      </c>
      <c r="F2" s="18">
        <f>'P0-3_Scorecard'!M2</f>
        <v/>
      </c>
      <c r="G2" s="18">
        <f>'P0-3_Scorecard'!M26</f>
        <v/>
      </c>
      <c r="H2" s="18">
        <f>IF(OR(D2="",F2=""),"",D2-(F2*20))</f>
        <v/>
      </c>
      <c r="I2" s="18">
        <f>IF(OR(E2="",G2=""),"",E2-(G2*20))</f>
        <v/>
      </c>
      <c r="J2" s="18">
        <f>IF(OR(D2="",E2=""),"INCOMPLETE",IF(AND(D2&gt;=80,E2&lt;50),"CONTRADICTION",IF(AND(D2&gt;=70,E2&lt;70),"DEPENDENCY GAP","NO TRIGGER")))</f>
        <v/>
      </c>
      <c r="K2" s="18">
        <f>IF(J2="CONTRADICTION","HIGH",IF(J2="DEPENDENCY GAP","MEDIUM","—"))</f>
        <v/>
      </c>
      <c r="L2" s="18">
        <f>IF(J2="CONTRADICTION","Strong upstream claim is not supported by linked downstream capability/evidence. Trigger: D03 deep-dive.",IF(J2="DEPENDENCY GAP","Downstream capability materially trails upstream expectation. Trigger: D03 deep-dive.",""))</f>
        <v/>
      </c>
    </row>
    <row r="3">
      <c r="A3" s="18" t="inlineStr">
        <is>
          <t>CD01</t>
        </is>
      </c>
      <c r="B3" s="18" t="inlineStr">
        <is>
          <t>D01-I01</t>
        </is>
      </c>
      <c r="C3" s="18" t="inlineStr">
        <is>
          <t>D03-I02</t>
        </is>
      </c>
      <c r="D3" s="18">
        <f>'P0-3_Scorecard'!L2</f>
        <v/>
      </c>
      <c r="E3" s="18">
        <f>'P0-3_Scorecard'!L27</f>
        <v/>
      </c>
      <c r="F3" s="18">
        <f>'P0-3_Scorecard'!M2</f>
        <v/>
      </c>
      <c r="G3" s="18">
        <f>'P0-3_Scorecard'!M27</f>
        <v/>
      </c>
      <c r="H3" s="18">
        <f>IF(OR(D3="",F3=""),"",D3-(F3*20))</f>
        <v/>
      </c>
      <c r="I3" s="18">
        <f>IF(OR(E3="",G3=""),"",E3-(G3*20))</f>
        <v/>
      </c>
      <c r="J3" s="18">
        <f>IF(OR(D3="",E3=""),"INCOMPLETE",IF(AND(D3&gt;=80,E3&lt;50),"CONTRADICTION",IF(AND(D3&gt;=70,E3&lt;70),"DEPENDENCY GAP","NO TRIGGER")))</f>
        <v/>
      </c>
      <c r="K3" s="18">
        <f>IF(J3="CONTRADICTION","HIGH",IF(J3="DEPENDENCY GAP","MEDIUM","—"))</f>
        <v/>
      </c>
      <c r="L3" s="18">
        <f>IF(J3="CONTRADICTION","Strong upstream claim is not supported by linked downstream capability/evidence. Trigger: D03 deep-dive.",IF(J3="DEPENDENCY GAP","Downstream capability materially trails upstream expectation. Trigger: D03 deep-dive.",""))</f>
        <v/>
      </c>
    </row>
    <row r="4">
      <c r="A4" s="18" t="inlineStr">
        <is>
          <t>CD01</t>
        </is>
      </c>
      <c r="B4" s="18" t="inlineStr">
        <is>
          <t>D01-I01</t>
        </is>
      </c>
      <c r="C4" s="18" t="inlineStr">
        <is>
          <t>D03-I05</t>
        </is>
      </c>
      <c r="D4" s="18">
        <f>'P0-3_Scorecard'!L2</f>
        <v/>
      </c>
      <c r="E4" s="18">
        <f>'P0-3_Scorecard'!L30</f>
        <v/>
      </c>
      <c r="F4" s="18">
        <f>'P0-3_Scorecard'!M2</f>
        <v/>
      </c>
      <c r="G4" s="18">
        <f>'P0-3_Scorecard'!M30</f>
        <v/>
      </c>
      <c r="H4" s="18">
        <f>IF(OR(D4="",F4=""),"",D4-(F4*20))</f>
        <v/>
      </c>
      <c r="I4" s="18">
        <f>IF(OR(E4="",G4=""),"",E4-(G4*20))</f>
        <v/>
      </c>
      <c r="J4" s="18">
        <f>IF(OR(D4="",E4=""),"INCOMPLETE",IF(AND(D4&gt;=80,E4&lt;50),"CONTRADICTION",IF(AND(D4&gt;=70,E4&lt;70),"DEPENDENCY GAP","NO TRIGGER")))</f>
        <v/>
      </c>
      <c r="K4" s="18">
        <f>IF(J4="CONTRADICTION","HIGH",IF(J4="DEPENDENCY GAP","MEDIUM","—"))</f>
        <v/>
      </c>
      <c r="L4" s="18">
        <f>IF(J4="CONTRADICTION","Strong upstream claim is not supported by linked downstream capability/evidence. Trigger: D03 deep-dive.",IF(J4="DEPENDENCY GAP","Downstream capability materially trails upstream expectation. Trigger: D03 deep-dive.",""))</f>
        <v/>
      </c>
    </row>
    <row r="5">
      <c r="A5" s="18" t="inlineStr">
        <is>
          <t>CD01</t>
        </is>
      </c>
      <c r="B5" s="18" t="inlineStr">
        <is>
          <t>D01-I01</t>
        </is>
      </c>
      <c r="C5" s="18" t="inlineStr">
        <is>
          <t>D03-I07</t>
        </is>
      </c>
      <c r="D5" s="18">
        <f>'P0-3_Scorecard'!L2</f>
        <v/>
      </c>
      <c r="E5" s="18">
        <f>'P0-3_Scorecard'!L32</f>
        <v/>
      </c>
      <c r="F5" s="18">
        <f>'P0-3_Scorecard'!M2</f>
        <v/>
      </c>
      <c r="G5" s="18">
        <f>'P0-3_Scorecard'!M32</f>
        <v/>
      </c>
      <c r="H5" s="18">
        <f>IF(OR(D5="",F5=""),"",D5-(F5*20))</f>
        <v/>
      </c>
      <c r="I5" s="18">
        <f>IF(OR(E5="",G5=""),"",E5-(G5*20))</f>
        <v/>
      </c>
      <c r="J5" s="18">
        <f>IF(OR(D5="",E5=""),"INCOMPLETE",IF(AND(D5&gt;=80,E5&lt;50),"CONTRADICTION",IF(AND(D5&gt;=70,E5&lt;70),"DEPENDENCY GAP","NO TRIGGER")))</f>
        <v/>
      </c>
      <c r="K5" s="18">
        <f>IF(J5="CONTRADICTION","HIGH",IF(J5="DEPENDENCY GAP","MEDIUM","—"))</f>
        <v/>
      </c>
      <c r="L5" s="18">
        <f>IF(J5="CONTRADICTION","Strong upstream claim is not supported by linked downstream capability/evidence. Trigger: D03 deep-dive.",IF(J5="DEPENDENCY GAP","Downstream capability materially trails upstream expectation. Trigger: D03 deep-dive.",""))</f>
        <v/>
      </c>
    </row>
    <row r="6">
      <c r="A6" s="18" t="inlineStr">
        <is>
          <t>CD01</t>
        </is>
      </c>
      <c r="B6" s="18" t="inlineStr">
        <is>
          <t>D01-I01</t>
        </is>
      </c>
      <c r="C6" s="18" t="inlineStr">
        <is>
          <t>D03-I15</t>
        </is>
      </c>
      <c r="D6" s="18">
        <f>'P0-3_Scorecard'!L2</f>
        <v/>
      </c>
      <c r="E6" s="18">
        <f>'P0-3_Scorecard'!L40</f>
        <v/>
      </c>
      <c r="F6" s="18">
        <f>'P0-3_Scorecard'!M2</f>
        <v/>
      </c>
      <c r="G6" s="18">
        <f>'P0-3_Scorecard'!M40</f>
        <v/>
      </c>
      <c r="H6" s="18">
        <f>IF(OR(D6="",F6=""),"",D6-(F6*20))</f>
        <v/>
      </c>
      <c r="I6" s="18">
        <f>IF(OR(E6="",G6=""),"",E6-(G6*20))</f>
        <v/>
      </c>
      <c r="J6" s="18">
        <f>IF(OR(D6="",E6=""),"INCOMPLETE",IF(AND(D6&gt;=80,E6&lt;50),"CONTRADICTION",IF(AND(D6&gt;=70,E6&lt;70),"DEPENDENCY GAP","NO TRIGGER")))</f>
        <v/>
      </c>
      <c r="K6" s="18">
        <f>IF(J6="CONTRADICTION","HIGH",IF(J6="DEPENDENCY GAP","MEDIUM","—"))</f>
        <v/>
      </c>
      <c r="L6" s="18">
        <f>IF(J6="CONTRADICTION","Strong upstream claim is not supported by linked downstream capability/evidence. Trigger: D03 deep-dive.",IF(J6="DEPENDENCY GAP","Downstream capability materially trails upstream expectation. Trigger: D03 deep-dive.",""))</f>
        <v/>
      </c>
    </row>
    <row r="7">
      <c r="A7" s="18" t="inlineStr">
        <is>
          <t>CD01</t>
        </is>
      </c>
      <c r="B7" s="18" t="inlineStr">
        <is>
          <t>D01-I01</t>
        </is>
      </c>
      <c r="C7" s="18" t="inlineStr">
        <is>
          <t>D03-I16</t>
        </is>
      </c>
      <c r="D7" s="18">
        <f>'P0-3_Scorecard'!L2</f>
        <v/>
      </c>
      <c r="E7" s="18">
        <f>'P0-3_Scorecard'!L41</f>
        <v/>
      </c>
      <c r="F7" s="18">
        <f>'P0-3_Scorecard'!M2</f>
        <v/>
      </c>
      <c r="G7" s="18">
        <f>'P0-3_Scorecard'!M41</f>
        <v/>
      </c>
      <c r="H7" s="18">
        <f>IF(OR(D7="",F7=""),"",D7-(F7*20))</f>
        <v/>
      </c>
      <c r="I7" s="18">
        <f>IF(OR(E7="",G7=""),"",E7-(G7*20))</f>
        <v/>
      </c>
      <c r="J7" s="18">
        <f>IF(OR(D7="",E7=""),"INCOMPLETE",IF(AND(D7&gt;=80,E7&lt;50),"CONTRADICTION",IF(AND(D7&gt;=70,E7&lt;70),"DEPENDENCY GAP","NO TRIGGER")))</f>
        <v/>
      </c>
      <c r="K7" s="18">
        <f>IF(J7="CONTRADICTION","HIGH",IF(J7="DEPENDENCY GAP","MEDIUM","—"))</f>
        <v/>
      </c>
      <c r="L7" s="18">
        <f>IF(J7="CONTRADICTION","Strong upstream claim is not supported by linked downstream capability/evidence. Trigger: D03 deep-dive.",IF(J7="DEPENDENCY GAP","Downstream capability materially trails upstream expectation. Trigger: D03 deep-dive.",""))</f>
        <v/>
      </c>
    </row>
    <row r="8">
      <c r="A8" s="18" t="inlineStr">
        <is>
          <t>CD01</t>
        </is>
      </c>
      <c r="B8" s="18" t="inlineStr">
        <is>
          <t>D01-I03</t>
        </is>
      </c>
      <c r="C8" s="18" t="inlineStr">
        <is>
          <t>D03-I01</t>
        </is>
      </c>
      <c r="D8" s="18">
        <f>'P0-3_Scorecard'!L4</f>
        <v/>
      </c>
      <c r="E8" s="18">
        <f>'P0-3_Scorecard'!L26</f>
        <v/>
      </c>
      <c r="F8" s="18">
        <f>'P0-3_Scorecard'!M4</f>
        <v/>
      </c>
      <c r="G8" s="18">
        <f>'P0-3_Scorecard'!M26</f>
        <v/>
      </c>
      <c r="H8" s="18">
        <f>IF(OR(D8="",F8=""),"",D8-(F8*20))</f>
        <v/>
      </c>
      <c r="I8" s="18">
        <f>IF(OR(E8="",G8=""),"",E8-(G8*20))</f>
        <v/>
      </c>
      <c r="J8" s="18">
        <f>IF(OR(D8="",E8=""),"INCOMPLETE",IF(AND(D8&gt;=80,E8&lt;50),"CONTRADICTION",IF(AND(D8&gt;=70,E8&lt;70),"DEPENDENCY GAP","NO TRIGGER")))</f>
        <v/>
      </c>
      <c r="K8" s="18">
        <f>IF(J8="CONTRADICTION","HIGH",IF(J8="DEPENDENCY GAP","MEDIUM","—"))</f>
        <v/>
      </c>
      <c r="L8" s="18">
        <f>IF(J8="CONTRADICTION","Strong upstream claim is not supported by linked downstream capability/evidence. Trigger: D03 deep-dive.",IF(J8="DEPENDENCY GAP","Downstream capability materially trails upstream expectation. Trigger: D03 deep-dive.",""))</f>
        <v/>
      </c>
    </row>
    <row r="9">
      <c r="A9" s="18" t="inlineStr">
        <is>
          <t>CD01</t>
        </is>
      </c>
      <c r="B9" s="18" t="inlineStr">
        <is>
          <t>D01-I03</t>
        </is>
      </c>
      <c r="C9" s="18" t="inlineStr">
        <is>
          <t>D03-I02</t>
        </is>
      </c>
      <c r="D9" s="18">
        <f>'P0-3_Scorecard'!L4</f>
        <v/>
      </c>
      <c r="E9" s="18">
        <f>'P0-3_Scorecard'!L27</f>
        <v/>
      </c>
      <c r="F9" s="18">
        <f>'P0-3_Scorecard'!M4</f>
        <v/>
      </c>
      <c r="G9" s="18">
        <f>'P0-3_Scorecard'!M27</f>
        <v/>
      </c>
      <c r="H9" s="18">
        <f>IF(OR(D9="",F9=""),"",D9-(F9*20))</f>
        <v/>
      </c>
      <c r="I9" s="18">
        <f>IF(OR(E9="",G9=""),"",E9-(G9*20))</f>
        <v/>
      </c>
      <c r="J9" s="18">
        <f>IF(OR(D9="",E9=""),"INCOMPLETE",IF(AND(D9&gt;=80,E9&lt;50),"CONTRADICTION",IF(AND(D9&gt;=70,E9&lt;70),"DEPENDENCY GAP","NO TRIGGER")))</f>
        <v/>
      </c>
      <c r="K9" s="18">
        <f>IF(J9="CONTRADICTION","HIGH",IF(J9="DEPENDENCY GAP","MEDIUM","—"))</f>
        <v/>
      </c>
      <c r="L9" s="18">
        <f>IF(J9="CONTRADICTION","Strong upstream claim is not supported by linked downstream capability/evidence. Trigger: D03 deep-dive.",IF(J9="DEPENDENCY GAP","Downstream capability materially trails upstream expectation. Trigger: D03 deep-dive.",""))</f>
        <v/>
      </c>
    </row>
    <row r="10">
      <c r="A10" s="18" t="inlineStr">
        <is>
          <t>CD01</t>
        </is>
      </c>
      <c r="B10" s="18" t="inlineStr">
        <is>
          <t>D01-I03</t>
        </is>
      </c>
      <c r="C10" s="18" t="inlineStr">
        <is>
          <t>D03-I05</t>
        </is>
      </c>
      <c r="D10" s="18">
        <f>'P0-3_Scorecard'!L4</f>
        <v/>
      </c>
      <c r="E10" s="18">
        <f>'P0-3_Scorecard'!L30</f>
        <v/>
      </c>
      <c r="F10" s="18">
        <f>'P0-3_Scorecard'!M4</f>
        <v/>
      </c>
      <c r="G10" s="18">
        <f>'P0-3_Scorecard'!M30</f>
        <v/>
      </c>
      <c r="H10" s="18">
        <f>IF(OR(D10="",F10=""),"",D10-(F10*20))</f>
        <v/>
      </c>
      <c r="I10" s="18">
        <f>IF(OR(E10="",G10=""),"",E10-(G10*20))</f>
        <v/>
      </c>
      <c r="J10" s="18">
        <f>IF(OR(D10="",E10=""),"INCOMPLETE",IF(AND(D10&gt;=80,E10&lt;50),"CONTRADICTION",IF(AND(D10&gt;=70,E10&lt;70),"DEPENDENCY GAP","NO TRIGGER")))</f>
        <v/>
      </c>
      <c r="K10" s="18">
        <f>IF(J10="CONTRADICTION","HIGH",IF(J10="DEPENDENCY GAP","MEDIUM","—"))</f>
        <v/>
      </c>
      <c r="L10" s="18">
        <f>IF(J10="CONTRADICTION","Strong upstream claim is not supported by linked downstream capability/evidence. Trigger: D03 deep-dive.",IF(J10="DEPENDENCY GAP","Downstream capability materially trails upstream expectation. Trigger: D03 deep-dive.",""))</f>
        <v/>
      </c>
    </row>
    <row r="11">
      <c r="A11" s="18" t="inlineStr">
        <is>
          <t>CD01</t>
        </is>
      </c>
      <c r="B11" s="18" t="inlineStr">
        <is>
          <t>D01-I03</t>
        </is>
      </c>
      <c r="C11" s="18" t="inlineStr">
        <is>
          <t>D03-I07</t>
        </is>
      </c>
      <c r="D11" s="18">
        <f>'P0-3_Scorecard'!L4</f>
        <v/>
      </c>
      <c r="E11" s="18">
        <f>'P0-3_Scorecard'!L32</f>
        <v/>
      </c>
      <c r="F11" s="18">
        <f>'P0-3_Scorecard'!M4</f>
        <v/>
      </c>
      <c r="G11" s="18">
        <f>'P0-3_Scorecard'!M32</f>
        <v/>
      </c>
      <c r="H11" s="18">
        <f>IF(OR(D11="",F11=""),"",D11-(F11*20))</f>
        <v/>
      </c>
      <c r="I11" s="18">
        <f>IF(OR(E11="",G11=""),"",E11-(G11*20))</f>
        <v/>
      </c>
      <c r="J11" s="18">
        <f>IF(OR(D11="",E11=""),"INCOMPLETE",IF(AND(D11&gt;=80,E11&lt;50),"CONTRADICTION",IF(AND(D11&gt;=70,E11&lt;70),"DEPENDENCY GAP","NO TRIGGER")))</f>
        <v/>
      </c>
      <c r="K11" s="18">
        <f>IF(J11="CONTRADICTION","HIGH",IF(J11="DEPENDENCY GAP","MEDIUM","—"))</f>
        <v/>
      </c>
      <c r="L11" s="18">
        <f>IF(J11="CONTRADICTION","Strong upstream claim is not supported by linked downstream capability/evidence. Trigger: D03 deep-dive.",IF(J11="DEPENDENCY GAP","Downstream capability materially trails upstream expectation. Trigger: D03 deep-dive.",""))</f>
        <v/>
      </c>
    </row>
    <row r="12">
      <c r="A12" s="18" t="inlineStr">
        <is>
          <t>CD01</t>
        </is>
      </c>
      <c r="B12" s="18" t="inlineStr">
        <is>
          <t>D01-I03</t>
        </is>
      </c>
      <c r="C12" s="18" t="inlineStr">
        <is>
          <t>D03-I15</t>
        </is>
      </c>
      <c r="D12" s="18">
        <f>'P0-3_Scorecard'!L4</f>
        <v/>
      </c>
      <c r="E12" s="18">
        <f>'P0-3_Scorecard'!L40</f>
        <v/>
      </c>
      <c r="F12" s="18">
        <f>'P0-3_Scorecard'!M4</f>
        <v/>
      </c>
      <c r="G12" s="18">
        <f>'P0-3_Scorecard'!M40</f>
        <v/>
      </c>
      <c r="H12" s="18">
        <f>IF(OR(D12="",F12=""),"",D12-(F12*20))</f>
        <v/>
      </c>
      <c r="I12" s="18">
        <f>IF(OR(E12="",G12=""),"",E12-(G12*20))</f>
        <v/>
      </c>
      <c r="J12" s="18">
        <f>IF(OR(D12="",E12=""),"INCOMPLETE",IF(AND(D12&gt;=80,E12&lt;50),"CONTRADICTION",IF(AND(D12&gt;=70,E12&lt;70),"DEPENDENCY GAP","NO TRIGGER")))</f>
        <v/>
      </c>
      <c r="K12" s="18">
        <f>IF(J12="CONTRADICTION","HIGH",IF(J12="DEPENDENCY GAP","MEDIUM","—"))</f>
        <v/>
      </c>
      <c r="L12" s="18">
        <f>IF(J12="CONTRADICTION","Strong upstream claim is not supported by linked downstream capability/evidence. Trigger: D03 deep-dive.",IF(J12="DEPENDENCY GAP","Downstream capability materially trails upstream expectation. Trigger: D03 deep-dive.",""))</f>
        <v/>
      </c>
    </row>
    <row r="13">
      <c r="A13" s="18" t="inlineStr">
        <is>
          <t>CD01</t>
        </is>
      </c>
      <c r="B13" s="18" t="inlineStr">
        <is>
          <t>D01-I03</t>
        </is>
      </c>
      <c r="C13" s="18" t="inlineStr">
        <is>
          <t>D03-I16</t>
        </is>
      </c>
      <c r="D13" s="18">
        <f>'P0-3_Scorecard'!L4</f>
        <v/>
      </c>
      <c r="E13" s="18">
        <f>'P0-3_Scorecard'!L41</f>
        <v/>
      </c>
      <c r="F13" s="18">
        <f>'P0-3_Scorecard'!M4</f>
        <v/>
      </c>
      <c r="G13" s="18">
        <f>'P0-3_Scorecard'!M41</f>
        <v/>
      </c>
      <c r="H13" s="18">
        <f>IF(OR(D13="",F13=""),"",D13-(F13*20))</f>
        <v/>
      </c>
      <c r="I13" s="18">
        <f>IF(OR(E13="",G13=""),"",E13-(G13*20))</f>
        <v/>
      </c>
      <c r="J13" s="18">
        <f>IF(OR(D13="",E13=""),"INCOMPLETE",IF(AND(D13&gt;=80,E13&lt;50),"CONTRADICTION",IF(AND(D13&gt;=70,E13&lt;70),"DEPENDENCY GAP","NO TRIGGER")))</f>
        <v/>
      </c>
      <c r="K13" s="18">
        <f>IF(J13="CONTRADICTION","HIGH",IF(J13="DEPENDENCY GAP","MEDIUM","—"))</f>
        <v/>
      </c>
      <c r="L13" s="18">
        <f>IF(J13="CONTRADICTION","Strong upstream claim is not supported by linked downstream capability/evidence. Trigger: D03 deep-dive.",IF(J13="DEPENDENCY GAP","Downstream capability materially trails upstream expectation. Trigger: D03 deep-dive.",""))</f>
        <v/>
      </c>
    </row>
    <row r="14">
      <c r="A14" s="18" t="inlineStr">
        <is>
          <t>CD02</t>
        </is>
      </c>
      <c r="B14" s="18" t="inlineStr">
        <is>
          <t>D01-I01</t>
        </is>
      </c>
      <c r="C14" s="18" t="inlineStr">
        <is>
          <t>D02-I01</t>
        </is>
      </c>
      <c r="D14" s="18">
        <f>'P0-3_Scorecard'!L2</f>
        <v/>
      </c>
      <c r="E14" s="18">
        <f>'P0-3_Scorecard'!L12</f>
        <v/>
      </c>
      <c r="F14" s="18">
        <f>'P0-3_Scorecard'!M2</f>
        <v/>
      </c>
      <c r="G14" s="18">
        <f>'P0-3_Scorecard'!M12</f>
        <v/>
      </c>
      <c r="H14" s="18">
        <f>IF(OR(D14="",F14=""),"",D14-(F14*20))</f>
        <v/>
      </c>
      <c r="I14" s="18">
        <f>IF(OR(E14="",G14=""),"",E14-(G14*20))</f>
        <v/>
      </c>
      <c r="J14" s="18">
        <f>IF(OR(D14="",E14=""),"INCOMPLETE",IF(AND(D14&gt;=80,E14&lt;50),"CONTRADICTION",IF(AND(D14&gt;=70,E14&lt;70),"DEPENDENCY GAP","NO TRIGGER")))</f>
        <v/>
      </c>
      <c r="K14" s="18">
        <f>IF(J14="CONTRADICTION","HIGH",IF(J14="DEPENDENCY GAP","MEDIUM","—"))</f>
        <v/>
      </c>
      <c r="L14" s="18">
        <f>IF(J14="CONTRADICTION","Strong upstream claim is not supported by linked downstream capability/evidence. Trigger: Governance review.",IF(J14="DEPENDENCY GAP","Downstream capability materially trails upstream expectation. Trigger: Governance review.",""))</f>
        <v/>
      </c>
    </row>
    <row r="15">
      <c r="A15" s="18" t="inlineStr">
        <is>
          <t>CD02</t>
        </is>
      </c>
      <c r="B15" s="18" t="inlineStr">
        <is>
          <t>D01-I01</t>
        </is>
      </c>
      <c r="C15" s="18" t="inlineStr">
        <is>
          <t>D02-I03</t>
        </is>
      </c>
      <c r="D15" s="18">
        <f>'P0-3_Scorecard'!L2</f>
        <v/>
      </c>
      <c r="E15" s="18">
        <f>'P0-3_Scorecard'!L14</f>
        <v/>
      </c>
      <c r="F15" s="18">
        <f>'P0-3_Scorecard'!M2</f>
        <v/>
      </c>
      <c r="G15" s="18">
        <f>'P0-3_Scorecard'!M14</f>
        <v/>
      </c>
      <c r="H15" s="18">
        <f>IF(OR(D15="",F15=""),"",D15-(F15*20))</f>
        <v/>
      </c>
      <c r="I15" s="18">
        <f>IF(OR(E15="",G15=""),"",E15-(G15*20))</f>
        <v/>
      </c>
      <c r="J15" s="18">
        <f>IF(OR(D15="",E15=""),"INCOMPLETE",IF(AND(D15&gt;=80,E15&lt;50),"CONTRADICTION",IF(AND(D15&gt;=70,E15&lt;70),"DEPENDENCY GAP","NO TRIGGER")))</f>
        <v/>
      </c>
      <c r="K15" s="18">
        <f>IF(J15="CONTRADICTION","HIGH",IF(J15="DEPENDENCY GAP","MEDIUM","—"))</f>
        <v/>
      </c>
      <c r="L15" s="18">
        <f>IF(J15="CONTRADICTION","Strong upstream claim is not supported by linked downstream capability/evidence. Trigger: Governance review.",IF(J15="DEPENDENCY GAP","Downstream capability materially trails upstream expectation. Trigger: Governance review.",""))</f>
        <v/>
      </c>
    </row>
    <row r="16">
      <c r="A16" s="18" t="inlineStr">
        <is>
          <t>CD02</t>
        </is>
      </c>
      <c r="B16" s="18" t="inlineStr">
        <is>
          <t>D01-I01</t>
        </is>
      </c>
      <c r="C16" s="18" t="inlineStr">
        <is>
          <t>D02-I07</t>
        </is>
      </c>
      <c r="D16" s="18">
        <f>'P0-3_Scorecard'!L2</f>
        <v/>
      </c>
      <c r="E16" s="18">
        <f>'P0-3_Scorecard'!L18</f>
        <v/>
      </c>
      <c r="F16" s="18">
        <f>'P0-3_Scorecard'!M2</f>
        <v/>
      </c>
      <c r="G16" s="18">
        <f>'P0-3_Scorecard'!M18</f>
        <v/>
      </c>
      <c r="H16" s="18">
        <f>IF(OR(D16="",F16=""),"",D16-(F16*20))</f>
        <v/>
      </c>
      <c r="I16" s="18">
        <f>IF(OR(E16="",G16=""),"",E16-(G16*20))</f>
        <v/>
      </c>
      <c r="J16" s="18">
        <f>IF(OR(D16="",E16=""),"INCOMPLETE",IF(AND(D16&gt;=80,E16&lt;50),"CONTRADICTION",IF(AND(D16&gt;=70,E16&lt;70),"DEPENDENCY GAP","NO TRIGGER")))</f>
        <v/>
      </c>
      <c r="K16" s="18">
        <f>IF(J16="CONTRADICTION","HIGH",IF(J16="DEPENDENCY GAP","MEDIUM","—"))</f>
        <v/>
      </c>
      <c r="L16" s="18">
        <f>IF(J16="CONTRADICTION","Strong upstream claim is not supported by linked downstream capability/evidence. Trigger: Governance review.",IF(J16="DEPENDENCY GAP","Downstream capability materially trails upstream expectation. Trigger: Governance review.",""))</f>
        <v/>
      </c>
    </row>
    <row r="17">
      <c r="A17" s="18" t="inlineStr">
        <is>
          <t>CD02</t>
        </is>
      </c>
      <c r="B17" s="18" t="inlineStr">
        <is>
          <t>D01-I01</t>
        </is>
      </c>
      <c r="C17" s="18" t="inlineStr">
        <is>
          <t>D02-I13</t>
        </is>
      </c>
      <c r="D17" s="18">
        <f>'P0-3_Scorecard'!L2</f>
        <v/>
      </c>
      <c r="E17" s="18">
        <f>'P0-3_Scorecard'!L24</f>
        <v/>
      </c>
      <c r="F17" s="18">
        <f>'P0-3_Scorecard'!M2</f>
        <v/>
      </c>
      <c r="G17" s="18">
        <f>'P0-3_Scorecard'!M24</f>
        <v/>
      </c>
      <c r="H17" s="18">
        <f>IF(OR(D17="",F17=""),"",D17-(F17*20))</f>
        <v/>
      </c>
      <c r="I17" s="18">
        <f>IF(OR(E17="",G17=""),"",E17-(G17*20))</f>
        <v/>
      </c>
      <c r="J17" s="18">
        <f>IF(OR(D17="",E17=""),"INCOMPLETE",IF(AND(D17&gt;=80,E17&lt;50),"CONTRADICTION",IF(AND(D17&gt;=70,E17&lt;70),"DEPENDENCY GAP","NO TRIGGER")))</f>
        <v/>
      </c>
      <c r="K17" s="18">
        <f>IF(J17="CONTRADICTION","HIGH",IF(J17="DEPENDENCY GAP","MEDIUM","—"))</f>
        <v/>
      </c>
      <c r="L17" s="18">
        <f>IF(J17="CONTRADICTION","Strong upstream claim is not supported by linked downstream capability/evidence. Trigger: Governance review.",IF(J17="DEPENDENCY GAP","Downstream capability materially trails upstream expectation. Trigger: Governance review.",""))</f>
        <v/>
      </c>
    </row>
    <row r="18">
      <c r="A18" s="18" t="inlineStr">
        <is>
          <t>CD02</t>
        </is>
      </c>
      <c r="B18" s="18" t="inlineStr">
        <is>
          <t>D01-I06</t>
        </is>
      </c>
      <c r="C18" s="18" t="inlineStr">
        <is>
          <t>D02-I01</t>
        </is>
      </c>
      <c r="D18" s="18">
        <f>'P0-3_Scorecard'!L7</f>
        <v/>
      </c>
      <c r="E18" s="18">
        <f>'P0-3_Scorecard'!L12</f>
        <v/>
      </c>
      <c r="F18" s="18">
        <f>'P0-3_Scorecard'!M7</f>
        <v/>
      </c>
      <c r="G18" s="18">
        <f>'P0-3_Scorecard'!M12</f>
        <v/>
      </c>
      <c r="H18" s="18">
        <f>IF(OR(D18="",F18=""),"",D18-(F18*20))</f>
        <v/>
      </c>
      <c r="I18" s="18">
        <f>IF(OR(E18="",G18=""),"",E18-(G18*20))</f>
        <v/>
      </c>
      <c r="J18" s="18">
        <f>IF(OR(D18="",E18=""),"INCOMPLETE",IF(AND(D18&gt;=80,E18&lt;50),"CONTRADICTION",IF(AND(D18&gt;=70,E18&lt;70),"DEPENDENCY GAP","NO TRIGGER")))</f>
        <v/>
      </c>
      <c r="K18" s="18">
        <f>IF(J18="CONTRADICTION","HIGH",IF(J18="DEPENDENCY GAP","MEDIUM","—"))</f>
        <v/>
      </c>
      <c r="L18" s="18">
        <f>IF(J18="CONTRADICTION","Strong upstream claim is not supported by linked downstream capability/evidence. Trigger: Governance review.",IF(J18="DEPENDENCY GAP","Downstream capability materially trails upstream expectation. Trigger: Governance review.",""))</f>
        <v/>
      </c>
    </row>
    <row r="19">
      <c r="A19" s="18" t="inlineStr">
        <is>
          <t>CD02</t>
        </is>
      </c>
      <c r="B19" s="18" t="inlineStr">
        <is>
          <t>D01-I06</t>
        </is>
      </c>
      <c r="C19" s="18" t="inlineStr">
        <is>
          <t>D02-I03</t>
        </is>
      </c>
      <c r="D19" s="18">
        <f>'P0-3_Scorecard'!L7</f>
        <v/>
      </c>
      <c r="E19" s="18">
        <f>'P0-3_Scorecard'!L14</f>
        <v/>
      </c>
      <c r="F19" s="18">
        <f>'P0-3_Scorecard'!M7</f>
        <v/>
      </c>
      <c r="G19" s="18">
        <f>'P0-3_Scorecard'!M14</f>
        <v/>
      </c>
      <c r="H19" s="18">
        <f>IF(OR(D19="",F19=""),"",D19-(F19*20))</f>
        <v/>
      </c>
      <c r="I19" s="18">
        <f>IF(OR(E19="",G19=""),"",E19-(G19*20))</f>
        <v/>
      </c>
      <c r="J19" s="18">
        <f>IF(OR(D19="",E19=""),"INCOMPLETE",IF(AND(D19&gt;=80,E19&lt;50),"CONTRADICTION",IF(AND(D19&gt;=70,E19&lt;70),"DEPENDENCY GAP","NO TRIGGER")))</f>
        <v/>
      </c>
      <c r="K19" s="18">
        <f>IF(J19="CONTRADICTION","HIGH",IF(J19="DEPENDENCY GAP","MEDIUM","—"))</f>
        <v/>
      </c>
      <c r="L19" s="18">
        <f>IF(J19="CONTRADICTION","Strong upstream claim is not supported by linked downstream capability/evidence. Trigger: Governance review.",IF(J19="DEPENDENCY GAP","Downstream capability materially trails upstream expectation. Trigger: Governance review.",""))</f>
        <v/>
      </c>
    </row>
    <row r="20">
      <c r="A20" s="18" t="inlineStr">
        <is>
          <t>CD02</t>
        </is>
      </c>
      <c r="B20" s="18" t="inlineStr">
        <is>
          <t>D01-I06</t>
        </is>
      </c>
      <c r="C20" s="18" t="inlineStr">
        <is>
          <t>D02-I07</t>
        </is>
      </c>
      <c r="D20" s="18">
        <f>'P0-3_Scorecard'!L7</f>
        <v/>
      </c>
      <c r="E20" s="18">
        <f>'P0-3_Scorecard'!L18</f>
        <v/>
      </c>
      <c r="F20" s="18">
        <f>'P0-3_Scorecard'!M7</f>
        <v/>
      </c>
      <c r="G20" s="18">
        <f>'P0-3_Scorecard'!M18</f>
        <v/>
      </c>
      <c r="H20" s="18">
        <f>IF(OR(D20="",F20=""),"",D20-(F20*20))</f>
        <v/>
      </c>
      <c r="I20" s="18">
        <f>IF(OR(E20="",G20=""),"",E20-(G20*20))</f>
        <v/>
      </c>
      <c r="J20" s="18">
        <f>IF(OR(D20="",E20=""),"INCOMPLETE",IF(AND(D20&gt;=80,E20&lt;50),"CONTRADICTION",IF(AND(D20&gt;=70,E20&lt;70),"DEPENDENCY GAP","NO TRIGGER")))</f>
        <v/>
      </c>
      <c r="K20" s="18">
        <f>IF(J20="CONTRADICTION","HIGH",IF(J20="DEPENDENCY GAP","MEDIUM","—"))</f>
        <v/>
      </c>
      <c r="L20" s="18">
        <f>IF(J20="CONTRADICTION","Strong upstream claim is not supported by linked downstream capability/evidence. Trigger: Governance review.",IF(J20="DEPENDENCY GAP","Downstream capability materially trails upstream expectation. Trigger: Governance review.",""))</f>
        <v/>
      </c>
    </row>
    <row r="21">
      <c r="A21" s="18" t="inlineStr">
        <is>
          <t>CD02</t>
        </is>
      </c>
      <c r="B21" s="18" t="inlineStr">
        <is>
          <t>D01-I06</t>
        </is>
      </c>
      <c r="C21" s="18" t="inlineStr">
        <is>
          <t>D02-I13</t>
        </is>
      </c>
      <c r="D21" s="18">
        <f>'P0-3_Scorecard'!L7</f>
        <v/>
      </c>
      <c r="E21" s="18">
        <f>'P0-3_Scorecard'!L24</f>
        <v/>
      </c>
      <c r="F21" s="18">
        <f>'P0-3_Scorecard'!M7</f>
        <v/>
      </c>
      <c r="G21" s="18">
        <f>'P0-3_Scorecard'!M24</f>
        <v/>
      </c>
      <c r="H21" s="18">
        <f>IF(OR(D21="",F21=""),"",D21-(F21*20))</f>
        <v/>
      </c>
      <c r="I21" s="18">
        <f>IF(OR(E21="",G21=""),"",E21-(G21*20))</f>
        <v/>
      </c>
      <c r="J21" s="18">
        <f>IF(OR(D21="",E21=""),"INCOMPLETE",IF(AND(D21&gt;=80,E21&lt;50),"CONTRADICTION",IF(AND(D21&gt;=70,E21&lt;70),"DEPENDENCY GAP","NO TRIGGER")))</f>
        <v/>
      </c>
      <c r="K21" s="18">
        <f>IF(J21="CONTRADICTION","HIGH",IF(J21="DEPENDENCY GAP","MEDIUM","—"))</f>
        <v/>
      </c>
      <c r="L21" s="18">
        <f>IF(J21="CONTRADICTION","Strong upstream claim is not supported by linked downstream capability/evidence. Trigger: Governance review.",IF(J21="DEPENDENCY GAP","Downstream capability materially trails upstream expectation. Trigger: Governance review.",""))</f>
        <v/>
      </c>
    </row>
    <row r="22">
      <c r="A22" s="18" t="inlineStr">
        <is>
          <t>CD02</t>
        </is>
      </c>
      <c r="B22" s="18" t="inlineStr">
        <is>
          <t>D01-I09</t>
        </is>
      </c>
      <c r="C22" s="18" t="inlineStr">
        <is>
          <t>D02-I01</t>
        </is>
      </c>
      <c r="D22" s="18">
        <f>'P0-3_Scorecard'!L10</f>
        <v/>
      </c>
      <c r="E22" s="18">
        <f>'P0-3_Scorecard'!L12</f>
        <v/>
      </c>
      <c r="F22" s="18">
        <f>'P0-3_Scorecard'!M10</f>
        <v/>
      </c>
      <c r="G22" s="18">
        <f>'P0-3_Scorecard'!M12</f>
        <v/>
      </c>
      <c r="H22" s="18">
        <f>IF(OR(D22="",F22=""),"",D22-(F22*20))</f>
        <v/>
      </c>
      <c r="I22" s="18">
        <f>IF(OR(E22="",G22=""),"",E22-(G22*20))</f>
        <v/>
      </c>
      <c r="J22" s="18">
        <f>IF(OR(D22="",E22=""),"INCOMPLETE",IF(AND(D22&gt;=80,E22&lt;50),"CONTRADICTION",IF(AND(D22&gt;=70,E22&lt;70),"DEPENDENCY GAP","NO TRIGGER")))</f>
        <v/>
      </c>
      <c r="K22" s="18">
        <f>IF(J22="CONTRADICTION","HIGH",IF(J22="DEPENDENCY GAP","MEDIUM","—"))</f>
        <v/>
      </c>
      <c r="L22" s="18">
        <f>IF(J22="CONTRADICTION","Strong upstream claim is not supported by linked downstream capability/evidence. Trigger: Governance review.",IF(J22="DEPENDENCY GAP","Downstream capability materially trails upstream expectation. Trigger: Governance review.",""))</f>
        <v/>
      </c>
    </row>
    <row r="23">
      <c r="A23" s="18" t="inlineStr">
        <is>
          <t>CD02</t>
        </is>
      </c>
      <c r="B23" s="18" t="inlineStr">
        <is>
          <t>D01-I09</t>
        </is>
      </c>
      <c r="C23" s="18" t="inlineStr">
        <is>
          <t>D02-I03</t>
        </is>
      </c>
      <c r="D23" s="18">
        <f>'P0-3_Scorecard'!L10</f>
        <v/>
      </c>
      <c r="E23" s="18">
        <f>'P0-3_Scorecard'!L14</f>
        <v/>
      </c>
      <c r="F23" s="18">
        <f>'P0-3_Scorecard'!M10</f>
        <v/>
      </c>
      <c r="G23" s="18">
        <f>'P0-3_Scorecard'!M14</f>
        <v/>
      </c>
      <c r="H23" s="18">
        <f>IF(OR(D23="",F23=""),"",D23-(F23*20))</f>
        <v/>
      </c>
      <c r="I23" s="18">
        <f>IF(OR(E23="",G23=""),"",E23-(G23*20))</f>
        <v/>
      </c>
      <c r="J23" s="18">
        <f>IF(OR(D23="",E23=""),"INCOMPLETE",IF(AND(D23&gt;=80,E23&lt;50),"CONTRADICTION",IF(AND(D23&gt;=70,E23&lt;70),"DEPENDENCY GAP","NO TRIGGER")))</f>
        <v/>
      </c>
      <c r="K23" s="18">
        <f>IF(J23="CONTRADICTION","HIGH",IF(J23="DEPENDENCY GAP","MEDIUM","—"))</f>
        <v/>
      </c>
      <c r="L23" s="18">
        <f>IF(J23="CONTRADICTION","Strong upstream claim is not supported by linked downstream capability/evidence. Trigger: Governance review.",IF(J23="DEPENDENCY GAP","Downstream capability materially trails upstream expectation. Trigger: Governance review.",""))</f>
        <v/>
      </c>
    </row>
    <row r="24">
      <c r="A24" s="18" t="inlineStr">
        <is>
          <t>CD02</t>
        </is>
      </c>
      <c r="B24" s="18" t="inlineStr">
        <is>
          <t>D01-I09</t>
        </is>
      </c>
      <c r="C24" s="18" t="inlineStr">
        <is>
          <t>D02-I07</t>
        </is>
      </c>
      <c r="D24" s="18">
        <f>'P0-3_Scorecard'!L10</f>
        <v/>
      </c>
      <c r="E24" s="18">
        <f>'P0-3_Scorecard'!L18</f>
        <v/>
      </c>
      <c r="F24" s="18">
        <f>'P0-3_Scorecard'!M10</f>
        <v/>
      </c>
      <c r="G24" s="18">
        <f>'P0-3_Scorecard'!M18</f>
        <v/>
      </c>
      <c r="H24" s="18">
        <f>IF(OR(D24="",F24=""),"",D24-(F24*20))</f>
        <v/>
      </c>
      <c r="I24" s="18">
        <f>IF(OR(E24="",G24=""),"",E24-(G24*20))</f>
        <v/>
      </c>
      <c r="J24" s="18">
        <f>IF(OR(D24="",E24=""),"INCOMPLETE",IF(AND(D24&gt;=80,E24&lt;50),"CONTRADICTION",IF(AND(D24&gt;=70,E24&lt;70),"DEPENDENCY GAP","NO TRIGGER")))</f>
        <v/>
      </c>
      <c r="K24" s="18">
        <f>IF(J24="CONTRADICTION","HIGH",IF(J24="DEPENDENCY GAP","MEDIUM","—"))</f>
        <v/>
      </c>
      <c r="L24" s="18">
        <f>IF(J24="CONTRADICTION","Strong upstream claim is not supported by linked downstream capability/evidence. Trigger: Governance review.",IF(J24="DEPENDENCY GAP","Downstream capability materially trails upstream expectation. Trigger: Governance review.",""))</f>
        <v/>
      </c>
    </row>
    <row r="25">
      <c r="A25" s="18" t="inlineStr">
        <is>
          <t>CD02</t>
        </is>
      </c>
      <c r="B25" s="18" t="inlineStr">
        <is>
          <t>D01-I09</t>
        </is>
      </c>
      <c r="C25" s="18" t="inlineStr">
        <is>
          <t>D02-I13</t>
        </is>
      </c>
      <c r="D25" s="18">
        <f>'P0-3_Scorecard'!L10</f>
        <v/>
      </c>
      <c r="E25" s="18">
        <f>'P0-3_Scorecard'!L24</f>
        <v/>
      </c>
      <c r="F25" s="18">
        <f>'P0-3_Scorecard'!M10</f>
        <v/>
      </c>
      <c r="G25" s="18">
        <f>'P0-3_Scorecard'!M24</f>
        <v/>
      </c>
      <c r="H25" s="18">
        <f>IF(OR(D25="",F25=""),"",D25-(F25*20))</f>
        <v/>
      </c>
      <c r="I25" s="18">
        <f>IF(OR(E25="",G25=""),"",E25-(G25*20))</f>
        <v/>
      </c>
      <c r="J25" s="18">
        <f>IF(OR(D25="",E25=""),"INCOMPLETE",IF(AND(D25&gt;=80,E25&lt;50),"CONTRADICTION",IF(AND(D25&gt;=70,E25&lt;70),"DEPENDENCY GAP","NO TRIGGER")))</f>
        <v/>
      </c>
      <c r="K25" s="18">
        <f>IF(J25="CONTRADICTION","HIGH",IF(J25="DEPENDENCY GAP","MEDIUM","—"))</f>
        <v/>
      </c>
      <c r="L25" s="18">
        <f>IF(J25="CONTRADICTION","Strong upstream claim is not supported by linked downstream capability/evidence. Trigger: Governance review.",IF(J25="DEPENDENCY GAP","Downstream capability materially trails upstream expectation. Trigger: Governance review.",""))</f>
        <v/>
      </c>
    </row>
    <row r="26">
      <c r="A26" s="18" t="inlineStr">
        <is>
          <t>CD03</t>
        </is>
      </c>
      <c r="B26" s="18" t="inlineStr">
        <is>
          <t>D01-I02</t>
        </is>
      </c>
      <c r="C26" s="18" t="inlineStr">
        <is>
          <t>D04-I01</t>
        </is>
      </c>
      <c r="D26" s="18">
        <f>'P0-3_Scorecard'!L3</f>
        <v/>
      </c>
      <c r="E26" s="18">
        <f>'P0-3_Scorecard'!L43</f>
        <v/>
      </c>
      <c r="F26" s="18">
        <f>'P0-3_Scorecard'!M3</f>
        <v/>
      </c>
      <c r="G26" s="18">
        <f>'P0-3_Scorecard'!M43</f>
        <v/>
      </c>
      <c r="H26" s="18">
        <f>IF(OR(D26="",F26=""),"",D26-(F26*20))</f>
        <v/>
      </c>
      <c r="I26" s="18">
        <f>IF(OR(E26="",G26=""),"",E26-(G26*20))</f>
        <v/>
      </c>
      <c r="J26" s="18">
        <f>IF(OR(D26="",E26=""),"INCOMPLETE",IF(AND(D26&gt;=80,E26&lt;50),"CONTRADICTION",IF(AND(D26&gt;=70,E26&lt;70),"DEPENDENCY GAP","NO TRIGGER")))</f>
        <v/>
      </c>
      <c r="K26" s="18">
        <f>IF(J26="CONTRADICTION","HIGH",IF(J26="DEPENDENCY GAP","MEDIUM","—"))</f>
        <v/>
      </c>
      <c r="L26" s="18">
        <f>IF(J26="CONTRADICTION","Strong upstream claim is not supported by linked downstream capability/evidence. Trigger: Programme portfolio review.",IF(J26="DEPENDENCY GAP","Downstream capability materially trails upstream expectation. Trigger: Programme portfolio review.",""))</f>
        <v/>
      </c>
    </row>
    <row r="27">
      <c r="A27" s="18" t="inlineStr">
        <is>
          <t>CD03</t>
        </is>
      </c>
      <c r="B27" s="18" t="inlineStr">
        <is>
          <t>D01-I02</t>
        </is>
      </c>
      <c r="C27" s="18" t="inlineStr">
        <is>
          <t>D04-I03</t>
        </is>
      </c>
      <c r="D27" s="18">
        <f>'P0-3_Scorecard'!L3</f>
        <v/>
      </c>
      <c r="E27" s="18">
        <f>'P0-3_Scorecard'!L45</f>
        <v/>
      </c>
      <c r="F27" s="18">
        <f>'P0-3_Scorecard'!M3</f>
        <v/>
      </c>
      <c r="G27" s="18">
        <f>'P0-3_Scorecard'!M45</f>
        <v/>
      </c>
      <c r="H27" s="18">
        <f>IF(OR(D27="",F27=""),"",D27-(F27*20))</f>
        <v/>
      </c>
      <c r="I27" s="18">
        <f>IF(OR(E27="",G27=""),"",E27-(G27*20))</f>
        <v/>
      </c>
      <c r="J27" s="18">
        <f>IF(OR(D27="",E27=""),"INCOMPLETE",IF(AND(D27&gt;=80,E27&lt;50),"CONTRADICTION",IF(AND(D27&gt;=70,E27&lt;70),"DEPENDENCY GAP","NO TRIGGER")))</f>
        <v/>
      </c>
      <c r="K27" s="18">
        <f>IF(J27="CONTRADICTION","HIGH",IF(J27="DEPENDENCY GAP","MEDIUM","—"))</f>
        <v/>
      </c>
      <c r="L27" s="18">
        <f>IF(J27="CONTRADICTION","Strong upstream claim is not supported by linked downstream capability/evidence. Trigger: Programme portfolio review.",IF(J27="DEPENDENCY GAP","Downstream capability materially trails upstream expectation. Trigger: Programme portfolio review.",""))</f>
        <v/>
      </c>
    </row>
    <row r="28">
      <c r="A28" s="18" t="inlineStr">
        <is>
          <t>CD03</t>
        </is>
      </c>
      <c r="B28" s="18" t="inlineStr">
        <is>
          <t>D01-I02</t>
        </is>
      </c>
      <c r="C28" s="18" t="inlineStr">
        <is>
          <t>D04-I05</t>
        </is>
      </c>
      <c r="D28" s="18">
        <f>'P0-3_Scorecard'!L3</f>
        <v/>
      </c>
      <c r="E28" s="18">
        <f>'P0-3_Scorecard'!L47</f>
        <v/>
      </c>
      <c r="F28" s="18">
        <f>'P0-3_Scorecard'!M3</f>
        <v/>
      </c>
      <c r="G28" s="18">
        <f>'P0-3_Scorecard'!M47</f>
        <v/>
      </c>
      <c r="H28" s="18">
        <f>IF(OR(D28="",F28=""),"",D28-(F28*20))</f>
        <v/>
      </c>
      <c r="I28" s="18">
        <f>IF(OR(E28="",G28=""),"",E28-(G28*20))</f>
        <v/>
      </c>
      <c r="J28" s="18">
        <f>IF(OR(D28="",E28=""),"INCOMPLETE",IF(AND(D28&gt;=80,E28&lt;50),"CONTRADICTION",IF(AND(D28&gt;=70,E28&lt;70),"DEPENDENCY GAP","NO TRIGGER")))</f>
        <v/>
      </c>
      <c r="K28" s="18">
        <f>IF(J28="CONTRADICTION","HIGH",IF(J28="DEPENDENCY GAP","MEDIUM","—"))</f>
        <v/>
      </c>
      <c r="L28" s="18">
        <f>IF(J28="CONTRADICTION","Strong upstream claim is not supported by linked downstream capability/evidence. Trigger: Programme portfolio review.",IF(J28="DEPENDENCY GAP","Downstream capability materially trails upstream expectation. Trigger: Programme portfolio review.",""))</f>
        <v/>
      </c>
    </row>
    <row r="29">
      <c r="A29" s="18" t="inlineStr">
        <is>
          <t>CD03</t>
        </is>
      </c>
      <c r="B29" s="18" t="inlineStr">
        <is>
          <t>D01-I02</t>
        </is>
      </c>
      <c r="C29" s="18" t="inlineStr">
        <is>
          <t>D04-I08</t>
        </is>
      </c>
      <c r="D29" s="18">
        <f>'P0-3_Scorecard'!L3</f>
        <v/>
      </c>
      <c r="E29" s="18">
        <f>'P0-3_Scorecard'!L50</f>
        <v/>
      </c>
      <c r="F29" s="18">
        <f>'P0-3_Scorecard'!M3</f>
        <v/>
      </c>
      <c r="G29" s="18">
        <f>'P0-3_Scorecard'!M50</f>
        <v/>
      </c>
      <c r="H29" s="18">
        <f>IF(OR(D29="",F29=""),"",D29-(F29*20))</f>
        <v/>
      </c>
      <c r="I29" s="18">
        <f>IF(OR(E29="",G29=""),"",E29-(G29*20))</f>
        <v/>
      </c>
      <c r="J29" s="18">
        <f>IF(OR(D29="",E29=""),"INCOMPLETE",IF(AND(D29&gt;=80,E29&lt;50),"CONTRADICTION",IF(AND(D29&gt;=70,E29&lt;70),"DEPENDENCY GAP","NO TRIGGER")))</f>
        <v/>
      </c>
      <c r="K29" s="18">
        <f>IF(J29="CONTRADICTION","HIGH",IF(J29="DEPENDENCY GAP","MEDIUM","—"))</f>
        <v/>
      </c>
      <c r="L29" s="18">
        <f>IF(J29="CONTRADICTION","Strong upstream claim is not supported by linked downstream capability/evidence. Trigger: Programme portfolio review.",IF(J29="DEPENDENCY GAP","Downstream capability materially trails upstream expectation. Trigger: Programme portfolio review.",""))</f>
        <v/>
      </c>
    </row>
    <row r="30">
      <c r="A30" s="18" t="inlineStr">
        <is>
          <t>CD03</t>
        </is>
      </c>
      <c r="B30" s="18" t="inlineStr">
        <is>
          <t>D01-I02</t>
        </is>
      </c>
      <c r="C30" s="18" t="inlineStr">
        <is>
          <t>D04-I12</t>
        </is>
      </c>
      <c r="D30" s="18">
        <f>'P0-3_Scorecard'!L3</f>
        <v/>
      </c>
      <c r="E30" s="18">
        <f>'P0-3_Scorecard'!L54</f>
        <v/>
      </c>
      <c r="F30" s="18">
        <f>'P0-3_Scorecard'!M3</f>
        <v/>
      </c>
      <c r="G30" s="18">
        <f>'P0-3_Scorecard'!M54</f>
        <v/>
      </c>
      <c r="H30" s="18">
        <f>IF(OR(D30="",F30=""),"",D30-(F30*20))</f>
        <v/>
      </c>
      <c r="I30" s="18">
        <f>IF(OR(E30="",G30=""),"",E30-(G30*20))</f>
        <v/>
      </c>
      <c r="J30" s="18">
        <f>IF(OR(D30="",E30=""),"INCOMPLETE",IF(AND(D30&gt;=80,E30&lt;50),"CONTRADICTION",IF(AND(D30&gt;=70,E30&lt;70),"DEPENDENCY GAP","NO TRIGGER")))</f>
        <v/>
      </c>
      <c r="K30" s="18">
        <f>IF(J30="CONTRADICTION","HIGH",IF(J30="DEPENDENCY GAP","MEDIUM","—"))</f>
        <v/>
      </c>
      <c r="L30" s="18">
        <f>IF(J30="CONTRADICTION","Strong upstream claim is not supported by linked downstream capability/evidence. Trigger: Programme portfolio review.",IF(J30="DEPENDENCY GAP","Downstream capability materially trails upstream expectation. Trigger: Programme portfolio review.",""))</f>
        <v/>
      </c>
    </row>
    <row r="31">
      <c r="A31" s="18" t="inlineStr">
        <is>
          <t>CD03</t>
        </is>
      </c>
      <c r="B31" s="18" t="inlineStr">
        <is>
          <t>D01-I04</t>
        </is>
      </c>
      <c r="C31" s="18" t="inlineStr">
        <is>
          <t>D04-I01</t>
        </is>
      </c>
      <c r="D31" s="18">
        <f>'P0-3_Scorecard'!L5</f>
        <v/>
      </c>
      <c r="E31" s="18">
        <f>'P0-3_Scorecard'!L43</f>
        <v/>
      </c>
      <c r="F31" s="18">
        <f>'P0-3_Scorecard'!M5</f>
        <v/>
      </c>
      <c r="G31" s="18">
        <f>'P0-3_Scorecard'!M43</f>
        <v/>
      </c>
      <c r="H31" s="18">
        <f>IF(OR(D31="",F31=""),"",D31-(F31*20))</f>
        <v/>
      </c>
      <c r="I31" s="18">
        <f>IF(OR(E31="",G31=""),"",E31-(G31*20))</f>
        <v/>
      </c>
      <c r="J31" s="18">
        <f>IF(OR(D31="",E31=""),"INCOMPLETE",IF(AND(D31&gt;=80,E31&lt;50),"CONTRADICTION",IF(AND(D31&gt;=70,E31&lt;70),"DEPENDENCY GAP","NO TRIGGER")))</f>
        <v/>
      </c>
      <c r="K31" s="18">
        <f>IF(J31="CONTRADICTION","HIGH",IF(J31="DEPENDENCY GAP","MEDIUM","—"))</f>
        <v/>
      </c>
      <c r="L31" s="18">
        <f>IF(J31="CONTRADICTION","Strong upstream claim is not supported by linked downstream capability/evidence. Trigger: Programme portfolio review.",IF(J31="DEPENDENCY GAP","Downstream capability materially trails upstream expectation. Trigger: Programme portfolio review.",""))</f>
        <v/>
      </c>
    </row>
    <row r="32">
      <c r="A32" s="18" t="inlineStr">
        <is>
          <t>CD03</t>
        </is>
      </c>
      <c r="B32" s="18" t="inlineStr">
        <is>
          <t>D01-I04</t>
        </is>
      </c>
      <c r="C32" s="18" t="inlineStr">
        <is>
          <t>D04-I03</t>
        </is>
      </c>
      <c r="D32" s="18">
        <f>'P0-3_Scorecard'!L5</f>
        <v/>
      </c>
      <c r="E32" s="18">
        <f>'P0-3_Scorecard'!L45</f>
        <v/>
      </c>
      <c r="F32" s="18">
        <f>'P0-3_Scorecard'!M5</f>
        <v/>
      </c>
      <c r="G32" s="18">
        <f>'P0-3_Scorecard'!M45</f>
        <v/>
      </c>
      <c r="H32" s="18">
        <f>IF(OR(D32="",F32=""),"",D32-(F32*20))</f>
        <v/>
      </c>
      <c r="I32" s="18">
        <f>IF(OR(E32="",G32=""),"",E32-(G32*20))</f>
        <v/>
      </c>
      <c r="J32" s="18">
        <f>IF(OR(D32="",E32=""),"INCOMPLETE",IF(AND(D32&gt;=80,E32&lt;50),"CONTRADICTION",IF(AND(D32&gt;=70,E32&lt;70),"DEPENDENCY GAP","NO TRIGGER")))</f>
        <v/>
      </c>
      <c r="K32" s="18">
        <f>IF(J32="CONTRADICTION","HIGH",IF(J32="DEPENDENCY GAP","MEDIUM","—"))</f>
        <v/>
      </c>
      <c r="L32" s="18">
        <f>IF(J32="CONTRADICTION","Strong upstream claim is not supported by linked downstream capability/evidence. Trigger: Programme portfolio review.",IF(J32="DEPENDENCY GAP","Downstream capability materially trails upstream expectation. Trigger: Programme portfolio review.",""))</f>
        <v/>
      </c>
    </row>
    <row r="33">
      <c r="A33" s="18" t="inlineStr">
        <is>
          <t>CD03</t>
        </is>
      </c>
      <c r="B33" s="18" t="inlineStr">
        <is>
          <t>D01-I04</t>
        </is>
      </c>
      <c r="C33" s="18" t="inlineStr">
        <is>
          <t>D04-I05</t>
        </is>
      </c>
      <c r="D33" s="18">
        <f>'P0-3_Scorecard'!L5</f>
        <v/>
      </c>
      <c r="E33" s="18">
        <f>'P0-3_Scorecard'!L47</f>
        <v/>
      </c>
      <c r="F33" s="18">
        <f>'P0-3_Scorecard'!M5</f>
        <v/>
      </c>
      <c r="G33" s="18">
        <f>'P0-3_Scorecard'!M47</f>
        <v/>
      </c>
      <c r="H33" s="18">
        <f>IF(OR(D33="",F33=""),"",D33-(F33*20))</f>
        <v/>
      </c>
      <c r="I33" s="18">
        <f>IF(OR(E33="",G33=""),"",E33-(G33*20))</f>
        <v/>
      </c>
      <c r="J33" s="18">
        <f>IF(OR(D33="",E33=""),"INCOMPLETE",IF(AND(D33&gt;=80,E33&lt;50),"CONTRADICTION",IF(AND(D33&gt;=70,E33&lt;70),"DEPENDENCY GAP","NO TRIGGER")))</f>
        <v/>
      </c>
      <c r="K33" s="18">
        <f>IF(J33="CONTRADICTION","HIGH",IF(J33="DEPENDENCY GAP","MEDIUM","—"))</f>
        <v/>
      </c>
      <c r="L33" s="18">
        <f>IF(J33="CONTRADICTION","Strong upstream claim is not supported by linked downstream capability/evidence. Trigger: Programme portfolio review.",IF(J33="DEPENDENCY GAP","Downstream capability materially trails upstream expectation. Trigger: Programme portfolio review.",""))</f>
        <v/>
      </c>
    </row>
    <row r="34">
      <c r="A34" s="18" t="inlineStr">
        <is>
          <t>CD03</t>
        </is>
      </c>
      <c r="B34" s="18" t="inlineStr">
        <is>
          <t>D01-I04</t>
        </is>
      </c>
      <c r="C34" s="18" t="inlineStr">
        <is>
          <t>D04-I08</t>
        </is>
      </c>
      <c r="D34" s="18">
        <f>'P0-3_Scorecard'!L5</f>
        <v/>
      </c>
      <c r="E34" s="18">
        <f>'P0-3_Scorecard'!L50</f>
        <v/>
      </c>
      <c r="F34" s="18">
        <f>'P0-3_Scorecard'!M5</f>
        <v/>
      </c>
      <c r="G34" s="18">
        <f>'P0-3_Scorecard'!M50</f>
        <v/>
      </c>
      <c r="H34" s="18">
        <f>IF(OR(D34="",F34=""),"",D34-(F34*20))</f>
        <v/>
      </c>
      <c r="I34" s="18">
        <f>IF(OR(E34="",G34=""),"",E34-(G34*20))</f>
        <v/>
      </c>
      <c r="J34" s="18">
        <f>IF(OR(D34="",E34=""),"INCOMPLETE",IF(AND(D34&gt;=80,E34&lt;50),"CONTRADICTION",IF(AND(D34&gt;=70,E34&lt;70),"DEPENDENCY GAP","NO TRIGGER")))</f>
        <v/>
      </c>
      <c r="K34" s="18">
        <f>IF(J34="CONTRADICTION","HIGH",IF(J34="DEPENDENCY GAP","MEDIUM","—"))</f>
        <v/>
      </c>
      <c r="L34" s="18">
        <f>IF(J34="CONTRADICTION","Strong upstream claim is not supported by linked downstream capability/evidence. Trigger: Programme portfolio review.",IF(J34="DEPENDENCY GAP","Downstream capability materially trails upstream expectation. Trigger: Programme portfolio review.",""))</f>
        <v/>
      </c>
    </row>
    <row r="35">
      <c r="A35" s="18" t="inlineStr">
        <is>
          <t>CD03</t>
        </is>
      </c>
      <c r="B35" s="18" t="inlineStr">
        <is>
          <t>D01-I04</t>
        </is>
      </c>
      <c r="C35" s="18" t="inlineStr">
        <is>
          <t>D04-I12</t>
        </is>
      </c>
      <c r="D35" s="18">
        <f>'P0-3_Scorecard'!L5</f>
        <v/>
      </c>
      <c r="E35" s="18">
        <f>'P0-3_Scorecard'!L54</f>
        <v/>
      </c>
      <c r="F35" s="18">
        <f>'P0-3_Scorecard'!M5</f>
        <v/>
      </c>
      <c r="G35" s="18">
        <f>'P0-3_Scorecard'!M54</f>
        <v/>
      </c>
      <c r="H35" s="18">
        <f>IF(OR(D35="",F35=""),"",D35-(F35*20))</f>
        <v/>
      </c>
      <c r="I35" s="18">
        <f>IF(OR(E35="",G35=""),"",E35-(G35*20))</f>
        <v/>
      </c>
      <c r="J35" s="18">
        <f>IF(OR(D35="",E35=""),"INCOMPLETE",IF(AND(D35&gt;=80,E35&lt;50),"CONTRADICTION",IF(AND(D35&gt;=70,E35&lt;70),"DEPENDENCY GAP","NO TRIGGER")))</f>
        <v/>
      </c>
      <c r="K35" s="18">
        <f>IF(J35="CONTRADICTION","HIGH",IF(J35="DEPENDENCY GAP","MEDIUM","—"))</f>
        <v/>
      </c>
      <c r="L35" s="18">
        <f>IF(J35="CONTRADICTION","Strong upstream claim is not supported by linked downstream capability/evidence. Trigger: Programme portfolio review.",IF(J35="DEPENDENCY GAP","Downstream capability materially trails upstream expectation. Trigger: Programme portfolio review.",""))</f>
        <v/>
      </c>
    </row>
    <row r="36">
      <c r="A36" s="18" t="inlineStr">
        <is>
          <t>CD03</t>
        </is>
      </c>
      <c r="B36" s="18" t="inlineStr">
        <is>
          <t>D01-I06</t>
        </is>
      </c>
      <c r="C36" s="18" t="inlineStr">
        <is>
          <t>D04-I01</t>
        </is>
      </c>
      <c r="D36" s="18">
        <f>'P0-3_Scorecard'!L7</f>
        <v/>
      </c>
      <c r="E36" s="18">
        <f>'P0-3_Scorecard'!L43</f>
        <v/>
      </c>
      <c r="F36" s="18">
        <f>'P0-3_Scorecard'!M7</f>
        <v/>
      </c>
      <c r="G36" s="18">
        <f>'P0-3_Scorecard'!M43</f>
        <v/>
      </c>
      <c r="H36" s="18">
        <f>IF(OR(D36="",F36=""),"",D36-(F36*20))</f>
        <v/>
      </c>
      <c r="I36" s="18">
        <f>IF(OR(E36="",G36=""),"",E36-(G36*20))</f>
        <v/>
      </c>
      <c r="J36" s="18">
        <f>IF(OR(D36="",E36=""),"INCOMPLETE",IF(AND(D36&gt;=80,E36&lt;50),"CONTRADICTION",IF(AND(D36&gt;=70,E36&lt;70),"DEPENDENCY GAP","NO TRIGGER")))</f>
        <v/>
      </c>
      <c r="K36" s="18">
        <f>IF(J36="CONTRADICTION","HIGH",IF(J36="DEPENDENCY GAP","MEDIUM","—"))</f>
        <v/>
      </c>
      <c r="L36" s="18">
        <f>IF(J36="CONTRADICTION","Strong upstream claim is not supported by linked downstream capability/evidence. Trigger: Programme portfolio review.",IF(J36="DEPENDENCY GAP","Downstream capability materially trails upstream expectation. Trigger: Programme portfolio review.",""))</f>
        <v/>
      </c>
    </row>
    <row r="37">
      <c r="A37" s="18" t="inlineStr">
        <is>
          <t>CD03</t>
        </is>
      </c>
      <c r="B37" s="18" t="inlineStr">
        <is>
          <t>D01-I06</t>
        </is>
      </c>
      <c r="C37" s="18" t="inlineStr">
        <is>
          <t>D04-I03</t>
        </is>
      </c>
      <c r="D37" s="18">
        <f>'P0-3_Scorecard'!L7</f>
        <v/>
      </c>
      <c r="E37" s="18">
        <f>'P0-3_Scorecard'!L45</f>
        <v/>
      </c>
      <c r="F37" s="18">
        <f>'P0-3_Scorecard'!M7</f>
        <v/>
      </c>
      <c r="G37" s="18">
        <f>'P0-3_Scorecard'!M45</f>
        <v/>
      </c>
      <c r="H37" s="18">
        <f>IF(OR(D37="",F37=""),"",D37-(F37*20))</f>
        <v/>
      </c>
      <c r="I37" s="18">
        <f>IF(OR(E37="",G37=""),"",E37-(G37*20))</f>
        <v/>
      </c>
      <c r="J37" s="18">
        <f>IF(OR(D37="",E37=""),"INCOMPLETE",IF(AND(D37&gt;=80,E37&lt;50),"CONTRADICTION",IF(AND(D37&gt;=70,E37&lt;70),"DEPENDENCY GAP","NO TRIGGER")))</f>
        <v/>
      </c>
      <c r="K37" s="18">
        <f>IF(J37="CONTRADICTION","HIGH",IF(J37="DEPENDENCY GAP","MEDIUM","—"))</f>
        <v/>
      </c>
      <c r="L37" s="18">
        <f>IF(J37="CONTRADICTION","Strong upstream claim is not supported by linked downstream capability/evidence. Trigger: Programme portfolio review.",IF(J37="DEPENDENCY GAP","Downstream capability materially trails upstream expectation. Trigger: Programme portfolio review.",""))</f>
        <v/>
      </c>
    </row>
    <row r="38">
      <c r="A38" s="18" t="inlineStr">
        <is>
          <t>CD03</t>
        </is>
      </c>
      <c r="B38" s="18" t="inlineStr">
        <is>
          <t>D01-I06</t>
        </is>
      </c>
      <c r="C38" s="18" t="inlineStr">
        <is>
          <t>D04-I05</t>
        </is>
      </c>
      <c r="D38" s="18">
        <f>'P0-3_Scorecard'!L7</f>
        <v/>
      </c>
      <c r="E38" s="18">
        <f>'P0-3_Scorecard'!L47</f>
        <v/>
      </c>
      <c r="F38" s="18">
        <f>'P0-3_Scorecard'!M7</f>
        <v/>
      </c>
      <c r="G38" s="18">
        <f>'P0-3_Scorecard'!M47</f>
        <v/>
      </c>
      <c r="H38" s="18">
        <f>IF(OR(D38="",F38=""),"",D38-(F38*20))</f>
        <v/>
      </c>
      <c r="I38" s="18">
        <f>IF(OR(E38="",G38=""),"",E38-(G38*20))</f>
        <v/>
      </c>
      <c r="J38" s="18">
        <f>IF(OR(D38="",E38=""),"INCOMPLETE",IF(AND(D38&gt;=80,E38&lt;50),"CONTRADICTION",IF(AND(D38&gt;=70,E38&lt;70),"DEPENDENCY GAP","NO TRIGGER")))</f>
        <v/>
      </c>
      <c r="K38" s="18">
        <f>IF(J38="CONTRADICTION","HIGH",IF(J38="DEPENDENCY GAP","MEDIUM","—"))</f>
        <v/>
      </c>
      <c r="L38" s="18">
        <f>IF(J38="CONTRADICTION","Strong upstream claim is not supported by linked downstream capability/evidence. Trigger: Programme portfolio review.",IF(J38="DEPENDENCY GAP","Downstream capability materially trails upstream expectation. Trigger: Programme portfolio review.",""))</f>
        <v/>
      </c>
    </row>
    <row r="39">
      <c r="A39" s="18" t="inlineStr">
        <is>
          <t>CD03</t>
        </is>
      </c>
      <c r="B39" s="18" t="inlineStr">
        <is>
          <t>D01-I06</t>
        </is>
      </c>
      <c r="C39" s="18" t="inlineStr">
        <is>
          <t>D04-I08</t>
        </is>
      </c>
      <c r="D39" s="18">
        <f>'P0-3_Scorecard'!L7</f>
        <v/>
      </c>
      <c r="E39" s="18">
        <f>'P0-3_Scorecard'!L50</f>
        <v/>
      </c>
      <c r="F39" s="18">
        <f>'P0-3_Scorecard'!M7</f>
        <v/>
      </c>
      <c r="G39" s="18">
        <f>'P0-3_Scorecard'!M50</f>
        <v/>
      </c>
      <c r="H39" s="18">
        <f>IF(OR(D39="",F39=""),"",D39-(F39*20))</f>
        <v/>
      </c>
      <c r="I39" s="18">
        <f>IF(OR(E39="",G39=""),"",E39-(G39*20))</f>
        <v/>
      </c>
      <c r="J39" s="18">
        <f>IF(OR(D39="",E39=""),"INCOMPLETE",IF(AND(D39&gt;=80,E39&lt;50),"CONTRADICTION",IF(AND(D39&gt;=70,E39&lt;70),"DEPENDENCY GAP","NO TRIGGER")))</f>
        <v/>
      </c>
      <c r="K39" s="18">
        <f>IF(J39="CONTRADICTION","HIGH",IF(J39="DEPENDENCY GAP","MEDIUM","—"))</f>
        <v/>
      </c>
      <c r="L39" s="18">
        <f>IF(J39="CONTRADICTION","Strong upstream claim is not supported by linked downstream capability/evidence. Trigger: Programme portfolio review.",IF(J39="DEPENDENCY GAP","Downstream capability materially trails upstream expectation. Trigger: Programme portfolio review.",""))</f>
        <v/>
      </c>
    </row>
    <row r="40">
      <c r="A40" s="18" t="inlineStr">
        <is>
          <t>CD03</t>
        </is>
      </c>
      <c r="B40" s="18" t="inlineStr">
        <is>
          <t>D01-I06</t>
        </is>
      </c>
      <c r="C40" s="18" t="inlineStr">
        <is>
          <t>D04-I12</t>
        </is>
      </c>
      <c r="D40" s="18">
        <f>'P0-3_Scorecard'!L7</f>
        <v/>
      </c>
      <c r="E40" s="18">
        <f>'P0-3_Scorecard'!L54</f>
        <v/>
      </c>
      <c r="F40" s="18">
        <f>'P0-3_Scorecard'!M7</f>
        <v/>
      </c>
      <c r="G40" s="18">
        <f>'P0-3_Scorecard'!M54</f>
        <v/>
      </c>
      <c r="H40" s="18">
        <f>IF(OR(D40="",F40=""),"",D40-(F40*20))</f>
        <v/>
      </c>
      <c r="I40" s="18">
        <f>IF(OR(E40="",G40=""),"",E40-(G40*20))</f>
        <v/>
      </c>
      <c r="J40" s="18">
        <f>IF(OR(D40="",E40=""),"INCOMPLETE",IF(AND(D40&gt;=80,E40&lt;50),"CONTRADICTION",IF(AND(D40&gt;=70,E40&lt;70),"DEPENDENCY GAP","NO TRIGGER")))</f>
        <v/>
      </c>
      <c r="K40" s="18">
        <f>IF(J40="CONTRADICTION","HIGH",IF(J40="DEPENDENCY GAP","MEDIUM","—"))</f>
        <v/>
      </c>
      <c r="L40" s="18">
        <f>IF(J40="CONTRADICTION","Strong upstream claim is not supported by linked downstream capability/evidence. Trigger: Programme portfolio review.",IF(J40="DEPENDENCY GAP","Downstream capability materially trails upstream expectation. Trigger: Programme portfolio review.",""))</f>
        <v/>
      </c>
    </row>
    <row r="41">
      <c r="A41" s="18" t="inlineStr">
        <is>
          <t>CD03</t>
        </is>
      </c>
      <c r="B41" s="18" t="inlineStr">
        <is>
          <t>D01-I10</t>
        </is>
      </c>
      <c r="C41" s="18" t="inlineStr">
        <is>
          <t>D04-I01</t>
        </is>
      </c>
      <c r="D41" s="18">
        <f>'P0-3_Scorecard'!L11</f>
        <v/>
      </c>
      <c r="E41" s="18">
        <f>'P0-3_Scorecard'!L43</f>
        <v/>
      </c>
      <c r="F41" s="18">
        <f>'P0-3_Scorecard'!M11</f>
        <v/>
      </c>
      <c r="G41" s="18">
        <f>'P0-3_Scorecard'!M43</f>
        <v/>
      </c>
      <c r="H41" s="18">
        <f>IF(OR(D41="",F41=""),"",D41-(F41*20))</f>
        <v/>
      </c>
      <c r="I41" s="18">
        <f>IF(OR(E41="",G41=""),"",E41-(G41*20))</f>
        <v/>
      </c>
      <c r="J41" s="18">
        <f>IF(OR(D41="",E41=""),"INCOMPLETE",IF(AND(D41&gt;=80,E41&lt;50),"CONTRADICTION",IF(AND(D41&gt;=70,E41&lt;70),"DEPENDENCY GAP","NO TRIGGER")))</f>
        <v/>
      </c>
      <c r="K41" s="18">
        <f>IF(J41="CONTRADICTION","HIGH",IF(J41="DEPENDENCY GAP","MEDIUM","—"))</f>
        <v/>
      </c>
      <c r="L41" s="18">
        <f>IF(J41="CONTRADICTION","Strong upstream claim is not supported by linked downstream capability/evidence. Trigger: Programme portfolio review.",IF(J41="DEPENDENCY GAP","Downstream capability materially trails upstream expectation. Trigger: Programme portfolio review.",""))</f>
        <v/>
      </c>
    </row>
    <row r="42">
      <c r="A42" s="18" t="inlineStr">
        <is>
          <t>CD03</t>
        </is>
      </c>
      <c r="B42" s="18" t="inlineStr">
        <is>
          <t>D01-I10</t>
        </is>
      </c>
      <c r="C42" s="18" t="inlineStr">
        <is>
          <t>D04-I03</t>
        </is>
      </c>
      <c r="D42" s="18">
        <f>'P0-3_Scorecard'!L11</f>
        <v/>
      </c>
      <c r="E42" s="18">
        <f>'P0-3_Scorecard'!L45</f>
        <v/>
      </c>
      <c r="F42" s="18">
        <f>'P0-3_Scorecard'!M11</f>
        <v/>
      </c>
      <c r="G42" s="18">
        <f>'P0-3_Scorecard'!M45</f>
        <v/>
      </c>
      <c r="H42" s="18">
        <f>IF(OR(D42="",F42=""),"",D42-(F42*20))</f>
        <v/>
      </c>
      <c r="I42" s="18">
        <f>IF(OR(E42="",G42=""),"",E42-(G42*20))</f>
        <v/>
      </c>
      <c r="J42" s="18">
        <f>IF(OR(D42="",E42=""),"INCOMPLETE",IF(AND(D42&gt;=80,E42&lt;50),"CONTRADICTION",IF(AND(D42&gt;=70,E42&lt;70),"DEPENDENCY GAP","NO TRIGGER")))</f>
        <v/>
      </c>
      <c r="K42" s="18">
        <f>IF(J42="CONTRADICTION","HIGH",IF(J42="DEPENDENCY GAP","MEDIUM","—"))</f>
        <v/>
      </c>
      <c r="L42" s="18">
        <f>IF(J42="CONTRADICTION","Strong upstream claim is not supported by linked downstream capability/evidence. Trigger: Programme portfolio review.",IF(J42="DEPENDENCY GAP","Downstream capability materially trails upstream expectation. Trigger: Programme portfolio review.",""))</f>
        <v/>
      </c>
    </row>
    <row r="43">
      <c r="A43" s="18" t="inlineStr">
        <is>
          <t>CD03</t>
        </is>
      </c>
      <c r="B43" s="18" t="inlineStr">
        <is>
          <t>D01-I10</t>
        </is>
      </c>
      <c r="C43" s="18" t="inlineStr">
        <is>
          <t>D04-I05</t>
        </is>
      </c>
      <c r="D43" s="18">
        <f>'P0-3_Scorecard'!L11</f>
        <v/>
      </c>
      <c r="E43" s="18">
        <f>'P0-3_Scorecard'!L47</f>
        <v/>
      </c>
      <c r="F43" s="18">
        <f>'P0-3_Scorecard'!M11</f>
        <v/>
      </c>
      <c r="G43" s="18">
        <f>'P0-3_Scorecard'!M47</f>
        <v/>
      </c>
      <c r="H43" s="18">
        <f>IF(OR(D43="",F43=""),"",D43-(F43*20))</f>
        <v/>
      </c>
      <c r="I43" s="18">
        <f>IF(OR(E43="",G43=""),"",E43-(G43*20))</f>
        <v/>
      </c>
      <c r="J43" s="18">
        <f>IF(OR(D43="",E43=""),"INCOMPLETE",IF(AND(D43&gt;=80,E43&lt;50),"CONTRADICTION",IF(AND(D43&gt;=70,E43&lt;70),"DEPENDENCY GAP","NO TRIGGER")))</f>
        <v/>
      </c>
      <c r="K43" s="18">
        <f>IF(J43="CONTRADICTION","HIGH",IF(J43="DEPENDENCY GAP","MEDIUM","—"))</f>
        <v/>
      </c>
      <c r="L43" s="18">
        <f>IF(J43="CONTRADICTION","Strong upstream claim is not supported by linked downstream capability/evidence. Trigger: Programme portfolio review.",IF(J43="DEPENDENCY GAP","Downstream capability materially trails upstream expectation. Trigger: Programme portfolio review.",""))</f>
        <v/>
      </c>
    </row>
    <row r="44">
      <c r="A44" s="18" t="inlineStr">
        <is>
          <t>CD03</t>
        </is>
      </c>
      <c r="B44" s="18" t="inlineStr">
        <is>
          <t>D01-I10</t>
        </is>
      </c>
      <c r="C44" s="18" t="inlineStr">
        <is>
          <t>D04-I08</t>
        </is>
      </c>
      <c r="D44" s="18">
        <f>'P0-3_Scorecard'!L11</f>
        <v/>
      </c>
      <c r="E44" s="18">
        <f>'P0-3_Scorecard'!L50</f>
        <v/>
      </c>
      <c r="F44" s="18">
        <f>'P0-3_Scorecard'!M11</f>
        <v/>
      </c>
      <c r="G44" s="18">
        <f>'P0-3_Scorecard'!M50</f>
        <v/>
      </c>
      <c r="H44" s="18">
        <f>IF(OR(D44="",F44=""),"",D44-(F44*20))</f>
        <v/>
      </c>
      <c r="I44" s="18">
        <f>IF(OR(E44="",G44=""),"",E44-(G44*20))</f>
        <v/>
      </c>
      <c r="J44" s="18">
        <f>IF(OR(D44="",E44=""),"INCOMPLETE",IF(AND(D44&gt;=80,E44&lt;50),"CONTRADICTION",IF(AND(D44&gt;=70,E44&lt;70),"DEPENDENCY GAP","NO TRIGGER")))</f>
        <v/>
      </c>
      <c r="K44" s="18">
        <f>IF(J44="CONTRADICTION","HIGH",IF(J44="DEPENDENCY GAP","MEDIUM","—"))</f>
        <v/>
      </c>
      <c r="L44" s="18">
        <f>IF(J44="CONTRADICTION","Strong upstream claim is not supported by linked downstream capability/evidence. Trigger: Programme portfolio review.",IF(J44="DEPENDENCY GAP","Downstream capability materially trails upstream expectation. Trigger: Programme portfolio review.",""))</f>
        <v/>
      </c>
    </row>
    <row r="45">
      <c r="A45" s="18" t="inlineStr">
        <is>
          <t>CD03</t>
        </is>
      </c>
      <c r="B45" s="18" t="inlineStr">
        <is>
          <t>D01-I10</t>
        </is>
      </c>
      <c r="C45" s="18" t="inlineStr">
        <is>
          <t>D04-I12</t>
        </is>
      </c>
      <c r="D45" s="18">
        <f>'P0-3_Scorecard'!L11</f>
        <v/>
      </c>
      <c r="E45" s="18">
        <f>'P0-3_Scorecard'!L54</f>
        <v/>
      </c>
      <c r="F45" s="18">
        <f>'P0-3_Scorecard'!M11</f>
        <v/>
      </c>
      <c r="G45" s="18">
        <f>'P0-3_Scorecard'!M54</f>
        <v/>
      </c>
      <c r="H45" s="18">
        <f>IF(OR(D45="",F45=""),"",D45-(F45*20))</f>
        <v/>
      </c>
      <c r="I45" s="18">
        <f>IF(OR(E45="",G45=""),"",E45-(G45*20))</f>
        <v/>
      </c>
      <c r="J45" s="18">
        <f>IF(OR(D45="",E45=""),"INCOMPLETE",IF(AND(D45&gt;=80,E45&lt;50),"CONTRADICTION",IF(AND(D45&gt;=70,E45&lt;70),"DEPENDENCY GAP","NO TRIGGER")))</f>
        <v/>
      </c>
      <c r="K45" s="18">
        <f>IF(J45="CONTRADICTION","HIGH",IF(J45="DEPENDENCY GAP","MEDIUM","—"))</f>
        <v/>
      </c>
      <c r="L45" s="18">
        <f>IF(J45="CONTRADICTION","Strong upstream claim is not supported by linked downstream capability/evidence. Trigger: Programme portfolio review.",IF(J45="DEPENDENCY GAP","Downstream capability materially trails upstream expectation. Trigger: Programme portfolio review.",""))</f>
        <v/>
      </c>
    </row>
    <row r="46">
      <c r="A46" s="18" t="inlineStr">
        <is>
          <t>CD04</t>
        </is>
      </c>
      <c r="B46" s="18" t="inlineStr">
        <is>
          <t>D01-I02</t>
        </is>
      </c>
      <c r="C46" s="18" t="inlineStr">
        <is>
          <t>D11-I01</t>
        </is>
      </c>
      <c r="D46" s="18">
        <f>'P0-3_Scorecard'!L3</f>
        <v/>
      </c>
      <c r="E46" s="18">
        <f>'P0-3_Scorecard'!L131</f>
        <v/>
      </c>
      <c r="F46" s="18">
        <f>'P0-3_Scorecard'!M3</f>
        <v/>
      </c>
      <c r="G46" s="18">
        <f>'P0-3_Scorecard'!M131</f>
        <v/>
      </c>
      <c r="H46" s="18">
        <f>IF(OR(D46="",F46=""),"",D46-(F46*20))</f>
        <v/>
      </c>
      <c r="I46" s="18">
        <f>IF(OR(E46="",G46=""),"",E46-(G46*20))</f>
        <v/>
      </c>
      <c r="J46" s="18">
        <f>IF(OR(D46="",E46=""),"INCOMPLETE",IF(AND(D46&gt;=80,E46&lt;50),"CONTRADICTION",IF(AND(D46&gt;=70,E46&lt;70),"DEPENDENCY GAP","NO TRIGGER")))</f>
        <v/>
      </c>
      <c r="K46" s="18">
        <f>IF(J46="CONTRADICTION","HIGH",IF(J46="DEPENDENCY GAP","MEDIUM","—"))</f>
        <v/>
      </c>
      <c r="L46" s="18">
        <f>IF(J46="CONTRADICTION","Strong upstream claim is not supported by linked downstream capability/evidence. Trigger: Adaptation review.",IF(J46="DEPENDENCY GAP","Downstream capability materially trails upstream expectation. Trigger: Adaptation review.",""))</f>
        <v/>
      </c>
    </row>
    <row r="47">
      <c r="A47" s="18" t="inlineStr">
        <is>
          <t>CD04</t>
        </is>
      </c>
      <c r="B47" s="18" t="inlineStr">
        <is>
          <t>D01-I02</t>
        </is>
      </c>
      <c r="C47" s="18" t="inlineStr">
        <is>
          <t>D11-I02</t>
        </is>
      </c>
      <c r="D47" s="18">
        <f>'P0-3_Scorecard'!L3</f>
        <v/>
      </c>
      <c r="E47" s="18">
        <f>'P0-3_Scorecard'!L132</f>
        <v/>
      </c>
      <c r="F47" s="18">
        <f>'P0-3_Scorecard'!M3</f>
        <v/>
      </c>
      <c r="G47" s="18">
        <f>'P0-3_Scorecard'!M132</f>
        <v/>
      </c>
      <c r="H47" s="18">
        <f>IF(OR(D47="",F47=""),"",D47-(F47*20))</f>
        <v/>
      </c>
      <c r="I47" s="18">
        <f>IF(OR(E47="",G47=""),"",E47-(G47*20))</f>
        <v/>
      </c>
      <c r="J47" s="18">
        <f>IF(OR(D47="",E47=""),"INCOMPLETE",IF(AND(D47&gt;=80,E47&lt;50),"CONTRADICTION",IF(AND(D47&gt;=70,E47&lt;70),"DEPENDENCY GAP","NO TRIGGER")))</f>
        <v/>
      </c>
      <c r="K47" s="18">
        <f>IF(J47="CONTRADICTION","HIGH",IF(J47="DEPENDENCY GAP","MEDIUM","—"))</f>
        <v/>
      </c>
      <c r="L47" s="18">
        <f>IF(J47="CONTRADICTION","Strong upstream claim is not supported by linked downstream capability/evidence. Trigger: Adaptation review.",IF(J47="DEPENDENCY GAP","Downstream capability materially trails upstream expectation. Trigger: Adaptation review.",""))</f>
        <v/>
      </c>
    </row>
    <row r="48">
      <c r="A48" s="18" t="inlineStr">
        <is>
          <t>CD04</t>
        </is>
      </c>
      <c r="B48" s="18" t="inlineStr">
        <is>
          <t>D01-I02</t>
        </is>
      </c>
      <c r="C48" s="18" t="inlineStr">
        <is>
          <t>D11-I06</t>
        </is>
      </c>
      <c r="D48" s="18">
        <f>'P0-3_Scorecard'!L3</f>
        <v/>
      </c>
      <c r="E48" s="18">
        <f>'P0-3_Scorecard'!L136</f>
        <v/>
      </c>
      <c r="F48" s="18">
        <f>'P0-3_Scorecard'!M3</f>
        <v/>
      </c>
      <c r="G48" s="18">
        <f>'P0-3_Scorecard'!M136</f>
        <v/>
      </c>
      <c r="H48" s="18">
        <f>IF(OR(D48="",F48=""),"",D48-(F48*20))</f>
        <v/>
      </c>
      <c r="I48" s="18">
        <f>IF(OR(E48="",G48=""),"",E48-(G48*20))</f>
        <v/>
      </c>
      <c r="J48" s="18">
        <f>IF(OR(D48="",E48=""),"INCOMPLETE",IF(AND(D48&gt;=80,E48&lt;50),"CONTRADICTION",IF(AND(D48&gt;=70,E48&lt;70),"DEPENDENCY GAP","NO TRIGGER")))</f>
        <v/>
      </c>
      <c r="K48" s="18">
        <f>IF(J48="CONTRADICTION","HIGH",IF(J48="DEPENDENCY GAP","MEDIUM","—"))</f>
        <v/>
      </c>
      <c r="L48" s="18">
        <f>IF(J48="CONTRADICTION","Strong upstream claim is not supported by linked downstream capability/evidence. Trigger: Adaptation review.",IF(J48="DEPENDENCY GAP","Downstream capability materially trails upstream expectation. Trigger: Adaptation review.",""))</f>
        <v/>
      </c>
    </row>
    <row r="49">
      <c r="A49" s="18" t="inlineStr">
        <is>
          <t>CD04</t>
        </is>
      </c>
      <c r="B49" s="18" t="inlineStr">
        <is>
          <t>D01-I02</t>
        </is>
      </c>
      <c r="C49" s="18" t="inlineStr">
        <is>
          <t>D11-I13</t>
        </is>
      </c>
      <c r="D49" s="18">
        <f>'P0-3_Scorecard'!L3</f>
        <v/>
      </c>
      <c r="E49" s="18">
        <f>'P0-3_Scorecard'!L143</f>
        <v/>
      </c>
      <c r="F49" s="18">
        <f>'P0-3_Scorecard'!M3</f>
        <v/>
      </c>
      <c r="G49" s="18">
        <f>'P0-3_Scorecard'!M143</f>
        <v/>
      </c>
      <c r="H49" s="18">
        <f>IF(OR(D49="",F49=""),"",D49-(F49*20))</f>
        <v/>
      </c>
      <c r="I49" s="18">
        <f>IF(OR(E49="",G49=""),"",E49-(G49*20))</f>
        <v/>
      </c>
      <c r="J49" s="18">
        <f>IF(OR(D49="",E49=""),"INCOMPLETE",IF(AND(D49&gt;=80,E49&lt;50),"CONTRADICTION",IF(AND(D49&gt;=70,E49&lt;70),"DEPENDENCY GAP","NO TRIGGER")))</f>
        <v/>
      </c>
      <c r="K49" s="18">
        <f>IF(J49="CONTRADICTION","HIGH",IF(J49="DEPENDENCY GAP","MEDIUM","—"))</f>
        <v/>
      </c>
      <c r="L49" s="18">
        <f>IF(J49="CONTRADICTION","Strong upstream claim is not supported by linked downstream capability/evidence. Trigger: Adaptation review.",IF(J49="DEPENDENCY GAP","Downstream capability materially trails upstream expectation. Trigger: Adaptation review.",""))</f>
        <v/>
      </c>
    </row>
    <row r="50">
      <c r="A50" s="18" t="inlineStr">
        <is>
          <t>CD04</t>
        </is>
      </c>
      <c r="B50" s="18" t="inlineStr">
        <is>
          <t>D01-I02</t>
        </is>
      </c>
      <c r="C50" s="18" t="inlineStr">
        <is>
          <t>D11-I14</t>
        </is>
      </c>
      <c r="D50" s="18">
        <f>'P0-3_Scorecard'!L3</f>
        <v/>
      </c>
      <c r="E50" s="18">
        <f>'P0-3_Scorecard'!L144</f>
        <v/>
      </c>
      <c r="F50" s="18">
        <f>'P0-3_Scorecard'!M3</f>
        <v/>
      </c>
      <c r="G50" s="18">
        <f>'P0-3_Scorecard'!M144</f>
        <v/>
      </c>
      <c r="H50" s="18">
        <f>IF(OR(D50="",F50=""),"",D50-(F50*20))</f>
        <v/>
      </c>
      <c r="I50" s="18">
        <f>IF(OR(E50="",G50=""),"",E50-(G50*20))</f>
        <v/>
      </c>
      <c r="J50" s="18">
        <f>IF(OR(D50="",E50=""),"INCOMPLETE",IF(AND(D50&gt;=80,E50&lt;50),"CONTRADICTION",IF(AND(D50&gt;=70,E50&lt;70),"DEPENDENCY GAP","NO TRIGGER")))</f>
        <v/>
      </c>
      <c r="K50" s="18">
        <f>IF(J50="CONTRADICTION","HIGH",IF(J50="DEPENDENCY GAP","MEDIUM","—"))</f>
        <v/>
      </c>
      <c r="L50" s="18">
        <f>IF(J50="CONTRADICTION","Strong upstream claim is not supported by linked downstream capability/evidence. Trigger: Adaptation review.",IF(J50="DEPENDENCY GAP","Downstream capability materially trails upstream expectation. Trigger: Adaptation review.",""))</f>
        <v/>
      </c>
    </row>
    <row r="51">
      <c r="A51" s="18" t="inlineStr">
        <is>
          <t>CD04</t>
        </is>
      </c>
      <c r="B51" s="18" t="inlineStr">
        <is>
          <t>D01-I03</t>
        </is>
      </c>
      <c r="C51" s="18" t="inlineStr">
        <is>
          <t>D11-I01</t>
        </is>
      </c>
      <c r="D51" s="18">
        <f>'P0-3_Scorecard'!L4</f>
        <v/>
      </c>
      <c r="E51" s="18">
        <f>'P0-3_Scorecard'!L131</f>
        <v/>
      </c>
      <c r="F51" s="18">
        <f>'P0-3_Scorecard'!M4</f>
        <v/>
      </c>
      <c r="G51" s="18">
        <f>'P0-3_Scorecard'!M131</f>
        <v/>
      </c>
      <c r="H51" s="18">
        <f>IF(OR(D51="",F51=""),"",D51-(F51*20))</f>
        <v/>
      </c>
      <c r="I51" s="18">
        <f>IF(OR(E51="",G51=""),"",E51-(G51*20))</f>
        <v/>
      </c>
      <c r="J51" s="18">
        <f>IF(OR(D51="",E51=""),"INCOMPLETE",IF(AND(D51&gt;=80,E51&lt;50),"CONTRADICTION",IF(AND(D51&gt;=70,E51&lt;70),"DEPENDENCY GAP","NO TRIGGER")))</f>
        <v/>
      </c>
      <c r="K51" s="18">
        <f>IF(J51="CONTRADICTION","HIGH",IF(J51="DEPENDENCY GAP","MEDIUM","—"))</f>
        <v/>
      </c>
      <c r="L51" s="18">
        <f>IF(J51="CONTRADICTION","Strong upstream claim is not supported by linked downstream capability/evidence. Trigger: Adaptation review.",IF(J51="DEPENDENCY GAP","Downstream capability materially trails upstream expectation. Trigger: Adaptation review.",""))</f>
        <v/>
      </c>
    </row>
    <row r="52">
      <c r="A52" s="18" t="inlineStr">
        <is>
          <t>CD04</t>
        </is>
      </c>
      <c r="B52" s="18" t="inlineStr">
        <is>
          <t>D01-I03</t>
        </is>
      </c>
      <c r="C52" s="18" t="inlineStr">
        <is>
          <t>D11-I02</t>
        </is>
      </c>
      <c r="D52" s="18">
        <f>'P0-3_Scorecard'!L4</f>
        <v/>
      </c>
      <c r="E52" s="18">
        <f>'P0-3_Scorecard'!L132</f>
        <v/>
      </c>
      <c r="F52" s="18">
        <f>'P0-3_Scorecard'!M4</f>
        <v/>
      </c>
      <c r="G52" s="18">
        <f>'P0-3_Scorecard'!M132</f>
        <v/>
      </c>
      <c r="H52" s="18">
        <f>IF(OR(D52="",F52=""),"",D52-(F52*20))</f>
        <v/>
      </c>
      <c r="I52" s="18">
        <f>IF(OR(E52="",G52=""),"",E52-(G52*20))</f>
        <v/>
      </c>
      <c r="J52" s="18">
        <f>IF(OR(D52="",E52=""),"INCOMPLETE",IF(AND(D52&gt;=80,E52&lt;50),"CONTRADICTION",IF(AND(D52&gt;=70,E52&lt;70),"DEPENDENCY GAP","NO TRIGGER")))</f>
        <v/>
      </c>
      <c r="K52" s="18">
        <f>IF(J52="CONTRADICTION","HIGH",IF(J52="DEPENDENCY GAP","MEDIUM","—"))</f>
        <v/>
      </c>
      <c r="L52" s="18">
        <f>IF(J52="CONTRADICTION","Strong upstream claim is not supported by linked downstream capability/evidence. Trigger: Adaptation review.",IF(J52="DEPENDENCY GAP","Downstream capability materially trails upstream expectation. Trigger: Adaptation review.",""))</f>
        <v/>
      </c>
    </row>
    <row r="53">
      <c r="A53" s="18" t="inlineStr">
        <is>
          <t>CD04</t>
        </is>
      </c>
      <c r="B53" s="18" t="inlineStr">
        <is>
          <t>D01-I03</t>
        </is>
      </c>
      <c r="C53" s="18" t="inlineStr">
        <is>
          <t>D11-I06</t>
        </is>
      </c>
      <c r="D53" s="18">
        <f>'P0-3_Scorecard'!L4</f>
        <v/>
      </c>
      <c r="E53" s="18">
        <f>'P0-3_Scorecard'!L136</f>
        <v/>
      </c>
      <c r="F53" s="18">
        <f>'P0-3_Scorecard'!M4</f>
        <v/>
      </c>
      <c r="G53" s="18">
        <f>'P0-3_Scorecard'!M136</f>
        <v/>
      </c>
      <c r="H53" s="18">
        <f>IF(OR(D53="",F53=""),"",D53-(F53*20))</f>
        <v/>
      </c>
      <c r="I53" s="18">
        <f>IF(OR(E53="",G53=""),"",E53-(G53*20))</f>
        <v/>
      </c>
      <c r="J53" s="18">
        <f>IF(OR(D53="",E53=""),"INCOMPLETE",IF(AND(D53&gt;=80,E53&lt;50),"CONTRADICTION",IF(AND(D53&gt;=70,E53&lt;70),"DEPENDENCY GAP","NO TRIGGER")))</f>
        <v/>
      </c>
      <c r="K53" s="18">
        <f>IF(J53="CONTRADICTION","HIGH",IF(J53="DEPENDENCY GAP","MEDIUM","—"))</f>
        <v/>
      </c>
      <c r="L53" s="18">
        <f>IF(J53="CONTRADICTION","Strong upstream claim is not supported by linked downstream capability/evidence. Trigger: Adaptation review.",IF(J53="DEPENDENCY GAP","Downstream capability materially trails upstream expectation. Trigger: Adaptation review.",""))</f>
        <v/>
      </c>
    </row>
    <row r="54">
      <c r="A54" s="18" t="inlineStr">
        <is>
          <t>CD04</t>
        </is>
      </c>
      <c r="B54" s="18" t="inlineStr">
        <is>
          <t>D01-I03</t>
        </is>
      </c>
      <c r="C54" s="18" t="inlineStr">
        <is>
          <t>D11-I13</t>
        </is>
      </c>
      <c r="D54" s="18">
        <f>'P0-3_Scorecard'!L4</f>
        <v/>
      </c>
      <c r="E54" s="18">
        <f>'P0-3_Scorecard'!L143</f>
        <v/>
      </c>
      <c r="F54" s="18">
        <f>'P0-3_Scorecard'!M4</f>
        <v/>
      </c>
      <c r="G54" s="18">
        <f>'P0-3_Scorecard'!M143</f>
        <v/>
      </c>
      <c r="H54" s="18">
        <f>IF(OR(D54="",F54=""),"",D54-(F54*20))</f>
        <v/>
      </c>
      <c r="I54" s="18">
        <f>IF(OR(E54="",G54=""),"",E54-(G54*20))</f>
        <v/>
      </c>
      <c r="J54" s="18">
        <f>IF(OR(D54="",E54=""),"INCOMPLETE",IF(AND(D54&gt;=80,E54&lt;50),"CONTRADICTION",IF(AND(D54&gt;=70,E54&lt;70),"DEPENDENCY GAP","NO TRIGGER")))</f>
        <v/>
      </c>
      <c r="K54" s="18">
        <f>IF(J54="CONTRADICTION","HIGH",IF(J54="DEPENDENCY GAP","MEDIUM","—"))</f>
        <v/>
      </c>
      <c r="L54" s="18">
        <f>IF(J54="CONTRADICTION","Strong upstream claim is not supported by linked downstream capability/evidence. Trigger: Adaptation review.",IF(J54="DEPENDENCY GAP","Downstream capability materially trails upstream expectation. Trigger: Adaptation review.",""))</f>
        <v/>
      </c>
    </row>
    <row r="55">
      <c r="A55" s="18" t="inlineStr">
        <is>
          <t>CD04</t>
        </is>
      </c>
      <c r="B55" s="18" t="inlineStr">
        <is>
          <t>D01-I03</t>
        </is>
      </c>
      <c r="C55" s="18" t="inlineStr">
        <is>
          <t>D11-I14</t>
        </is>
      </c>
      <c r="D55" s="18">
        <f>'P0-3_Scorecard'!L4</f>
        <v/>
      </c>
      <c r="E55" s="18">
        <f>'P0-3_Scorecard'!L144</f>
        <v/>
      </c>
      <c r="F55" s="18">
        <f>'P0-3_Scorecard'!M4</f>
        <v/>
      </c>
      <c r="G55" s="18">
        <f>'P0-3_Scorecard'!M144</f>
        <v/>
      </c>
      <c r="H55" s="18">
        <f>IF(OR(D55="",F55=""),"",D55-(F55*20))</f>
        <v/>
      </c>
      <c r="I55" s="18">
        <f>IF(OR(E55="",G55=""),"",E55-(G55*20))</f>
        <v/>
      </c>
      <c r="J55" s="18">
        <f>IF(OR(D55="",E55=""),"INCOMPLETE",IF(AND(D55&gt;=80,E55&lt;50),"CONTRADICTION",IF(AND(D55&gt;=70,E55&lt;70),"DEPENDENCY GAP","NO TRIGGER")))</f>
        <v/>
      </c>
      <c r="K55" s="18">
        <f>IF(J55="CONTRADICTION","HIGH",IF(J55="DEPENDENCY GAP","MEDIUM","—"))</f>
        <v/>
      </c>
      <c r="L55" s="18">
        <f>IF(J55="CONTRADICTION","Strong upstream claim is not supported by linked downstream capability/evidence. Trigger: Adaptation review.",IF(J55="DEPENDENCY GAP","Downstream capability materially trails upstream expectation. Trigger: Adaptation review.",""))</f>
        <v/>
      </c>
    </row>
    <row r="56">
      <c r="A56" s="18" t="inlineStr">
        <is>
          <t>CD04</t>
        </is>
      </c>
      <c r="B56" s="18" t="inlineStr">
        <is>
          <t>D01-I10</t>
        </is>
      </c>
      <c r="C56" s="18" t="inlineStr">
        <is>
          <t>D11-I01</t>
        </is>
      </c>
      <c r="D56" s="18">
        <f>'P0-3_Scorecard'!L11</f>
        <v/>
      </c>
      <c r="E56" s="18">
        <f>'P0-3_Scorecard'!L131</f>
        <v/>
      </c>
      <c r="F56" s="18">
        <f>'P0-3_Scorecard'!M11</f>
        <v/>
      </c>
      <c r="G56" s="18">
        <f>'P0-3_Scorecard'!M131</f>
        <v/>
      </c>
      <c r="H56" s="18">
        <f>IF(OR(D56="",F56=""),"",D56-(F56*20))</f>
        <v/>
      </c>
      <c r="I56" s="18">
        <f>IF(OR(E56="",G56=""),"",E56-(G56*20))</f>
        <v/>
      </c>
      <c r="J56" s="18">
        <f>IF(OR(D56="",E56=""),"INCOMPLETE",IF(AND(D56&gt;=80,E56&lt;50),"CONTRADICTION",IF(AND(D56&gt;=70,E56&lt;70),"DEPENDENCY GAP","NO TRIGGER")))</f>
        <v/>
      </c>
      <c r="K56" s="18">
        <f>IF(J56="CONTRADICTION","HIGH",IF(J56="DEPENDENCY GAP","MEDIUM","—"))</f>
        <v/>
      </c>
      <c r="L56" s="18">
        <f>IF(J56="CONTRADICTION","Strong upstream claim is not supported by linked downstream capability/evidence. Trigger: Adaptation review.",IF(J56="DEPENDENCY GAP","Downstream capability materially trails upstream expectation. Trigger: Adaptation review.",""))</f>
        <v/>
      </c>
    </row>
    <row r="57">
      <c r="A57" s="18" t="inlineStr">
        <is>
          <t>CD04</t>
        </is>
      </c>
      <c r="B57" s="18" t="inlineStr">
        <is>
          <t>D01-I10</t>
        </is>
      </c>
      <c r="C57" s="18" t="inlineStr">
        <is>
          <t>D11-I02</t>
        </is>
      </c>
      <c r="D57" s="18">
        <f>'P0-3_Scorecard'!L11</f>
        <v/>
      </c>
      <c r="E57" s="18">
        <f>'P0-3_Scorecard'!L132</f>
        <v/>
      </c>
      <c r="F57" s="18">
        <f>'P0-3_Scorecard'!M11</f>
        <v/>
      </c>
      <c r="G57" s="18">
        <f>'P0-3_Scorecard'!M132</f>
        <v/>
      </c>
      <c r="H57" s="18">
        <f>IF(OR(D57="",F57=""),"",D57-(F57*20))</f>
        <v/>
      </c>
      <c r="I57" s="18">
        <f>IF(OR(E57="",G57=""),"",E57-(G57*20))</f>
        <v/>
      </c>
      <c r="J57" s="18">
        <f>IF(OR(D57="",E57=""),"INCOMPLETE",IF(AND(D57&gt;=80,E57&lt;50),"CONTRADICTION",IF(AND(D57&gt;=70,E57&lt;70),"DEPENDENCY GAP","NO TRIGGER")))</f>
        <v/>
      </c>
      <c r="K57" s="18">
        <f>IF(J57="CONTRADICTION","HIGH",IF(J57="DEPENDENCY GAP","MEDIUM","—"))</f>
        <v/>
      </c>
      <c r="L57" s="18">
        <f>IF(J57="CONTRADICTION","Strong upstream claim is not supported by linked downstream capability/evidence. Trigger: Adaptation review.",IF(J57="DEPENDENCY GAP","Downstream capability materially trails upstream expectation. Trigger: Adaptation review.",""))</f>
        <v/>
      </c>
    </row>
    <row r="58">
      <c r="A58" s="18" t="inlineStr">
        <is>
          <t>CD04</t>
        </is>
      </c>
      <c r="B58" s="18" t="inlineStr">
        <is>
          <t>D01-I10</t>
        </is>
      </c>
      <c r="C58" s="18" t="inlineStr">
        <is>
          <t>D11-I06</t>
        </is>
      </c>
      <c r="D58" s="18">
        <f>'P0-3_Scorecard'!L11</f>
        <v/>
      </c>
      <c r="E58" s="18">
        <f>'P0-3_Scorecard'!L136</f>
        <v/>
      </c>
      <c r="F58" s="18">
        <f>'P0-3_Scorecard'!M11</f>
        <v/>
      </c>
      <c r="G58" s="18">
        <f>'P0-3_Scorecard'!M136</f>
        <v/>
      </c>
      <c r="H58" s="18">
        <f>IF(OR(D58="",F58=""),"",D58-(F58*20))</f>
        <v/>
      </c>
      <c r="I58" s="18">
        <f>IF(OR(E58="",G58=""),"",E58-(G58*20))</f>
        <v/>
      </c>
      <c r="J58" s="18">
        <f>IF(OR(D58="",E58=""),"INCOMPLETE",IF(AND(D58&gt;=80,E58&lt;50),"CONTRADICTION",IF(AND(D58&gt;=70,E58&lt;70),"DEPENDENCY GAP","NO TRIGGER")))</f>
        <v/>
      </c>
      <c r="K58" s="18">
        <f>IF(J58="CONTRADICTION","HIGH",IF(J58="DEPENDENCY GAP","MEDIUM","—"))</f>
        <v/>
      </c>
      <c r="L58" s="18">
        <f>IF(J58="CONTRADICTION","Strong upstream claim is not supported by linked downstream capability/evidence. Trigger: Adaptation review.",IF(J58="DEPENDENCY GAP","Downstream capability materially trails upstream expectation. Trigger: Adaptation review.",""))</f>
        <v/>
      </c>
    </row>
    <row r="59">
      <c r="A59" s="18" t="inlineStr">
        <is>
          <t>CD04</t>
        </is>
      </c>
      <c r="B59" s="18" t="inlineStr">
        <is>
          <t>D01-I10</t>
        </is>
      </c>
      <c r="C59" s="18" t="inlineStr">
        <is>
          <t>D11-I13</t>
        </is>
      </c>
      <c r="D59" s="18">
        <f>'P0-3_Scorecard'!L11</f>
        <v/>
      </c>
      <c r="E59" s="18">
        <f>'P0-3_Scorecard'!L143</f>
        <v/>
      </c>
      <c r="F59" s="18">
        <f>'P0-3_Scorecard'!M11</f>
        <v/>
      </c>
      <c r="G59" s="18">
        <f>'P0-3_Scorecard'!M143</f>
        <v/>
      </c>
      <c r="H59" s="18">
        <f>IF(OR(D59="",F59=""),"",D59-(F59*20))</f>
        <v/>
      </c>
      <c r="I59" s="18">
        <f>IF(OR(E59="",G59=""),"",E59-(G59*20))</f>
        <v/>
      </c>
      <c r="J59" s="18">
        <f>IF(OR(D59="",E59=""),"INCOMPLETE",IF(AND(D59&gt;=80,E59&lt;50),"CONTRADICTION",IF(AND(D59&gt;=70,E59&lt;70),"DEPENDENCY GAP","NO TRIGGER")))</f>
        <v/>
      </c>
      <c r="K59" s="18">
        <f>IF(J59="CONTRADICTION","HIGH",IF(J59="DEPENDENCY GAP","MEDIUM","—"))</f>
        <v/>
      </c>
      <c r="L59" s="18">
        <f>IF(J59="CONTRADICTION","Strong upstream claim is not supported by linked downstream capability/evidence. Trigger: Adaptation review.",IF(J59="DEPENDENCY GAP","Downstream capability materially trails upstream expectation. Trigger: Adaptation review.",""))</f>
        <v/>
      </c>
    </row>
    <row r="60">
      <c r="A60" s="18" t="inlineStr">
        <is>
          <t>CD04</t>
        </is>
      </c>
      <c r="B60" s="18" t="inlineStr">
        <is>
          <t>D01-I10</t>
        </is>
      </c>
      <c r="C60" s="18" t="inlineStr">
        <is>
          <t>D11-I14</t>
        </is>
      </c>
      <c r="D60" s="18">
        <f>'P0-3_Scorecard'!L11</f>
        <v/>
      </c>
      <c r="E60" s="18">
        <f>'P0-3_Scorecard'!L144</f>
        <v/>
      </c>
      <c r="F60" s="18">
        <f>'P0-3_Scorecard'!M11</f>
        <v/>
      </c>
      <c r="G60" s="18">
        <f>'P0-3_Scorecard'!M144</f>
        <v/>
      </c>
      <c r="H60" s="18">
        <f>IF(OR(D60="",F60=""),"",D60-(F60*20))</f>
        <v/>
      </c>
      <c r="I60" s="18">
        <f>IF(OR(E60="",G60=""),"",E60-(G60*20))</f>
        <v/>
      </c>
      <c r="J60" s="18">
        <f>IF(OR(D60="",E60=""),"INCOMPLETE",IF(AND(D60&gt;=80,E60&lt;50),"CONTRADICTION",IF(AND(D60&gt;=70,E60&lt;70),"DEPENDENCY GAP","NO TRIGGER")))</f>
        <v/>
      </c>
      <c r="K60" s="18">
        <f>IF(J60="CONTRADICTION","HIGH",IF(J60="DEPENDENCY GAP","MEDIUM","—"))</f>
        <v/>
      </c>
      <c r="L60" s="18">
        <f>IF(J60="CONTRADICTION","Strong upstream claim is not supported by linked downstream capability/evidence. Trigger: Adaptation review.",IF(J60="DEPENDENCY GAP","Downstream capability materially trails upstream expectation. Trigger: Adaptation review.",""))</f>
        <v/>
      </c>
    </row>
    <row r="61">
      <c r="A61" s="18" t="inlineStr">
        <is>
          <t>CD05</t>
        </is>
      </c>
      <c r="B61" s="18" t="inlineStr">
        <is>
          <t>D02-I05</t>
        </is>
      </c>
      <c r="C61" s="18" t="inlineStr">
        <is>
          <t>D07-I01</t>
        </is>
      </c>
      <c r="D61" s="18">
        <f>'P0-3_Scorecard'!L16</f>
        <v/>
      </c>
      <c r="E61" s="18">
        <f>'P0-3_Scorecard'!L81</f>
        <v/>
      </c>
      <c r="F61" s="18">
        <f>'P0-3_Scorecard'!M16</f>
        <v/>
      </c>
      <c r="G61" s="18">
        <f>'P0-3_Scorecard'!M81</f>
        <v/>
      </c>
      <c r="H61" s="18">
        <f>IF(OR(D61="",F61=""),"",D61-(F61*20))</f>
        <v/>
      </c>
      <c r="I61" s="18">
        <f>IF(OR(E61="",G61=""),"",E61-(G61*20))</f>
        <v/>
      </c>
      <c r="J61" s="18">
        <f>IF(OR(D61="",E61=""),"INCOMPLETE",IF(AND(D61&gt;=80,E61&lt;50),"CONTRADICTION",IF(AND(D61&gt;=70,E61&lt;70),"DEPENDENCY GAP","NO TRIGGER")))</f>
        <v/>
      </c>
      <c r="K61" s="18">
        <f>IF(J61="CONTRADICTION","HIGH",IF(J61="DEPENDENCY GAP","MEDIUM","—"))</f>
        <v/>
      </c>
      <c r="L61" s="18">
        <f>IF(J61="CONTRADICTION","Strong upstream claim is not supported by linked downstream capability/evidence. Trigger: Assessment architecture review.",IF(J61="DEPENDENCY GAP","Downstream capability materially trails upstream expectation. Trigger: Assessment architecture review.",""))</f>
        <v/>
      </c>
    </row>
    <row r="62">
      <c r="A62" s="18" t="inlineStr">
        <is>
          <t>CD05</t>
        </is>
      </c>
      <c r="B62" s="18" t="inlineStr">
        <is>
          <t>D02-I05</t>
        </is>
      </c>
      <c r="C62" s="18" t="inlineStr">
        <is>
          <t>D07-I04</t>
        </is>
      </c>
      <c r="D62" s="18">
        <f>'P0-3_Scorecard'!L16</f>
        <v/>
      </c>
      <c r="E62" s="18">
        <f>'P0-3_Scorecard'!L84</f>
        <v/>
      </c>
      <c r="F62" s="18">
        <f>'P0-3_Scorecard'!M16</f>
        <v/>
      </c>
      <c r="G62" s="18">
        <f>'P0-3_Scorecard'!M84</f>
        <v/>
      </c>
      <c r="H62" s="18">
        <f>IF(OR(D62="",F62=""),"",D62-(F62*20))</f>
        <v/>
      </c>
      <c r="I62" s="18">
        <f>IF(OR(E62="",G62=""),"",E62-(G62*20))</f>
        <v/>
      </c>
      <c r="J62" s="18">
        <f>IF(OR(D62="",E62=""),"INCOMPLETE",IF(AND(D62&gt;=80,E62&lt;50),"CONTRADICTION",IF(AND(D62&gt;=70,E62&lt;70),"DEPENDENCY GAP","NO TRIGGER")))</f>
        <v/>
      </c>
      <c r="K62" s="18">
        <f>IF(J62="CONTRADICTION","HIGH",IF(J62="DEPENDENCY GAP","MEDIUM","—"))</f>
        <v/>
      </c>
      <c r="L62" s="18">
        <f>IF(J62="CONTRADICTION","Strong upstream claim is not supported by linked downstream capability/evidence. Trigger: Assessment architecture review.",IF(J62="DEPENDENCY GAP","Downstream capability materially trails upstream expectation. Trigger: Assessment architecture review.",""))</f>
        <v/>
      </c>
    </row>
    <row r="63">
      <c r="A63" s="18" t="inlineStr">
        <is>
          <t>CD05</t>
        </is>
      </c>
      <c r="B63" s="18" t="inlineStr">
        <is>
          <t>D02-I05</t>
        </is>
      </c>
      <c r="C63" s="18" t="inlineStr">
        <is>
          <t>D07-I05</t>
        </is>
      </c>
      <c r="D63" s="18">
        <f>'P0-3_Scorecard'!L16</f>
        <v/>
      </c>
      <c r="E63" s="18">
        <f>'P0-3_Scorecard'!L85</f>
        <v/>
      </c>
      <c r="F63" s="18">
        <f>'P0-3_Scorecard'!M16</f>
        <v/>
      </c>
      <c r="G63" s="18">
        <f>'P0-3_Scorecard'!M85</f>
        <v/>
      </c>
      <c r="H63" s="18">
        <f>IF(OR(D63="",F63=""),"",D63-(F63*20))</f>
        <v/>
      </c>
      <c r="I63" s="18">
        <f>IF(OR(E63="",G63=""),"",E63-(G63*20))</f>
        <v/>
      </c>
      <c r="J63" s="18">
        <f>IF(OR(D63="",E63=""),"INCOMPLETE",IF(AND(D63&gt;=80,E63&lt;50),"CONTRADICTION",IF(AND(D63&gt;=70,E63&lt;70),"DEPENDENCY GAP","NO TRIGGER")))</f>
        <v/>
      </c>
      <c r="K63" s="18">
        <f>IF(J63="CONTRADICTION","HIGH",IF(J63="DEPENDENCY GAP","MEDIUM","—"))</f>
        <v/>
      </c>
      <c r="L63" s="18">
        <f>IF(J63="CONTRADICTION","Strong upstream claim is not supported by linked downstream capability/evidence. Trigger: Assessment architecture review.",IF(J63="DEPENDENCY GAP","Downstream capability materially trails upstream expectation. Trigger: Assessment architecture review.",""))</f>
        <v/>
      </c>
    </row>
    <row r="64">
      <c r="A64" s="18" t="inlineStr">
        <is>
          <t>CD05</t>
        </is>
      </c>
      <c r="B64" s="18" t="inlineStr">
        <is>
          <t>D02-I05</t>
        </is>
      </c>
      <c r="C64" s="18" t="inlineStr">
        <is>
          <t>D07-I10</t>
        </is>
      </c>
      <c r="D64" s="18">
        <f>'P0-3_Scorecard'!L16</f>
        <v/>
      </c>
      <c r="E64" s="18">
        <f>'P0-3_Scorecard'!L90</f>
        <v/>
      </c>
      <c r="F64" s="18">
        <f>'P0-3_Scorecard'!M16</f>
        <v/>
      </c>
      <c r="G64" s="18">
        <f>'P0-3_Scorecard'!M90</f>
        <v/>
      </c>
      <c r="H64" s="18">
        <f>IF(OR(D64="",F64=""),"",D64-(F64*20))</f>
        <v/>
      </c>
      <c r="I64" s="18">
        <f>IF(OR(E64="",G64=""),"",E64-(G64*20))</f>
        <v/>
      </c>
      <c r="J64" s="18">
        <f>IF(OR(D64="",E64=""),"INCOMPLETE",IF(AND(D64&gt;=80,E64&lt;50),"CONTRADICTION",IF(AND(D64&gt;=70,E64&lt;70),"DEPENDENCY GAP","NO TRIGGER")))</f>
        <v/>
      </c>
      <c r="K64" s="18">
        <f>IF(J64="CONTRADICTION","HIGH",IF(J64="DEPENDENCY GAP","MEDIUM","—"))</f>
        <v/>
      </c>
      <c r="L64" s="18">
        <f>IF(J64="CONTRADICTION","Strong upstream claim is not supported by linked downstream capability/evidence. Trigger: Assessment architecture review.",IF(J64="DEPENDENCY GAP","Downstream capability materially trails upstream expectation. Trigger: Assessment architecture review.",""))</f>
        <v/>
      </c>
    </row>
    <row r="65">
      <c r="A65" s="18" t="inlineStr">
        <is>
          <t>CD05</t>
        </is>
      </c>
      <c r="B65" s="18" t="inlineStr">
        <is>
          <t>D02-I05</t>
        </is>
      </c>
      <c r="C65" s="18" t="inlineStr">
        <is>
          <t>D07-I12</t>
        </is>
      </c>
      <c r="D65" s="18">
        <f>'P0-3_Scorecard'!L16</f>
        <v/>
      </c>
      <c r="E65" s="18">
        <f>'P0-3_Scorecard'!L92</f>
        <v/>
      </c>
      <c r="F65" s="18">
        <f>'P0-3_Scorecard'!M16</f>
        <v/>
      </c>
      <c r="G65" s="18">
        <f>'P0-3_Scorecard'!M92</f>
        <v/>
      </c>
      <c r="H65" s="18">
        <f>IF(OR(D65="",F65=""),"",D65-(F65*20))</f>
        <v/>
      </c>
      <c r="I65" s="18">
        <f>IF(OR(E65="",G65=""),"",E65-(G65*20))</f>
        <v/>
      </c>
      <c r="J65" s="18">
        <f>IF(OR(D65="",E65=""),"INCOMPLETE",IF(AND(D65&gt;=80,E65&lt;50),"CONTRADICTION",IF(AND(D65&gt;=70,E65&lt;70),"DEPENDENCY GAP","NO TRIGGER")))</f>
        <v/>
      </c>
      <c r="K65" s="18">
        <f>IF(J65="CONTRADICTION","HIGH",IF(J65="DEPENDENCY GAP","MEDIUM","—"))</f>
        <v/>
      </c>
      <c r="L65" s="18">
        <f>IF(J65="CONTRADICTION","Strong upstream claim is not supported by linked downstream capability/evidence. Trigger: Assessment architecture review.",IF(J65="DEPENDENCY GAP","Downstream capability materially trails upstream expectation. Trigger: Assessment architecture review.",""))</f>
        <v/>
      </c>
    </row>
    <row r="66">
      <c r="A66" s="18" t="inlineStr">
        <is>
          <t>CD05</t>
        </is>
      </c>
      <c r="B66" s="18" t="inlineStr">
        <is>
          <t>D02-I06</t>
        </is>
      </c>
      <c r="C66" s="18" t="inlineStr">
        <is>
          <t>D07-I01</t>
        </is>
      </c>
      <c r="D66" s="18">
        <f>'P0-3_Scorecard'!L17</f>
        <v/>
      </c>
      <c r="E66" s="18">
        <f>'P0-3_Scorecard'!L81</f>
        <v/>
      </c>
      <c r="F66" s="18">
        <f>'P0-3_Scorecard'!M17</f>
        <v/>
      </c>
      <c r="G66" s="18">
        <f>'P0-3_Scorecard'!M81</f>
        <v/>
      </c>
      <c r="H66" s="18">
        <f>IF(OR(D66="",F66=""),"",D66-(F66*20))</f>
        <v/>
      </c>
      <c r="I66" s="18">
        <f>IF(OR(E66="",G66=""),"",E66-(G66*20))</f>
        <v/>
      </c>
      <c r="J66" s="18">
        <f>IF(OR(D66="",E66=""),"INCOMPLETE",IF(AND(D66&gt;=80,E66&lt;50),"CONTRADICTION",IF(AND(D66&gt;=70,E66&lt;70),"DEPENDENCY GAP","NO TRIGGER")))</f>
        <v/>
      </c>
      <c r="K66" s="18">
        <f>IF(J66="CONTRADICTION","HIGH",IF(J66="DEPENDENCY GAP","MEDIUM","—"))</f>
        <v/>
      </c>
      <c r="L66" s="18">
        <f>IF(J66="CONTRADICTION","Strong upstream claim is not supported by linked downstream capability/evidence. Trigger: Assessment architecture review.",IF(J66="DEPENDENCY GAP","Downstream capability materially trails upstream expectation. Trigger: Assessment architecture review.",""))</f>
        <v/>
      </c>
    </row>
    <row r="67">
      <c r="A67" s="18" t="inlineStr">
        <is>
          <t>CD05</t>
        </is>
      </c>
      <c r="B67" s="18" t="inlineStr">
        <is>
          <t>D02-I06</t>
        </is>
      </c>
      <c r="C67" s="18" t="inlineStr">
        <is>
          <t>D07-I04</t>
        </is>
      </c>
      <c r="D67" s="18">
        <f>'P0-3_Scorecard'!L17</f>
        <v/>
      </c>
      <c r="E67" s="18">
        <f>'P0-3_Scorecard'!L84</f>
        <v/>
      </c>
      <c r="F67" s="18">
        <f>'P0-3_Scorecard'!M17</f>
        <v/>
      </c>
      <c r="G67" s="18">
        <f>'P0-3_Scorecard'!M84</f>
        <v/>
      </c>
      <c r="H67" s="18">
        <f>IF(OR(D67="",F67=""),"",D67-(F67*20))</f>
        <v/>
      </c>
      <c r="I67" s="18">
        <f>IF(OR(E67="",G67=""),"",E67-(G67*20))</f>
        <v/>
      </c>
      <c r="J67" s="18">
        <f>IF(OR(D67="",E67=""),"INCOMPLETE",IF(AND(D67&gt;=80,E67&lt;50),"CONTRADICTION",IF(AND(D67&gt;=70,E67&lt;70),"DEPENDENCY GAP","NO TRIGGER")))</f>
        <v/>
      </c>
      <c r="K67" s="18">
        <f>IF(J67="CONTRADICTION","HIGH",IF(J67="DEPENDENCY GAP","MEDIUM","—"))</f>
        <v/>
      </c>
      <c r="L67" s="18">
        <f>IF(J67="CONTRADICTION","Strong upstream claim is not supported by linked downstream capability/evidence. Trigger: Assessment architecture review.",IF(J67="DEPENDENCY GAP","Downstream capability materially trails upstream expectation. Trigger: Assessment architecture review.",""))</f>
        <v/>
      </c>
    </row>
    <row r="68">
      <c r="A68" s="18" t="inlineStr">
        <is>
          <t>CD05</t>
        </is>
      </c>
      <c r="B68" s="18" t="inlineStr">
        <is>
          <t>D02-I06</t>
        </is>
      </c>
      <c r="C68" s="18" t="inlineStr">
        <is>
          <t>D07-I05</t>
        </is>
      </c>
      <c r="D68" s="18">
        <f>'P0-3_Scorecard'!L17</f>
        <v/>
      </c>
      <c r="E68" s="18">
        <f>'P0-3_Scorecard'!L85</f>
        <v/>
      </c>
      <c r="F68" s="18">
        <f>'P0-3_Scorecard'!M17</f>
        <v/>
      </c>
      <c r="G68" s="18">
        <f>'P0-3_Scorecard'!M85</f>
        <v/>
      </c>
      <c r="H68" s="18">
        <f>IF(OR(D68="",F68=""),"",D68-(F68*20))</f>
        <v/>
      </c>
      <c r="I68" s="18">
        <f>IF(OR(E68="",G68=""),"",E68-(G68*20))</f>
        <v/>
      </c>
      <c r="J68" s="18">
        <f>IF(OR(D68="",E68=""),"INCOMPLETE",IF(AND(D68&gt;=80,E68&lt;50),"CONTRADICTION",IF(AND(D68&gt;=70,E68&lt;70),"DEPENDENCY GAP","NO TRIGGER")))</f>
        <v/>
      </c>
      <c r="K68" s="18">
        <f>IF(J68="CONTRADICTION","HIGH",IF(J68="DEPENDENCY GAP","MEDIUM","—"))</f>
        <v/>
      </c>
      <c r="L68" s="18">
        <f>IF(J68="CONTRADICTION","Strong upstream claim is not supported by linked downstream capability/evidence. Trigger: Assessment architecture review.",IF(J68="DEPENDENCY GAP","Downstream capability materially trails upstream expectation. Trigger: Assessment architecture review.",""))</f>
        <v/>
      </c>
    </row>
    <row r="69">
      <c r="A69" s="18" t="inlineStr">
        <is>
          <t>CD05</t>
        </is>
      </c>
      <c r="B69" s="18" t="inlineStr">
        <is>
          <t>D02-I06</t>
        </is>
      </c>
      <c r="C69" s="18" t="inlineStr">
        <is>
          <t>D07-I10</t>
        </is>
      </c>
      <c r="D69" s="18">
        <f>'P0-3_Scorecard'!L17</f>
        <v/>
      </c>
      <c r="E69" s="18">
        <f>'P0-3_Scorecard'!L90</f>
        <v/>
      </c>
      <c r="F69" s="18">
        <f>'P0-3_Scorecard'!M17</f>
        <v/>
      </c>
      <c r="G69" s="18">
        <f>'P0-3_Scorecard'!M90</f>
        <v/>
      </c>
      <c r="H69" s="18">
        <f>IF(OR(D69="",F69=""),"",D69-(F69*20))</f>
        <v/>
      </c>
      <c r="I69" s="18">
        <f>IF(OR(E69="",G69=""),"",E69-(G69*20))</f>
        <v/>
      </c>
      <c r="J69" s="18">
        <f>IF(OR(D69="",E69=""),"INCOMPLETE",IF(AND(D69&gt;=80,E69&lt;50),"CONTRADICTION",IF(AND(D69&gt;=70,E69&lt;70),"DEPENDENCY GAP","NO TRIGGER")))</f>
        <v/>
      </c>
      <c r="K69" s="18">
        <f>IF(J69="CONTRADICTION","HIGH",IF(J69="DEPENDENCY GAP","MEDIUM","—"))</f>
        <v/>
      </c>
      <c r="L69" s="18">
        <f>IF(J69="CONTRADICTION","Strong upstream claim is not supported by linked downstream capability/evidence. Trigger: Assessment architecture review.",IF(J69="DEPENDENCY GAP","Downstream capability materially trails upstream expectation. Trigger: Assessment architecture review.",""))</f>
        <v/>
      </c>
    </row>
    <row r="70">
      <c r="A70" s="18" t="inlineStr">
        <is>
          <t>CD05</t>
        </is>
      </c>
      <c r="B70" s="18" t="inlineStr">
        <is>
          <t>D02-I06</t>
        </is>
      </c>
      <c r="C70" s="18" t="inlineStr">
        <is>
          <t>D07-I12</t>
        </is>
      </c>
      <c r="D70" s="18">
        <f>'P0-3_Scorecard'!L17</f>
        <v/>
      </c>
      <c r="E70" s="18">
        <f>'P0-3_Scorecard'!L92</f>
        <v/>
      </c>
      <c r="F70" s="18">
        <f>'P0-3_Scorecard'!M17</f>
        <v/>
      </c>
      <c r="G70" s="18">
        <f>'P0-3_Scorecard'!M92</f>
        <v/>
      </c>
      <c r="H70" s="18">
        <f>IF(OR(D70="",F70=""),"",D70-(F70*20))</f>
        <v/>
      </c>
      <c r="I70" s="18">
        <f>IF(OR(E70="",G70=""),"",E70-(G70*20))</f>
        <v/>
      </c>
      <c r="J70" s="18">
        <f>IF(OR(D70="",E70=""),"INCOMPLETE",IF(AND(D70&gt;=80,E70&lt;50),"CONTRADICTION",IF(AND(D70&gt;=70,E70&lt;70),"DEPENDENCY GAP","NO TRIGGER")))</f>
        <v/>
      </c>
      <c r="K70" s="18">
        <f>IF(J70="CONTRADICTION","HIGH",IF(J70="DEPENDENCY GAP","MEDIUM","—"))</f>
        <v/>
      </c>
      <c r="L70" s="18">
        <f>IF(J70="CONTRADICTION","Strong upstream claim is not supported by linked downstream capability/evidence. Trigger: Assessment architecture review.",IF(J70="DEPENDENCY GAP","Downstream capability materially trails upstream expectation. Trigger: Assessment architecture review.",""))</f>
        <v/>
      </c>
    </row>
    <row r="71">
      <c r="A71" s="18" t="inlineStr">
        <is>
          <t>CD05</t>
        </is>
      </c>
      <c r="B71" s="18" t="inlineStr">
        <is>
          <t>D02-I07</t>
        </is>
      </c>
      <c r="C71" s="18" t="inlineStr">
        <is>
          <t>D07-I01</t>
        </is>
      </c>
      <c r="D71" s="18">
        <f>'P0-3_Scorecard'!L18</f>
        <v/>
      </c>
      <c r="E71" s="18">
        <f>'P0-3_Scorecard'!L81</f>
        <v/>
      </c>
      <c r="F71" s="18">
        <f>'P0-3_Scorecard'!M18</f>
        <v/>
      </c>
      <c r="G71" s="18">
        <f>'P0-3_Scorecard'!M81</f>
        <v/>
      </c>
      <c r="H71" s="18">
        <f>IF(OR(D71="",F71=""),"",D71-(F71*20))</f>
        <v/>
      </c>
      <c r="I71" s="18">
        <f>IF(OR(E71="",G71=""),"",E71-(G71*20))</f>
        <v/>
      </c>
      <c r="J71" s="18">
        <f>IF(OR(D71="",E71=""),"INCOMPLETE",IF(AND(D71&gt;=80,E71&lt;50),"CONTRADICTION",IF(AND(D71&gt;=70,E71&lt;70),"DEPENDENCY GAP","NO TRIGGER")))</f>
        <v/>
      </c>
      <c r="K71" s="18">
        <f>IF(J71="CONTRADICTION","HIGH",IF(J71="DEPENDENCY GAP","MEDIUM","—"))</f>
        <v/>
      </c>
      <c r="L71" s="18">
        <f>IF(J71="CONTRADICTION","Strong upstream claim is not supported by linked downstream capability/evidence. Trigger: Assessment architecture review.",IF(J71="DEPENDENCY GAP","Downstream capability materially trails upstream expectation. Trigger: Assessment architecture review.",""))</f>
        <v/>
      </c>
    </row>
    <row r="72">
      <c r="A72" s="18" t="inlineStr">
        <is>
          <t>CD05</t>
        </is>
      </c>
      <c r="B72" s="18" t="inlineStr">
        <is>
          <t>D02-I07</t>
        </is>
      </c>
      <c r="C72" s="18" t="inlineStr">
        <is>
          <t>D07-I04</t>
        </is>
      </c>
      <c r="D72" s="18">
        <f>'P0-3_Scorecard'!L18</f>
        <v/>
      </c>
      <c r="E72" s="18">
        <f>'P0-3_Scorecard'!L84</f>
        <v/>
      </c>
      <c r="F72" s="18">
        <f>'P0-3_Scorecard'!M18</f>
        <v/>
      </c>
      <c r="G72" s="18">
        <f>'P0-3_Scorecard'!M84</f>
        <v/>
      </c>
      <c r="H72" s="18">
        <f>IF(OR(D72="",F72=""),"",D72-(F72*20))</f>
        <v/>
      </c>
      <c r="I72" s="18">
        <f>IF(OR(E72="",G72=""),"",E72-(G72*20))</f>
        <v/>
      </c>
      <c r="J72" s="18">
        <f>IF(OR(D72="",E72=""),"INCOMPLETE",IF(AND(D72&gt;=80,E72&lt;50),"CONTRADICTION",IF(AND(D72&gt;=70,E72&lt;70),"DEPENDENCY GAP","NO TRIGGER")))</f>
        <v/>
      </c>
      <c r="K72" s="18">
        <f>IF(J72="CONTRADICTION","HIGH",IF(J72="DEPENDENCY GAP","MEDIUM","—"))</f>
        <v/>
      </c>
      <c r="L72" s="18">
        <f>IF(J72="CONTRADICTION","Strong upstream claim is not supported by linked downstream capability/evidence. Trigger: Assessment architecture review.",IF(J72="DEPENDENCY GAP","Downstream capability materially trails upstream expectation. Trigger: Assessment architecture review.",""))</f>
        <v/>
      </c>
    </row>
    <row r="73">
      <c r="A73" s="18" t="inlineStr">
        <is>
          <t>CD05</t>
        </is>
      </c>
      <c r="B73" s="18" t="inlineStr">
        <is>
          <t>D02-I07</t>
        </is>
      </c>
      <c r="C73" s="18" t="inlineStr">
        <is>
          <t>D07-I05</t>
        </is>
      </c>
      <c r="D73" s="18">
        <f>'P0-3_Scorecard'!L18</f>
        <v/>
      </c>
      <c r="E73" s="18">
        <f>'P0-3_Scorecard'!L85</f>
        <v/>
      </c>
      <c r="F73" s="18">
        <f>'P0-3_Scorecard'!M18</f>
        <v/>
      </c>
      <c r="G73" s="18">
        <f>'P0-3_Scorecard'!M85</f>
        <v/>
      </c>
      <c r="H73" s="18">
        <f>IF(OR(D73="",F73=""),"",D73-(F73*20))</f>
        <v/>
      </c>
      <c r="I73" s="18">
        <f>IF(OR(E73="",G73=""),"",E73-(G73*20))</f>
        <v/>
      </c>
      <c r="J73" s="18">
        <f>IF(OR(D73="",E73=""),"INCOMPLETE",IF(AND(D73&gt;=80,E73&lt;50),"CONTRADICTION",IF(AND(D73&gt;=70,E73&lt;70),"DEPENDENCY GAP","NO TRIGGER")))</f>
        <v/>
      </c>
      <c r="K73" s="18">
        <f>IF(J73="CONTRADICTION","HIGH",IF(J73="DEPENDENCY GAP","MEDIUM","—"))</f>
        <v/>
      </c>
      <c r="L73" s="18">
        <f>IF(J73="CONTRADICTION","Strong upstream claim is not supported by linked downstream capability/evidence. Trigger: Assessment architecture review.",IF(J73="DEPENDENCY GAP","Downstream capability materially trails upstream expectation. Trigger: Assessment architecture review.",""))</f>
        <v/>
      </c>
    </row>
    <row r="74">
      <c r="A74" s="18" t="inlineStr">
        <is>
          <t>CD05</t>
        </is>
      </c>
      <c r="B74" s="18" t="inlineStr">
        <is>
          <t>D02-I07</t>
        </is>
      </c>
      <c r="C74" s="18" t="inlineStr">
        <is>
          <t>D07-I10</t>
        </is>
      </c>
      <c r="D74" s="18">
        <f>'P0-3_Scorecard'!L18</f>
        <v/>
      </c>
      <c r="E74" s="18">
        <f>'P0-3_Scorecard'!L90</f>
        <v/>
      </c>
      <c r="F74" s="18">
        <f>'P0-3_Scorecard'!M18</f>
        <v/>
      </c>
      <c r="G74" s="18">
        <f>'P0-3_Scorecard'!M90</f>
        <v/>
      </c>
      <c r="H74" s="18">
        <f>IF(OR(D74="",F74=""),"",D74-(F74*20))</f>
        <v/>
      </c>
      <c r="I74" s="18">
        <f>IF(OR(E74="",G74=""),"",E74-(G74*20))</f>
        <v/>
      </c>
      <c r="J74" s="18">
        <f>IF(OR(D74="",E74=""),"INCOMPLETE",IF(AND(D74&gt;=80,E74&lt;50),"CONTRADICTION",IF(AND(D74&gt;=70,E74&lt;70),"DEPENDENCY GAP","NO TRIGGER")))</f>
        <v/>
      </c>
      <c r="K74" s="18">
        <f>IF(J74="CONTRADICTION","HIGH",IF(J74="DEPENDENCY GAP","MEDIUM","—"))</f>
        <v/>
      </c>
      <c r="L74" s="18">
        <f>IF(J74="CONTRADICTION","Strong upstream claim is not supported by linked downstream capability/evidence. Trigger: Assessment architecture review.",IF(J74="DEPENDENCY GAP","Downstream capability materially trails upstream expectation. Trigger: Assessment architecture review.",""))</f>
        <v/>
      </c>
    </row>
    <row r="75">
      <c r="A75" s="18" t="inlineStr">
        <is>
          <t>CD05</t>
        </is>
      </c>
      <c r="B75" s="18" t="inlineStr">
        <is>
          <t>D02-I07</t>
        </is>
      </c>
      <c r="C75" s="18" t="inlineStr">
        <is>
          <t>D07-I12</t>
        </is>
      </c>
      <c r="D75" s="18">
        <f>'P0-3_Scorecard'!L18</f>
        <v/>
      </c>
      <c r="E75" s="18">
        <f>'P0-3_Scorecard'!L92</f>
        <v/>
      </c>
      <c r="F75" s="18">
        <f>'P0-3_Scorecard'!M18</f>
        <v/>
      </c>
      <c r="G75" s="18">
        <f>'P0-3_Scorecard'!M92</f>
        <v/>
      </c>
      <c r="H75" s="18">
        <f>IF(OR(D75="",F75=""),"",D75-(F75*20))</f>
        <v/>
      </c>
      <c r="I75" s="18">
        <f>IF(OR(E75="",G75=""),"",E75-(G75*20))</f>
        <v/>
      </c>
      <c r="J75" s="18">
        <f>IF(OR(D75="",E75=""),"INCOMPLETE",IF(AND(D75&gt;=80,E75&lt;50),"CONTRADICTION",IF(AND(D75&gt;=70,E75&lt;70),"DEPENDENCY GAP","NO TRIGGER")))</f>
        <v/>
      </c>
      <c r="K75" s="18">
        <f>IF(J75="CONTRADICTION","HIGH",IF(J75="DEPENDENCY GAP","MEDIUM","—"))</f>
        <v/>
      </c>
      <c r="L75" s="18">
        <f>IF(J75="CONTRADICTION","Strong upstream claim is not supported by linked downstream capability/evidence. Trigger: Assessment architecture review.",IF(J75="DEPENDENCY GAP","Downstream capability materially trails upstream expectation. Trigger: Assessment architecture review.",""))</f>
        <v/>
      </c>
    </row>
    <row r="76">
      <c r="A76" s="18" t="inlineStr">
        <is>
          <t>CD05</t>
        </is>
      </c>
      <c r="B76" s="18" t="inlineStr">
        <is>
          <t>D02-I09</t>
        </is>
      </c>
      <c r="C76" s="18" t="inlineStr">
        <is>
          <t>D07-I01</t>
        </is>
      </c>
      <c r="D76" s="18">
        <f>'P0-3_Scorecard'!L20</f>
        <v/>
      </c>
      <c r="E76" s="18">
        <f>'P0-3_Scorecard'!L81</f>
        <v/>
      </c>
      <c r="F76" s="18">
        <f>'P0-3_Scorecard'!M20</f>
        <v/>
      </c>
      <c r="G76" s="18">
        <f>'P0-3_Scorecard'!M81</f>
        <v/>
      </c>
      <c r="H76" s="18">
        <f>IF(OR(D76="",F76=""),"",D76-(F76*20))</f>
        <v/>
      </c>
      <c r="I76" s="18">
        <f>IF(OR(E76="",G76=""),"",E76-(G76*20))</f>
        <v/>
      </c>
      <c r="J76" s="18">
        <f>IF(OR(D76="",E76=""),"INCOMPLETE",IF(AND(D76&gt;=80,E76&lt;50),"CONTRADICTION",IF(AND(D76&gt;=70,E76&lt;70),"DEPENDENCY GAP","NO TRIGGER")))</f>
        <v/>
      </c>
      <c r="K76" s="18">
        <f>IF(J76="CONTRADICTION","HIGH",IF(J76="DEPENDENCY GAP","MEDIUM","—"))</f>
        <v/>
      </c>
      <c r="L76" s="18">
        <f>IF(J76="CONTRADICTION","Strong upstream claim is not supported by linked downstream capability/evidence. Trigger: Assessment architecture review.",IF(J76="DEPENDENCY GAP","Downstream capability materially trails upstream expectation. Trigger: Assessment architecture review.",""))</f>
        <v/>
      </c>
    </row>
    <row r="77">
      <c r="A77" s="18" t="inlineStr">
        <is>
          <t>CD05</t>
        </is>
      </c>
      <c r="B77" s="18" t="inlineStr">
        <is>
          <t>D02-I09</t>
        </is>
      </c>
      <c r="C77" s="18" t="inlineStr">
        <is>
          <t>D07-I04</t>
        </is>
      </c>
      <c r="D77" s="18">
        <f>'P0-3_Scorecard'!L20</f>
        <v/>
      </c>
      <c r="E77" s="18">
        <f>'P0-3_Scorecard'!L84</f>
        <v/>
      </c>
      <c r="F77" s="18">
        <f>'P0-3_Scorecard'!M20</f>
        <v/>
      </c>
      <c r="G77" s="18">
        <f>'P0-3_Scorecard'!M84</f>
        <v/>
      </c>
      <c r="H77" s="18">
        <f>IF(OR(D77="",F77=""),"",D77-(F77*20))</f>
        <v/>
      </c>
      <c r="I77" s="18">
        <f>IF(OR(E77="",G77=""),"",E77-(G77*20))</f>
        <v/>
      </c>
      <c r="J77" s="18">
        <f>IF(OR(D77="",E77=""),"INCOMPLETE",IF(AND(D77&gt;=80,E77&lt;50),"CONTRADICTION",IF(AND(D77&gt;=70,E77&lt;70),"DEPENDENCY GAP","NO TRIGGER")))</f>
        <v/>
      </c>
      <c r="K77" s="18">
        <f>IF(J77="CONTRADICTION","HIGH",IF(J77="DEPENDENCY GAP","MEDIUM","—"))</f>
        <v/>
      </c>
      <c r="L77" s="18">
        <f>IF(J77="CONTRADICTION","Strong upstream claim is not supported by linked downstream capability/evidence. Trigger: Assessment architecture review.",IF(J77="DEPENDENCY GAP","Downstream capability materially trails upstream expectation. Trigger: Assessment architecture review.",""))</f>
        <v/>
      </c>
    </row>
    <row r="78">
      <c r="A78" s="18" t="inlineStr">
        <is>
          <t>CD05</t>
        </is>
      </c>
      <c r="B78" s="18" t="inlineStr">
        <is>
          <t>D02-I09</t>
        </is>
      </c>
      <c r="C78" s="18" t="inlineStr">
        <is>
          <t>D07-I05</t>
        </is>
      </c>
      <c r="D78" s="18">
        <f>'P0-3_Scorecard'!L20</f>
        <v/>
      </c>
      <c r="E78" s="18">
        <f>'P0-3_Scorecard'!L85</f>
        <v/>
      </c>
      <c r="F78" s="18">
        <f>'P0-3_Scorecard'!M20</f>
        <v/>
      </c>
      <c r="G78" s="18">
        <f>'P0-3_Scorecard'!M85</f>
        <v/>
      </c>
      <c r="H78" s="18">
        <f>IF(OR(D78="",F78=""),"",D78-(F78*20))</f>
        <v/>
      </c>
      <c r="I78" s="18">
        <f>IF(OR(E78="",G78=""),"",E78-(G78*20))</f>
        <v/>
      </c>
      <c r="J78" s="18">
        <f>IF(OR(D78="",E78=""),"INCOMPLETE",IF(AND(D78&gt;=80,E78&lt;50),"CONTRADICTION",IF(AND(D78&gt;=70,E78&lt;70),"DEPENDENCY GAP","NO TRIGGER")))</f>
        <v/>
      </c>
      <c r="K78" s="18">
        <f>IF(J78="CONTRADICTION","HIGH",IF(J78="DEPENDENCY GAP","MEDIUM","—"))</f>
        <v/>
      </c>
      <c r="L78" s="18">
        <f>IF(J78="CONTRADICTION","Strong upstream claim is not supported by linked downstream capability/evidence. Trigger: Assessment architecture review.",IF(J78="DEPENDENCY GAP","Downstream capability materially trails upstream expectation. Trigger: Assessment architecture review.",""))</f>
        <v/>
      </c>
    </row>
    <row r="79">
      <c r="A79" s="18" t="inlineStr">
        <is>
          <t>CD05</t>
        </is>
      </c>
      <c r="B79" s="18" t="inlineStr">
        <is>
          <t>D02-I09</t>
        </is>
      </c>
      <c r="C79" s="18" t="inlineStr">
        <is>
          <t>D07-I10</t>
        </is>
      </c>
      <c r="D79" s="18">
        <f>'P0-3_Scorecard'!L20</f>
        <v/>
      </c>
      <c r="E79" s="18">
        <f>'P0-3_Scorecard'!L90</f>
        <v/>
      </c>
      <c r="F79" s="18">
        <f>'P0-3_Scorecard'!M20</f>
        <v/>
      </c>
      <c r="G79" s="18">
        <f>'P0-3_Scorecard'!M90</f>
        <v/>
      </c>
      <c r="H79" s="18">
        <f>IF(OR(D79="",F79=""),"",D79-(F79*20))</f>
        <v/>
      </c>
      <c r="I79" s="18">
        <f>IF(OR(E79="",G79=""),"",E79-(G79*20))</f>
        <v/>
      </c>
      <c r="J79" s="18">
        <f>IF(OR(D79="",E79=""),"INCOMPLETE",IF(AND(D79&gt;=80,E79&lt;50),"CONTRADICTION",IF(AND(D79&gt;=70,E79&lt;70),"DEPENDENCY GAP","NO TRIGGER")))</f>
        <v/>
      </c>
      <c r="K79" s="18">
        <f>IF(J79="CONTRADICTION","HIGH",IF(J79="DEPENDENCY GAP","MEDIUM","—"))</f>
        <v/>
      </c>
      <c r="L79" s="18">
        <f>IF(J79="CONTRADICTION","Strong upstream claim is not supported by linked downstream capability/evidence. Trigger: Assessment architecture review.",IF(J79="DEPENDENCY GAP","Downstream capability materially trails upstream expectation. Trigger: Assessment architecture review.",""))</f>
        <v/>
      </c>
    </row>
    <row r="80">
      <c r="A80" s="18" t="inlineStr">
        <is>
          <t>CD05</t>
        </is>
      </c>
      <c r="B80" s="18" t="inlineStr">
        <is>
          <t>D02-I09</t>
        </is>
      </c>
      <c r="C80" s="18" t="inlineStr">
        <is>
          <t>D07-I12</t>
        </is>
      </c>
      <c r="D80" s="18">
        <f>'P0-3_Scorecard'!L20</f>
        <v/>
      </c>
      <c r="E80" s="18">
        <f>'P0-3_Scorecard'!L92</f>
        <v/>
      </c>
      <c r="F80" s="18">
        <f>'P0-3_Scorecard'!M20</f>
        <v/>
      </c>
      <c r="G80" s="18">
        <f>'P0-3_Scorecard'!M92</f>
        <v/>
      </c>
      <c r="H80" s="18">
        <f>IF(OR(D80="",F80=""),"",D80-(F80*20))</f>
        <v/>
      </c>
      <c r="I80" s="18">
        <f>IF(OR(E80="",G80=""),"",E80-(G80*20))</f>
        <v/>
      </c>
      <c r="J80" s="18">
        <f>IF(OR(D80="",E80=""),"INCOMPLETE",IF(AND(D80&gt;=80,E80&lt;50),"CONTRADICTION",IF(AND(D80&gt;=70,E80&lt;70),"DEPENDENCY GAP","NO TRIGGER")))</f>
        <v/>
      </c>
      <c r="K80" s="18">
        <f>IF(J80="CONTRADICTION","HIGH",IF(J80="DEPENDENCY GAP","MEDIUM","—"))</f>
        <v/>
      </c>
      <c r="L80" s="18">
        <f>IF(J80="CONTRADICTION","Strong upstream claim is not supported by linked downstream capability/evidence. Trigger: Assessment architecture review.",IF(J80="DEPENDENCY GAP","Downstream capability materially trails upstream expectation. Trigger: Assessment architecture review.",""))</f>
        <v/>
      </c>
    </row>
    <row r="81">
      <c r="A81" s="18" t="inlineStr">
        <is>
          <t>CD06</t>
        </is>
      </c>
      <c r="B81" s="18" t="inlineStr">
        <is>
          <t>D02-I03</t>
        </is>
      </c>
      <c r="C81" s="18" t="inlineStr">
        <is>
          <t>D08-I02</t>
        </is>
      </c>
      <c r="D81" s="18">
        <f>'P0-3_Scorecard'!L14</f>
        <v/>
      </c>
      <c r="E81" s="18">
        <f>'P0-3_Scorecard'!L94</f>
        <v/>
      </c>
      <c r="F81" s="18">
        <f>'P0-3_Scorecard'!M14</f>
        <v/>
      </c>
      <c r="G81" s="18">
        <f>'P0-3_Scorecard'!M94</f>
        <v/>
      </c>
      <c r="H81" s="18">
        <f>IF(OR(D81="",F81=""),"",D81-(F81*20))</f>
        <v/>
      </c>
      <c r="I81" s="18">
        <f>IF(OR(E81="",G81=""),"",E81-(G81*20))</f>
        <v/>
      </c>
      <c r="J81" s="18">
        <f>IF(OR(D81="",E81=""),"INCOMPLETE",IF(AND(D81&gt;=80,E81&lt;50),"CONTRADICTION",IF(AND(D81&gt;=70,E81&lt;70),"DEPENDENCY GAP","NO TRIGGER")))</f>
        <v/>
      </c>
      <c r="K81" s="18">
        <f>IF(J81="CONTRADICTION","HIGH",IF(J81="DEPENDENCY GAP","MEDIUM","—"))</f>
        <v/>
      </c>
      <c r="L81" s="18">
        <f>IF(J81="CONTRADICTION","Strong upstream claim is not supported by linked downstream capability/evidence. Trigger: Digital control review.",IF(J81="DEPENDENCY GAP","Downstream capability materially trails upstream expectation. Trigger: Digital control review.",""))</f>
        <v/>
      </c>
    </row>
    <row r="82">
      <c r="A82" s="18" t="inlineStr">
        <is>
          <t>CD06</t>
        </is>
      </c>
      <c r="B82" s="18" t="inlineStr">
        <is>
          <t>D02-I03</t>
        </is>
      </c>
      <c r="C82" s="18" t="inlineStr">
        <is>
          <t>D08-I03</t>
        </is>
      </c>
      <c r="D82" s="18">
        <f>'P0-3_Scorecard'!L14</f>
        <v/>
      </c>
      <c r="E82" s="18">
        <f>'P0-3_Scorecard'!L95</f>
        <v/>
      </c>
      <c r="F82" s="18">
        <f>'P0-3_Scorecard'!M14</f>
        <v/>
      </c>
      <c r="G82" s="18">
        <f>'P0-3_Scorecard'!M95</f>
        <v/>
      </c>
      <c r="H82" s="18">
        <f>IF(OR(D82="",F82=""),"",D82-(F82*20))</f>
        <v/>
      </c>
      <c r="I82" s="18">
        <f>IF(OR(E82="",G82=""),"",E82-(G82*20))</f>
        <v/>
      </c>
      <c r="J82" s="18">
        <f>IF(OR(D82="",E82=""),"INCOMPLETE",IF(AND(D82&gt;=80,E82&lt;50),"CONTRADICTION",IF(AND(D82&gt;=70,E82&lt;70),"DEPENDENCY GAP","NO TRIGGER")))</f>
        <v/>
      </c>
      <c r="K82" s="18">
        <f>IF(J82="CONTRADICTION","HIGH",IF(J82="DEPENDENCY GAP","MEDIUM","—"))</f>
        <v/>
      </c>
      <c r="L82" s="18">
        <f>IF(J82="CONTRADICTION","Strong upstream claim is not supported by linked downstream capability/evidence. Trigger: Digital control review.",IF(J82="DEPENDENCY GAP","Downstream capability materially trails upstream expectation. Trigger: Digital control review.",""))</f>
        <v/>
      </c>
    </row>
    <row r="83">
      <c r="A83" s="18" t="inlineStr">
        <is>
          <t>CD06</t>
        </is>
      </c>
      <c r="B83" s="18" t="inlineStr">
        <is>
          <t>D02-I03</t>
        </is>
      </c>
      <c r="C83" s="18" t="inlineStr">
        <is>
          <t>D08-I07</t>
        </is>
      </c>
      <c r="D83" s="18">
        <f>'P0-3_Scorecard'!L14</f>
        <v/>
      </c>
      <c r="E83" s="18">
        <f>'P0-3_Scorecard'!L99</f>
        <v/>
      </c>
      <c r="F83" s="18">
        <f>'P0-3_Scorecard'!M14</f>
        <v/>
      </c>
      <c r="G83" s="18">
        <f>'P0-3_Scorecard'!M99</f>
        <v/>
      </c>
      <c r="H83" s="18">
        <f>IF(OR(D83="",F83=""),"",D83-(F83*20))</f>
        <v/>
      </c>
      <c r="I83" s="18">
        <f>IF(OR(E83="",G83=""),"",E83-(G83*20))</f>
        <v/>
      </c>
      <c r="J83" s="18">
        <f>IF(OR(D83="",E83=""),"INCOMPLETE",IF(AND(D83&gt;=80,E83&lt;50),"CONTRADICTION",IF(AND(D83&gt;=70,E83&lt;70),"DEPENDENCY GAP","NO TRIGGER")))</f>
        <v/>
      </c>
      <c r="K83" s="18">
        <f>IF(J83="CONTRADICTION","HIGH",IF(J83="DEPENDENCY GAP","MEDIUM","—"))</f>
        <v/>
      </c>
      <c r="L83" s="18">
        <f>IF(J83="CONTRADICTION","Strong upstream claim is not supported by linked downstream capability/evidence. Trigger: Digital control review.",IF(J83="DEPENDENCY GAP","Downstream capability materially trails upstream expectation. Trigger: Digital control review.",""))</f>
        <v/>
      </c>
    </row>
    <row r="84">
      <c r="A84" s="18" t="inlineStr">
        <is>
          <t>CD06</t>
        </is>
      </c>
      <c r="B84" s="18" t="inlineStr">
        <is>
          <t>D02-I03</t>
        </is>
      </c>
      <c r="C84" s="18" t="inlineStr">
        <is>
          <t>D08-I08</t>
        </is>
      </c>
      <c r="D84" s="18">
        <f>'P0-3_Scorecard'!L14</f>
        <v/>
      </c>
      <c r="E84" s="18">
        <f>'P0-3_Scorecard'!L100</f>
        <v/>
      </c>
      <c r="F84" s="18">
        <f>'P0-3_Scorecard'!M14</f>
        <v/>
      </c>
      <c r="G84" s="18">
        <f>'P0-3_Scorecard'!M100</f>
        <v/>
      </c>
      <c r="H84" s="18">
        <f>IF(OR(D84="",F84=""),"",D84-(F84*20))</f>
        <v/>
      </c>
      <c r="I84" s="18">
        <f>IF(OR(E84="",G84=""),"",E84-(G84*20))</f>
        <v/>
      </c>
      <c r="J84" s="18">
        <f>IF(OR(D84="",E84=""),"INCOMPLETE",IF(AND(D84&gt;=80,E84&lt;50),"CONTRADICTION",IF(AND(D84&gt;=70,E84&lt;70),"DEPENDENCY GAP","NO TRIGGER")))</f>
        <v/>
      </c>
      <c r="K84" s="18">
        <f>IF(J84="CONTRADICTION","HIGH",IF(J84="DEPENDENCY GAP","MEDIUM","—"))</f>
        <v/>
      </c>
      <c r="L84" s="18">
        <f>IF(J84="CONTRADICTION","Strong upstream claim is not supported by linked downstream capability/evidence. Trigger: Digital control review.",IF(J84="DEPENDENCY GAP","Downstream capability materially trails upstream expectation. Trigger: Digital control review.",""))</f>
        <v/>
      </c>
    </row>
    <row r="85">
      <c r="A85" s="18" t="inlineStr">
        <is>
          <t>CD06</t>
        </is>
      </c>
      <c r="B85" s="18" t="inlineStr">
        <is>
          <t>D02-I03</t>
        </is>
      </c>
      <c r="C85" s="18" t="inlineStr">
        <is>
          <t>D08-I10</t>
        </is>
      </c>
      <c r="D85" s="18">
        <f>'P0-3_Scorecard'!L14</f>
        <v/>
      </c>
      <c r="E85" s="18">
        <f>'P0-3_Scorecard'!L102</f>
        <v/>
      </c>
      <c r="F85" s="18">
        <f>'P0-3_Scorecard'!M14</f>
        <v/>
      </c>
      <c r="G85" s="18">
        <f>'P0-3_Scorecard'!M102</f>
        <v/>
      </c>
      <c r="H85" s="18">
        <f>IF(OR(D85="",F85=""),"",D85-(F85*20))</f>
        <v/>
      </c>
      <c r="I85" s="18">
        <f>IF(OR(E85="",G85=""),"",E85-(G85*20))</f>
        <v/>
      </c>
      <c r="J85" s="18">
        <f>IF(OR(D85="",E85=""),"INCOMPLETE",IF(AND(D85&gt;=80,E85&lt;50),"CONTRADICTION",IF(AND(D85&gt;=70,E85&lt;70),"DEPENDENCY GAP","NO TRIGGER")))</f>
        <v/>
      </c>
      <c r="K85" s="18">
        <f>IF(J85="CONTRADICTION","HIGH",IF(J85="DEPENDENCY GAP","MEDIUM","—"))</f>
        <v/>
      </c>
      <c r="L85" s="18">
        <f>IF(J85="CONTRADICTION","Strong upstream claim is not supported by linked downstream capability/evidence. Trigger: Digital control review.",IF(J85="DEPENDENCY GAP","Downstream capability materially trails upstream expectation. Trigger: Digital control review.",""))</f>
        <v/>
      </c>
    </row>
    <row r="86">
      <c r="A86" s="18" t="inlineStr">
        <is>
          <t>CD06</t>
        </is>
      </c>
      <c r="B86" s="18" t="inlineStr">
        <is>
          <t>D02-I04</t>
        </is>
      </c>
      <c r="C86" s="18" t="inlineStr">
        <is>
          <t>D08-I02</t>
        </is>
      </c>
      <c r="D86" s="18">
        <f>'P0-3_Scorecard'!L15</f>
        <v/>
      </c>
      <c r="E86" s="18">
        <f>'P0-3_Scorecard'!L94</f>
        <v/>
      </c>
      <c r="F86" s="18">
        <f>'P0-3_Scorecard'!M15</f>
        <v/>
      </c>
      <c r="G86" s="18">
        <f>'P0-3_Scorecard'!M94</f>
        <v/>
      </c>
      <c r="H86" s="18">
        <f>IF(OR(D86="",F86=""),"",D86-(F86*20))</f>
        <v/>
      </c>
      <c r="I86" s="18">
        <f>IF(OR(E86="",G86=""),"",E86-(G86*20))</f>
        <v/>
      </c>
      <c r="J86" s="18">
        <f>IF(OR(D86="",E86=""),"INCOMPLETE",IF(AND(D86&gt;=80,E86&lt;50),"CONTRADICTION",IF(AND(D86&gt;=70,E86&lt;70),"DEPENDENCY GAP","NO TRIGGER")))</f>
        <v/>
      </c>
      <c r="K86" s="18">
        <f>IF(J86="CONTRADICTION","HIGH",IF(J86="DEPENDENCY GAP","MEDIUM","—"))</f>
        <v/>
      </c>
      <c r="L86" s="18">
        <f>IF(J86="CONTRADICTION","Strong upstream claim is not supported by linked downstream capability/evidence. Trigger: Digital control review.",IF(J86="DEPENDENCY GAP","Downstream capability materially trails upstream expectation. Trigger: Digital control review.",""))</f>
        <v/>
      </c>
    </row>
    <row r="87">
      <c r="A87" s="18" t="inlineStr">
        <is>
          <t>CD06</t>
        </is>
      </c>
      <c r="B87" s="18" t="inlineStr">
        <is>
          <t>D02-I04</t>
        </is>
      </c>
      <c r="C87" s="18" t="inlineStr">
        <is>
          <t>D08-I03</t>
        </is>
      </c>
      <c r="D87" s="18">
        <f>'P0-3_Scorecard'!L15</f>
        <v/>
      </c>
      <c r="E87" s="18">
        <f>'P0-3_Scorecard'!L95</f>
        <v/>
      </c>
      <c r="F87" s="18">
        <f>'P0-3_Scorecard'!M15</f>
        <v/>
      </c>
      <c r="G87" s="18">
        <f>'P0-3_Scorecard'!M95</f>
        <v/>
      </c>
      <c r="H87" s="18">
        <f>IF(OR(D87="",F87=""),"",D87-(F87*20))</f>
        <v/>
      </c>
      <c r="I87" s="18">
        <f>IF(OR(E87="",G87=""),"",E87-(G87*20))</f>
        <v/>
      </c>
      <c r="J87" s="18">
        <f>IF(OR(D87="",E87=""),"INCOMPLETE",IF(AND(D87&gt;=80,E87&lt;50),"CONTRADICTION",IF(AND(D87&gt;=70,E87&lt;70),"DEPENDENCY GAP","NO TRIGGER")))</f>
        <v/>
      </c>
      <c r="K87" s="18">
        <f>IF(J87="CONTRADICTION","HIGH",IF(J87="DEPENDENCY GAP","MEDIUM","—"))</f>
        <v/>
      </c>
      <c r="L87" s="18">
        <f>IF(J87="CONTRADICTION","Strong upstream claim is not supported by linked downstream capability/evidence. Trigger: Digital control review.",IF(J87="DEPENDENCY GAP","Downstream capability materially trails upstream expectation. Trigger: Digital control review.",""))</f>
        <v/>
      </c>
    </row>
    <row r="88">
      <c r="A88" s="18" t="inlineStr">
        <is>
          <t>CD06</t>
        </is>
      </c>
      <c r="B88" s="18" t="inlineStr">
        <is>
          <t>D02-I04</t>
        </is>
      </c>
      <c r="C88" s="18" t="inlineStr">
        <is>
          <t>D08-I07</t>
        </is>
      </c>
      <c r="D88" s="18">
        <f>'P0-3_Scorecard'!L15</f>
        <v/>
      </c>
      <c r="E88" s="18">
        <f>'P0-3_Scorecard'!L99</f>
        <v/>
      </c>
      <c r="F88" s="18">
        <f>'P0-3_Scorecard'!M15</f>
        <v/>
      </c>
      <c r="G88" s="18">
        <f>'P0-3_Scorecard'!M99</f>
        <v/>
      </c>
      <c r="H88" s="18">
        <f>IF(OR(D88="",F88=""),"",D88-(F88*20))</f>
        <v/>
      </c>
      <c r="I88" s="18">
        <f>IF(OR(E88="",G88=""),"",E88-(G88*20))</f>
        <v/>
      </c>
      <c r="J88" s="18">
        <f>IF(OR(D88="",E88=""),"INCOMPLETE",IF(AND(D88&gt;=80,E88&lt;50),"CONTRADICTION",IF(AND(D88&gt;=70,E88&lt;70),"DEPENDENCY GAP","NO TRIGGER")))</f>
        <v/>
      </c>
      <c r="K88" s="18">
        <f>IF(J88="CONTRADICTION","HIGH",IF(J88="DEPENDENCY GAP","MEDIUM","—"))</f>
        <v/>
      </c>
      <c r="L88" s="18">
        <f>IF(J88="CONTRADICTION","Strong upstream claim is not supported by linked downstream capability/evidence. Trigger: Digital control review.",IF(J88="DEPENDENCY GAP","Downstream capability materially trails upstream expectation. Trigger: Digital control review.",""))</f>
        <v/>
      </c>
    </row>
    <row r="89">
      <c r="A89" s="18" t="inlineStr">
        <is>
          <t>CD06</t>
        </is>
      </c>
      <c r="B89" s="18" t="inlineStr">
        <is>
          <t>D02-I04</t>
        </is>
      </c>
      <c r="C89" s="18" t="inlineStr">
        <is>
          <t>D08-I08</t>
        </is>
      </c>
      <c r="D89" s="18">
        <f>'P0-3_Scorecard'!L15</f>
        <v/>
      </c>
      <c r="E89" s="18">
        <f>'P0-3_Scorecard'!L100</f>
        <v/>
      </c>
      <c r="F89" s="18">
        <f>'P0-3_Scorecard'!M15</f>
        <v/>
      </c>
      <c r="G89" s="18">
        <f>'P0-3_Scorecard'!M100</f>
        <v/>
      </c>
      <c r="H89" s="18">
        <f>IF(OR(D89="",F89=""),"",D89-(F89*20))</f>
        <v/>
      </c>
      <c r="I89" s="18">
        <f>IF(OR(E89="",G89=""),"",E89-(G89*20))</f>
        <v/>
      </c>
      <c r="J89" s="18">
        <f>IF(OR(D89="",E89=""),"INCOMPLETE",IF(AND(D89&gt;=80,E89&lt;50),"CONTRADICTION",IF(AND(D89&gt;=70,E89&lt;70),"DEPENDENCY GAP","NO TRIGGER")))</f>
        <v/>
      </c>
      <c r="K89" s="18">
        <f>IF(J89="CONTRADICTION","HIGH",IF(J89="DEPENDENCY GAP","MEDIUM","—"))</f>
        <v/>
      </c>
      <c r="L89" s="18">
        <f>IF(J89="CONTRADICTION","Strong upstream claim is not supported by linked downstream capability/evidence. Trigger: Digital control review.",IF(J89="DEPENDENCY GAP","Downstream capability materially trails upstream expectation. Trigger: Digital control review.",""))</f>
        <v/>
      </c>
    </row>
    <row r="90">
      <c r="A90" s="18" t="inlineStr">
        <is>
          <t>CD06</t>
        </is>
      </c>
      <c r="B90" s="18" t="inlineStr">
        <is>
          <t>D02-I04</t>
        </is>
      </c>
      <c r="C90" s="18" t="inlineStr">
        <is>
          <t>D08-I10</t>
        </is>
      </c>
      <c r="D90" s="18">
        <f>'P0-3_Scorecard'!L15</f>
        <v/>
      </c>
      <c r="E90" s="18">
        <f>'P0-3_Scorecard'!L102</f>
        <v/>
      </c>
      <c r="F90" s="18">
        <f>'P0-3_Scorecard'!M15</f>
        <v/>
      </c>
      <c r="G90" s="18">
        <f>'P0-3_Scorecard'!M102</f>
        <v/>
      </c>
      <c r="H90" s="18">
        <f>IF(OR(D90="",F90=""),"",D90-(F90*20))</f>
        <v/>
      </c>
      <c r="I90" s="18">
        <f>IF(OR(E90="",G90=""),"",E90-(G90*20))</f>
        <v/>
      </c>
      <c r="J90" s="18">
        <f>IF(OR(D90="",E90=""),"INCOMPLETE",IF(AND(D90&gt;=80,E90&lt;50),"CONTRADICTION",IF(AND(D90&gt;=70,E90&lt;70),"DEPENDENCY GAP","NO TRIGGER")))</f>
        <v/>
      </c>
      <c r="K90" s="18">
        <f>IF(J90="CONTRADICTION","HIGH",IF(J90="DEPENDENCY GAP","MEDIUM","—"))</f>
        <v/>
      </c>
      <c r="L90" s="18">
        <f>IF(J90="CONTRADICTION","Strong upstream claim is not supported by linked downstream capability/evidence. Trigger: Digital control review.",IF(J90="DEPENDENCY GAP","Downstream capability materially trails upstream expectation. Trigger: Digital control review.",""))</f>
        <v/>
      </c>
    </row>
    <row r="91">
      <c r="A91" s="18" t="inlineStr">
        <is>
          <t>CD06</t>
        </is>
      </c>
      <c r="B91" s="18" t="inlineStr">
        <is>
          <t>D02-I07</t>
        </is>
      </c>
      <c r="C91" s="18" t="inlineStr">
        <is>
          <t>D08-I02</t>
        </is>
      </c>
      <c r="D91" s="18">
        <f>'P0-3_Scorecard'!L18</f>
        <v/>
      </c>
      <c r="E91" s="18">
        <f>'P0-3_Scorecard'!L94</f>
        <v/>
      </c>
      <c r="F91" s="18">
        <f>'P0-3_Scorecard'!M18</f>
        <v/>
      </c>
      <c r="G91" s="18">
        <f>'P0-3_Scorecard'!M94</f>
        <v/>
      </c>
      <c r="H91" s="18">
        <f>IF(OR(D91="",F91=""),"",D91-(F91*20))</f>
        <v/>
      </c>
      <c r="I91" s="18">
        <f>IF(OR(E91="",G91=""),"",E91-(G91*20))</f>
        <v/>
      </c>
      <c r="J91" s="18">
        <f>IF(OR(D91="",E91=""),"INCOMPLETE",IF(AND(D91&gt;=80,E91&lt;50),"CONTRADICTION",IF(AND(D91&gt;=70,E91&lt;70),"DEPENDENCY GAP","NO TRIGGER")))</f>
        <v/>
      </c>
      <c r="K91" s="18">
        <f>IF(J91="CONTRADICTION","HIGH",IF(J91="DEPENDENCY GAP","MEDIUM","—"))</f>
        <v/>
      </c>
      <c r="L91" s="18">
        <f>IF(J91="CONTRADICTION","Strong upstream claim is not supported by linked downstream capability/evidence. Trigger: Digital control review.",IF(J91="DEPENDENCY GAP","Downstream capability materially trails upstream expectation. Trigger: Digital control review.",""))</f>
        <v/>
      </c>
    </row>
    <row r="92">
      <c r="A92" s="18" t="inlineStr">
        <is>
          <t>CD06</t>
        </is>
      </c>
      <c r="B92" s="18" t="inlineStr">
        <is>
          <t>D02-I07</t>
        </is>
      </c>
      <c r="C92" s="18" t="inlineStr">
        <is>
          <t>D08-I03</t>
        </is>
      </c>
      <c r="D92" s="18">
        <f>'P0-3_Scorecard'!L18</f>
        <v/>
      </c>
      <c r="E92" s="18">
        <f>'P0-3_Scorecard'!L95</f>
        <v/>
      </c>
      <c r="F92" s="18">
        <f>'P0-3_Scorecard'!M18</f>
        <v/>
      </c>
      <c r="G92" s="18">
        <f>'P0-3_Scorecard'!M95</f>
        <v/>
      </c>
      <c r="H92" s="18">
        <f>IF(OR(D92="",F92=""),"",D92-(F92*20))</f>
        <v/>
      </c>
      <c r="I92" s="18">
        <f>IF(OR(E92="",G92=""),"",E92-(G92*20))</f>
        <v/>
      </c>
      <c r="J92" s="18">
        <f>IF(OR(D92="",E92=""),"INCOMPLETE",IF(AND(D92&gt;=80,E92&lt;50),"CONTRADICTION",IF(AND(D92&gt;=70,E92&lt;70),"DEPENDENCY GAP","NO TRIGGER")))</f>
        <v/>
      </c>
      <c r="K92" s="18">
        <f>IF(J92="CONTRADICTION","HIGH",IF(J92="DEPENDENCY GAP","MEDIUM","—"))</f>
        <v/>
      </c>
      <c r="L92" s="18">
        <f>IF(J92="CONTRADICTION","Strong upstream claim is not supported by linked downstream capability/evidence. Trigger: Digital control review.",IF(J92="DEPENDENCY GAP","Downstream capability materially trails upstream expectation. Trigger: Digital control review.",""))</f>
        <v/>
      </c>
    </row>
    <row r="93">
      <c r="A93" s="18" t="inlineStr">
        <is>
          <t>CD06</t>
        </is>
      </c>
      <c r="B93" s="18" t="inlineStr">
        <is>
          <t>D02-I07</t>
        </is>
      </c>
      <c r="C93" s="18" t="inlineStr">
        <is>
          <t>D08-I07</t>
        </is>
      </c>
      <c r="D93" s="18">
        <f>'P0-3_Scorecard'!L18</f>
        <v/>
      </c>
      <c r="E93" s="18">
        <f>'P0-3_Scorecard'!L99</f>
        <v/>
      </c>
      <c r="F93" s="18">
        <f>'P0-3_Scorecard'!M18</f>
        <v/>
      </c>
      <c r="G93" s="18">
        <f>'P0-3_Scorecard'!M99</f>
        <v/>
      </c>
      <c r="H93" s="18">
        <f>IF(OR(D93="",F93=""),"",D93-(F93*20))</f>
        <v/>
      </c>
      <c r="I93" s="18">
        <f>IF(OR(E93="",G93=""),"",E93-(G93*20))</f>
        <v/>
      </c>
      <c r="J93" s="18">
        <f>IF(OR(D93="",E93=""),"INCOMPLETE",IF(AND(D93&gt;=80,E93&lt;50),"CONTRADICTION",IF(AND(D93&gt;=70,E93&lt;70),"DEPENDENCY GAP","NO TRIGGER")))</f>
        <v/>
      </c>
      <c r="K93" s="18">
        <f>IF(J93="CONTRADICTION","HIGH",IF(J93="DEPENDENCY GAP","MEDIUM","—"))</f>
        <v/>
      </c>
      <c r="L93" s="18">
        <f>IF(J93="CONTRADICTION","Strong upstream claim is not supported by linked downstream capability/evidence. Trigger: Digital control review.",IF(J93="DEPENDENCY GAP","Downstream capability materially trails upstream expectation. Trigger: Digital control review.",""))</f>
        <v/>
      </c>
    </row>
    <row r="94">
      <c r="A94" s="18" t="inlineStr">
        <is>
          <t>CD06</t>
        </is>
      </c>
      <c r="B94" s="18" t="inlineStr">
        <is>
          <t>D02-I07</t>
        </is>
      </c>
      <c r="C94" s="18" t="inlineStr">
        <is>
          <t>D08-I08</t>
        </is>
      </c>
      <c r="D94" s="18">
        <f>'P0-3_Scorecard'!L18</f>
        <v/>
      </c>
      <c r="E94" s="18">
        <f>'P0-3_Scorecard'!L100</f>
        <v/>
      </c>
      <c r="F94" s="18">
        <f>'P0-3_Scorecard'!M18</f>
        <v/>
      </c>
      <c r="G94" s="18">
        <f>'P0-3_Scorecard'!M100</f>
        <v/>
      </c>
      <c r="H94" s="18">
        <f>IF(OR(D94="",F94=""),"",D94-(F94*20))</f>
        <v/>
      </c>
      <c r="I94" s="18">
        <f>IF(OR(E94="",G94=""),"",E94-(G94*20))</f>
        <v/>
      </c>
      <c r="J94" s="18">
        <f>IF(OR(D94="",E94=""),"INCOMPLETE",IF(AND(D94&gt;=80,E94&lt;50),"CONTRADICTION",IF(AND(D94&gt;=70,E94&lt;70),"DEPENDENCY GAP","NO TRIGGER")))</f>
        <v/>
      </c>
      <c r="K94" s="18">
        <f>IF(J94="CONTRADICTION","HIGH",IF(J94="DEPENDENCY GAP","MEDIUM","—"))</f>
        <v/>
      </c>
      <c r="L94" s="18">
        <f>IF(J94="CONTRADICTION","Strong upstream claim is not supported by linked downstream capability/evidence. Trigger: Digital control review.",IF(J94="DEPENDENCY GAP","Downstream capability materially trails upstream expectation. Trigger: Digital control review.",""))</f>
        <v/>
      </c>
    </row>
    <row r="95">
      <c r="A95" s="18" t="inlineStr">
        <is>
          <t>CD06</t>
        </is>
      </c>
      <c r="B95" s="18" t="inlineStr">
        <is>
          <t>D02-I07</t>
        </is>
      </c>
      <c r="C95" s="18" t="inlineStr">
        <is>
          <t>D08-I10</t>
        </is>
      </c>
      <c r="D95" s="18">
        <f>'P0-3_Scorecard'!L18</f>
        <v/>
      </c>
      <c r="E95" s="18">
        <f>'P0-3_Scorecard'!L102</f>
        <v/>
      </c>
      <c r="F95" s="18">
        <f>'P0-3_Scorecard'!M18</f>
        <v/>
      </c>
      <c r="G95" s="18">
        <f>'P0-3_Scorecard'!M102</f>
        <v/>
      </c>
      <c r="H95" s="18">
        <f>IF(OR(D95="",F95=""),"",D95-(F95*20))</f>
        <v/>
      </c>
      <c r="I95" s="18">
        <f>IF(OR(E95="",G95=""),"",E95-(G95*20))</f>
        <v/>
      </c>
      <c r="J95" s="18">
        <f>IF(OR(D95="",E95=""),"INCOMPLETE",IF(AND(D95&gt;=80,E95&lt;50),"CONTRADICTION",IF(AND(D95&gt;=70,E95&lt;70),"DEPENDENCY GAP","NO TRIGGER")))</f>
        <v/>
      </c>
      <c r="K95" s="18">
        <f>IF(J95="CONTRADICTION","HIGH",IF(J95="DEPENDENCY GAP","MEDIUM","—"))</f>
        <v/>
      </c>
      <c r="L95" s="18">
        <f>IF(J95="CONTRADICTION","Strong upstream claim is not supported by linked downstream capability/evidence. Trigger: Digital control review.",IF(J95="DEPENDENCY GAP","Downstream capability materially trails upstream expectation. Trigger: Digital control review.",""))</f>
        <v/>
      </c>
    </row>
    <row r="96">
      <c r="A96" s="18" t="inlineStr">
        <is>
          <t>CD06</t>
        </is>
      </c>
      <c r="B96" s="18" t="inlineStr">
        <is>
          <t>D02-I10</t>
        </is>
      </c>
      <c r="C96" s="18" t="inlineStr">
        <is>
          <t>D08-I02</t>
        </is>
      </c>
      <c r="D96" s="18">
        <f>'P0-3_Scorecard'!L21</f>
        <v/>
      </c>
      <c r="E96" s="18">
        <f>'P0-3_Scorecard'!L94</f>
        <v/>
      </c>
      <c r="F96" s="18">
        <f>'P0-3_Scorecard'!M21</f>
        <v/>
      </c>
      <c r="G96" s="18">
        <f>'P0-3_Scorecard'!M94</f>
        <v/>
      </c>
      <c r="H96" s="18">
        <f>IF(OR(D96="",F96=""),"",D96-(F96*20))</f>
        <v/>
      </c>
      <c r="I96" s="18">
        <f>IF(OR(E96="",G96=""),"",E96-(G96*20))</f>
        <v/>
      </c>
      <c r="J96" s="18">
        <f>IF(OR(D96="",E96=""),"INCOMPLETE",IF(AND(D96&gt;=80,E96&lt;50),"CONTRADICTION",IF(AND(D96&gt;=70,E96&lt;70),"DEPENDENCY GAP","NO TRIGGER")))</f>
        <v/>
      </c>
      <c r="K96" s="18">
        <f>IF(J96="CONTRADICTION","HIGH",IF(J96="DEPENDENCY GAP","MEDIUM","—"))</f>
        <v/>
      </c>
      <c r="L96" s="18">
        <f>IF(J96="CONTRADICTION","Strong upstream claim is not supported by linked downstream capability/evidence. Trigger: Digital control review.",IF(J96="DEPENDENCY GAP","Downstream capability materially trails upstream expectation. Trigger: Digital control review.",""))</f>
        <v/>
      </c>
    </row>
    <row r="97">
      <c r="A97" s="18" t="inlineStr">
        <is>
          <t>CD06</t>
        </is>
      </c>
      <c r="B97" s="18" t="inlineStr">
        <is>
          <t>D02-I10</t>
        </is>
      </c>
      <c r="C97" s="18" t="inlineStr">
        <is>
          <t>D08-I03</t>
        </is>
      </c>
      <c r="D97" s="18">
        <f>'P0-3_Scorecard'!L21</f>
        <v/>
      </c>
      <c r="E97" s="18">
        <f>'P0-3_Scorecard'!L95</f>
        <v/>
      </c>
      <c r="F97" s="18">
        <f>'P0-3_Scorecard'!M21</f>
        <v/>
      </c>
      <c r="G97" s="18">
        <f>'P0-3_Scorecard'!M95</f>
        <v/>
      </c>
      <c r="H97" s="18">
        <f>IF(OR(D97="",F97=""),"",D97-(F97*20))</f>
        <v/>
      </c>
      <c r="I97" s="18">
        <f>IF(OR(E97="",G97=""),"",E97-(G97*20))</f>
        <v/>
      </c>
      <c r="J97" s="18">
        <f>IF(OR(D97="",E97=""),"INCOMPLETE",IF(AND(D97&gt;=80,E97&lt;50),"CONTRADICTION",IF(AND(D97&gt;=70,E97&lt;70),"DEPENDENCY GAP","NO TRIGGER")))</f>
        <v/>
      </c>
      <c r="K97" s="18">
        <f>IF(J97="CONTRADICTION","HIGH",IF(J97="DEPENDENCY GAP","MEDIUM","—"))</f>
        <v/>
      </c>
      <c r="L97" s="18">
        <f>IF(J97="CONTRADICTION","Strong upstream claim is not supported by linked downstream capability/evidence. Trigger: Digital control review.",IF(J97="DEPENDENCY GAP","Downstream capability materially trails upstream expectation. Trigger: Digital control review.",""))</f>
        <v/>
      </c>
    </row>
    <row r="98">
      <c r="A98" s="18" t="inlineStr">
        <is>
          <t>CD06</t>
        </is>
      </c>
      <c r="B98" s="18" t="inlineStr">
        <is>
          <t>D02-I10</t>
        </is>
      </c>
      <c r="C98" s="18" t="inlineStr">
        <is>
          <t>D08-I07</t>
        </is>
      </c>
      <c r="D98" s="18">
        <f>'P0-3_Scorecard'!L21</f>
        <v/>
      </c>
      <c r="E98" s="18">
        <f>'P0-3_Scorecard'!L99</f>
        <v/>
      </c>
      <c r="F98" s="18">
        <f>'P0-3_Scorecard'!M21</f>
        <v/>
      </c>
      <c r="G98" s="18">
        <f>'P0-3_Scorecard'!M99</f>
        <v/>
      </c>
      <c r="H98" s="18">
        <f>IF(OR(D98="",F98=""),"",D98-(F98*20))</f>
        <v/>
      </c>
      <c r="I98" s="18">
        <f>IF(OR(E98="",G98=""),"",E98-(G98*20))</f>
        <v/>
      </c>
      <c r="J98" s="18">
        <f>IF(OR(D98="",E98=""),"INCOMPLETE",IF(AND(D98&gt;=80,E98&lt;50),"CONTRADICTION",IF(AND(D98&gt;=70,E98&lt;70),"DEPENDENCY GAP","NO TRIGGER")))</f>
        <v/>
      </c>
      <c r="K98" s="18">
        <f>IF(J98="CONTRADICTION","HIGH",IF(J98="DEPENDENCY GAP","MEDIUM","—"))</f>
        <v/>
      </c>
      <c r="L98" s="18">
        <f>IF(J98="CONTRADICTION","Strong upstream claim is not supported by linked downstream capability/evidence. Trigger: Digital control review.",IF(J98="DEPENDENCY GAP","Downstream capability materially trails upstream expectation. Trigger: Digital control review.",""))</f>
        <v/>
      </c>
    </row>
    <row r="99">
      <c r="A99" s="18" t="inlineStr">
        <is>
          <t>CD06</t>
        </is>
      </c>
      <c r="B99" s="18" t="inlineStr">
        <is>
          <t>D02-I10</t>
        </is>
      </c>
      <c r="C99" s="18" t="inlineStr">
        <is>
          <t>D08-I08</t>
        </is>
      </c>
      <c r="D99" s="18">
        <f>'P0-3_Scorecard'!L21</f>
        <v/>
      </c>
      <c r="E99" s="18">
        <f>'P0-3_Scorecard'!L100</f>
        <v/>
      </c>
      <c r="F99" s="18">
        <f>'P0-3_Scorecard'!M21</f>
        <v/>
      </c>
      <c r="G99" s="18">
        <f>'P0-3_Scorecard'!M100</f>
        <v/>
      </c>
      <c r="H99" s="18">
        <f>IF(OR(D99="",F99=""),"",D99-(F99*20))</f>
        <v/>
      </c>
      <c r="I99" s="18">
        <f>IF(OR(E99="",G99=""),"",E99-(G99*20))</f>
        <v/>
      </c>
      <c r="J99" s="18">
        <f>IF(OR(D99="",E99=""),"INCOMPLETE",IF(AND(D99&gt;=80,E99&lt;50),"CONTRADICTION",IF(AND(D99&gt;=70,E99&lt;70),"DEPENDENCY GAP","NO TRIGGER")))</f>
        <v/>
      </c>
      <c r="K99" s="18">
        <f>IF(J99="CONTRADICTION","HIGH",IF(J99="DEPENDENCY GAP","MEDIUM","—"))</f>
        <v/>
      </c>
      <c r="L99" s="18">
        <f>IF(J99="CONTRADICTION","Strong upstream claim is not supported by linked downstream capability/evidence. Trigger: Digital control review.",IF(J99="DEPENDENCY GAP","Downstream capability materially trails upstream expectation. Trigger: Digital control review.",""))</f>
        <v/>
      </c>
    </row>
    <row r="100">
      <c r="A100" s="18" t="inlineStr">
        <is>
          <t>CD06</t>
        </is>
      </c>
      <c r="B100" s="18" t="inlineStr">
        <is>
          <t>D02-I10</t>
        </is>
      </c>
      <c r="C100" s="18" t="inlineStr">
        <is>
          <t>D08-I10</t>
        </is>
      </c>
      <c r="D100" s="18">
        <f>'P0-3_Scorecard'!L21</f>
        <v/>
      </c>
      <c r="E100" s="18">
        <f>'P0-3_Scorecard'!L102</f>
        <v/>
      </c>
      <c r="F100" s="18">
        <f>'P0-3_Scorecard'!M21</f>
        <v/>
      </c>
      <c r="G100" s="18">
        <f>'P0-3_Scorecard'!M102</f>
        <v/>
      </c>
      <c r="H100" s="18">
        <f>IF(OR(D100="",F100=""),"",D100-(F100*20))</f>
        <v/>
      </c>
      <c r="I100" s="18">
        <f>IF(OR(E100="",G100=""),"",E100-(G100*20))</f>
        <v/>
      </c>
      <c r="J100" s="18">
        <f>IF(OR(D100="",E100=""),"INCOMPLETE",IF(AND(D100&gt;=80,E100&lt;50),"CONTRADICTION",IF(AND(D100&gt;=70,E100&lt;70),"DEPENDENCY GAP","NO TRIGGER")))</f>
        <v/>
      </c>
      <c r="K100" s="18">
        <f>IF(J100="CONTRADICTION","HIGH",IF(J100="DEPENDENCY GAP","MEDIUM","—"))</f>
        <v/>
      </c>
      <c r="L100" s="18">
        <f>IF(J100="CONTRADICTION","Strong upstream claim is not supported by linked downstream capability/evidence. Trigger: Digital control review.",IF(J100="DEPENDENCY GAP","Downstream capability materially trails upstream expectation. Trigger: Digital control review.",""))</f>
        <v/>
      </c>
    </row>
    <row r="101">
      <c r="A101" s="18" t="inlineStr">
        <is>
          <t>CD07</t>
        </is>
      </c>
      <c r="B101" s="18" t="inlineStr">
        <is>
          <t>D02-I12</t>
        </is>
      </c>
      <c r="C101" s="18" t="inlineStr">
        <is>
          <t>D10-I04</t>
        </is>
      </c>
      <c r="D101" s="18">
        <f>'P0-3_Scorecard'!L23</f>
        <v/>
      </c>
      <c r="E101" s="18">
        <f>'P0-3_Scorecard'!L120</f>
        <v/>
      </c>
      <c r="F101" s="18">
        <f>'P0-3_Scorecard'!M23</f>
        <v/>
      </c>
      <c r="G101" s="18">
        <f>'P0-3_Scorecard'!M120</f>
        <v/>
      </c>
      <c r="H101" s="18">
        <f>IF(OR(D101="",F101=""),"",D101-(F101*20))</f>
        <v/>
      </c>
      <c r="I101" s="18">
        <f>IF(OR(E101="",G101=""),"",E101-(G101*20))</f>
        <v/>
      </c>
      <c r="J101" s="18">
        <f>IF(OR(D101="",E101=""),"INCOMPLETE",IF(AND(D101&gt;=80,E101&lt;50),"CONTRADICTION",IF(AND(D101&gt;=70,E101&lt;70),"DEPENDENCY GAP","NO TRIGGER")))</f>
        <v/>
      </c>
      <c r="K101" s="18">
        <f>IF(J101="CONTRADICTION","HIGH",IF(J101="DEPENDENCY GAP","MEDIUM","—"))</f>
        <v/>
      </c>
      <c r="L101" s="18">
        <f>IF(J101="CONTRADICTION","Strong upstream claim is not supported by linked downstream capability/evidence. Trigger: Research governance review.",IF(J101="DEPENDENCY GAP","Downstream capability materially trails upstream expectation. Trigger: Research governance review.",""))</f>
        <v/>
      </c>
    </row>
    <row r="102">
      <c r="A102" s="18" t="inlineStr">
        <is>
          <t>CD07</t>
        </is>
      </c>
      <c r="B102" s="18" t="inlineStr">
        <is>
          <t>D02-I12</t>
        </is>
      </c>
      <c r="C102" s="18" t="inlineStr">
        <is>
          <t>D10-I06</t>
        </is>
      </c>
      <c r="D102" s="18">
        <f>'P0-3_Scorecard'!L23</f>
        <v/>
      </c>
      <c r="E102" s="18">
        <f>'P0-3_Scorecard'!L122</f>
        <v/>
      </c>
      <c r="F102" s="18">
        <f>'P0-3_Scorecard'!M23</f>
        <v/>
      </c>
      <c r="G102" s="18">
        <f>'P0-3_Scorecard'!M122</f>
        <v/>
      </c>
      <c r="H102" s="18">
        <f>IF(OR(D102="",F102=""),"",D102-(F102*20))</f>
        <v/>
      </c>
      <c r="I102" s="18">
        <f>IF(OR(E102="",G102=""),"",E102-(G102*20))</f>
        <v/>
      </c>
      <c r="J102" s="18">
        <f>IF(OR(D102="",E102=""),"INCOMPLETE",IF(AND(D102&gt;=80,E102&lt;50),"CONTRADICTION",IF(AND(D102&gt;=70,E102&lt;70),"DEPENDENCY GAP","NO TRIGGER")))</f>
        <v/>
      </c>
      <c r="K102" s="18">
        <f>IF(J102="CONTRADICTION","HIGH",IF(J102="DEPENDENCY GAP","MEDIUM","—"))</f>
        <v/>
      </c>
      <c r="L102" s="18">
        <f>IF(J102="CONTRADICTION","Strong upstream claim is not supported by linked downstream capability/evidence. Trigger: Research governance review.",IF(J102="DEPENDENCY GAP","Downstream capability materially trails upstream expectation. Trigger: Research governance review.",""))</f>
        <v/>
      </c>
    </row>
    <row r="103">
      <c r="A103" s="18" t="inlineStr">
        <is>
          <t>CD07</t>
        </is>
      </c>
      <c r="B103" s="18" t="inlineStr">
        <is>
          <t>D02-I12</t>
        </is>
      </c>
      <c r="C103" s="18" t="inlineStr">
        <is>
          <t>D10-I12</t>
        </is>
      </c>
      <c r="D103" s="18">
        <f>'P0-3_Scorecard'!L23</f>
        <v/>
      </c>
      <c r="E103" s="18">
        <f>'P0-3_Scorecard'!L128</f>
        <v/>
      </c>
      <c r="F103" s="18">
        <f>'P0-3_Scorecard'!M23</f>
        <v/>
      </c>
      <c r="G103" s="18">
        <f>'P0-3_Scorecard'!M128</f>
        <v/>
      </c>
      <c r="H103" s="18">
        <f>IF(OR(D103="",F103=""),"",D103-(F103*20))</f>
        <v/>
      </c>
      <c r="I103" s="18">
        <f>IF(OR(E103="",G103=""),"",E103-(G103*20))</f>
        <v/>
      </c>
      <c r="J103" s="18">
        <f>IF(OR(D103="",E103=""),"INCOMPLETE",IF(AND(D103&gt;=80,E103&lt;50),"CONTRADICTION",IF(AND(D103&gt;=70,E103&lt;70),"DEPENDENCY GAP","NO TRIGGER")))</f>
        <v/>
      </c>
      <c r="K103" s="18">
        <f>IF(J103="CONTRADICTION","HIGH",IF(J103="DEPENDENCY GAP","MEDIUM","—"))</f>
        <v/>
      </c>
      <c r="L103" s="18">
        <f>IF(J103="CONTRADICTION","Strong upstream claim is not supported by linked downstream capability/evidence. Trigger: Research governance review.",IF(J103="DEPENDENCY GAP","Downstream capability materially trails upstream expectation. Trigger: Research governance review.",""))</f>
        <v/>
      </c>
    </row>
    <row r="104">
      <c r="A104" s="18" t="inlineStr">
        <is>
          <t>CD07</t>
        </is>
      </c>
      <c r="B104" s="18" t="inlineStr">
        <is>
          <t>D02-I12</t>
        </is>
      </c>
      <c r="C104" s="18" t="inlineStr">
        <is>
          <t>D10-I13</t>
        </is>
      </c>
      <c r="D104" s="18">
        <f>'P0-3_Scorecard'!L23</f>
        <v/>
      </c>
      <c r="E104" s="18">
        <f>'P0-3_Scorecard'!L129</f>
        <v/>
      </c>
      <c r="F104" s="18">
        <f>'P0-3_Scorecard'!M23</f>
        <v/>
      </c>
      <c r="G104" s="18">
        <f>'P0-3_Scorecard'!M129</f>
        <v/>
      </c>
      <c r="H104" s="18">
        <f>IF(OR(D104="",F104=""),"",D104-(F104*20))</f>
        <v/>
      </c>
      <c r="I104" s="18">
        <f>IF(OR(E104="",G104=""),"",E104-(G104*20))</f>
        <v/>
      </c>
      <c r="J104" s="18">
        <f>IF(OR(D104="",E104=""),"INCOMPLETE",IF(AND(D104&gt;=80,E104&lt;50),"CONTRADICTION",IF(AND(D104&gt;=70,E104&lt;70),"DEPENDENCY GAP","NO TRIGGER")))</f>
        <v/>
      </c>
      <c r="K104" s="18">
        <f>IF(J104="CONTRADICTION","HIGH",IF(J104="DEPENDENCY GAP","MEDIUM","—"))</f>
        <v/>
      </c>
      <c r="L104" s="18">
        <f>IF(J104="CONTRADICTION","Strong upstream claim is not supported by linked downstream capability/evidence. Trigger: Research governance review.",IF(J104="DEPENDENCY GAP","Downstream capability materially trails upstream expectation. Trigger: Research governance review.",""))</f>
        <v/>
      </c>
    </row>
    <row r="105">
      <c r="A105" s="18" t="inlineStr">
        <is>
          <t>CD07</t>
        </is>
      </c>
      <c r="B105" s="18" t="inlineStr">
        <is>
          <t>D02-I13</t>
        </is>
      </c>
      <c r="C105" s="18" t="inlineStr">
        <is>
          <t>D10-I04</t>
        </is>
      </c>
      <c r="D105" s="18">
        <f>'P0-3_Scorecard'!L24</f>
        <v/>
      </c>
      <c r="E105" s="18">
        <f>'P0-3_Scorecard'!L120</f>
        <v/>
      </c>
      <c r="F105" s="18">
        <f>'P0-3_Scorecard'!M24</f>
        <v/>
      </c>
      <c r="G105" s="18">
        <f>'P0-3_Scorecard'!M120</f>
        <v/>
      </c>
      <c r="H105" s="18">
        <f>IF(OR(D105="",F105=""),"",D105-(F105*20))</f>
        <v/>
      </c>
      <c r="I105" s="18">
        <f>IF(OR(E105="",G105=""),"",E105-(G105*20))</f>
        <v/>
      </c>
      <c r="J105" s="18">
        <f>IF(OR(D105="",E105=""),"INCOMPLETE",IF(AND(D105&gt;=80,E105&lt;50),"CONTRADICTION",IF(AND(D105&gt;=70,E105&lt;70),"DEPENDENCY GAP","NO TRIGGER")))</f>
        <v/>
      </c>
      <c r="K105" s="18">
        <f>IF(J105="CONTRADICTION","HIGH",IF(J105="DEPENDENCY GAP","MEDIUM","—"))</f>
        <v/>
      </c>
      <c r="L105" s="18">
        <f>IF(J105="CONTRADICTION","Strong upstream claim is not supported by linked downstream capability/evidence. Trigger: Research governance review.",IF(J105="DEPENDENCY GAP","Downstream capability materially trails upstream expectation. Trigger: Research governance review.",""))</f>
        <v/>
      </c>
    </row>
    <row r="106">
      <c r="A106" s="18" t="inlineStr">
        <is>
          <t>CD07</t>
        </is>
      </c>
      <c r="B106" s="18" t="inlineStr">
        <is>
          <t>D02-I13</t>
        </is>
      </c>
      <c r="C106" s="18" t="inlineStr">
        <is>
          <t>D10-I06</t>
        </is>
      </c>
      <c r="D106" s="18">
        <f>'P0-3_Scorecard'!L24</f>
        <v/>
      </c>
      <c r="E106" s="18">
        <f>'P0-3_Scorecard'!L122</f>
        <v/>
      </c>
      <c r="F106" s="18">
        <f>'P0-3_Scorecard'!M24</f>
        <v/>
      </c>
      <c r="G106" s="18">
        <f>'P0-3_Scorecard'!M122</f>
        <v/>
      </c>
      <c r="H106" s="18">
        <f>IF(OR(D106="",F106=""),"",D106-(F106*20))</f>
        <v/>
      </c>
      <c r="I106" s="18">
        <f>IF(OR(E106="",G106=""),"",E106-(G106*20))</f>
        <v/>
      </c>
      <c r="J106" s="18">
        <f>IF(OR(D106="",E106=""),"INCOMPLETE",IF(AND(D106&gt;=80,E106&lt;50),"CONTRADICTION",IF(AND(D106&gt;=70,E106&lt;70),"DEPENDENCY GAP","NO TRIGGER")))</f>
        <v/>
      </c>
      <c r="K106" s="18">
        <f>IF(J106="CONTRADICTION","HIGH",IF(J106="DEPENDENCY GAP","MEDIUM","—"))</f>
        <v/>
      </c>
      <c r="L106" s="18">
        <f>IF(J106="CONTRADICTION","Strong upstream claim is not supported by linked downstream capability/evidence. Trigger: Research governance review.",IF(J106="DEPENDENCY GAP","Downstream capability materially trails upstream expectation. Trigger: Research governance review.",""))</f>
        <v/>
      </c>
    </row>
    <row r="107">
      <c r="A107" s="18" t="inlineStr">
        <is>
          <t>CD07</t>
        </is>
      </c>
      <c r="B107" s="18" t="inlineStr">
        <is>
          <t>D02-I13</t>
        </is>
      </c>
      <c r="C107" s="18" t="inlineStr">
        <is>
          <t>D10-I12</t>
        </is>
      </c>
      <c r="D107" s="18">
        <f>'P0-3_Scorecard'!L24</f>
        <v/>
      </c>
      <c r="E107" s="18">
        <f>'P0-3_Scorecard'!L128</f>
        <v/>
      </c>
      <c r="F107" s="18">
        <f>'P0-3_Scorecard'!M24</f>
        <v/>
      </c>
      <c r="G107" s="18">
        <f>'P0-3_Scorecard'!M128</f>
        <v/>
      </c>
      <c r="H107" s="18">
        <f>IF(OR(D107="",F107=""),"",D107-(F107*20))</f>
        <v/>
      </c>
      <c r="I107" s="18">
        <f>IF(OR(E107="",G107=""),"",E107-(G107*20))</f>
        <v/>
      </c>
      <c r="J107" s="18">
        <f>IF(OR(D107="",E107=""),"INCOMPLETE",IF(AND(D107&gt;=80,E107&lt;50),"CONTRADICTION",IF(AND(D107&gt;=70,E107&lt;70),"DEPENDENCY GAP","NO TRIGGER")))</f>
        <v/>
      </c>
      <c r="K107" s="18">
        <f>IF(J107="CONTRADICTION","HIGH",IF(J107="DEPENDENCY GAP","MEDIUM","—"))</f>
        <v/>
      </c>
      <c r="L107" s="18">
        <f>IF(J107="CONTRADICTION","Strong upstream claim is not supported by linked downstream capability/evidence. Trigger: Research governance review.",IF(J107="DEPENDENCY GAP","Downstream capability materially trails upstream expectation. Trigger: Research governance review.",""))</f>
        <v/>
      </c>
    </row>
    <row r="108">
      <c r="A108" s="18" t="inlineStr">
        <is>
          <t>CD07</t>
        </is>
      </c>
      <c r="B108" s="18" t="inlineStr">
        <is>
          <t>D02-I13</t>
        </is>
      </c>
      <c r="C108" s="18" t="inlineStr">
        <is>
          <t>D10-I13</t>
        </is>
      </c>
      <c r="D108" s="18">
        <f>'P0-3_Scorecard'!L24</f>
        <v/>
      </c>
      <c r="E108" s="18">
        <f>'P0-3_Scorecard'!L129</f>
        <v/>
      </c>
      <c r="F108" s="18">
        <f>'P0-3_Scorecard'!M24</f>
        <v/>
      </c>
      <c r="G108" s="18">
        <f>'P0-3_Scorecard'!M129</f>
        <v/>
      </c>
      <c r="H108" s="18">
        <f>IF(OR(D108="",F108=""),"",D108-(F108*20))</f>
        <v/>
      </c>
      <c r="I108" s="18">
        <f>IF(OR(E108="",G108=""),"",E108-(G108*20))</f>
        <v/>
      </c>
      <c r="J108" s="18">
        <f>IF(OR(D108="",E108=""),"INCOMPLETE",IF(AND(D108&gt;=80,E108&lt;50),"CONTRADICTION",IF(AND(D108&gt;=70,E108&lt;70),"DEPENDENCY GAP","NO TRIGGER")))</f>
        <v/>
      </c>
      <c r="K108" s="18">
        <f>IF(J108="CONTRADICTION","HIGH",IF(J108="DEPENDENCY GAP","MEDIUM","—"))</f>
        <v/>
      </c>
      <c r="L108" s="18">
        <f>IF(J108="CONTRADICTION","Strong upstream claim is not supported by linked downstream capability/evidence. Trigger: Research governance review.",IF(J108="DEPENDENCY GAP","Downstream capability materially trails upstream expectation. Trigger: Research governance review.",""))</f>
        <v/>
      </c>
    </row>
    <row r="109">
      <c r="A109" s="18" t="inlineStr">
        <is>
          <t>CD07</t>
        </is>
      </c>
      <c r="B109" s="18" t="inlineStr">
        <is>
          <t>D02-I14</t>
        </is>
      </c>
      <c r="C109" s="18" t="inlineStr">
        <is>
          <t>D10-I04</t>
        </is>
      </c>
      <c r="D109" s="18">
        <f>'P0-3_Scorecard'!L25</f>
        <v/>
      </c>
      <c r="E109" s="18">
        <f>'P0-3_Scorecard'!L120</f>
        <v/>
      </c>
      <c r="F109" s="18">
        <f>'P0-3_Scorecard'!M25</f>
        <v/>
      </c>
      <c r="G109" s="18">
        <f>'P0-3_Scorecard'!M120</f>
        <v/>
      </c>
      <c r="H109" s="18">
        <f>IF(OR(D109="",F109=""),"",D109-(F109*20))</f>
        <v/>
      </c>
      <c r="I109" s="18">
        <f>IF(OR(E109="",G109=""),"",E109-(G109*20))</f>
        <v/>
      </c>
      <c r="J109" s="18">
        <f>IF(OR(D109="",E109=""),"INCOMPLETE",IF(AND(D109&gt;=80,E109&lt;50),"CONTRADICTION",IF(AND(D109&gt;=70,E109&lt;70),"DEPENDENCY GAP","NO TRIGGER")))</f>
        <v/>
      </c>
      <c r="K109" s="18">
        <f>IF(J109="CONTRADICTION","HIGH",IF(J109="DEPENDENCY GAP","MEDIUM","—"))</f>
        <v/>
      </c>
      <c r="L109" s="18">
        <f>IF(J109="CONTRADICTION","Strong upstream claim is not supported by linked downstream capability/evidence. Trigger: Research governance review.",IF(J109="DEPENDENCY GAP","Downstream capability materially trails upstream expectation. Trigger: Research governance review.",""))</f>
        <v/>
      </c>
    </row>
    <row r="110">
      <c r="A110" s="18" t="inlineStr">
        <is>
          <t>CD07</t>
        </is>
      </c>
      <c r="B110" s="18" t="inlineStr">
        <is>
          <t>D02-I14</t>
        </is>
      </c>
      <c r="C110" s="18" t="inlineStr">
        <is>
          <t>D10-I06</t>
        </is>
      </c>
      <c r="D110" s="18">
        <f>'P0-3_Scorecard'!L25</f>
        <v/>
      </c>
      <c r="E110" s="18">
        <f>'P0-3_Scorecard'!L122</f>
        <v/>
      </c>
      <c r="F110" s="18">
        <f>'P0-3_Scorecard'!M25</f>
        <v/>
      </c>
      <c r="G110" s="18">
        <f>'P0-3_Scorecard'!M122</f>
        <v/>
      </c>
      <c r="H110" s="18">
        <f>IF(OR(D110="",F110=""),"",D110-(F110*20))</f>
        <v/>
      </c>
      <c r="I110" s="18">
        <f>IF(OR(E110="",G110=""),"",E110-(G110*20))</f>
        <v/>
      </c>
      <c r="J110" s="18">
        <f>IF(OR(D110="",E110=""),"INCOMPLETE",IF(AND(D110&gt;=80,E110&lt;50),"CONTRADICTION",IF(AND(D110&gt;=70,E110&lt;70),"DEPENDENCY GAP","NO TRIGGER")))</f>
        <v/>
      </c>
      <c r="K110" s="18">
        <f>IF(J110="CONTRADICTION","HIGH",IF(J110="DEPENDENCY GAP","MEDIUM","—"))</f>
        <v/>
      </c>
      <c r="L110" s="18">
        <f>IF(J110="CONTRADICTION","Strong upstream claim is not supported by linked downstream capability/evidence. Trigger: Research governance review.",IF(J110="DEPENDENCY GAP","Downstream capability materially trails upstream expectation. Trigger: Research governance review.",""))</f>
        <v/>
      </c>
    </row>
    <row r="111">
      <c r="A111" s="18" t="inlineStr">
        <is>
          <t>CD07</t>
        </is>
      </c>
      <c r="B111" s="18" t="inlineStr">
        <is>
          <t>D02-I14</t>
        </is>
      </c>
      <c r="C111" s="18" t="inlineStr">
        <is>
          <t>D10-I12</t>
        </is>
      </c>
      <c r="D111" s="18">
        <f>'P0-3_Scorecard'!L25</f>
        <v/>
      </c>
      <c r="E111" s="18">
        <f>'P0-3_Scorecard'!L128</f>
        <v/>
      </c>
      <c r="F111" s="18">
        <f>'P0-3_Scorecard'!M25</f>
        <v/>
      </c>
      <c r="G111" s="18">
        <f>'P0-3_Scorecard'!M128</f>
        <v/>
      </c>
      <c r="H111" s="18">
        <f>IF(OR(D111="",F111=""),"",D111-(F111*20))</f>
        <v/>
      </c>
      <c r="I111" s="18">
        <f>IF(OR(E111="",G111=""),"",E111-(G111*20))</f>
        <v/>
      </c>
      <c r="J111" s="18">
        <f>IF(OR(D111="",E111=""),"INCOMPLETE",IF(AND(D111&gt;=80,E111&lt;50),"CONTRADICTION",IF(AND(D111&gt;=70,E111&lt;70),"DEPENDENCY GAP","NO TRIGGER")))</f>
        <v/>
      </c>
      <c r="K111" s="18">
        <f>IF(J111="CONTRADICTION","HIGH",IF(J111="DEPENDENCY GAP","MEDIUM","—"))</f>
        <v/>
      </c>
      <c r="L111" s="18">
        <f>IF(J111="CONTRADICTION","Strong upstream claim is not supported by linked downstream capability/evidence. Trigger: Research governance review.",IF(J111="DEPENDENCY GAP","Downstream capability materially trails upstream expectation. Trigger: Research governance review.",""))</f>
        <v/>
      </c>
    </row>
    <row r="112">
      <c r="A112" s="18" t="inlineStr">
        <is>
          <t>CD07</t>
        </is>
      </c>
      <c r="B112" s="18" t="inlineStr">
        <is>
          <t>D02-I14</t>
        </is>
      </c>
      <c r="C112" s="18" t="inlineStr">
        <is>
          <t>D10-I13</t>
        </is>
      </c>
      <c r="D112" s="18">
        <f>'P0-3_Scorecard'!L25</f>
        <v/>
      </c>
      <c r="E112" s="18">
        <f>'P0-3_Scorecard'!L129</f>
        <v/>
      </c>
      <c r="F112" s="18">
        <f>'P0-3_Scorecard'!M25</f>
        <v/>
      </c>
      <c r="G112" s="18">
        <f>'P0-3_Scorecard'!M129</f>
        <v/>
      </c>
      <c r="H112" s="18">
        <f>IF(OR(D112="",F112=""),"",D112-(F112*20))</f>
        <v/>
      </c>
      <c r="I112" s="18">
        <f>IF(OR(E112="",G112=""),"",E112-(G112*20))</f>
        <v/>
      </c>
      <c r="J112" s="18">
        <f>IF(OR(D112="",E112=""),"INCOMPLETE",IF(AND(D112&gt;=80,E112&lt;50),"CONTRADICTION",IF(AND(D112&gt;=70,E112&lt;70),"DEPENDENCY GAP","NO TRIGGER")))</f>
        <v/>
      </c>
      <c r="K112" s="18">
        <f>IF(J112="CONTRADICTION","HIGH",IF(J112="DEPENDENCY GAP","MEDIUM","—"))</f>
        <v/>
      </c>
      <c r="L112" s="18">
        <f>IF(J112="CONTRADICTION","Strong upstream claim is not supported by linked downstream capability/evidence. Trigger: Research governance review.",IF(J112="DEPENDENCY GAP","Downstream capability materially trails upstream expectation. Trigger: Research governance review.",""))</f>
        <v/>
      </c>
    </row>
    <row r="113">
      <c r="A113" s="18" t="inlineStr">
        <is>
          <t>CD08</t>
        </is>
      </c>
      <c r="B113" s="18" t="inlineStr">
        <is>
          <t>D03-I01</t>
        </is>
      </c>
      <c r="C113" s="18" t="inlineStr">
        <is>
          <t>D04-I02</t>
        </is>
      </c>
      <c r="D113" s="18">
        <f>'P0-3_Scorecard'!L26</f>
        <v/>
      </c>
      <c r="E113" s="18">
        <f>'P0-3_Scorecard'!L44</f>
        <v/>
      </c>
      <c r="F113" s="18">
        <f>'P0-3_Scorecard'!M26</f>
        <v/>
      </c>
      <c r="G113" s="18">
        <f>'P0-3_Scorecard'!M44</f>
        <v/>
      </c>
      <c r="H113" s="18">
        <f>IF(OR(D113="",F113=""),"",D113-(F113*20))</f>
        <v/>
      </c>
      <c r="I113" s="18">
        <f>IF(OR(E113="",G113=""),"",E113-(G113*20))</f>
        <v/>
      </c>
      <c r="J113" s="18">
        <f>IF(OR(D113="",E113=""),"INCOMPLETE",IF(AND(D113&gt;=80,E113&lt;50),"CONTRADICTION",IF(AND(D113&gt;=70,E113&lt;70),"DEPENDENCY GAP","NO TRIGGER")))</f>
        <v/>
      </c>
      <c r="K113" s="18">
        <f>IF(J113="CONTRADICTION","HIGH",IF(J113="DEPENDENCY GAP","MEDIUM","—"))</f>
        <v/>
      </c>
      <c r="L113" s="18">
        <f>IF(J113="CONTRADICTION","Strong upstream claim is not supported by linked downstream capability/evidence. Trigger: Curriculum mapping review.",IF(J113="DEPENDENCY GAP","Downstream capability materially trails upstream expectation. Trigger: Curriculum mapping review.",""))</f>
        <v/>
      </c>
    </row>
    <row r="114">
      <c r="A114" s="18" t="inlineStr">
        <is>
          <t>CD08</t>
        </is>
      </c>
      <c r="B114" s="18" t="inlineStr">
        <is>
          <t>D03-I01</t>
        </is>
      </c>
      <c r="C114" s="18" t="inlineStr">
        <is>
          <t>D04-I04</t>
        </is>
      </c>
      <c r="D114" s="18">
        <f>'P0-3_Scorecard'!L26</f>
        <v/>
      </c>
      <c r="E114" s="18">
        <f>'P0-3_Scorecard'!L46</f>
        <v/>
      </c>
      <c r="F114" s="18">
        <f>'P0-3_Scorecard'!M26</f>
        <v/>
      </c>
      <c r="G114" s="18">
        <f>'P0-3_Scorecard'!M46</f>
        <v/>
      </c>
      <c r="H114" s="18">
        <f>IF(OR(D114="",F114=""),"",D114-(F114*20))</f>
        <v/>
      </c>
      <c r="I114" s="18">
        <f>IF(OR(E114="",G114=""),"",E114-(G114*20))</f>
        <v/>
      </c>
      <c r="J114" s="18">
        <f>IF(OR(D114="",E114=""),"INCOMPLETE",IF(AND(D114&gt;=80,E114&lt;50),"CONTRADICTION",IF(AND(D114&gt;=70,E114&lt;70),"DEPENDENCY GAP","NO TRIGGER")))</f>
        <v/>
      </c>
      <c r="K114" s="18">
        <f>IF(J114="CONTRADICTION","HIGH",IF(J114="DEPENDENCY GAP","MEDIUM","—"))</f>
        <v/>
      </c>
      <c r="L114" s="18">
        <f>IF(J114="CONTRADICTION","Strong upstream claim is not supported by linked downstream capability/evidence. Trigger: Curriculum mapping review.",IF(J114="DEPENDENCY GAP","Downstream capability materially trails upstream expectation. Trigger: Curriculum mapping review.",""))</f>
        <v/>
      </c>
    </row>
    <row r="115">
      <c r="A115" s="18" t="inlineStr">
        <is>
          <t>CD08</t>
        </is>
      </c>
      <c r="B115" s="18" t="inlineStr">
        <is>
          <t>D03-I01</t>
        </is>
      </c>
      <c r="C115" s="18" t="inlineStr">
        <is>
          <t>D04-I07</t>
        </is>
      </c>
      <c r="D115" s="18">
        <f>'P0-3_Scorecard'!L26</f>
        <v/>
      </c>
      <c r="E115" s="18">
        <f>'P0-3_Scorecard'!L49</f>
        <v/>
      </c>
      <c r="F115" s="18">
        <f>'P0-3_Scorecard'!M26</f>
        <v/>
      </c>
      <c r="G115" s="18">
        <f>'P0-3_Scorecard'!M49</f>
        <v/>
      </c>
      <c r="H115" s="18">
        <f>IF(OR(D115="",F115=""),"",D115-(F115*20))</f>
        <v/>
      </c>
      <c r="I115" s="18">
        <f>IF(OR(E115="",G115=""),"",E115-(G115*20))</f>
        <v/>
      </c>
      <c r="J115" s="18">
        <f>IF(OR(D115="",E115=""),"INCOMPLETE",IF(AND(D115&gt;=80,E115&lt;50),"CONTRADICTION",IF(AND(D115&gt;=70,E115&lt;70),"DEPENDENCY GAP","NO TRIGGER")))</f>
        <v/>
      </c>
      <c r="K115" s="18">
        <f>IF(J115="CONTRADICTION","HIGH",IF(J115="DEPENDENCY GAP","MEDIUM","—"))</f>
        <v/>
      </c>
      <c r="L115" s="18">
        <f>IF(J115="CONTRADICTION","Strong upstream claim is not supported by linked downstream capability/evidence. Trigger: Curriculum mapping review.",IF(J115="DEPENDENCY GAP","Downstream capability materially trails upstream expectation. Trigger: Curriculum mapping review.",""))</f>
        <v/>
      </c>
    </row>
    <row r="116">
      <c r="A116" s="18" t="inlineStr">
        <is>
          <t>CD08</t>
        </is>
      </c>
      <c r="B116" s="18" t="inlineStr">
        <is>
          <t>D03-I01</t>
        </is>
      </c>
      <c r="C116" s="18" t="inlineStr">
        <is>
          <t>D04-I11</t>
        </is>
      </c>
      <c r="D116" s="18">
        <f>'P0-3_Scorecard'!L26</f>
        <v/>
      </c>
      <c r="E116" s="18">
        <f>'P0-3_Scorecard'!L53</f>
        <v/>
      </c>
      <c r="F116" s="18">
        <f>'P0-3_Scorecard'!M26</f>
        <v/>
      </c>
      <c r="G116" s="18">
        <f>'P0-3_Scorecard'!M53</f>
        <v/>
      </c>
      <c r="H116" s="18">
        <f>IF(OR(D116="",F116=""),"",D116-(F116*20))</f>
        <v/>
      </c>
      <c r="I116" s="18">
        <f>IF(OR(E116="",G116=""),"",E116-(G116*20))</f>
        <v/>
      </c>
      <c r="J116" s="18">
        <f>IF(OR(D116="",E116=""),"INCOMPLETE",IF(AND(D116&gt;=80,E116&lt;50),"CONTRADICTION",IF(AND(D116&gt;=70,E116&lt;70),"DEPENDENCY GAP","NO TRIGGER")))</f>
        <v/>
      </c>
      <c r="K116" s="18">
        <f>IF(J116="CONTRADICTION","HIGH",IF(J116="DEPENDENCY GAP","MEDIUM","—"))</f>
        <v/>
      </c>
      <c r="L116" s="18">
        <f>IF(J116="CONTRADICTION","Strong upstream claim is not supported by linked downstream capability/evidence. Trigger: Curriculum mapping review.",IF(J116="DEPENDENCY GAP","Downstream capability materially trails upstream expectation. Trigger: Curriculum mapping review.",""))</f>
        <v/>
      </c>
    </row>
    <row r="117">
      <c r="A117" s="18" t="inlineStr">
        <is>
          <t>CD08</t>
        </is>
      </c>
      <c r="B117" s="18" t="inlineStr">
        <is>
          <t>D03-I02</t>
        </is>
      </c>
      <c r="C117" s="18" t="inlineStr">
        <is>
          <t>D04-I02</t>
        </is>
      </c>
      <c r="D117" s="18">
        <f>'P0-3_Scorecard'!L27</f>
        <v/>
      </c>
      <c r="E117" s="18">
        <f>'P0-3_Scorecard'!L44</f>
        <v/>
      </c>
      <c r="F117" s="18">
        <f>'P0-3_Scorecard'!M27</f>
        <v/>
      </c>
      <c r="G117" s="18">
        <f>'P0-3_Scorecard'!M44</f>
        <v/>
      </c>
      <c r="H117" s="18">
        <f>IF(OR(D117="",F117=""),"",D117-(F117*20))</f>
        <v/>
      </c>
      <c r="I117" s="18">
        <f>IF(OR(E117="",G117=""),"",E117-(G117*20))</f>
        <v/>
      </c>
      <c r="J117" s="18">
        <f>IF(OR(D117="",E117=""),"INCOMPLETE",IF(AND(D117&gt;=80,E117&lt;50),"CONTRADICTION",IF(AND(D117&gt;=70,E117&lt;70),"DEPENDENCY GAP","NO TRIGGER")))</f>
        <v/>
      </c>
      <c r="K117" s="18">
        <f>IF(J117="CONTRADICTION","HIGH",IF(J117="DEPENDENCY GAP","MEDIUM","—"))</f>
        <v/>
      </c>
      <c r="L117" s="18">
        <f>IF(J117="CONTRADICTION","Strong upstream claim is not supported by linked downstream capability/evidence. Trigger: Curriculum mapping review.",IF(J117="DEPENDENCY GAP","Downstream capability materially trails upstream expectation. Trigger: Curriculum mapping review.",""))</f>
        <v/>
      </c>
    </row>
    <row r="118">
      <c r="A118" s="18" t="inlineStr">
        <is>
          <t>CD08</t>
        </is>
      </c>
      <c r="B118" s="18" t="inlineStr">
        <is>
          <t>D03-I02</t>
        </is>
      </c>
      <c r="C118" s="18" t="inlineStr">
        <is>
          <t>D04-I04</t>
        </is>
      </c>
      <c r="D118" s="18">
        <f>'P0-3_Scorecard'!L27</f>
        <v/>
      </c>
      <c r="E118" s="18">
        <f>'P0-3_Scorecard'!L46</f>
        <v/>
      </c>
      <c r="F118" s="18">
        <f>'P0-3_Scorecard'!M27</f>
        <v/>
      </c>
      <c r="G118" s="18">
        <f>'P0-3_Scorecard'!M46</f>
        <v/>
      </c>
      <c r="H118" s="18">
        <f>IF(OR(D118="",F118=""),"",D118-(F118*20))</f>
        <v/>
      </c>
      <c r="I118" s="18">
        <f>IF(OR(E118="",G118=""),"",E118-(G118*20))</f>
        <v/>
      </c>
      <c r="J118" s="18">
        <f>IF(OR(D118="",E118=""),"INCOMPLETE",IF(AND(D118&gt;=80,E118&lt;50),"CONTRADICTION",IF(AND(D118&gt;=70,E118&lt;70),"DEPENDENCY GAP","NO TRIGGER")))</f>
        <v/>
      </c>
      <c r="K118" s="18">
        <f>IF(J118="CONTRADICTION","HIGH",IF(J118="DEPENDENCY GAP","MEDIUM","—"))</f>
        <v/>
      </c>
      <c r="L118" s="18">
        <f>IF(J118="CONTRADICTION","Strong upstream claim is not supported by linked downstream capability/evidence. Trigger: Curriculum mapping review.",IF(J118="DEPENDENCY GAP","Downstream capability materially trails upstream expectation. Trigger: Curriculum mapping review.",""))</f>
        <v/>
      </c>
    </row>
    <row r="119">
      <c r="A119" s="18" t="inlineStr">
        <is>
          <t>CD08</t>
        </is>
      </c>
      <c r="B119" s="18" t="inlineStr">
        <is>
          <t>D03-I02</t>
        </is>
      </c>
      <c r="C119" s="18" t="inlineStr">
        <is>
          <t>D04-I07</t>
        </is>
      </c>
      <c r="D119" s="18">
        <f>'P0-3_Scorecard'!L27</f>
        <v/>
      </c>
      <c r="E119" s="18">
        <f>'P0-3_Scorecard'!L49</f>
        <v/>
      </c>
      <c r="F119" s="18">
        <f>'P0-3_Scorecard'!M27</f>
        <v/>
      </c>
      <c r="G119" s="18">
        <f>'P0-3_Scorecard'!M49</f>
        <v/>
      </c>
      <c r="H119" s="18">
        <f>IF(OR(D119="",F119=""),"",D119-(F119*20))</f>
        <v/>
      </c>
      <c r="I119" s="18">
        <f>IF(OR(E119="",G119=""),"",E119-(G119*20))</f>
        <v/>
      </c>
      <c r="J119" s="18">
        <f>IF(OR(D119="",E119=""),"INCOMPLETE",IF(AND(D119&gt;=80,E119&lt;50),"CONTRADICTION",IF(AND(D119&gt;=70,E119&lt;70),"DEPENDENCY GAP","NO TRIGGER")))</f>
        <v/>
      </c>
      <c r="K119" s="18">
        <f>IF(J119="CONTRADICTION","HIGH",IF(J119="DEPENDENCY GAP","MEDIUM","—"))</f>
        <v/>
      </c>
      <c r="L119" s="18">
        <f>IF(J119="CONTRADICTION","Strong upstream claim is not supported by linked downstream capability/evidence. Trigger: Curriculum mapping review.",IF(J119="DEPENDENCY GAP","Downstream capability materially trails upstream expectation. Trigger: Curriculum mapping review.",""))</f>
        <v/>
      </c>
    </row>
    <row r="120">
      <c r="A120" s="18" t="inlineStr">
        <is>
          <t>CD08</t>
        </is>
      </c>
      <c r="B120" s="18" t="inlineStr">
        <is>
          <t>D03-I02</t>
        </is>
      </c>
      <c r="C120" s="18" t="inlineStr">
        <is>
          <t>D04-I11</t>
        </is>
      </c>
      <c r="D120" s="18">
        <f>'P0-3_Scorecard'!L27</f>
        <v/>
      </c>
      <c r="E120" s="18">
        <f>'P0-3_Scorecard'!L53</f>
        <v/>
      </c>
      <c r="F120" s="18">
        <f>'P0-3_Scorecard'!M27</f>
        <v/>
      </c>
      <c r="G120" s="18">
        <f>'P0-3_Scorecard'!M53</f>
        <v/>
      </c>
      <c r="H120" s="18">
        <f>IF(OR(D120="",F120=""),"",D120-(F120*20))</f>
        <v/>
      </c>
      <c r="I120" s="18">
        <f>IF(OR(E120="",G120=""),"",E120-(G120*20))</f>
        <v/>
      </c>
      <c r="J120" s="18">
        <f>IF(OR(D120="",E120=""),"INCOMPLETE",IF(AND(D120&gt;=80,E120&lt;50),"CONTRADICTION",IF(AND(D120&gt;=70,E120&lt;70),"DEPENDENCY GAP","NO TRIGGER")))</f>
        <v/>
      </c>
      <c r="K120" s="18">
        <f>IF(J120="CONTRADICTION","HIGH",IF(J120="DEPENDENCY GAP","MEDIUM","—"))</f>
        <v/>
      </c>
      <c r="L120" s="18">
        <f>IF(J120="CONTRADICTION","Strong upstream claim is not supported by linked downstream capability/evidence. Trigger: Curriculum mapping review.",IF(J120="DEPENDENCY GAP","Downstream capability materially trails upstream expectation. Trigger: Curriculum mapping review.",""))</f>
        <v/>
      </c>
    </row>
    <row r="121">
      <c r="A121" s="18" t="inlineStr">
        <is>
          <t>CD08</t>
        </is>
      </c>
      <c r="B121" s="18" t="inlineStr">
        <is>
          <t>D03-I05</t>
        </is>
      </c>
      <c r="C121" s="18" t="inlineStr">
        <is>
          <t>D04-I02</t>
        </is>
      </c>
      <c r="D121" s="18">
        <f>'P0-3_Scorecard'!L30</f>
        <v/>
      </c>
      <c r="E121" s="18">
        <f>'P0-3_Scorecard'!L44</f>
        <v/>
      </c>
      <c r="F121" s="18">
        <f>'P0-3_Scorecard'!M30</f>
        <v/>
      </c>
      <c r="G121" s="18">
        <f>'P0-3_Scorecard'!M44</f>
        <v/>
      </c>
      <c r="H121" s="18">
        <f>IF(OR(D121="",F121=""),"",D121-(F121*20))</f>
        <v/>
      </c>
      <c r="I121" s="18">
        <f>IF(OR(E121="",G121=""),"",E121-(G121*20))</f>
        <v/>
      </c>
      <c r="J121" s="18">
        <f>IF(OR(D121="",E121=""),"INCOMPLETE",IF(AND(D121&gt;=80,E121&lt;50),"CONTRADICTION",IF(AND(D121&gt;=70,E121&lt;70),"DEPENDENCY GAP","NO TRIGGER")))</f>
        <v/>
      </c>
      <c r="K121" s="18">
        <f>IF(J121="CONTRADICTION","HIGH",IF(J121="DEPENDENCY GAP","MEDIUM","—"))</f>
        <v/>
      </c>
      <c r="L121" s="18">
        <f>IF(J121="CONTRADICTION","Strong upstream claim is not supported by linked downstream capability/evidence. Trigger: Curriculum mapping review.",IF(J121="DEPENDENCY GAP","Downstream capability materially trails upstream expectation. Trigger: Curriculum mapping review.",""))</f>
        <v/>
      </c>
    </row>
    <row r="122">
      <c r="A122" s="18" t="inlineStr">
        <is>
          <t>CD08</t>
        </is>
      </c>
      <c r="B122" s="18" t="inlineStr">
        <is>
          <t>D03-I05</t>
        </is>
      </c>
      <c r="C122" s="18" t="inlineStr">
        <is>
          <t>D04-I04</t>
        </is>
      </c>
      <c r="D122" s="18">
        <f>'P0-3_Scorecard'!L30</f>
        <v/>
      </c>
      <c r="E122" s="18">
        <f>'P0-3_Scorecard'!L46</f>
        <v/>
      </c>
      <c r="F122" s="18">
        <f>'P0-3_Scorecard'!M30</f>
        <v/>
      </c>
      <c r="G122" s="18">
        <f>'P0-3_Scorecard'!M46</f>
        <v/>
      </c>
      <c r="H122" s="18">
        <f>IF(OR(D122="",F122=""),"",D122-(F122*20))</f>
        <v/>
      </c>
      <c r="I122" s="18">
        <f>IF(OR(E122="",G122=""),"",E122-(G122*20))</f>
        <v/>
      </c>
      <c r="J122" s="18">
        <f>IF(OR(D122="",E122=""),"INCOMPLETE",IF(AND(D122&gt;=80,E122&lt;50),"CONTRADICTION",IF(AND(D122&gt;=70,E122&lt;70),"DEPENDENCY GAP","NO TRIGGER")))</f>
        <v/>
      </c>
      <c r="K122" s="18">
        <f>IF(J122="CONTRADICTION","HIGH",IF(J122="DEPENDENCY GAP","MEDIUM","—"))</f>
        <v/>
      </c>
      <c r="L122" s="18">
        <f>IF(J122="CONTRADICTION","Strong upstream claim is not supported by linked downstream capability/evidence. Trigger: Curriculum mapping review.",IF(J122="DEPENDENCY GAP","Downstream capability materially trails upstream expectation. Trigger: Curriculum mapping review.",""))</f>
        <v/>
      </c>
    </row>
    <row r="123">
      <c r="A123" s="18" t="inlineStr">
        <is>
          <t>CD08</t>
        </is>
      </c>
      <c r="B123" s="18" t="inlineStr">
        <is>
          <t>D03-I05</t>
        </is>
      </c>
      <c r="C123" s="18" t="inlineStr">
        <is>
          <t>D04-I07</t>
        </is>
      </c>
      <c r="D123" s="18">
        <f>'P0-3_Scorecard'!L30</f>
        <v/>
      </c>
      <c r="E123" s="18">
        <f>'P0-3_Scorecard'!L49</f>
        <v/>
      </c>
      <c r="F123" s="18">
        <f>'P0-3_Scorecard'!M30</f>
        <v/>
      </c>
      <c r="G123" s="18">
        <f>'P0-3_Scorecard'!M49</f>
        <v/>
      </c>
      <c r="H123" s="18">
        <f>IF(OR(D123="",F123=""),"",D123-(F123*20))</f>
        <v/>
      </c>
      <c r="I123" s="18">
        <f>IF(OR(E123="",G123=""),"",E123-(G123*20))</f>
        <v/>
      </c>
      <c r="J123" s="18">
        <f>IF(OR(D123="",E123=""),"INCOMPLETE",IF(AND(D123&gt;=80,E123&lt;50),"CONTRADICTION",IF(AND(D123&gt;=70,E123&lt;70),"DEPENDENCY GAP","NO TRIGGER")))</f>
        <v/>
      </c>
      <c r="K123" s="18">
        <f>IF(J123="CONTRADICTION","HIGH",IF(J123="DEPENDENCY GAP","MEDIUM","—"))</f>
        <v/>
      </c>
      <c r="L123" s="18">
        <f>IF(J123="CONTRADICTION","Strong upstream claim is not supported by linked downstream capability/evidence. Trigger: Curriculum mapping review.",IF(J123="DEPENDENCY GAP","Downstream capability materially trails upstream expectation. Trigger: Curriculum mapping review.",""))</f>
        <v/>
      </c>
    </row>
    <row r="124">
      <c r="A124" s="18" t="inlineStr">
        <is>
          <t>CD08</t>
        </is>
      </c>
      <c r="B124" s="18" t="inlineStr">
        <is>
          <t>D03-I05</t>
        </is>
      </c>
      <c r="C124" s="18" t="inlineStr">
        <is>
          <t>D04-I11</t>
        </is>
      </c>
      <c r="D124" s="18">
        <f>'P0-3_Scorecard'!L30</f>
        <v/>
      </c>
      <c r="E124" s="18">
        <f>'P0-3_Scorecard'!L53</f>
        <v/>
      </c>
      <c r="F124" s="18">
        <f>'P0-3_Scorecard'!M30</f>
        <v/>
      </c>
      <c r="G124" s="18">
        <f>'P0-3_Scorecard'!M53</f>
        <v/>
      </c>
      <c r="H124" s="18">
        <f>IF(OR(D124="",F124=""),"",D124-(F124*20))</f>
        <v/>
      </c>
      <c r="I124" s="18">
        <f>IF(OR(E124="",G124=""),"",E124-(G124*20))</f>
        <v/>
      </c>
      <c r="J124" s="18">
        <f>IF(OR(D124="",E124=""),"INCOMPLETE",IF(AND(D124&gt;=80,E124&lt;50),"CONTRADICTION",IF(AND(D124&gt;=70,E124&lt;70),"DEPENDENCY GAP","NO TRIGGER")))</f>
        <v/>
      </c>
      <c r="K124" s="18">
        <f>IF(J124="CONTRADICTION","HIGH",IF(J124="DEPENDENCY GAP","MEDIUM","—"))</f>
        <v/>
      </c>
      <c r="L124" s="18">
        <f>IF(J124="CONTRADICTION","Strong upstream claim is not supported by linked downstream capability/evidence. Trigger: Curriculum mapping review.",IF(J124="DEPENDENCY GAP","Downstream capability materially trails upstream expectation. Trigger: Curriculum mapping review.",""))</f>
        <v/>
      </c>
    </row>
    <row r="125">
      <c r="A125" s="18" t="inlineStr">
        <is>
          <t>CD08</t>
        </is>
      </c>
      <c r="B125" s="18" t="inlineStr">
        <is>
          <t>D03-I07</t>
        </is>
      </c>
      <c r="C125" s="18" t="inlineStr">
        <is>
          <t>D04-I02</t>
        </is>
      </c>
      <c r="D125" s="18">
        <f>'P0-3_Scorecard'!L32</f>
        <v/>
      </c>
      <c r="E125" s="18">
        <f>'P0-3_Scorecard'!L44</f>
        <v/>
      </c>
      <c r="F125" s="18">
        <f>'P0-3_Scorecard'!M32</f>
        <v/>
      </c>
      <c r="G125" s="18">
        <f>'P0-3_Scorecard'!M44</f>
        <v/>
      </c>
      <c r="H125" s="18">
        <f>IF(OR(D125="",F125=""),"",D125-(F125*20))</f>
        <v/>
      </c>
      <c r="I125" s="18">
        <f>IF(OR(E125="",G125=""),"",E125-(G125*20))</f>
        <v/>
      </c>
      <c r="J125" s="18">
        <f>IF(OR(D125="",E125=""),"INCOMPLETE",IF(AND(D125&gt;=80,E125&lt;50),"CONTRADICTION",IF(AND(D125&gt;=70,E125&lt;70),"DEPENDENCY GAP","NO TRIGGER")))</f>
        <v/>
      </c>
      <c r="K125" s="18">
        <f>IF(J125="CONTRADICTION","HIGH",IF(J125="DEPENDENCY GAP","MEDIUM","—"))</f>
        <v/>
      </c>
      <c r="L125" s="18">
        <f>IF(J125="CONTRADICTION","Strong upstream claim is not supported by linked downstream capability/evidence. Trigger: Curriculum mapping review.",IF(J125="DEPENDENCY GAP","Downstream capability materially trails upstream expectation. Trigger: Curriculum mapping review.",""))</f>
        <v/>
      </c>
    </row>
    <row r="126">
      <c r="A126" s="18" t="inlineStr">
        <is>
          <t>CD08</t>
        </is>
      </c>
      <c r="B126" s="18" t="inlineStr">
        <is>
          <t>D03-I07</t>
        </is>
      </c>
      <c r="C126" s="18" t="inlineStr">
        <is>
          <t>D04-I04</t>
        </is>
      </c>
      <c r="D126" s="18">
        <f>'P0-3_Scorecard'!L32</f>
        <v/>
      </c>
      <c r="E126" s="18">
        <f>'P0-3_Scorecard'!L46</f>
        <v/>
      </c>
      <c r="F126" s="18">
        <f>'P0-3_Scorecard'!M32</f>
        <v/>
      </c>
      <c r="G126" s="18">
        <f>'P0-3_Scorecard'!M46</f>
        <v/>
      </c>
      <c r="H126" s="18">
        <f>IF(OR(D126="",F126=""),"",D126-(F126*20))</f>
        <v/>
      </c>
      <c r="I126" s="18">
        <f>IF(OR(E126="",G126=""),"",E126-(G126*20))</f>
        <v/>
      </c>
      <c r="J126" s="18">
        <f>IF(OR(D126="",E126=""),"INCOMPLETE",IF(AND(D126&gt;=80,E126&lt;50),"CONTRADICTION",IF(AND(D126&gt;=70,E126&lt;70),"DEPENDENCY GAP","NO TRIGGER")))</f>
        <v/>
      </c>
      <c r="K126" s="18">
        <f>IF(J126="CONTRADICTION","HIGH",IF(J126="DEPENDENCY GAP","MEDIUM","—"))</f>
        <v/>
      </c>
      <c r="L126" s="18">
        <f>IF(J126="CONTRADICTION","Strong upstream claim is not supported by linked downstream capability/evidence. Trigger: Curriculum mapping review.",IF(J126="DEPENDENCY GAP","Downstream capability materially trails upstream expectation. Trigger: Curriculum mapping review.",""))</f>
        <v/>
      </c>
    </row>
    <row r="127">
      <c r="A127" s="18" t="inlineStr">
        <is>
          <t>CD08</t>
        </is>
      </c>
      <c r="B127" s="18" t="inlineStr">
        <is>
          <t>D03-I07</t>
        </is>
      </c>
      <c r="C127" s="18" t="inlineStr">
        <is>
          <t>D04-I07</t>
        </is>
      </c>
      <c r="D127" s="18">
        <f>'P0-3_Scorecard'!L32</f>
        <v/>
      </c>
      <c r="E127" s="18">
        <f>'P0-3_Scorecard'!L49</f>
        <v/>
      </c>
      <c r="F127" s="18">
        <f>'P0-3_Scorecard'!M32</f>
        <v/>
      </c>
      <c r="G127" s="18">
        <f>'P0-3_Scorecard'!M49</f>
        <v/>
      </c>
      <c r="H127" s="18">
        <f>IF(OR(D127="",F127=""),"",D127-(F127*20))</f>
        <v/>
      </c>
      <c r="I127" s="18">
        <f>IF(OR(E127="",G127=""),"",E127-(G127*20))</f>
        <v/>
      </c>
      <c r="J127" s="18">
        <f>IF(OR(D127="",E127=""),"INCOMPLETE",IF(AND(D127&gt;=80,E127&lt;50),"CONTRADICTION",IF(AND(D127&gt;=70,E127&lt;70),"DEPENDENCY GAP","NO TRIGGER")))</f>
        <v/>
      </c>
      <c r="K127" s="18">
        <f>IF(J127="CONTRADICTION","HIGH",IF(J127="DEPENDENCY GAP","MEDIUM","—"))</f>
        <v/>
      </c>
      <c r="L127" s="18">
        <f>IF(J127="CONTRADICTION","Strong upstream claim is not supported by linked downstream capability/evidence. Trigger: Curriculum mapping review.",IF(J127="DEPENDENCY GAP","Downstream capability materially trails upstream expectation. Trigger: Curriculum mapping review.",""))</f>
        <v/>
      </c>
    </row>
    <row r="128">
      <c r="A128" s="18" t="inlineStr">
        <is>
          <t>CD08</t>
        </is>
      </c>
      <c r="B128" s="18" t="inlineStr">
        <is>
          <t>D03-I07</t>
        </is>
      </c>
      <c r="C128" s="18" t="inlineStr">
        <is>
          <t>D04-I11</t>
        </is>
      </c>
      <c r="D128" s="18">
        <f>'P0-3_Scorecard'!L32</f>
        <v/>
      </c>
      <c r="E128" s="18">
        <f>'P0-3_Scorecard'!L53</f>
        <v/>
      </c>
      <c r="F128" s="18">
        <f>'P0-3_Scorecard'!M32</f>
        <v/>
      </c>
      <c r="G128" s="18">
        <f>'P0-3_Scorecard'!M53</f>
        <v/>
      </c>
      <c r="H128" s="18">
        <f>IF(OR(D128="",F128=""),"",D128-(F128*20))</f>
        <v/>
      </c>
      <c r="I128" s="18">
        <f>IF(OR(E128="",G128=""),"",E128-(G128*20))</f>
        <v/>
      </c>
      <c r="J128" s="18">
        <f>IF(OR(D128="",E128=""),"INCOMPLETE",IF(AND(D128&gt;=80,E128&lt;50),"CONTRADICTION",IF(AND(D128&gt;=70,E128&lt;70),"DEPENDENCY GAP","NO TRIGGER")))</f>
        <v/>
      </c>
      <c r="K128" s="18">
        <f>IF(J128="CONTRADICTION","HIGH",IF(J128="DEPENDENCY GAP","MEDIUM","—"))</f>
        <v/>
      </c>
      <c r="L128" s="18">
        <f>IF(J128="CONTRADICTION","Strong upstream claim is not supported by linked downstream capability/evidence. Trigger: Curriculum mapping review.",IF(J128="DEPENDENCY GAP","Downstream capability materially trails upstream expectation. Trigger: Curriculum mapping review.",""))</f>
        <v/>
      </c>
    </row>
    <row r="129">
      <c r="A129" s="18" t="inlineStr">
        <is>
          <t>CD08</t>
        </is>
      </c>
      <c r="B129" s="18" t="inlineStr">
        <is>
          <t>D03-I16</t>
        </is>
      </c>
      <c r="C129" s="18" t="inlineStr">
        <is>
          <t>D04-I02</t>
        </is>
      </c>
      <c r="D129" s="18">
        <f>'P0-3_Scorecard'!L41</f>
        <v/>
      </c>
      <c r="E129" s="18">
        <f>'P0-3_Scorecard'!L44</f>
        <v/>
      </c>
      <c r="F129" s="18">
        <f>'P0-3_Scorecard'!M41</f>
        <v/>
      </c>
      <c r="G129" s="18">
        <f>'P0-3_Scorecard'!M44</f>
        <v/>
      </c>
      <c r="H129" s="18">
        <f>IF(OR(D129="",F129=""),"",D129-(F129*20))</f>
        <v/>
      </c>
      <c r="I129" s="18">
        <f>IF(OR(E129="",G129=""),"",E129-(G129*20))</f>
        <v/>
      </c>
      <c r="J129" s="18">
        <f>IF(OR(D129="",E129=""),"INCOMPLETE",IF(AND(D129&gt;=80,E129&lt;50),"CONTRADICTION",IF(AND(D129&gt;=70,E129&lt;70),"DEPENDENCY GAP","NO TRIGGER")))</f>
        <v/>
      </c>
      <c r="K129" s="18">
        <f>IF(J129="CONTRADICTION","HIGH",IF(J129="DEPENDENCY GAP","MEDIUM","—"))</f>
        <v/>
      </c>
      <c r="L129" s="18">
        <f>IF(J129="CONTRADICTION","Strong upstream claim is not supported by linked downstream capability/evidence. Trigger: Curriculum mapping review.",IF(J129="DEPENDENCY GAP","Downstream capability materially trails upstream expectation. Trigger: Curriculum mapping review.",""))</f>
        <v/>
      </c>
    </row>
    <row r="130">
      <c r="A130" s="18" t="inlineStr">
        <is>
          <t>CD08</t>
        </is>
      </c>
      <c r="B130" s="18" t="inlineStr">
        <is>
          <t>D03-I16</t>
        </is>
      </c>
      <c r="C130" s="18" t="inlineStr">
        <is>
          <t>D04-I04</t>
        </is>
      </c>
      <c r="D130" s="18">
        <f>'P0-3_Scorecard'!L41</f>
        <v/>
      </c>
      <c r="E130" s="18">
        <f>'P0-3_Scorecard'!L46</f>
        <v/>
      </c>
      <c r="F130" s="18">
        <f>'P0-3_Scorecard'!M41</f>
        <v/>
      </c>
      <c r="G130" s="18">
        <f>'P0-3_Scorecard'!M46</f>
        <v/>
      </c>
      <c r="H130" s="18">
        <f>IF(OR(D130="",F130=""),"",D130-(F130*20))</f>
        <v/>
      </c>
      <c r="I130" s="18">
        <f>IF(OR(E130="",G130=""),"",E130-(G130*20))</f>
        <v/>
      </c>
      <c r="J130" s="18">
        <f>IF(OR(D130="",E130=""),"INCOMPLETE",IF(AND(D130&gt;=80,E130&lt;50),"CONTRADICTION",IF(AND(D130&gt;=70,E130&lt;70),"DEPENDENCY GAP","NO TRIGGER")))</f>
        <v/>
      </c>
      <c r="K130" s="18">
        <f>IF(J130="CONTRADICTION","HIGH",IF(J130="DEPENDENCY GAP","MEDIUM","—"))</f>
        <v/>
      </c>
      <c r="L130" s="18">
        <f>IF(J130="CONTRADICTION","Strong upstream claim is not supported by linked downstream capability/evidence. Trigger: Curriculum mapping review.",IF(J130="DEPENDENCY GAP","Downstream capability materially trails upstream expectation. Trigger: Curriculum mapping review.",""))</f>
        <v/>
      </c>
    </row>
    <row r="131">
      <c r="A131" s="18" t="inlineStr">
        <is>
          <t>CD08</t>
        </is>
      </c>
      <c r="B131" s="18" t="inlineStr">
        <is>
          <t>D03-I16</t>
        </is>
      </c>
      <c r="C131" s="18" t="inlineStr">
        <is>
          <t>D04-I07</t>
        </is>
      </c>
      <c r="D131" s="18">
        <f>'P0-3_Scorecard'!L41</f>
        <v/>
      </c>
      <c r="E131" s="18">
        <f>'P0-3_Scorecard'!L49</f>
        <v/>
      </c>
      <c r="F131" s="18">
        <f>'P0-3_Scorecard'!M41</f>
        <v/>
      </c>
      <c r="G131" s="18">
        <f>'P0-3_Scorecard'!M49</f>
        <v/>
      </c>
      <c r="H131" s="18">
        <f>IF(OR(D131="",F131=""),"",D131-(F131*20))</f>
        <v/>
      </c>
      <c r="I131" s="18">
        <f>IF(OR(E131="",G131=""),"",E131-(G131*20))</f>
        <v/>
      </c>
      <c r="J131" s="18">
        <f>IF(OR(D131="",E131=""),"INCOMPLETE",IF(AND(D131&gt;=80,E131&lt;50),"CONTRADICTION",IF(AND(D131&gt;=70,E131&lt;70),"DEPENDENCY GAP","NO TRIGGER")))</f>
        <v/>
      </c>
      <c r="K131" s="18">
        <f>IF(J131="CONTRADICTION","HIGH",IF(J131="DEPENDENCY GAP","MEDIUM","—"))</f>
        <v/>
      </c>
      <c r="L131" s="18">
        <f>IF(J131="CONTRADICTION","Strong upstream claim is not supported by linked downstream capability/evidence. Trigger: Curriculum mapping review.",IF(J131="DEPENDENCY GAP","Downstream capability materially trails upstream expectation. Trigger: Curriculum mapping review.",""))</f>
        <v/>
      </c>
    </row>
    <row r="132">
      <c r="A132" s="18" t="inlineStr">
        <is>
          <t>CD08</t>
        </is>
      </c>
      <c r="B132" s="18" t="inlineStr">
        <is>
          <t>D03-I16</t>
        </is>
      </c>
      <c r="C132" s="18" t="inlineStr">
        <is>
          <t>D04-I11</t>
        </is>
      </c>
      <c r="D132" s="18">
        <f>'P0-3_Scorecard'!L41</f>
        <v/>
      </c>
      <c r="E132" s="18">
        <f>'P0-3_Scorecard'!L53</f>
        <v/>
      </c>
      <c r="F132" s="18">
        <f>'P0-3_Scorecard'!M41</f>
        <v/>
      </c>
      <c r="G132" s="18">
        <f>'P0-3_Scorecard'!M53</f>
        <v/>
      </c>
      <c r="H132" s="18">
        <f>IF(OR(D132="",F132=""),"",D132-(F132*20))</f>
        <v/>
      </c>
      <c r="I132" s="18">
        <f>IF(OR(E132="",G132=""),"",E132-(G132*20))</f>
        <v/>
      </c>
      <c r="J132" s="18">
        <f>IF(OR(D132="",E132=""),"INCOMPLETE",IF(AND(D132&gt;=80,E132&lt;50),"CONTRADICTION",IF(AND(D132&gt;=70,E132&lt;70),"DEPENDENCY GAP","NO TRIGGER")))</f>
        <v/>
      </c>
      <c r="K132" s="18">
        <f>IF(J132="CONTRADICTION","HIGH",IF(J132="DEPENDENCY GAP","MEDIUM","—"))</f>
        <v/>
      </c>
      <c r="L132" s="18">
        <f>IF(J132="CONTRADICTION","Strong upstream claim is not supported by linked downstream capability/evidence. Trigger: Curriculum mapping review.",IF(J132="DEPENDENCY GAP","Downstream capability materially trails upstream expectation. Trigger: Curriculum mapping review.",""))</f>
        <v/>
      </c>
    </row>
    <row r="133">
      <c r="A133" s="18" t="inlineStr">
        <is>
          <t>CD08</t>
        </is>
      </c>
      <c r="B133" s="18" t="inlineStr">
        <is>
          <t>D03-I17</t>
        </is>
      </c>
      <c r="C133" s="18" t="inlineStr">
        <is>
          <t>D04-I02</t>
        </is>
      </c>
      <c r="D133" s="18">
        <f>'P0-3_Scorecard'!L42</f>
        <v/>
      </c>
      <c r="E133" s="18">
        <f>'P0-3_Scorecard'!L44</f>
        <v/>
      </c>
      <c r="F133" s="18">
        <f>'P0-3_Scorecard'!M42</f>
        <v/>
      </c>
      <c r="G133" s="18">
        <f>'P0-3_Scorecard'!M44</f>
        <v/>
      </c>
      <c r="H133" s="18">
        <f>IF(OR(D133="",F133=""),"",D133-(F133*20))</f>
        <v/>
      </c>
      <c r="I133" s="18">
        <f>IF(OR(E133="",G133=""),"",E133-(G133*20))</f>
        <v/>
      </c>
      <c r="J133" s="18">
        <f>IF(OR(D133="",E133=""),"INCOMPLETE",IF(AND(D133&gt;=80,E133&lt;50),"CONTRADICTION",IF(AND(D133&gt;=70,E133&lt;70),"DEPENDENCY GAP","NO TRIGGER")))</f>
        <v/>
      </c>
      <c r="K133" s="18">
        <f>IF(J133="CONTRADICTION","HIGH",IF(J133="DEPENDENCY GAP","MEDIUM","—"))</f>
        <v/>
      </c>
      <c r="L133" s="18">
        <f>IF(J133="CONTRADICTION","Strong upstream claim is not supported by linked downstream capability/evidence. Trigger: Curriculum mapping review.",IF(J133="DEPENDENCY GAP","Downstream capability materially trails upstream expectation. Trigger: Curriculum mapping review.",""))</f>
        <v/>
      </c>
    </row>
    <row r="134">
      <c r="A134" s="18" t="inlineStr">
        <is>
          <t>CD08</t>
        </is>
      </c>
      <c r="B134" s="18" t="inlineStr">
        <is>
          <t>D03-I17</t>
        </is>
      </c>
      <c r="C134" s="18" t="inlineStr">
        <is>
          <t>D04-I04</t>
        </is>
      </c>
      <c r="D134" s="18">
        <f>'P0-3_Scorecard'!L42</f>
        <v/>
      </c>
      <c r="E134" s="18">
        <f>'P0-3_Scorecard'!L46</f>
        <v/>
      </c>
      <c r="F134" s="18">
        <f>'P0-3_Scorecard'!M42</f>
        <v/>
      </c>
      <c r="G134" s="18">
        <f>'P0-3_Scorecard'!M46</f>
        <v/>
      </c>
      <c r="H134" s="18">
        <f>IF(OR(D134="",F134=""),"",D134-(F134*20))</f>
        <v/>
      </c>
      <c r="I134" s="18">
        <f>IF(OR(E134="",G134=""),"",E134-(G134*20))</f>
        <v/>
      </c>
      <c r="J134" s="18">
        <f>IF(OR(D134="",E134=""),"INCOMPLETE",IF(AND(D134&gt;=80,E134&lt;50),"CONTRADICTION",IF(AND(D134&gt;=70,E134&lt;70),"DEPENDENCY GAP","NO TRIGGER")))</f>
        <v/>
      </c>
      <c r="K134" s="18">
        <f>IF(J134="CONTRADICTION","HIGH",IF(J134="DEPENDENCY GAP","MEDIUM","—"))</f>
        <v/>
      </c>
      <c r="L134" s="18">
        <f>IF(J134="CONTRADICTION","Strong upstream claim is not supported by linked downstream capability/evidence. Trigger: Curriculum mapping review.",IF(J134="DEPENDENCY GAP","Downstream capability materially trails upstream expectation. Trigger: Curriculum mapping review.",""))</f>
        <v/>
      </c>
    </row>
    <row r="135">
      <c r="A135" s="18" t="inlineStr">
        <is>
          <t>CD08</t>
        </is>
      </c>
      <c r="B135" s="18" t="inlineStr">
        <is>
          <t>D03-I17</t>
        </is>
      </c>
      <c r="C135" s="18" t="inlineStr">
        <is>
          <t>D04-I07</t>
        </is>
      </c>
      <c r="D135" s="18">
        <f>'P0-3_Scorecard'!L42</f>
        <v/>
      </c>
      <c r="E135" s="18">
        <f>'P0-3_Scorecard'!L49</f>
        <v/>
      </c>
      <c r="F135" s="18">
        <f>'P0-3_Scorecard'!M42</f>
        <v/>
      </c>
      <c r="G135" s="18">
        <f>'P0-3_Scorecard'!M49</f>
        <v/>
      </c>
      <c r="H135" s="18">
        <f>IF(OR(D135="",F135=""),"",D135-(F135*20))</f>
        <v/>
      </c>
      <c r="I135" s="18">
        <f>IF(OR(E135="",G135=""),"",E135-(G135*20))</f>
        <v/>
      </c>
      <c r="J135" s="18">
        <f>IF(OR(D135="",E135=""),"INCOMPLETE",IF(AND(D135&gt;=80,E135&lt;50),"CONTRADICTION",IF(AND(D135&gt;=70,E135&lt;70),"DEPENDENCY GAP","NO TRIGGER")))</f>
        <v/>
      </c>
      <c r="K135" s="18">
        <f>IF(J135="CONTRADICTION","HIGH",IF(J135="DEPENDENCY GAP","MEDIUM","—"))</f>
        <v/>
      </c>
      <c r="L135" s="18">
        <f>IF(J135="CONTRADICTION","Strong upstream claim is not supported by linked downstream capability/evidence. Trigger: Curriculum mapping review.",IF(J135="DEPENDENCY GAP","Downstream capability materially trails upstream expectation. Trigger: Curriculum mapping review.",""))</f>
        <v/>
      </c>
    </row>
    <row r="136">
      <c r="A136" s="18" t="inlineStr">
        <is>
          <t>CD08</t>
        </is>
      </c>
      <c r="B136" s="18" t="inlineStr">
        <is>
          <t>D03-I17</t>
        </is>
      </c>
      <c r="C136" s="18" t="inlineStr">
        <is>
          <t>D04-I11</t>
        </is>
      </c>
      <c r="D136" s="18">
        <f>'P0-3_Scorecard'!L42</f>
        <v/>
      </c>
      <c r="E136" s="18">
        <f>'P0-3_Scorecard'!L53</f>
        <v/>
      </c>
      <c r="F136" s="18">
        <f>'P0-3_Scorecard'!M42</f>
        <v/>
      </c>
      <c r="G136" s="18">
        <f>'P0-3_Scorecard'!M53</f>
        <v/>
      </c>
      <c r="H136" s="18">
        <f>IF(OR(D136="",F136=""),"",D136-(F136*20))</f>
        <v/>
      </c>
      <c r="I136" s="18">
        <f>IF(OR(E136="",G136=""),"",E136-(G136*20))</f>
        <v/>
      </c>
      <c r="J136" s="18">
        <f>IF(OR(D136="",E136=""),"INCOMPLETE",IF(AND(D136&gt;=80,E136&lt;50),"CONTRADICTION",IF(AND(D136&gt;=70,E136&lt;70),"DEPENDENCY GAP","NO TRIGGER")))</f>
        <v/>
      </c>
      <c r="K136" s="18">
        <f>IF(J136="CONTRADICTION","HIGH",IF(J136="DEPENDENCY GAP","MEDIUM","—"))</f>
        <v/>
      </c>
      <c r="L136" s="18">
        <f>IF(J136="CONTRADICTION","Strong upstream claim is not supported by linked downstream capability/evidence. Trigger: Curriculum mapping review.",IF(J136="DEPENDENCY GAP","Downstream capability materially trails upstream expectation. Trigger: Curriculum mapping review.",""))</f>
        <v/>
      </c>
    </row>
    <row r="137">
      <c r="A137" s="18" t="inlineStr">
        <is>
          <t>CD09</t>
        </is>
      </c>
      <c r="B137" s="18" t="inlineStr">
        <is>
          <t>D03-I02</t>
        </is>
      </c>
      <c r="C137" s="18" t="inlineStr">
        <is>
          <t>D06-I02</t>
        </is>
      </c>
      <c r="D137" s="18">
        <f>'P0-3_Scorecard'!L27</f>
        <v/>
      </c>
      <c r="E137" s="18">
        <f>'P0-3_Scorecard'!L68</f>
        <v/>
      </c>
      <c r="F137" s="18">
        <f>'P0-3_Scorecard'!M27</f>
        <v/>
      </c>
      <c r="G137" s="18">
        <f>'P0-3_Scorecard'!M68</f>
        <v/>
      </c>
      <c r="H137" s="18">
        <f>IF(OR(D137="",F137=""),"",D137-(F137*20))</f>
        <v/>
      </c>
      <c r="I137" s="18">
        <f>IF(OR(E137="",G137=""),"",E137-(G137*20))</f>
        <v/>
      </c>
      <c r="J137" s="18">
        <f>IF(OR(D137="",E137=""),"INCOMPLETE",IF(AND(D137&gt;=80,E137&lt;50),"CONTRADICTION",IF(AND(D137&gt;=70,E137&lt;70),"DEPENDENCY GAP","NO TRIGGER")))</f>
        <v/>
      </c>
      <c r="K137" s="18">
        <f>IF(J137="CONTRADICTION","HIGH",IF(J137="DEPENDENCY GAP","MEDIUM","—"))</f>
        <v/>
      </c>
      <c r="L137" s="18">
        <f>IF(J137="CONTRADICTION","Strong upstream claim is not supported by linked downstream capability/evidence. Trigger: Student capability review.",IF(J137="DEPENDENCY GAP","Downstream capability materially trails upstream expectation. Trigger: Student capability review.",""))</f>
        <v/>
      </c>
    </row>
    <row r="138">
      <c r="A138" s="18" t="inlineStr">
        <is>
          <t>CD09</t>
        </is>
      </c>
      <c r="B138" s="18" t="inlineStr">
        <is>
          <t>D03-I02</t>
        </is>
      </c>
      <c r="C138" s="18" t="inlineStr">
        <is>
          <t>D06-I03</t>
        </is>
      </c>
      <c r="D138" s="18">
        <f>'P0-3_Scorecard'!L27</f>
        <v/>
      </c>
      <c r="E138" s="18">
        <f>'P0-3_Scorecard'!L69</f>
        <v/>
      </c>
      <c r="F138" s="18">
        <f>'P0-3_Scorecard'!M27</f>
        <v/>
      </c>
      <c r="G138" s="18">
        <f>'P0-3_Scorecard'!M69</f>
        <v/>
      </c>
      <c r="H138" s="18">
        <f>IF(OR(D138="",F138=""),"",D138-(F138*20))</f>
        <v/>
      </c>
      <c r="I138" s="18">
        <f>IF(OR(E138="",G138=""),"",E138-(G138*20))</f>
        <v/>
      </c>
      <c r="J138" s="18">
        <f>IF(OR(D138="",E138=""),"INCOMPLETE",IF(AND(D138&gt;=80,E138&lt;50),"CONTRADICTION",IF(AND(D138&gt;=70,E138&lt;70),"DEPENDENCY GAP","NO TRIGGER")))</f>
        <v/>
      </c>
      <c r="K138" s="18">
        <f>IF(J138="CONTRADICTION","HIGH",IF(J138="DEPENDENCY GAP","MEDIUM","—"))</f>
        <v/>
      </c>
      <c r="L138" s="18">
        <f>IF(J138="CONTRADICTION","Strong upstream claim is not supported by linked downstream capability/evidence. Trigger: Student capability review.",IF(J138="DEPENDENCY GAP","Downstream capability materially trails upstream expectation. Trigger: Student capability review.",""))</f>
        <v/>
      </c>
    </row>
    <row r="139">
      <c r="A139" s="18" t="inlineStr">
        <is>
          <t>CD09</t>
        </is>
      </c>
      <c r="B139" s="18" t="inlineStr">
        <is>
          <t>D03-I02</t>
        </is>
      </c>
      <c r="C139" s="18" t="inlineStr">
        <is>
          <t>D06-I04</t>
        </is>
      </c>
      <c r="D139" s="18">
        <f>'P0-3_Scorecard'!L27</f>
        <v/>
      </c>
      <c r="E139" s="18">
        <f>'P0-3_Scorecard'!L70</f>
        <v/>
      </c>
      <c r="F139" s="18">
        <f>'P0-3_Scorecard'!M27</f>
        <v/>
      </c>
      <c r="G139" s="18">
        <f>'P0-3_Scorecard'!M70</f>
        <v/>
      </c>
      <c r="H139" s="18">
        <f>IF(OR(D139="",F139=""),"",D139-(F139*20))</f>
        <v/>
      </c>
      <c r="I139" s="18">
        <f>IF(OR(E139="",G139=""),"",E139-(G139*20))</f>
        <v/>
      </c>
      <c r="J139" s="18">
        <f>IF(OR(D139="",E139=""),"INCOMPLETE",IF(AND(D139&gt;=80,E139&lt;50),"CONTRADICTION",IF(AND(D139&gt;=70,E139&lt;70),"DEPENDENCY GAP","NO TRIGGER")))</f>
        <v/>
      </c>
      <c r="K139" s="18">
        <f>IF(J139="CONTRADICTION","HIGH",IF(J139="DEPENDENCY GAP","MEDIUM","—"))</f>
        <v/>
      </c>
      <c r="L139" s="18">
        <f>IF(J139="CONTRADICTION","Strong upstream claim is not supported by linked downstream capability/evidence. Trigger: Student capability review.",IF(J139="DEPENDENCY GAP","Downstream capability materially trails upstream expectation. Trigger: Student capability review.",""))</f>
        <v/>
      </c>
    </row>
    <row r="140">
      <c r="A140" s="18" t="inlineStr">
        <is>
          <t>CD09</t>
        </is>
      </c>
      <c r="B140" s="18" t="inlineStr">
        <is>
          <t>D03-I02</t>
        </is>
      </c>
      <c r="C140" s="18" t="inlineStr">
        <is>
          <t>D06-I10</t>
        </is>
      </c>
      <c r="D140" s="18">
        <f>'P0-3_Scorecard'!L27</f>
        <v/>
      </c>
      <c r="E140" s="18">
        <f>'P0-3_Scorecard'!L76</f>
        <v/>
      </c>
      <c r="F140" s="18">
        <f>'P0-3_Scorecard'!M27</f>
        <v/>
      </c>
      <c r="G140" s="18">
        <f>'P0-3_Scorecard'!M76</f>
        <v/>
      </c>
      <c r="H140" s="18">
        <f>IF(OR(D140="",F140=""),"",D140-(F140*20))</f>
        <v/>
      </c>
      <c r="I140" s="18">
        <f>IF(OR(E140="",G140=""),"",E140-(G140*20))</f>
        <v/>
      </c>
      <c r="J140" s="18">
        <f>IF(OR(D140="",E140=""),"INCOMPLETE",IF(AND(D140&gt;=80,E140&lt;50),"CONTRADICTION",IF(AND(D140&gt;=70,E140&lt;70),"DEPENDENCY GAP","NO TRIGGER")))</f>
        <v/>
      </c>
      <c r="K140" s="18">
        <f>IF(J140="CONTRADICTION","HIGH",IF(J140="DEPENDENCY GAP","MEDIUM","—"))</f>
        <v/>
      </c>
      <c r="L140" s="18">
        <f>IF(J140="CONTRADICTION","Strong upstream claim is not supported by linked downstream capability/evidence. Trigger: Student capability review.",IF(J140="DEPENDENCY GAP","Downstream capability materially trails upstream expectation. Trigger: Student capability review.",""))</f>
        <v/>
      </c>
    </row>
    <row r="141">
      <c r="A141" s="18" t="inlineStr">
        <is>
          <t>CD09</t>
        </is>
      </c>
      <c r="B141" s="18" t="inlineStr">
        <is>
          <t>D03-I02</t>
        </is>
      </c>
      <c r="C141" s="18" t="inlineStr">
        <is>
          <t>D06-I14</t>
        </is>
      </c>
      <c r="D141" s="18">
        <f>'P0-3_Scorecard'!L27</f>
        <v/>
      </c>
      <c r="E141" s="18">
        <f>'P0-3_Scorecard'!L80</f>
        <v/>
      </c>
      <c r="F141" s="18">
        <f>'P0-3_Scorecard'!M27</f>
        <v/>
      </c>
      <c r="G141" s="18">
        <f>'P0-3_Scorecard'!M80</f>
        <v/>
      </c>
      <c r="H141" s="18">
        <f>IF(OR(D141="",F141=""),"",D141-(F141*20))</f>
        <v/>
      </c>
      <c r="I141" s="18">
        <f>IF(OR(E141="",G141=""),"",E141-(G141*20))</f>
        <v/>
      </c>
      <c r="J141" s="18">
        <f>IF(OR(D141="",E141=""),"INCOMPLETE",IF(AND(D141&gt;=80,E141&lt;50),"CONTRADICTION",IF(AND(D141&gt;=70,E141&lt;70),"DEPENDENCY GAP","NO TRIGGER")))</f>
        <v/>
      </c>
      <c r="K141" s="18">
        <f>IF(J141="CONTRADICTION","HIGH",IF(J141="DEPENDENCY GAP","MEDIUM","—"))</f>
        <v/>
      </c>
      <c r="L141" s="18">
        <f>IF(J141="CONTRADICTION","Strong upstream claim is not supported by linked downstream capability/evidence. Trigger: Student capability review.",IF(J141="DEPENDENCY GAP","Downstream capability materially trails upstream expectation. Trigger: Student capability review.",""))</f>
        <v/>
      </c>
    </row>
    <row r="142">
      <c r="A142" s="18" t="inlineStr">
        <is>
          <t>CD09</t>
        </is>
      </c>
      <c r="B142" s="18" t="inlineStr">
        <is>
          <t>D03-I05</t>
        </is>
      </c>
      <c r="C142" s="18" t="inlineStr">
        <is>
          <t>D06-I02</t>
        </is>
      </c>
      <c r="D142" s="18">
        <f>'P0-3_Scorecard'!L30</f>
        <v/>
      </c>
      <c r="E142" s="18">
        <f>'P0-3_Scorecard'!L68</f>
        <v/>
      </c>
      <c r="F142" s="18">
        <f>'P0-3_Scorecard'!M30</f>
        <v/>
      </c>
      <c r="G142" s="18">
        <f>'P0-3_Scorecard'!M68</f>
        <v/>
      </c>
      <c r="H142" s="18">
        <f>IF(OR(D142="",F142=""),"",D142-(F142*20))</f>
        <v/>
      </c>
      <c r="I142" s="18">
        <f>IF(OR(E142="",G142=""),"",E142-(G142*20))</f>
        <v/>
      </c>
      <c r="J142" s="18">
        <f>IF(OR(D142="",E142=""),"INCOMPLETE",IF(AND(D142&gt;=80,E142&lt;50),"CONTRADICTION",IF(AND(D142&gt;=70,E142&lt;70),"DEPENDENCY GAP","NO TRIGGER")))</f>
        <v/>
      </c>
      <c r="K142" s="18">
        <f>IF(J142="CONTRADICTION","HIGH",IF(J142="DEPENDENCY GAP","MEDIUM","—"))</f>
        <v/>
      </c>
      <c r="L142" s="18">
        <f>IF(J142="CONTRADICTION","Strong upstream claim is not supported by linked downstream capability/evidence. Trigger: Student capability review.",IF(J142="DEPENDENCY GAP","Downstream capability materially trails upstream expectation. Trigger: Student capability review.",""))</f>
        <v/>
      </c>
    </row>
    <row r="143">
      <c r="A143" s="18" t="inlineStr">
        <is>
          <t>CD09</t>
        </is>
      </c>
      <c r="B143" s="18" t="inlineStr">
        <is>
          <t>D03-I05</t>
        </is>
      </c>
      <c r="C143" s="18" t="inlineStr">
        <is>
          <t>D06-I03</t>
        </is>
      </c>
      <c r="D143" s="18">
        <f>'P0-3_Scorecard'!L30</f>
        <v/>
      </c>
      <c r="E143" s="18">
        <f>'P0-3_Scorecard'!L69</f>
        <v/>
      </c>
      <c r="F143" s="18">
        <f>'P0-3_Scorecard'!M30</f>
        <v/>
      </c>
      <c r="G143" s="18">
        <f>'P0-3_Scorecard'!M69</f>
        <v/>
      </c>
      <c r="H143" s="18">
        <f>IF(OR(D143="",F143=""),"",D143-(F143*20))</f>
        <v/>
      </c>
      <c r="I143" s="18">
        <f>IF(OR(E143="",G143=""),"",E143-(G143*20))</f>
        <v/>
      </c>
      <c r="J143" s="18">
        <f>IF(OR(D143="",E143=""),"INCOMPLETE",IF(AND(D143&gt;=80,E143&lt;50),"CONTRADICTION",IF(AND(D143&gt;=70,E143&lt;70),"DEPENDENCY GAP","NO TRIGGER")))</f>
        <v/>
      </c>
      <c r="K143" s="18">
        <f>IF(J143="CONTRADICTION","HIGH",IF(J143="DEPENDENCY GAP","MEDIUM","—"))</f>
        <v/>
      </c>
      <c r="L143" s="18">
        <f>IF(J143="CONTRADICTION","Strong upstream claim is not supported by linked downstream capability/evidence. Trigger: Student capability review.",IF(J143="DEPENDENCY GAP","Downstream capability materially trails upstream expectation. Trigger: Student capability review.",""))</f>
        <v/>
      </c>
    </row>
    <row r="144">
      <c r="A144" s="18" t="inlineStr">
        <is>
          <t>CD09</t>
        </is>
      </c>
      <c r="B144" s="18" t="inlineStr">
        <is>
          <t>D03-I05</t>
        </is>
      </c>
      <c r="C144" s="18" t="inlineStr">
        <is>
          <t>D06-I04</t>
        </is>
      </c>
      <c r="D144" s="18">
        <f>'P0-3_Scorecard'!L30</f>
        <v/>
      </c>
      <c r="E144" s="18">
        <f>'P0-3_Scorecard'!L70</f>
        <v/>
      </c>
      <c r="F144" s="18">
        <f>'P0-3_Scorecard'!M30</f>
        <v/>
      </c>
      <c r="G144" s="18">
        <f>'P0-3_Scorecard'!M70</f>
        <v/>
      </c>
      <c r="H144" s="18">
        <f>IF(OR(D144="",F144=""),"",D144-(F144*20))</f>
        <v/>
      </c>
      <c r="I144" s="18">
        <f>IF(OR(E144="",G144=""),"",E144-(G144*20))</f>
        <v/>
      </c>
      <c r="J144" s="18">
        <f>IF(OR(D144="",E144=""),"INCOMPLETE",IF(AND(D144&gt;=80,E144&lt;50),"CONTRADICTION",IF(AND(D144&gt;=70,E144&lt;70),"DEPENDENCY GAP","NO TRIGGER")))</f>
        <v/>
      </c>
      <c r="K144" s="18">
        <f>IF(J144="CONTRADICTION","HIGH",IF(J144="DEPENDENCY GAP","MEDIUM","—"))</f>
        <v/>
      </c>
      <c r="L144" s="18">
        <f>IF(J144="CONTRADICTION","Strong upstream claim is not supported by linked downstream capability/evidence. Trigger: Student capability review.",IF(J144="DEPENDENCY GAP","Downstream capability materially trails upstream expectation. Trigger: Student capability review.",""))</f>
        <v/>
      </c>
    </row>
    <row r="145">
      <c r="A145" s="18" t="inlineStr">
        <is>
          <t>CD09</t>
        </is>
      </c>
      <c r="B145" s="18" t="inlineStr">
        <is>
          <t>D03-I05</t>
        </is>
      </c>
      <c r="C145" s="18" t="inlineStr">
        <is>
          <t>D06-I10</t>
        </is>
      </c>
      <c r="D145" s="18">
        <f>'P0-3_Scorecard'!L30</f>
        <v/>
      </c>
      <c r="E145" s="18">
        <f>'P0-3_Scorecard'!L76</f>
        <v/>
      </c>
      <c r="F145" s="18">
        <f>'P0-3_Scorecard'!M30</f>
        <v/>
      </c>
      <c r="G145" s="18">
        <f>'P0-3_Scorecard'!M76</f>
        <v/>
      </c>
      <c r="H145" s="18">
        <f>IF(OR(D145="",F145=""),"",D145-(F145*20))</f>
        <v/>
      </c>
      <c r="I145" s="18">
        <f>IF(OR(E145="",G145=""),"",E145-(G145*20))</f>
        <v/>
      </c>
      <c r="J145" s="18">
        <f>IF(OR(D145="",E145=""),"INCOMPLETE",IF(AND(D145&gt;=80,E145&lt;50),"CONTRADICTION",IF(AND(D145&gt;=70,E145&lt;70),"DEPENDENCY GAP","NO TRIGGER")))</f>
        <v/>
      </c>
      <c r="K145" s="18">
        <f>IF(J145="CONTRADICTION","HIGH",IF(J145="DEPENDENCY GAP","MEDIUM","—"))</f>
        <v/>
      </c>
      <c r="L145" s="18">
        <f>IF(J145="CONTRADICTION","Strong upstream claim is not supported by linked downstream capability/evidence. Trigger: Student capability review.",IF(J145="DEPENDENCY GAP","Downstream capability materially trails upstream expectation. Trigger: Student capability review.",""))</f>
        <v/>
      </c>
    </row>
    <row r="146">
      <c r="A146" s="18" t="inlineStr">
        <is>
          <t>CD09</t>
        </is>
      </c>
      <c r="B146" s="18" t="inlineStr">
        <is>
          <t>D03-I05</t>
        </is>
      </c>
      <c r="C146" s="18" t="inlineStr">
        <is>
          <t>D06-I14</t>
        </is>
      </c>
      <c r="D146" s="18">
        <f>'P0-3_Scorecard'!L30</f>
        <v/>
      </c>
      <c r="E146" s="18">
        <f>'P0-3_Scorecard'!L80</f>
        <v/>
      </c>
      <c r="F146" s="18">
        <f>'P0-3_Scorecard'!M30</f>
        <v/>
      </c>
      <c r="G146" s="18">
        <f>'P0-3_Scorecard'!M80</f>
        <v/>
      </c>
      <c r="H146" s="18">
        <f>IF(OR(D146="",F146=""),"",D146-(F146*20))</f>
        <v/>
      </c>
      <c r="I146" s="18">
        <f>IF(OR(E146="",G146=""),"",E146-(G146*20))</f>
        <v/>
      </c>
      <c r="J146" s="18">
        <f>IF(OR(D146="",E146=""),"INCOMPLETE",IF(AND(D146&gt;=80,E146&lt;50),"CONTRADICTION",IF(AND(D146&gt;=70,E146&lt;70),"DEPENDENCY GAP","NO TRIGGER")))</f>
        <v/>
      </c>
      <c r="K146" s="18">
        <f>IF(J146="CONTRADICTION","HIGH",IF(J146="DEPENDENCY GAP","MEDIUM","—"))</f>
        <v/>
      </c>
      <c r="L146" s="18">
        <f>IF(J146="CONTRADICTION","Strong upstream claim is not supported by linked downstream capability/evidence. Trigger: Student capability review.",IF(J146="DEPENDENCY GAP","Downstream capability materially trails upstream expectation. Trigger: Student capability review.",""))</f>
        <v/>
      </c>
    </row>
    <row r="147">
      <c r="A147" s="18" t="inlineStr">
        <is>
          <t>CD09</t>
        </is>
      </c>
      <c r="B147" s="18" t="inlineStr">
        <is>
          <t>D03-I08</t>
        </is>
      </c>
      <c r="C147" s="18" t="inlineStr">
        <is>
          <t>D06-I02</t>
        </is>
      </c>
      <c r="D147" s="18">
        <f>'P0-3_Scorecard'!L33</f>
        <v/>
      </c>
      <c r="E147" s="18">
        <f>'P0-3_Scorecard'!L68</f>
        <v/>
      </c>
      <c r="F147" s="18">
        <f>'P0-3_Scorecard'!M33</f>
        <v/>
      </c>
      <c r="G147" s="18">
        <f>'P0-3_Scorecard'!M68</f>
        <v/>
      </c>
      <c r="H147" s="18">
        <f>IF(OR(D147="",F147=""),"",D147-(F147*20))</f>
        <v/>
      </c>
      <c r="I147" s="18">
        <f>IF(OR(E147="",G147=""),"",E147-(G147*20))</f>
        <v/>
      </c>
      <c r="J147" s="18">
        <f>IF(OR(D147="",E147=""),"INCOMPLETE",IF(AND(D147&gt;=80,E147&lt;50),"CONTRADICTION",IF(AND(D147&gt;=70,E147&lt;70),"DEPENDENCY GAP","NO TRIGGER")))</f>
        <v/>
      </c>
      <c r="K147" s="18">
        <f>IF(J147="CONTRADICTION","HIGH",IF(J147="DEPENDENCY GAP","MEDIUM","—"))</f>
        <v/>
      </c>
      <c r="L147" s="18">
        <f>IF(J147="CONTRADICTION","Strong upstream claim is not supported by linked downstream capability/evidence. Trigger: Student capability review.",IF(J147="DEPENDENCY GAP","Downstream capability materially trails upstream expectation. Trigger: Student capability review.",""))</f>
        <v/>
      </c>
    </row>
    <row r="148">
      <c r="A148" s="18" t="inlineStr">
        <is>
          <t>CD09</t>
        </is>
      </c>
      <c r="B148" s="18" t="inlineStr">
        <is>
          <t>D03-I08</t>
        </is>
      </c>
      <c r="C148" s="18" t="inlineStr">
        <is>
          <t>D06-I03</t>
        </is>
      </c>
      <c r="D148" s="18">
        <f>'P0-3_Scorecard'!L33</f>
        <v/>
      </c>
      <c r="E148" s="18">
        <f>'P0-3_Scorecard'!L69</f>
        <v/>
      </c>
      <c r="F148" s="18">
        <f>'P0-3_Scorecard'!M33</f>
        <v/>
      </c>
      <c r="G148" s="18">
        <f>'P0-3_Scorecard'!M69</f>
        <v/>
      </c>
      <c r="H148" s="18">
        <f>IF(OR(D148="",F148=""),"",D148-(F148*20))</f>
        <v/>
      </c>
      <c r="I148" s="18">
        <f>IF(OR(E148="",G148=""),"",E148-(G148*20))</f>
        <v/>
      </c>
      <c r="J148" s="18">
        <f>IF(OR(D148="",E148=""),"INCOMPLETE",IF(AND(D148&gt;=80,E148&lt;50),"CONTRADICTION",IF(AND(D148&gt;=70,E148&lt;70),"DEPENDENCY GAP","NO TRIGGER")))</f>
        <v/>
      </c>
      <c r="K148" s="18">
        <f>IF(J148="CONTRADICTION","HIGH",IF(J148="DEPENDENCY GAP","MEDIUM","—"))</f>
        <v/>
      </c>
      <c r="L148" s="18">
        <f>IF(J148="CONTRADICTION","Strong upstream claim is not supported by linked downstream capability/evidence. Trigger: Student capability review.",IF(J148="DEPENDENCY GAP","Downstream capability materially trails upstream expectation. Trigger: Student capability review.",""))</f>
        <v/>
      </c>
    </row>
    <row r="149">
      <c r="A149" s="18" t="inlineStr">
        <is>
          <t>CD09</t>
        </is>
      </c>
      <c r="B149" s="18" t="inlineStr">
        <is>
          <t>D03-I08</t>
        </is>
      </c>
      <c r="C149" s="18" t="inlineStr">
        <is>
          <t>D06-I04</t>
        </is>
      </c>
      <c r="D149" s="18">
        <f>'P0-3_Scorecard'!L33</f>
        <v/>
      </c>
      <c r="E149" s="18">
        <f>'P0-3_Scorecard'!L70</f>
        <v/>
      </c>
      <c r="F149" s="18">
        <f>'P0-3_Scorecard'!M33</f>
        <v/>
      </c>
      <c r="G149" s="18">
        <f>'P0-3_Scorecard'!M70</f>
        <v/>
      </c>
      <c r="H149" s="18">
        <f>IF(OR(D149="",F149=""),"",D149-(F149*20))</f>
        <v/>
      </c>
      <c r="I149" s="18">
        <f>IF(OR(E149="",G149=""),"",E149-(G149*20))</f>
        <v/>
      </c>
      <c r="J149" s="18">
        <f>IF(OR(D149="",E149=""),"INCOMPLETE",IF(AND(D149&gt;=80,E149&lt;50),"CONTRADICTION",IF(AND(D149&gt;=70,E149&lt;70),"DEPENDENCY GAP","NO TRIGGER")))</f>
        <v/>
      </c>
      <c r="K149" s="18">
        <f>IF(J149="CONTRADICTION","HIGH",IF(J149="DEPENDENCY GAP","MEDIUM","—"))</f>
        <v/>
      </c>
      <c r="L149" s="18">
        <f>IF(J149="CONTRADICTION","Strong upstream claim is not supported by linked downstream capability/evidence. Trigger: Student capability review.",IF(J149="DEPENDENCY GAP","Downstream capability materially trails upstream expectation. Trigger: Student capability review.",""))</f>
        <v/>
      </c>
    </row>
    <row r="150">
      <c r="A150" s="18" t="inlineStr">
        <is>
          <t>CD09</t>
        </is>
      </c>
      <c r="B150" s="18" t="inlineStr">
        <is>
          <t>D03-I08</t>
        </is>
      </c>
      <c r="C150" s="18" t="inlineStr">
        <is>
          <t>D06-I10</t>
        </is>
      </c>
      <c r="D150" s="18">
        <f>'P0-3_Scorecard'!L33</f>
        <v/>
      </c>
      <c r="E150" s="18">
        <f>'P0-3_Scorecard'!L76</f>
        <v/>
      </c>
      <c r="F150" s="18">
        <f>'P0-3_Scorecard'!M33</f>
        <v/>
      </c>
      <c r="G150" s="18">
        <f>'P0-3_Scorecard'!M76</f>
        <v/>
      </c>
      <c r="H150" s="18">
        <f>IF(OR(D150="",F150=""),"",D150-(F150*20))</f>
        <v/>
      </c>
      <c r="I150" s="18">
        <f>IF(OR(E150="",G150=""),"",E150-(G150*20))</f>
        <v/>
      </c>
      <c r="J150" s="18">
        <f>IF(OR(D150="",E150=""),"INCOMPLETE",IF(AND(D150&gt;=80,E150&lt;50),"CONTRADICTION",IF(AND(D150&gt;=70,E150&lt;70),"DEPENDENCY GAP","NO TRIGGER")))</f>
        <v/>
      </c>
      <c r="K150" s="18">
        <f>IF(J150="CONTRADICTION","HIGH",IF(J150="DEPENDENCY GAP","MEDIUM","—"))</f>
        <v/>
      </c>
      <c r="L150" s="18">
        <f>IF(J150="CONTRADICTION","Strong upstream claim is not supported by linked downstream capability/evidence. Trigger: Student capability review.",IF(J150="DEPENDENCY GAP","Downstream capability materially trails upstream expectation. Trigger: Student capability review.",""))</f>
        <v/>
      </c>
    </row>
    <row r="151">
      <c r="A151" s="18" t="inlineStr">
        <is>
          <t>CD09</t>
        </is>
      </c>
      <c r="B151" s="18" t="inlineStr">
        <is>
          <t>D03-I08</t>
        </is>
      </c>
      <c r="C151" s="18" t="inlineStr">
        <is>
          <t>D06-I14</t>
        </is>
      </c>
      <c r="D151" s="18">
        <f>'P0-3_Scorecard'!L33</f>
        <v/>
      </c>
      <c r="E151" s="18">
        <f>'P0-3_Scorecard'!L80</f>
        <v/>
      </c>
      <c r="F151" s="18">
        <f>'P0-3_Scorecard'!M33</f>
        <v/>
      </c>
      <c r="G151" s="18">
        <f>'P0-3_Scorecard'!M80</f>
        <v/>
      </c>
      <c r="H151" s="18">
        <f>IF(OR(D151="",F151=""),"",D151-(F151*20))</f>
        <v/>
      </c>
      <c r="I151" s="18">
        <f>IF(OR(E151="",G151=""),"",E151-(G151*20))</f>
        <v/>
      </c>
      <c r="J151" s="18">
        <f>IF(OR(D151="",E151=""),"INCOMPLETE",IF(AND(D151&gt;=80,E151&lt;50),"CONTRADICTION",IF(AND(D151&gt;=70,E151&lt;70),"DEPENDENCY GAP","NO TRIGGER")))</f>
        <v/>
      </c>
      <c r="K151" s="18">
        <f>IF(J151="CONTRADICTION","HIGH",IF(J151="DEPENDENCY GAP","MEDIUM","—"))</f>
        <v/>
      </c>
      <c r="L151" s="18">
        <f>IF(J151="CONTRADICTION","Strong upstream claim is not supported by linked downstream capability/evidence. Trigger: Student capability review.",IF(J151="DEPENDENCY GAP","Downstream capability materially trails upstream expectation. Trigger: Student capability review.",""))</f>
        <v/>
      </c>
    </row>
    <row r="152">
      <c r="A152" s="18" t="inlineStr">
        <is>
          <t>CD09</t>
        </is>
      </c>
      <c r="B152" s="18" t="inlineStr">
        <is>
          <t>D03-I15</t>
        </is>
      </c>
      <c r="C152" s="18" t="inlineStr">
        <is>
          <t>D06-I02</t>
        </is>
      </c>
      <c r="D152" s="18">
        <f>'P0-3_Scorecard'!L40</f>
        <v/>
      </c>
      <c r="E152" s="18">
        <f>'P0-3_Scorecard'!L68</f>
        <v/>
      </c>
      <c r="F152" s="18">
        <f>'P0-3_Scorecard'!M40</f>
        <v/>
      </c>
      <c r="G152" s="18">
        <f>'P0-3_Scorecard'!M68</f>
        <v/>
      </c>
      <c r="H152" s="18">
        <f>IF(OR(D152="",F152=""),"",D152-(F152*20))</f>
        <v/>
      </c>
      <c r="I152" s="18">
        <f>IF(OR(E152="",G152=""),"",E152-(G152*20))</f>
        <v/>
      </c>
      <c r="J152" s="18">
        <f>IF(OR(D152="",E152=""),"INCOMPLETE",IF(AND(D152&gt;=80,E152&lt;50),"CONTRADICTION",IF(AND(D152&gt;=70,E152&lt;70),"DEPENDENCY GAP","NO TRIGGER")))</f>
        <v/>
      </c>
      <c r="K152" s="18">
        <f>IF(J152="CONTRADICTION","HIGH",IF(J152="DEPENDENCY GAP","MEDIUM","—"))</f>
        <v/>
      </c>
      <c r="L152" s="18">
        <f>IF(J152="CONTRADICTION","Strong upstream claim is not supported by linked downstream capability/evidence. Trigger: Student capability review.",IF(J152="DEPENDENCY GAP","Downstream capability materially trails upstream expectation. Trigger: Student capability review.",""))</f>
        <v/>
      </c>
    </row>
    <row r="153">
      <c r="A153" s="18" t="inlineStr">
        <is>
          <t>CD09</t>
        </is>
      </c>
      <c r="B153" s="18" t="inlineStr">
        <is>
          <t>D03-I15</t>
        </is>
      </c>
      <c r="C153" s="18" t="inlineStr">
        <is>
          <t>D06-I03</t>
        </is>
      </c>
      <c r="D153" s="18">
        <f>'P0-3_Scorecard'!L40</f>
        <v/>
      </c>
      <c r="E153" s="18">
        <f>'P0-3_Scorecard'!L69</f>
        <v/>
      </c>
      <c r="F153" s="18">
        <f>'P0-3_Scorecard'!M40</f>
        <v/>
      </c>
      <c r="G153" s="18">
        <f>'P0-3_Scorecard'!M69</f>
        <v/>
      </c>
      <c r="H153" s="18">
        <f>IF(OR(D153="",F153=""),"",D153-(F153*20))</f>
        <v/>
      </c>
      <c r="I153" s="18">
        <f>IF(OR(E153="",G153=""),"",E153-(G153*20))</f>
        <v/>
      </c>
      <c r="J153" s="18">
        <f>IF(OR(D153="",E153=""),"INCOMPLETE",IF(AND(D153&gt;=80,E153&lt;50),"CONTRADICTION",IF(AND(D153&gt;=70,E153&lt;70),"DEPENDENCY GAP","NO TRIGGER")))</f>
        <v/>
      </c>
      <c r="K153" s="18">
        <f>IF(J153="CONTRADICTION","HIGH",IF(J153="DEPENDENCY GAP","MEDIUM","—"))</f>
        <v/>
      </c>
      <c r="L153" s="18">
        <f>IF(J153="CONTRADICTION","Strong upstream claim is not supported by linked downstream capability/evidence. Trigger: Student capability review.",IF(J153="DEPENDENCY GAP","Downstream capability materially trails upstream expectation. Trigger: Student capability review.",""))</f>
        <v/>
      </c>
    </row>
    <row r="154">
      <c r="A154" s="18" t="inlineStr">
        <is>
          <t>CD09</t>
        </is>
      </c>
      <c r="B154" s="18" t="inlineStr">
        <is>
          <t>D03-I15</t>
        </is>
      </c>
      <c r="C154" s="18" t="inlineStr">
        <is>
          <t>D06-I04</t>
        </is>
      </c>
      <c r="D154" s="18">
        <f>'P0-3_Scorecard'!L40</f>
        <v/>
      </c>
      <c r="E154" s="18">
        <f>'P0-3_Scorecard'!L70</f>
        <v/>
      </c>
      <c r="F154" s="18">
        <f>'P0-3_Scorecard'!M40</f>
        <v/>
      </c>
      <c r="G154" s="18">
        <f>'P0-3_Scorecard'!M70</f>
        <v/>
      </c>
      <c r="H154" s="18">
        <f>IF(OR(D154="",F154=""),"",D154-(F154*20))</f>
        <v/>
      </c>
      <c r="I154" s="18">
        <f>IF(OR(E154="",G154=""),"",E154-(G154*20))</f>
        <v/>
      </c>
      <c r="J154" s="18">
        <f>IF(OR(D154="",E154=""),"INCOMPLETE",IF(AND(D154&gt;=80,E154&lt;50),"CONTRADICTION",IF(AND(D154&gt;=70,E154&lt;70),"DEPENDENCY GAP","NO TRIGGER")))</f>
        <v/>
      </c>
      <c r="K154" s="18">
        <f>IF(J154="CONTRADICTION","HIGH",IF(J154="DEPENDENCY GAP","MEDIUM","—"))</f>
        <v/>
      </c>
      <c r="L154" s="18">
        <f>IF(J154="CONTRADICTION","Strong upstream claim is not supported by linked downstream capability/evidence. Trigger: Student capability review.",IF(J154="DEPENDENCY GAP","Downstream capability materially trails upstream expectation. Trigger: Student capability review.",""))</f>
        <v/>
      </c>
    </row>
    <row r="155">
      <c r="A155" s="18" t="inlineStr">
        <is>
          <t>CD09</t>
        </is>
      </c>
      <c r="B155" s="18" t="inlineStr">
        <is>
          <t>D03-I15</t>
        </is>
      </c>
      <c r="C155" s="18" t="inlineStr">
        <is>
          <t>D06-I10</t>
        </is>
      </c>
      <c r="D155" s="18">
        <f>'P0-3_Scorecard'!L40</f>
        <v/>
      </c>
      <c r="E155" s="18">
        <f>'P0-3_Scorecard'!L76</f>
        <v/>
      </c>
      <c r="F155" s="18">
        <f>'P0-3_Scorecard'!M40</f>
        <v/>
      </c>
      <c r="G155" s="18">
        <f>'P0-3_Scorecard'!M76</f>
        <v/>
      </c>
      <c r="H155" s="18">
        <f>IF(OR(D155="",F155=""),"",D155-(F155*20))</f>
        <v/>
      </c>
      <c r="I155" s="18">
        <f>IF(OR(E155="",G155=""),"",E155-(G155*20))</f>
        <v/>
      </c>
      <c r="J155" s="18">
        <f>IF(OR(D155="",E155=""),"INCOMPLETE",IF(AND(D155&gt;=80,E155&lt;50),"CONTRADICTION",IF(AND(D155&gt;=70,E155&lt;70),"DEPENDENCY GAP","NO TRIGGER")))</f>
        <v/>
      </c>
      <c r="K155" s="18">
        <f>IF(J155="CONTRADICTION","HIGH",IF(J155="DEPENDENCY GAP","MEDIUM","—"))</f>
        <v/>
      </c>
      <c r="L155" s="18">
        <f>IF(J155="CONTRADICTION","Strong upstream claim is not supported by linked downstream capability/evidence. Trigger: Student capability review.",IF(J155="DEPENDENCY GAP","Downstream capability materially trails upstream expectation. Trigger: Student capability review.",""))</f>
        <v/>
      </c>
    </row>
    <row r="156">
      <c r="A156" s="18" t="inlineStr">
        <is>
          <t>CD09</t>
        </is>
      </c>
      <c r="B156" s="18" t="inlineStr">
        <is>
          <t>D03-I15</t>
        </is>
      </c>
      <c r="C156" s="18" t="inlineStr">
        <is>
          <t>D06-I14</t>
        </is>
      </c>
      <c r="D156" s="18">
        <f>'P0-3_Scorecard'!L40</f>
        <v/>
      </c>
      <c r="E156" s="18">
        <f>'P0-3_Scorecard'!L80</f>
        <v/>
      </c>
      <c r="F156" s="18">
        <f>'P0-3_Scorecard'!M40</f>
        <v/>
      </c>
      <c r="G156" s="18">
        <f>'P0-3_Scorecard'!M80</f>
        <v/>
      </c>
      <c r="H156" s="18">
        <f>IF(OR(D156="",F156=""),"",D156-(F156*20))</f>
        <v/>
      </c>
      <c r="I156" s="18">
        <f>IF(OR(E156="",G156=""),"",E156-(G156*20))</f>
        <v/>
      </c>
      <c r="J156" s="18">
        <f>IF(OR(D156="",E156=""),"INCOMPLETE",IF(AND(D156&gt;=80,E156&lt;50),"CONTRADICTION",IF(AND(D156&gt;=70,E156&lt;70),"DEPENDENCY GAP","NO TRIGGER")))</f>
        <v/>
      </c>
      <c r="K156" s="18">
        <f>IF(J156="CONTRADICTION","HIGH",IF(J156="DEPENDENCY GAP","MEDIUM","—"))</f>
        <v/>
      </c>
      <c r="L156" s="18">
        <f>IF(J156="CONTRADICTION","Strong upstream claim is not supported by linked downstream capability/evidence. Trigger: Student capability review.",IF(J156="DEPENDENCY GAP","Downstream capability materially trails upstream expectation. Trigger: Student capability review.",""))</f>
        <v/>
      </c>
    </row>
    <row r="157">
      <c r="A157" s="18" t="inlineStr">
        <is>
          <t>CD09</t>
        </is>
      </c>
      <c r="B157" s="18" t="inlineStr">
        <is>
          <t>D03-I16</t>
        </is>
      </c>
      <c r="C157" s="18" t="inlineStr">
        <is>
          <t>D06-I02</t>
        </is>
      </c>
      <c r="D157" s="18">
        <f>'P0-3_Scorecard'!L41</f>
        <v/>
      </c>
      <c r="E157" s="18">
        <f>'P0-3_Scorecard'!L68</f>
        <v/>
      </c>
      <c r="F157" s="18">
        <f>'P0-3_Scorecard'!M41</f>
        <v/>
      </c>
      <c r="G157" s="18">
        <f>'P0-3_Scorecard'!M68</f>
        <v/>
      </c>
      <c r="H157" s="18">
        <f>IF(OR(D157="",F157=""),"",D157-(F157*20))</f>
        <v/>
      </c>
      <c r="I157" s="18">
        <f>IF(OR(E157="",G157=""),"",E157-(G157*20))</f>
        <v/>
      </c>
      <c r="J157" s="18">
        <f>IF(OR(D157="",E157=""),"INCOMPLETE",IF(AND(D157&gt;=80,E157&lt;50),"CONTRADICTION",IF(AND(D157&gt;=70,E157&lt;70),"DEPENDENCY GAP","NO TRIGGER")))</f>
        <v/>
      </c>
      <c r="K157" s="18">
        <f>IF(J157="CONTRADICTION","HIGH",IF(J157="DEPENDENCY GAP","MEDIUM","—"))</f>
        <v/>
      </c>
      <c r="L157" s="18">
        <f>IF(J157="CONTRADICTION","Strong upstream claim is not supported by linked downstream capability/evidence. Trigger: Student capability review.",IF(J157="DEPENDENCY GAP","Downstream capability materially trails upstream expectation. Trigger: Student capability review.",""))</f>
        <v/>
      </c>
    </row>
    <row r="158">
      <c r="A158" s="18" t="inlineStr">
        <is>
          <t>CD09</t>
        </is>
      </c>
      <c r="B158" s="18" t="inlineStr">
        <is>
          <t>D03-I16</t>
        </is>
      </c>
      <c r="C158" s="18" t="inlineStr">
        <is>
          <t>D06-I03</t>
        </is>
      </c>
      <c r="D158" s="18">
        <f>'P0-3_Scorecard'!L41</f>
        <v/>
      </c>
      <c r="E158" s="18">
        <f>'P0-3_Scorecard'!L69</f>
        <v/>
      </c>
      <c r="F158" s="18">
        <f>'P0-3_Scorecard'!M41</f>
        <v/>
      </c>
      <c r="G158" s="18">
        <f>'P0-3_Scorecard'!M69</f>
        <v/>
      </c>
      <c r="H158" s="18">
        <f>IF(OR(D158="",F158=""),"",D158-(F158*20))</f>
        <v/>
      </c>
      <c r="I158" s="18">
        <f>IF(OR(E158="",G158=""),"",E158-(G158*20))</f>
        <v/>
      </c>
      <c r="J158" s="18">
        <f>IF(OR(D158="",E158=""),"INCOMPLETE",IF(AND(D158&gt;=80,E158&lt;50),"CONTRADICTION",IF(AND(D158&gt;=70,E158&lt;70),"DEPENDENCY GAP","NO TRIGGER")))</f>
        <v/>
      </c>
      <c r="K158" s="18">
        <f>IF(J158="CONTRADICTION","HIGH",IF(J158="DEPENDENCY GAP","MEDIUM","—"))</f>
        <v/>
      </c>
      <c r="L158" s="18">
        <f>IF(J158="CONTRADICTION","Strong upstream claim is not supported by linked downstream capability/evidence. Trigger: Student capability review.",IF(J158="DEPENDENCY GAP","Downstream capability materially trails upstream expectation. Trigger: Student capability review.",""))</f>
        <v/>
      </c>
    </row>
    <row r="159">
      <c r="A159" s="18" t="inlineStr">
        <is>
          <t>CD09</t>
        </is>
      </c>
      <c r="B159" s="18" t="inlineStr">
        <is>
          <t>D03-I16</t>
        </is>
      </c>
      <c r="C159" s="18" t="inlineStr">
        <is>
          <t>D06-I04</t>
        </is>
      </c>
      <c r="D159" s="18">
        <f>'P0-3_Scorecard'!L41</f>
        <v/>
      </c>
      <c r="E159" s="18">
        <f>'P0-3_Scorecard'!L70</f>
        <v/>
      </c>
      <c r="F159" s="18">
        <f>'P0-3_Scorecard'!M41</f>
        <v/>
      </c>
      <c r="G159" s="18">
        <f>'P0-3_Scorecard'!M70</f>
        <v/>
      </c>
      <c r="H159" s="18">
        <f>IF(OR(D159="",F159=""),"",D159-(F159*20))</f>
        <v/>
      </c>
      <c r="I159" s="18">
        <f>IF(OR(E159="",G159=""),"",E159-(G159*20))</f>
        <v/>
      </c>
      <c r="J159" s="18">
        <f>IF(OR(D159="",E159=""),"INCOMPLETE",IF(AND(D159&gt;=80,E159&lt;50),"CONTRADICTION",IF(AND(D159&gt;=70,E159&lt;70),"DEPENDENCY GAP","NO TRIGGER")))</f>
        <v/>
      </c>
      <c r="K159" s="18">
        <f>IF(J159="CONTRADICTION","HIGH",IF(J159="DEPENDENCY GAP","MEDIUM","—"))</f>
        <v/>
      </c>
      <c r="L159" s="18">
        <f>IF(J159="CONTRADICTION","Strong upstream claim is not supported by linked downstream capability/evidence. Trigger: Student capability review.",IF(J159="DEPENDENCY GAP","Downstream capability materially trails upstream expectation. Trigger: Student capability review.",""))</f>
        <v/>
      </c>
    </row>
    <row r="160">
      <c r="A160" s="18" t="inlineStr">
        <is>
          <t>CD09</t>
        </is>
      </c>
      <c r="B160" s="18" t="inlineStr">
        <is>
          <t>D03-I16</t>
        </is>
      </c>
      <c r="C160" s="18" t="inlineStr">
        <is>
          <t>D06-I10</t>
        </is>
      </c>
      <c r="D160" s="18">
        <f>'P0-3_Scorecard'!L41</f>
        <v/>
      </c>
      <c r="E160" s="18">
        <f>'P0-3_Scorecard'!L76</f>
        <v/>
      </c>
      <c r="F160" s="18">
        <f>'P0-3_Scorecard'!M41</f>
        <v/>
      </c>
      <c r="G160" s="18">
        <f>'P0-3_Scorecard'!M76</f>
        <v/>
      </c>
      <c r="H160" s="18">
        <f>IF(OR(D160="",F160=""),"",D160-(F160*20))</f>
        <v/>
      </c>
      <c r="I160" s="18">
        <f>IF(OR(E160="",G160=""),"",E160-(G160*20))</f>
        <v/>
      </c>
      <c r="J160" s="18">
        <f>IF(OR(D160="",E160=""),"INCOMPLETE",IF(AND(D160&gt;=80,E160&lt;50),"CONTRADICTION",IF(AND(D160&gt;=70,E160&lt;70),"DEPENDENCY GAP","NO TRIGGER")))</f>
        <v/>
      </c>
      <c r="K160" s="18">
        <f>IF(J160="CONTRADICTION","HIGH",IF(J160="DEPENDENCY GAP","MEDIUM","—"))</f>
        <v/>
      </c>
      <c r="L160" s="18">
        <f>IF(J160="CONTRADICTION","Strong upstream claim is not supported by linked downstream capability/evidence. Trigger: Student capability review.",IF(J160="DEPENDENCY GAP","Downstream capability materially trails upstream expectation. Trigger: Student capability review.",""))</f>
        <v/>
      </c>
    </row>
    <row r="161">
      <c r="A161" s="18" t="inlineStr">
        <is>
          <t>CD09</t>
        </is>
      </c>
      <c r="B161" s="18" t="inlineStr">
        <is>
          <t>D03-I16</t>
        </is>
      </c>
      <c r="C161" s="18" t="inlineStr">
        <is>
          <t>D06-I14</t>
        </is>
      </c>
      <c r="D161" s="18">
        <f>'P0-3_Scorecard'!L41</f>
        <v/>
      </c>
      <c r="E161" s="18">
        <f>'P0-3_Scorecard'!L80</f>
        <v/>
      </c>
      <c r="F161" s="18">
        <f>'P0-3_Scorecard'!M41</f>
        <v/>
      </c>
      <c r="G161" s="18">
        <f>'P0-3_Scorecard'!M80</f>
        <v/>
      </c>
      <c r="H161" s="18">
        <f>IF(OR(D161="",F161=""),"",D161-(F161*20))</f>
        <v/>
      </c>
      <c r="I161" s="18">
        <f>IF(OR(E161="",G161=""),"",E161-(G161*20))</f>
        <v/>
      </c>
      <c r="J161" s="18">
        <f>IF(OR(D161="",E161=""),"INCOMPLETE",IF(AND(D161&gt;=80,E161&lt;50),"CONTRADICTION",IF(AND(D161&gt;=70,E161&lt;70),"DEPENDENCY GAP","NO TRIGGER")))</f>
        <v/>
      </c>
      <c r="K161" s="18">
        <f>IF(J161="CONTRADICTION","HIGH",IF(J161="DEPENDENCY GAP","MEDIUM","—"))</f>
        <v/>
      </c>
      <c r="L161" s="18">
        <f>IF(J161="CONTRADICTION","Strong upstream claim is not supported by linked downstream capability/evidence. Trigger: Student capability review.",IF(J161="DEPENDENCY GAP","Downstream capability materially trails upstream expectation. Trigger: Student capability review.",""))</f>
        <v/>
      </c>
    </row>
    <row r="162">
      <c r="A162" s="18" t="inlineStr">
        <is>
          <t>CD10</t>
        </is>
      </c>
      <c r="B162" s="18" t="inlineStr">
        <is>
          <t>D03-I02</t>
        </is>
      </c>
      <c r="C162" s="18" t="inlineStr">
        <is>
          <t>D07-I02</t>
        </is>
      </c>
      <c r="D162" s="18">
        <f>'P0-3_Scorecard'!L27</f>
        <v/>
      </c>
      <c r="E162" s="18">
        <f>'P0-3_Scorecard'!L82</f>
        <v/>
      </c>
      <c r="F162" s="18">
        <f>'P0-3_Scorecard'!M27</f>
        <v/>
      </c>
      <c r="G162" s="18">
        <f>'P0-3_Scorecard'!M82</f>
        <v/>
      </c>
      <c r="H162" s="18">
        <f>IF(OR(D162="",F162=""),"",D162-(F162*20))</f>
        <v/>
      </c>
      <c r="I162" s="18">
        <f>IF(OR(E162="",G162=""),"",E162-(G162*20))</f>
        <v/>
      </c>
      <c r="J162" s="18">
        <f>IF(OR(D162="",E162=""),"INCOMPLETE",IF(AND(D162&gt;=80,E162&lt;50),"CONTRADICTION",IF(AND(D162&gt;=70,E162&lt;70),"DEPENDENCY GAP","NO TRIGGER")))</f>
        <v/>
      </c>
      <c r="K162" s="18">
        <f>IF(J162="CONTRADICTION","HIGH",IF(J162="DEPENDENCY GAP","MEDIUM","—"))</f>
        <v/>
      </c>
      <c r="L162" s="18">
        <f>IF(J162="CONTRADICTION","Strong upstream claim is not supported by linked downstream capability/evidence. Trigger: Assessment alignment review.",IF(J162="DEPENDENCY GAP","Downstream capability materially trails upstream expectation. Trigger: Assessment alignment review.",""))</f>
        <v/>
      </c>
    </row>
    <row r="163">
      <c r="A163" s="18" t="inlineStr">
        <is>
          <t>CD10</t>
        </is>
      </c>
      <c r="B163" s="18" t="inlineStr">
        <is>
          <t>D03-I02</t>
        </is>
      </c>
      <c r="C163" s="18" t="inlineStr">
        <is>
          <t>D07-I03</t>
        </is>
      </c>
      <c r="D163" s="18">
        <f>'P0-3_Scorecard'!L27</f>
        <v/>
      </c>
      <c r="E163" s="18">
        <f>'P0-3_Scorecard'!L83</f>
        <v/>
      </c>
      <c r="F163" s="18">
        <f>'P0-3_Scorecard'!M27</f>
        <v/>
      </c>
      <c r="G163" s="18">
        <f>'P0-3_Scorecard'!M83</f>
        <v/>
      </c>
      <c r="H163" s="18">
        <f>IF(OR(D163="",F163=""),"",D163-(F163*20))</f>
        <v/>
      </c>
      <c r="I163" s="18">
        <f>IF(OR(E163="",G163=""),"",E163-(G163*20))</f>
        <v/>
      </c>
      <c r="J163" s="18">
        <f>IF(OR(D163="",E163=""),"INCOMPLETE",IF(AND(D163&gt;=80,E163&lt;50),"CONTRADICTION",IF(AND(D163&gt;=70,E163&lt;70),"DEPENDENCY GAP","NO TRIGGER")))</f>
        <v/>
      </c>
      <c r="K163" s="18">
        <f>IF(J163="CONTRADICTION","HIGH",IF(J163="DEPENDENCY GAP","MEDIUM","—"))</f>
        <v/>
      </c>
      <c r="L163" s="18">
        <f>IF(J163="CONTRADICTION","Strong upstream claim is not supported by linked downstream capability/evidence. Trigger: Assessment alignment review.",IF(J163="DEPENDENCY GAP","Downstream capability materially trails upstream expectation. Trigger: Assessment alignment review.",""))</f>
        <v/>
      </c>
    </row>
    <row r="164">
      <c r="A164" s="18" t="inlineStr">
        <is>
          <t>CD10</t>
        </is>
      </c>
      <c r="B164" s="18" t="inlineStr">
        <is>
          <t>D03-I02</t>
        </is>
      </c>
      <c r="C164" s="18" t="inlineStr">
        <is>
          <t>D07-I05</t>
        </is>
      </c>
      <c r="D164" s="18">
        <f>'P0-3_Scorecard'!L27</f>
        <v/>
      </c>
      <c r="E164" s="18">
        <f>'P0-3_Scorecard'!L85</f>
        <v/>
      </c>
      <c r="F164" s="18">
        <f>'P0-3_Scorecard'!M27</f>
        <v/>
      </c>
      <c r="G164" s="18">
        <f>'P0-3_Scorecard'!M85</f>
        <v/>
      </c>
      <c r="H164" s="18">
        <f>IF(OR(D164="",F164=""),"",D164-(F164*20))</f>
        <v/>
      </c>
      <c r="I164" s="18">
        <f>IF(OR(E164="",G164=""),"",E164-(G164*20))</f>
        <v/>
      </c>
      <c r="J164" s="18">
        <f>IF(OR(D164="",E164=""),"INCOMPLETE",IF(AND(D164&gt;=80,E164&lt;50),"CONTRADICTION",IF(AND(D164&gt;=70,E164&lt;70),"DEPENDENCY GAP","NO TRIGGER")))</f>
        <v/>
      </c>
      <c r="K164" s="18">
        <f>IF(J164="CONTRADICTION","HIGH",IF(J164="DEPENDENCY GAP","MEDIUM","—"))</f>
        <v/>
      </c>
      <c r="L164" s="18">
        <f>IF(J164="CONTRADICTION","Strong upstream claim is not supported by linked downstream capability/evidence. Trigger: Assessment alignment review.",IF(J164="DEPENDENCY GAP","Downstream capability materially trails upstream expectation. Trigger: Assessment alignment review.",""))</f>
        <v/>
      </c>
    </row>
    <row r="165">
      <c r="A165" s="18" t="inlineStr">
        <is>
          <t>CD10</t>
        </is>
      </c>
      <c r="B165" s="18" t="inlineStr">
        <is>
          <t>D03-I02</t>
        </is>
      </c>
      <c r="C165" s="18" t="inlineStr">
        <is>
          <t>D07-I07</t>
        </is>
      </c>
      <c r="D165" s="18">
        <f>'P0-3_Scorecard'!L27</f>
        <v/>
      </c>
      <c r="E165" s="18">
        <f>'P0-3_Scorecard'!L87</f>
        <v/>
      </c>
      <c r="F165" s="18">
        <f>'P0-3_Scorecard'!M27</f>
        <v/>
      </c>
      <c r="G165" s="18">
        <f>'P0-3_Scorecard'!M87</f>
        <v/>
      </c>
      <c r="H165" s="18">
        <f>IF(OR(D165="",F165=""),"",D165-(F165*20))</f>
        <v/>
      </c>
      <c r="I165" s="18">
        <f>IF(OR(E165="",G165=""),"",E165-(G165*20))</f>
        <v/>
      </c>
      <c r="J165" s="18">
        <f>IF(OR(D165="",E165=""),"INCOMPLETE",IF(AND(D165&gt;=80,E165&lt;50),"CONTRADICTION",IF(AND(D165&gt;=70,E165&lt;70),"DEPENDENCY GAP","NO TRIGGER")))</f>
        <v/>
      </c>
      <c r="K165" s="18">
        <f>IF(J165="CONTRADICTION","HIGH",IF(J165="DEPENDENCY GAP","MEDIUM","—"))</f>
        <v/>
      </c>
      <c r="L165" s="18">
        <f>IF(J165="CONTRADICTION","Strong upstream claim is not supported by linked downstream capability/evidence. Trigger: Assessment alignment review.",IF(J165="DEPENDENCY GAP","Downstream capability materially trails upstream expectation. Trigger: Assessment alignment review.",""))</f>
        <v/>
      </c>
    </row>
    <row r="166">
      <c r="A166" s="18" t="inlineStr">
        <is>
          <t>CD10</t>
        </is>
      </c>
      <c r="B166" s="18" t="inlineStr">
        <is>
          <t>D03-I02</t>
        </is>
      </c>
      <c r="C166" s="18" t="inlineStr">
        <is>
          <t>D07-I08</t>
        </is>
      </c>
      <c r="D166" s="18">
        <f>'P0-3_Scorecard'!L27</f>
        <v/>
      </c>
      <c r="E166" s="18">
        <f>'P0-3_Scorecard'!L88</f>
        <v/>
      </c>
      <c r="F166" s="18">
        <f>'P0-3_Scorecard'!M27</f>
        <v/>
      </c>
      <c r="G166" s="18">
        <f>'P0-3_Scorecard'!M88</f>
        <v/>
      </c>
      <c r="H166" s="18">
        <f>IF(OR(D166="",F166=""),"",D166-(F166*20))</f>
        <v/>
      </c>
      <c r="I166" s="18">
        <f>IF(OR(E166="",G166=""),"",E166-(G166*20))</f>
        <v/>
      </c>
      <c r="J166" s="18">
        <f>IF(OR(D166="",E166=""),"INCOMPLETE",IF(AND(D166&gt;=80,E166&lt;50),"CONTRADICTION",IF(AND(D166&gt;=70,E166&lt;70),"DEPENDENCY GAP","NO TRIGGER")))</f>
        <v/>
      </c>
      <c r="K166" s="18">
        <f>IF(J166="CONTRADICTION","HIGH",IF(J166="DEPENDENCY GAP","MEDIUM","—"))</f>
        <v/>
      </c>
      <c r="L166" s="18">
        <f>IF(J166="CONTRADICTION","Strong upstream claim is not supported by linked downstream capability/evidence. Trigger: Assessment alignment review.",IF(J166="DEPENDENCY GAP","Downstream capability materially trails upstream expectation. Trigger: Assessment alignment review.",""))</f>
        <v/>
      </c>
    </row>
    <row r="167">
      <c r="A167" s="18" t="inlineStr">
        <is>
          <t>CD10</t>
        </is>
      </c>
      <c r="B167" s="18" t="inlineStr">
        <is>
          <t>D03-I05</t>
        </is>
      </c>
      <c r="C167" s="18" t="inlineStr">
        <is>
          <t>D07-I02</t>
        </is>
      </c>
      <c r="D167" s="18">
        <f>'P0-3_Scorecard'!L30</f>
        <v/>
      </c>
      <c r="E167" s="18">
        <f>'P0-3_Scorecard'!L82</f>
        <v/>
      </c>
      <c r="F167" s="18">
        <f>'P0-3_Scorecard'!M30</f>
        <v/>
      </c>
      <c r="G167" s="18">
        <f>'P0-3_Scorecard'!M82</f>
        <v/>
      </c>
      <c r="H167" s="18">
        <f>IF(OR(D167="",F167=""),"",D167-(F167*20))</f>
        <v/>
      </c>
      <c r="I167" s="18">
        <f>IF(OR(E167="",G167=""),"",E167-(G167*20))</f>
        <v/>
      </c>
      <c r="J167" s="18">
        <f>IF(OR(D167="",E167=""),"INCOMPLETE",IF(AND(D167&gt;=80,E167&lt;50),"CONTRADICTION",IF(AND(D167&gt;=70,E167&lt;70),"DEPENDENCY GAP","NO TRIGGER")))</f>
        <v/>
      </c>
      <c r="K167" s="18">
        <f>IF(J167="CONTRADICTION","HIGH",IF(J167="DEPENDENCY GAP","MEDIUM","—"))</f>
        <v/>
      </c>
      <c r="L167" s="18">
        <f>IF(J167="CONTRADICTION","Strong upstream claim is not supported by linked downstream capability/evidence. Trigger: Assessment alignment review.",IF(J167="DEPENDENCY GAP","Downstream capability materially trails upstream expectation. Trigger: Assessment alignment review.",""))</f>
        <v/>
      </c>
    </row>
    <row r="168">
      <c r="A168" s="18" t="inlineStr">
        <is>
          <t>CD10</t>
        </is>
      </c>
      <c r="B168" s="18" t="inlineStr">
        <is>
          <t>D03-I05</t>
        </is>
      </c>
      <c r="C168" s="18" t="inlineStr">
        <is>
          <t>D07-I03</t>
        </is>
      </c>
      <c r="D168" s="18">
        <f>'P0-3_Scorecard'!L30</f>
        <v/>
      </c>
      <c r="E168" s="18">
        <f>'P0-3_Scorecard'!L83</f>
        <v/>
      </c>
      <c r="F168" s="18">
        <f>'P0-3_Scorecard'!M30</f>
        <v/>
      </c>
      <c r="G168" s="18">
        <f>'P0-3_Scorecard'!M83</f>
        <v/>
      </c>
      <c r="H168" s="18">
        <f>IF(OR(D168="",F168=""),"",D168-(F168*20))</f>
        <v/>
      </c>
      <c r="I168" s="18">
        <f>IF(OR(E168="",G168=""),"",E168-(G168*20))</f>
        <v/>
      </c>
      <c r="J168" s="18">
        <f>IF(OR(D168="",E168=""),"INCOMPLETE",IF(AND(D168&gt;=80,E168&lt;50),"CONTRADICTION",IF(AND(D168&gt;=70,E168&lt;70),"DEPENDENCY GAP","NO TRIGGER")))</f>
        <v/>
      </c>
      <c r="K168" s="18">
        <f>IF(J168="CONTRADICTION","HIGH",IF(J168="DEPENDENCY GAP","MEDIUM","—"))</f>
        <v/>
      </c>
      <c r="L168" s="18">
        <f>IF(J168="CONTRADICTION","Strong upstream claim is not supported by linked downstream capability/evidence. Trigger: Assessment alignment review.",IF(J168="DEPENDENCY GAP","Downstream capability materially trails upstream expectation. Trigger: Assessment alignment review.",""))</f>
        <v/>
      </c>
    </row>
    <row r="169">
      <c r="A169" s="18" t="inlineStr">
        <is>
          <t>CD10</t>
        </is>
      </c>
      <c r="B169" s="18" t="inlineStr">
        <is>
          <t>D03-I05</t>
        </is>
      </c>
      <c r="C169" s="18" t="inlineStr">
        <is>
          <t>D07-I05</t>
        </is>
      </c>
      <c r="D169" s="18">
        <f>'P0-3_Scorecard'!L30</f>
        <v/>
      </c>
      <c r="E169" s="18">
        <f>'P0-3_Scorecard'!L85</f>
        <v/>
      </c>
      <c r="F169" s="18">
        <f>'P0-3_Scorecard'!M30</f>
        <v/>
      </c>
      <c r="G169" s="18">
        <f>'P0-3_Scorecard'!M85</f>
        <v/>
      </c>
      <c r="H169" s="18">
        <f>IF(OR(D169="",F169=""),"",D169-(F169*20))</f>
        <v/>
      </c>
      <c r="I169" s="18">
        <f>IF(OR(E169="",G169=""),"",E169-(G169*20))</f>
        <v/>
      </c>
      <c r="J169" s="18">
        <f>IF(OR(D169="",E169=""),"INCOMPLETE",IF(AND(D169&gt;=80,E169&lt;50),"CONTRADICTION",IF(AND(D169&gt;=70,E169&lt;70),"DEPENDENCY GAP","NO TRIGGER")))</f>
        <v/>
      </c>
      <c r="K169" s="18">
        <f>IF(J169="CONTRADICTION","HIGH",IF(J169="DEPENDENCY GAP","MEDIUM","—"))</f>
        <v/>
      </c>
      <c r="L169" s="18">
        <f>IF(J169="CONTRADICTION","Strong upstream claim is not supported by linked downstream capability/evidence. Trigger: Assessment alignment review.",IF(J169="DEPENDENCY GAP","Downstream capability materially trails upstream expectation. Trigger: Assessment alignment review.",""))</f>
        <v/>
      </c>
    </row>
    <row r="170">
      <c r="A170" s="18" t="inlineStr">
        <is>
          <t>CD10</t>
        </is>
      </c>
      <c r="B170" s="18" t="inlineStr">
        <is>
          <t>D03-I05</t>
        </is>
      </c>
      <c r="C170" s="18" t="inlineStr">
        <is>
          <t>D07-I07</t>
        </is>
      </c>
      <c r="D170" s="18">
        <f>'P0-3_Scorecard'!L30</f>
        <v/>
      </c>
      <c r="E170" s="18">
        <f>'P0-3_Scorecard'!L87</f>
        <v/>
      </c>
      <c r="F170" s="18">
        <f>'P0-3_Scorecard'!M30</f>
        <v/>
      </c>
      <c r="G170" s="18">
        <f>'P0-3_Scorecard'!M87</f>
        <v/>
      </c>
      <c r="H170" s="18">
        <f>IF(OR(D170="",F170=""),"",D170-(F170*20))</f>
        <v/>
      </c>
      <c r="I170" s="18">
        <f>IF(OR(E170="",G170=""),"",E170-(G170*20))</f>
        <v/>
      </c>
      <c r="J170" s="18">
        <f>IF(OR(D170="",E170=""),"INCOMPLETE",IF(AND(D170&gt;=80,E170&lt;50),"CONTRADICTION",IF(AND(D170&gt;=70,E170&lt;70),"DEPENDENCY GAP","NO TRIGGER")))</f>
        <v/>
      </c>
      <c r="K170" s="18">
        <f>IF(J170="CONTRADICTION","HIGH",IF(J170="DEPENDENCY GAP","MEDIUM","—"))</f>
        <v/>
      </c>
      <c r="L170" s="18">
        <f>IF(J170="CONTRADICTION","Strong upstream claim is not supported by linked downstream capability/evidence. Trigger: Assessment alignment review.",IF(J170="DEPENDENCY GAP","Downstream capability materially trails upstream expectation. Trigger: Assessment alignment review.",""))</f>
        <v/>
      </c>
    </row>
    <row r="171">
      <c r="A171" s="18" t="inlineStr">
        <is>
          <t>CD10</t>
        </is>
      </c>
      <c r="B171" s="18" t="inlineStr">
        <is>
          <t>D03-I05</t>
        </is>
      </c>
      <c r="C171" s="18" t="inlineStr">
        <is>
          <t>D07-I08</t>
        </is>
      </c>
      <c r="D171" s="18">
        <f>'P0-3_Scorecard'!L30</f>
        <v/>
      </c>
      <c r="E171" s="18">
        <f>'P0-3_Scorecard'!L88</f>
        <v/>
      </c>
      <c r="F171" s="18">
        <f>'P0-3_Scorecard'!M30</f>
        <v/>
      </c>
      <c r="G171" s="18">
        <f>'P0-3_Scorecard'!M88</f>
        <v/>
      </c>
      <c r="H171" s="18">
        <f>IF(OR(D171="",F171=""),"",D171-(F171*20))</f>
        <v/>
      </c>
      <c r="I171" s="18">
        <f>IF(OR(E171="",G171=""),"",E171-(G171*20))</f>
        <v/>
      </c>
      <c r="J171" s="18">
        <f>IF(OR(D171="",E171=""),"INCOMPLETE",IF(AND(D171&gt;=80,E171&lt;50),"CONTRADICTION",IF(AND(D171&gt;=70,E171&lt;70),"DEPENDENCY GAP","NO TRIGGER")))</f>
        <v/>
      </c>
      <c r="K171" s="18">
        <f>IF(J171="CONTRADICTION","HIGH",IF(J171="DEPENDENCY GAP","MEDIUM","—"))</f>
        <v/>
      </c>
      <c r="L171" s="18">
        <f>IF(J171="CONTRADICTION","Strong upstream claim is not supported by linked downstream capability/evidence. Trigger: Assessment alignment review.",IF(J171="DEPENDENCY GAP","Downstream capability materially trails upstream expectation. Trigger: Assessment alignment review.",""))</f>
        <v/>
      </c>
    </row>
    <row r="172">
      <c r="A172" s="18" t="inlineStr">
        <is>
          <t>CD10</t>
        </is>
      </c>
      <c r="B172" s="18" t="inlineStr">
        <is>
          <t>D03-I07</t>
        </is>
      </c>
      <c r="C172" s="18" t="inlineStr">
        <is>
          <t>D07-I02</t>
        </is>
      </c>
      <c r="D172" s="18">
        <f>'P0-3_Scorecard'!L32</f>
        <v/>
      </c>
      <c r="E172" s="18">
        <f>'P0-3_Scorecard'!L82</f>
        <v/>
      </c>
      <c r="F172" s="18">
        <f>'P0-3_Scorecard'!M32</f>
        <v/>
      </c>
      <c r="G172" s="18">
        <f>'P0-3_Scorecard'!M82</f>
        <v/>
      </c>
      <c r="H172" s="18">
        <f>IF(OR(D172="",F172=""),"",D172-(F172*20))</f>
        <v/>
      </c>
      <c r="I172" s="18">
        <f>IF(OR(E172="",G172=""),"",E172-(G172*20))</f>
        <v/>
      </c>
      <c r="J172" s="18">
        <f>IF(OR(D172="",E172=""),"INCOMPLETE",IF(AND(D172&gt;=80,E172&lt;50),"CONTRADICTION",IF(AND(D172&gt;=70,E172&lt;70),"DEPENDENCY GAP","NO TRIGGER")))</f>
        <v/>
      </c>
      <c r="K172" s="18">
        <f>IF(J172="CONTRADICTION","HIGH",IF(J172="DEPENDENCY GAP","MEDIUM","—"))</f>
        <v/>
      </c>
      <c r="L172" s="18">
        <f>IF(J172="CONTRADICTION","Strong upstream claim is not supported by linked downstream capability/evidence. Trigger: Assessment alignment review.",IF(J172="DEPENDENCY GAP","Downstream capability materially trails upstream expectation. Trigger: Assessment alignment review.",""))</f>
        <v/>
      </c>
    </row>
    <row r="173">
      <c r="A173" s="18" t="inlineStr">
        <is>
          <t>CD10</t>
        </is>
      </c>
      <c r="B173" s="18" t="inlineStr">
        <is>
          <t>D03-I07</t>
        </is>
      </c>
      <c r="C173" s="18" t="inlineStr">
        <is>
          <t>D07-I03</t>
        </is>
      </c>
      <c r="D173" s="18">
        <f>'P0-3_Scorecard'!L32</f>
        <v/>
      </c>
      <c r="E173" s="18">
        <f>'P0-3_Scorecard'!L83</f>
        <v/>
      </c>
      <c r="F173" s="18">
        <f>'P0-3_Scorecard'!M32</f>
        <v/>
      </c>
      <c r="G173" s="18">
        <f>'P0-3_Scorecard'!M83</f>
        <v/>
      </c>
      <c r="H173" s="18">
        <f>IF(OR(D173="",F173=""),"",D173-(F173*20))</f>
        <v/>
      </c>
      <c r="I173" s="18">
        <f>IF(OR(E173="",G173=""),"",E173-(G173*20))</f>
        <v/>
      </c>
      <c r="J173" s="18">
        <f>IF(OR(D173="",E173=""),"INCOMPLETE",IF(AND(D173&gt;=80,E173&lt;50),"CONTRADICTION",IF(AND(D173&gt;=70,E173&lt;70),"DEPENDENCY GAP","NO TRIGGER")))</f>
        <v/>
      </c>
      <c r="K173" s="18">
        <f>IF(J173="CONTRADICTION","HIGH",IF(J173="DEPENDENCY GAP","MEDIUM","—"))</f>
        <v/>
      </c>
      <c r="L173" s="18">
        <f>IF(J173="CONTRADICTION","Strong upstream claim is not supported by linked downstream capability/evidence. Trigger: Assessment alignment review.",IF(J173="DEPENDENCY GAP","Downstream capability materially trails upstream expectation. Trigger: Assessment alignment review.",""))</f>
        <v/>
      </c>
    </row>
    <row r="174">
      <c r="A174" s="18" t="inlineStr">
        <is>
          <t>CD10</t>
        </is>
      </c>
      <c r="B174" s="18" t="inlineStr">
        <is>
          <t>D03-I07</t>
        </is>
      </c>
      <c r="C174" s="18" t="inlineStr">
        <is>
          <t>D07-I05</t>
        </is>
      </c>
      <c r="D174" s="18">
        <f>'P0-3_Scorecard'!L32</f>
        <v/>
      </c>
      <c r="E174" s="18">
        <f>'P0-3_Scorecard'!L85</f>
        <v/>
      </c>
      <c r="F174" s="18">
        <f>'P0-3_Scorecard'!M32</f>
        <v/>
      </c>
      <c r="G174" s="18">
        <f>'P0-3_Scorecard'!M85</f>
        <v/>
      </c>
      <c r="H174" s="18">
        <f>IF(OR(D174="",F174=""),"",D174-(F174*20))</f>
        <v/>
      </c>
      <c r="I174" s="18">
        <f>IF(OR(E174="",G174=""),"",E174-(G174*20))</f>
        <v/>
      </c>
      <c r="J174" s="18">
        <f>IF(OR(D174="",E174=""),"INCOMPLETE",IF(AND(D174&gt;=80,E174&lt;50),"CONTRADICTION",IF(AND(D174&gt;=70,E174&lt;70),"DEPENDENCY GAP","NO TRIGGER")))</f>
        <v/>
      </c>
      <c r="K174" s="18">
        <f>IF(J174="CONTRADICTION","HIGH",IF(J174="DEPENDENCY GAP","MEDIUM","—"))</f>
        <v/>
      </c>
      <c r="L174" s="18">
        <f>IF(J174="CONTRADICTION","Strong upstream claim is not supported by linked downstream capability/evidence. Trigger: Assessment alignment review.",IF(J174="DEPENDENCY GAP","Downstream capability materially trails upstream expectation. Trigger: Assessment alignment review.",""))</f>
        <v/>
      </c>
    </row>
    <row r="175">
      <c r="A175" s="18" t="inlineStr">
        <is>
          <t>CD10</t>
        </is>
      </c>
      <c r="B175" s="18" t="inlineStr">
        <is>
          <t>D03-I07</t>
        </is>
      </c>
      <c r="C175" s="18" t="inlineStr">
        <is>
          <t>D07-I07</t>
        </is>
      </c>
      <c r="D175" s="18">
        <f>'P0-3_Scorecard'!L32</f>
        <v/>
      </c>
      <c r="E175" s="18">
        <f>'P0-3_Scorecard'!L87</f>
        <v/>
      </c>
      <c r="F175" s="18">
        <f>'P0-3_Scorecard'!M32</f>
        <v/>
      </c>
      <c r="G175" s="18">
        <f>'P0-3_Scorecard'!M87</f>
        <v/>
      </c>
      <c r="H175" s="18">
        <f>IF(OR(D175="",F175=""),"",D175-(F175*20))</f>
        <v/>
      </c>
      <c r="I175" s="18">
        <f>IF(OR(E175="",G175=""),"",E175-(G175*20))</f>
        <v/>
      </c>
      <c r="J175" s="18">
        <f>IF(OR(D175="",E175=""),"INCOMPLETE",IF(AND(D175&gt;=80,E175&lt;50),"CONTRADICTION",IF(AND(D175&gt;=70,E175&lt;70),"DEPENDENCY GAP","NO TRIGGER")))</f>
        <v/>
      </c>
      <c r="K175" s="18">
        <f>IF(J175="CONTRADICTION","HIGH",IF(J175="DEPENDENCY GAP","MEDIUM","—"))</f>
        <v/>
      </c>
      <c r="L175" s="18">
        <f>IF(J175="CONTRADICTION","Strong upstream claim is not supported by linked downstream capability/evidence. Trigger: Assessment alignment review.",IF(J175="DEPENDENCY GAP","Downstream capability materially trails upstream expectation. Trigger: Assessment alignment review.",""))</f>
        <v/>
      </c>
    </row>
    <row r="176">
      <c r="A176" s="18" t="inlineStr">
        <is>
          <t>CD10</t>
        </is>
      </c>
      <c r="B176" s="18" t="inlineStr">
        <is>
          <t>D03-I07</t>
        </is>
      </c>
      <c r="C176" s="18" t="inlineStr">
        <is>
          <t>D07-I08</t>
        </is>
      </c>
      <c r="D176" s="18">
        <f>'P0-3_Scorecard'!L32</f>
        <v/>
      </c>
      <c r="E176" s="18">
        <f>'P0-3_Scorecard'!L88</f>
        <v/>
      </c>
      <c r="F176" s="18">
        <f>'P0-3_Scorecard'!M32</f>
        <v/>
      </c>
      <c r="G176" s="18">
        <f>'P0-3_Scorecard'!M88</f>
        <v/>
      </c>
      <c r="H176" s="18">
        <f>IF(OR(D176="",F176=""),"",D176-(F176*20))</f>
        <v/>
      </c>
      <c r="I176" s="18">
        <f>IF(OR(E176="",G176=""),"",E176-(G176*20))</f>
        <v/>
      </c>
      <c r="J176" s="18">
        <f>IF(OR(D176="",E176=""),"INCOMPLETE",IF(AND(D176&gt;=80,E176&lt;50),"CONTRADICTION",IF(AND(D176&gt;=70,E176&lt;70),"DEPENDENCY GAP","NO TRIGGER")))</f>
        <v/>
      </c>
      <c r="K176" s="18">
        <f>IF(J176="CONTRADICTION","HIGH",IF(J176="DEPENDENCY GAP","MEDIUM","—"))</f>
        <v/>
      </c>
      <c r="L176" s="18">
        <f>IF(J176="CONTRADICTION","Strong upstream claim is not supported by linked downstream capability/evidence. Trigger: Assessment alignment review.",IF(J176="DEPENDENCY GAP","Downstream capability materially trails upstream expectation. Trigger: Assessment alignment review.",""))</f>
        <v/>
      </c>
    </row>
    <row r="177">
      <c r="A177" s="18" t="inlineStr">
        <is>
          <t>CD10</t>
        </is>
      </c>
      <c r="B177" s="18" t="inlineStr">
        <is>
          <t>D03-I16</t>
        </is>
      </c>
      <c r="C177" s="18" t="inlineStr">
        <is>
          <t>D07-I02</t>
        </is>
      </c>
      <c r="D177" s="18">
        <f>'P0-3_Scorecard'!L41</f>
        <v/>
      </c>
      <c r="E177" s="18">
        <f>'P0-3_Scorecard'!L82</f>
        <v/>
      </c>
      <c r="F177" s="18">
        <f>'P0-3_Scorecard'!M41</f>
        <v/>
      </c>
      <c r="G177" s="18">
        <f>'P0-3_Scorecard'!M82</f>
        <v/>
      </c>
      <c r="H177" s="18">
        <f>IF(OR(D177="",F177=""),"",D177-(F177*20))</f>
        <v/>
      </c>
      <c r="I177" s="18">
        <f>IF(OR(E177="",G177=""),"",E177-(G177*20))</f>
        <v/>
      </c>
      <c r="J177" s="18">
        <f>IF(OR(D177="",E177=""),"INCOMPLETE",IF(AND(D177&gt;=80,E177&lt;50),"CONTRADICTION",IF(AND(D177&gt;=70,E177&lt;70),"DEPENDENCY GAP","NO TRIGGER")))</f>
        <v/>
      </c>
      <c r="K177" s="18">
        <f>IF(J177="CONTRADICTION","HIGH",IF(J177="DEPENDENCY GAP","MEDIUM","—"))</f>
        <v/>
      </c>
      <c r="L177" s="18">
        <f>IF(J177="CONTRADICTION","Strong upstream claim is not supported by linked downstream capability/evidence. Trigger: Assessment alignment review.",IF(J177="DEPENDENCY GAP","Downstream capability materially trails upstream expectation. Trigger: Assessment alignment review.",""))</f>
        <v/>
      </c>
    </row>
    <row r="178">
      <c r="A178" s="18" t="inlineStr">
        <is>
          <t>CD10</t>
        </is>
      </c>
      <c r="B178" s="18" t="inlineStr">
        <is>
          <t>D03-I16</t>
        </is>
      </c>
      <c r="C178" s="18" t="inlineStr">
        <is>
          <t>D07-I03</t>
        </is>
      </c>
      <c r="D178" s="18">
        <f>'P0-3_Scorecard'!L41</f>
        <v/>
      </c>
      <c r="E178" s="18">
        <f>'P0-3_Scorecard'!L83</f>
        <v/>
      </c>
      <c r="F178" s="18">
        <f>'P0-3_Scorecard'!M41</f>
        <v/>
      </c>
      <c r="G178" s="18">
        <f>'P0-3_Scorecard'!M83</f>
        <v/>
      </c>
      <c r="H178" s="18">
        <f>IF(OR(D178="",F178=""),"",D178-(F178*20))</f>
        <v/>
      </c>
      <c r="I178" s="18">
        <f>IF(OR(E178="",G178=""),"",E178-(G178*20))</f>
        <v/>
      </c>
      <c r="J178" s="18">
        <f>IF(OR(D178="",E178=""),"INCOMPLETE",IF(AND(D178&gt;=80,E178&lt;50),"CONTRADICTION",IF(AND(D178&gt;=70,E178&lt;70),"DEPENDENCY GAP","NO TRIGGER")))</f>
        <v/>
      </c>
      <c r="K178" s="18">
        <f>IF(J178="CONTRADICTION","HIGH",IF(J178="DEPENDENCY GAP","MEDIUM","—"))</f>
        <v/>
      </c>
      <c r="L178" s="18">
        <f>IF(J178="CONTRADICTION","Strong upstream claim is not supported by linked downstream capability/evidence. Trigger: Assessment alignment review.",IF(J178="DEPENDENCY GAP","Downstream capability materially trails upstream expectation. Trigger: Assessment alignment review.",""))</f>
        <v/>
      </c>
    </row>
    <row r="179">
      <c r="A179" s="18" t="inlineStr">
        <is>
          <t>CD10</t>
        </is>
      </c>
      <c r="B179" s="18" t="inlineStr">
        <is>
          <t>D03-I16</t>
        </is>
      </c>
      <c r="C179" s="18" t="inlineStr">
        <is>
          <t>D07-I05</t>
        </is>
      </c>
      <c r="D179" s="18">
        <f>'P0-3_Scorecard'!L41</f>
        <v/>
      </c>
      <c r="E179" s="18">
        <f>'P0-3_Scorecard'!L85</f>
        <v/>
      </c>
      <c r="F179" s="18">
        <f>'P0-3_Scorecard'!M41</f>
        <v/>
      </c>
      <c r="G179" s="18">
        <f>'P0-3_Scorecard'!M85</f>
        <v/>
      </c>
      <c r="H179" s="18">
        <f>IF(OR(D179="",F179=""),"",D179-(F179*20))</f>
        <v/>
      </c>
      <c r="I179" s="18">
        <f>IF(OR(E179="",G179=""),"",E179-(G179*20))</f>
        <v/>
      </c>
      <c r="J179" s="18">
        <f>IF(OR(D179="",E179=""),"INCOMPLETE",IF(AND(D179&gt;=80,E179&lt;50),"CONTRADICTION",IF(AND(D179&gt;=70,E179&lt;70),"DEPENDENCY GAP","NO TRIGGER")))</f>
        <v/>
      </c>
      <c r="K179" s="18">
        <f>IF(J179="CONTRADICTION","HIGH",IF(J179="DEPENDENCY GAP","MEDIUM","—"))</f>
        <v/>
      </c>
      <c r="L179" s="18">
        <f>IF(J179="CONTRADICTION","Strong upstream claim is not supported by linked downstream capability/evidence. Trigger: Assessment alignment review.",IF(J179="DEPENDENCY GAP","Downstream capability materially trails upstream expectation. Trigger: Assessment alignment review.",""))</f>
        <v/>
      </c>
    </row>
    <row r="180">
      <c r="A180" s="18" t="inlineStr">
        <is>
          <t>CD10</t>
        </is>
      </c>
      <c r="B180" s="18" t="inlineStr">
        <is>
          <t>D03-I16</t>
        </is>
      </c>
      <c r="C180" s="18" t="inlineStr">
        <is>
          <t>D07-I07</t>
        </is>
      </c>
      <c r="D180" s="18">
        <f>'P0-3_Scorecard'!L41</f>
        <v/>
      </c>
      <c r="E180" s="18">
        <f>'P0-3_Scorecard'!L87</f>
        <v/>
      </c>
      <c r="F180" s="18">
        <f>'P0-3_Scorecard'!M41</f>
        <v/>
      </c>
      <c r="G180" s="18">
        <f>'P0-3_Scorecard'!M87</f>
        <v/>
      </c>
      <c r="H180" s="18">
        <f>IF(OR(D180="",F180=""),"",D180-(F180*20))</f>
        <v/>
      </c>
      <c r="I180" s="18">
        <f>IF(OR(E180="",G180=""),"",E180-(G180*20))</f>
        <v/>
      </c>
      <c r="J180" s="18">
        <f>IF(OR(D180="",E180=""),"INCOMPLETE",IF(AND(D180&gt;=80,E180&lt;50),"CONTRADICTION",IF(AND(D180&gt;=70,E180&lt;70),"DEPENDENCY GAP","NO TRIGGER")))</f>
        <v/>
      </c>
      <c r="K180" s="18">
        <f>IF(J180="CONTRADICTION","HIGH",IF(J180="DEPENDENCY GAP","MEDIUM","—"))</f>
        <v/>
      </c>
      <c r="L180" s="18">
        <f>IF(J180="CONTRADICTION","Strong upstream claim is not supported by linked downstream capability/evidence. Trigger: Assessment alignment review.",IF(J180="DEPENDENCY GAP","Downstream capability materially trails upstream expectation. Trigger: Assessment alignment review.",""))</f>
        <v/>
      </c>
    </row>
    <row r="181">
      <c r="A181" s="18" t="inlineStr">
        <is>
          <t>CD10</t>
        </is>
      </c>
      <c r="B181" s="18" t="inlineStr">
        <is>
          <t>D03-I16</t>
        </is>
      </c>
      <c r="C181" s="18" t="inlineStr">
        <is>
          <t>D07-I08</t>
        </is>
      </c>
      <c r="D181" s="18">
        <f>'P0-3_Scorecard'!L41</f>
        <v/>
      </c>
      <c r="E181" s="18">
        <f>'P0-3_Scorecard'!L88</f>
        <v/>
      </c>
      <c r="F181" s="18">
        <f>'P0-3_Scorecard'!M41</f>
        <v/>
      </c>
      <c r="G181" s="18">
        <f>'P0-3_Scorecard'!M88</f>
        <v/>
      </c>
      <c r="H181" s="18">
        <f>IF(OR(D181="",F181=""),"",D181-(F181*20))</f>
        <v/>
      </c>
      <c r="I181" s="18">
        <f>IF(OR(E181="",G181=""),"",E181-(G181*20))</f>
        <v/>
      </c>
      <c r="J181" s="18">
        <f>IF(OR(D181="",E181=""),"INCOMPLETE",IF(AND(D181&gt;=80,E181&lt;50),"CONTRADICTION",IF(AND(D181&gt;=70,E181&lt;70),"DEPENDENCY GAP","NO TRIGGER")))</f>
        <v/>
      </c>
      <c r="K181" s="18">
        <f>IF(J181="CONTRADICTION","HIGH",IF(J181="DEPENDENCY GAP","MEDIUM","—"))</f>
        <v/>
      </c>
      <c r="L181" s="18">
        <f>IF(J181="CONTRADICTION","Strong upstream claim is not supported by linked downstream capability/evidence. Trigger: Assessment alignment review.",IF(J181="DEPENDENCY GAP","Downstream capability materially trails upstream expectation. Trigger: Assessment alignment review.",""))</f>
        <v/>
      </c>
    </row>
    <row r="182">
      <c r="A182" s="18" t="inlineStr">
        <is>
          <t>CD11</t>
        </is>
      </c>
      <c r="B182" s="18" t="inlineStr">
        <is>
          <t>D04-I02</t>
        </is>
      </c>
      <c r="C182" s="18" t="inlineStr">
        <is>
          <t>D07-I01</t>
        </is>
      </c>
      <c r="D182" s="18">
        <f>'P0-3_Scorecard'!L44</f>
        <v/>
      </c>
      <c r="E182" s="18">
        <f>'P0-3_Scorecard'!L81</f>
        <v/>
      </c>
      <c r="F182" s="18">
        <f>'P0-3_Scorecard'!M44</f>
        <v/>
      </c>
      <c r="G182" s="18">
        <f>'P0-3_Scorecard'!M81</f>
        <v/>
      </c>
      <c r="H182" s="18">
        <f>IF(OR(D182="",F182=""),"",D182-(F182*20))</f>
        <v/>
      </c>
      <c r="I182" s="18">
        <f>IF(OR(E182="",G182=""),"",E182-(G182*20))</f>
        <v/>
      </c>
      <c r="J182" s="18">
        <f>IF(OR(D182="",E182=""),"INCOMPLETE",IF(AND(D182&gt;=80,E182&lt;50),"CONTRADICTION",IF(AND(D182&gt;=70,E182&lt;70),"DEPENDENCY GAP","NO TRIGGER")))</f>
        <v/>
      </c>
      <c r="K182" s="18">
        <f>IF(J182="CONTRADICTION","HIGH",IF(J182="DEPENDENCY GAP","MEDIUM","—"))</f>
        <v/>
      </c>
      <c r="L182" s="18">
        <f>IF(J182="CONTRADICTION","Strong upstream claim is not supported by linked downstream capability/evidence. Trigger: Assessment redesign.",IF(J182="DEPENDENCY GAP","Downstream capability materially trails upstream expectation. Trigger: Assessment redesign.",""))</f>
        <v/>
      </c>
    </row>
    <row r="183">
      <c r="A183" s="18" t="inlineStr">
        <is>
          <t>CD11</t>
        </is>
      </c>
      <c r="B183" s="18" t="inlineStr">
        <is>
          <t>D04-I02</t>
        </is>
      </c>
      <c r="C183" s="18" t="inlineStr">
        <is>
          <t>D07-I02</t>
        </is>
      </c>
      <c r="D183" s="18">
        <f>'P0-3_Scorecard'!L44</f>
        <v/>
      </c>
      <c r="E183" s="18">
        <f>'P0-3_Scorecard'!L82</f>
        <v/>
      </c>
      <c r="F183" s="18">
        <f>'P0-3_Scorecard'!M44</f>
        <v/>
      </c>
      <c r="G183" s="18">
        <f>'P0-3_Scorecard'!M82</f>
        <v/>
      </c>
      <c r="H183" s="18">
        <f>IF(OR(D183="",F183=""),"",D183-(F183*20))</f>
        <v/>
      </c>
      <c r="I183" s="18">
        <f>IF(OR(E183="",G183=""),"",E183-(G183*20))</f>
        <v/>
      </c>
      <c r="J183" s="18">
        <f>IF(OR(D183="",E183=""),"INCOMPLETE",IF(AND(D183&gt;=80,E183&lt;50),"CONTRADICTION",IF(AND(D183&gt;=70,E183&lt;70),"DEPENDENCY GAP","NO TRIGGER")))</f>
        <v/>
      </c>
      <c r="K183" s="18">
        <f>IF(J183="CONTRADICTION","HIGH",IF(J183="DEPENDENCY GAP","MEDIUM","—"))</f>
        <v/>
      </c>
      <c r="L183" s="18">
        <f>IF(J183="CONTRADICTION","Strong upstream claim is not supported by linked downstream capability/evidence. Trigger: Assessment redesign.",IF(J183="DEPENDENCY GAP","Downstream capability materially trails upstream expectation. Trigger: Assessment redesign.",""))</f>
        <v/>
      </c>
    </row>
    <row r="184">
      <c r="A184" s="18" t="inlineStr">
        <is>
          <t>CD11</t>
        </is>
      </c>
      <c r="B184" s="18" t="inlineStr">
        <is>
          <t>D04-I02</t>
        </is>
      </c>
      <c r="C184" s="18" t="inlineStr">
        <is>
          <t>D07-I04</t>
        </is>
      </c>
      <c r="D184" s="18">
        <f>'P0-3_Scorecard'!L44</f>
        <v/>
      </c>
      <c r="E184" s="18">
        <f>'P0-3_Scorecard'!L84</f>
        <v/>
      </c>
      <c r="F184" s="18">
        <f>'P0-3_Scorecard'!M44</f>
        <v/>
      </c>
      <c r="G184" s="18">
        <f>'P0-3_Scorecard'!M84</f>
        <v/>
      </c>
      <c r="H184" s="18">
        <f>IF(OR(D184="",F184=""),"",D184-(F184*20))</f>
        <v/>
      </c>
      <c r="I184" s="18">
        <f>IF(OR(E184="",G184=""),"",E184-(G184*20))</f>
        <v/>
      </c>
      <c r="J184" s="18">
        <f>IF(OR(D184="",E184=""),"INCOMPLETE",IF(AND(D184&gt;=80,E184&lt;50),"CONTRADICTION",IF(AND(D184&gt;=70,E184&lt;70),"DEPENDENCY GAP","NO TRIGGER")))</f>
        <v/>
      </c>
      <c r="K184" s="18">
        <f>IF(J184="CONTRADICTION","HIGH",IF(J184="DEPENDENCY GAP","MEDIUM","—"))</f>
        <v/>
      </c>
      <c r="L184" s="18">
        <f>IF(J184="CONTRADICTION","Strong upstream claim is not supported by linked downstream capability/evidence. Trigger: Assessment redesign.",IF(J184="DEPENDENCY GAP","Downstream capability materially trails upstream expectation. Trigger: Assessment redesign.",""))</f>
        <v/>
      </c>
    </row>
    <row r="185">
      <c r="A185" s="18" t="inlineStr">
        <is>
          <t>CD11</t>
        </is>
      </c>
      <c r="B185" s="18" t="inlineStr">
        <is>
          <t>D04-I02</t>
        </is>
      </c>
      <c r="C185" s="18" t="inlineStr">
        <is>
          <t>D07-I07</t>
        </is>
      </c>
      <c r="D185" s="18">
        <f>'P0-3_Scorecard'!L44</f>
        <v/>
      </c>
      <c r="E185" s="18">
        <f>'P0-3_Scorecard'!L87</f>
        <v/>
      </c>
      <c r="F185" s="18">
        <f>'P0-3_Scorecard'!M44</f>
        <v/>
      </c>
      <c r="G185" s="18">
        <f>'P0-3_Scorecard'!M87</f>
        <v/>
      </c>
      <c r="H185" s="18">
        <f>IF(OR(D185="",F185=""),"",D185-(F185*20))</f>
        <v/>
      </c>
      <c r="I185" s="18">
        <f>IF(OR(E185="",G185=""),"",E185-(G185*20))</f>
        <v/>
      </c>
      <c r="J185" s="18">
        <f>IF(OR(D185="",E185=""),"INCOMPLETE",IF(AND(D185&gt;=80,E185&lt;50),"CONTRADICTION",IF(AND(D185&gt;=70,E185&lt;70),"DEPENDENCY GAP","NO TRIGGER")))</f>
        <v/>
      </c>
      <c r="K185" s="18">
        <f>IF(J185="CONTRADICTION","HIGH",IF(J185="DEPENDENCY GAP","MEDIUM","—"))</f>
        <v/>
      </c>
      <c r="L185" s="18">
        <f>IF(J185="CONTRADICTION","Strong upstream claim is not supported by linked downstream capability/evidence. Trigger: Assessment redesign.",IF(J185="DEPENDENCY GAP","Downstream capability materially trails upstream expectation. Trigger: Assessment redesign.",""))</f>
        <v/>
      </c>
    </row>
    <row r="186">
      <c r="A186" s="18" t="inlineStr">
        <is>
          <t>CD11</t>
        </is>
      </c>
      <c r="B186" s="18" t="inlineStr">
        <is>
          <t>D04-I02</t>
        </is>
      </c>
      <c r="C186" s="18" t="inlineStr">
        <is>
          <t>D07-I08</t>
        </is>
      </c>
      <c r="D186" s="18">
        <f>'P0-3_Scorecard'!L44</f>
        <v/>
      </c>
      <c r="E186" s="18">
        <f>'P0-3_Scorecard'!L88</f>
        <v/>
      </c>
      <c r="F186" s="18">
        <f>'P0-3_Scorecard'!M44</f>
        <v/>
      </c>
      <c r="G186" s="18">
        <f>'P0-3_Scorecard'!M88</f>
        <v/>
      </c>
      <c r="H186" s="18">
        <f>IF(OR(D186="",F186=""),"",D186-(F186*20))</f>
        <v/>
      </c>
      <c r="I186" s="18">
        <f>IF(OR(E186="",G186=""),"",E186-(G186*20))</f>
        <v/>
      </c>
      <c r="J186" s="18">
        <f>IF(OR(D186="",E186=""),"INCOMPLETE",IF(AND(D186&gt;=80,E186&lt;50),"CONTRADICTION",IF(AND(D186&gt;=70,E186&lt;70),"DEPENDENCY GAP","NO TRIGGER")))</f>
        <v/>
      </c>
      <c r="K186" s="18">
        <f>IF(J186="CONTRADICTION","HIGH",IF(J186="DEPENDENCY GAP","MEDIUM","—"))</f>
        <v/>
      </c>
      <c r="L186" s="18">
        <f>IF(J186="CONTRADICTION","Strong upstream claim is not supported by linked downstream capability/evidence. Trigger: Assessment redesign.",IF(J186="DEPENDENCY GAP","Downstream capability materially trails upstream expectation. Trigger: Assessment redesign.",""))</f>
        <v/>
      </c>
    </row>
    <row r="187">
      <c r="A187" s="18" t="inlineStr">
        <is>
          <t>CD11</t>
        </is>
      </c>
      <c r="B187" s="18" t="inlineStr">
        <is>
          <t>D04-I04</t>
        </is>
      </c>
      <c r="C187" s="18" t="inlineStr">
        <is>
          <t>D07-I01</t>
        </is>
      </c>
      <c r="D187" s="18">
        <f>'P0-3_Scorecard'!L46</f>
        <v/>
      </c>
      <c r="E187" s="18">
        <f>'P0-3_Scorecard'!L81</f>
        <v/>
      </c>
      <c r="F187" s="18">
        <f>'P0-3_Scorecard'!M46</f>
        <v/>
      </c>
      <c r="G187" s="18">
        <f>'P0-3_Scorecard'!M81</f>
        <v/>
      </c>
      <c r="H187" s="18">
        <f>IF(OR(D187="",F187=""),"",D187-(F187*20))</f>
        <v/>
      </c>
      <c r="I187" s="18">
        <f>IF(OR(E187="",G187=""),"",E187-(G187*20))</f>
        <v/>
      </c>
      <c r="J187" s="18">
        <f>IF(OR(D187="",E187=""),"INCOMPLETE",IF(AND(D187&gt;=80,E187&lt;50),"CONTRADICTION",IF(AND(D187&gt;=70,E187&lt;70),"DEPENDENCY GAP","NO TRIGGER")))</f>
        <v/>
      </c>
      <c r="K187" s="18">
        <f>IF(J187="CONTRADICTION","HIGH",IF(J187="DEPENDENCY GAP","MEDIUM","—"))</f>
        <v/>
      </c>
      <c r="L187" s="18">
        <f>IF(J187="CONTRADICTION","Strong upstream claim is not supported by linked downstream capability/evidence. Trigger: Assessment redesign.",IF(J187="DEPENDENCY GAP","Downstream capability materially trails upstream expectation. Trigger: Assessment redesign.",""))</f>
        <v/>
      </c>
    </row>
    <row r="188">
      <c r="A188" s="18" t="inlineStr">
        <is>
          <t>CD11</t>
        </is>
      </c>
      <c r="B188" s="18" t="inlineStr">
        <is>
          <t>D04-I04</t>
        </is>
      </c>
      <c r="C188" s="18" t="inlineStr">
        <is>
          <t>D07-I02</t>
        </is>
      </c>
      <c r="D188" s="18">
        <f>'P0-3_Scorecard'!L46</f>
        <v/>
      </c>
      <c r="E188" s="18">
        <f>'P0-3_Scorecard'!L82</f>
        <v/>
      </c>
      <c r="F188" s="18">
        <f>'P0-3_Scorecard'!M46</f>
        <v/>
      </c>
      <c r="G188" s="18">
        <f>'P0-3_Scorecard'!M82</f>
        <v/>
      </c>
      <c r="H188" s="18">
        <f>IF(OR(D188="",F188=""),"",D188-(F188*20))</f>
        <v/>
      </c>
      <c r="I188" s="18">
        <f>IF(OR(E188="",G188=""),"",E188-(G188*20))</f>
        <v/>
      </c>
      <c r="J188" s="18">
        <f>IF(OR(D188="",E188=""),"INCOMPLETE",IF(AND(D188&gt;=80,E188&lt;50),"CONTRADICTION",IF(AND(D188&gt;=70,E188&lt;70),"DEPENDENCY GAP","NO TRIGGER")))</f>
        <v/>
      </c>
      <c r="K188" s="18">
        <f>IF(J188="CONTRADICTION","HIGH",IF(J188="DEPENDENCY GAP","MEDIUM","—"))</f>
        <v/>
      </c>
      <c r="L188" s="18">
        <f>IF(J188="CONTRADICTION","Strong upstream claim is not supported by linked downstream capability/evidence. Trigger: Assessment redesign.",IF(J188="DEPENDENCY GAP","Downstream capability materially trails upstream expectation. Trigger: Assessment redesign.",""))</f>
        <v/>
      </c>
    </row>
    <row r="189">
      <c r="A189" s="18" t="inlineStr">
        <is>
          <t>CD11</t>
        </is>
      </c>
      <c r="B189" s="18" t="inlineStr">
        <is>
          <t>D04-I04</t>
        </is>
      </c>
      <c r="C189" s="18" t="inlineStr">
        <is>
          <t>D07-I04</t>
        </is>
      </c>
      <c r="D189" s="18">
        <f>'P0-3_Scorecard'!L46</f>
        <v/>
      </c>
      <c r="E189" s="18">
        <f>'P0-3_Scorecard'!L84</f>
        <v/>
      </c>
      <c r="F189" s="18">
        <f>'P0-3_Scorecard'!M46</f>
        <v/>
      </c>
      <c r="G189" s="18">
        <f>'P0-3_Scorecard'!M84</f>
        <v/>
      </c>
      <c r="H189" s="18">
        <f>IF(OR(D189="",F189=""),"",D189-(F189*20))</f>
        <v/>
      </c>
      <c r="I189" s="18">
        <f>IF(OR(E189="",G189=""),"",E189-(G189*20))</f>
        <v/>
      </c>
      <c r="J189" s="18">
        <f>IF(OR(D189="",E189=""),"INCOMPLETE",IF(AND(D189&gt;=80,E189&lt;50),"CONTRADICTION",IF(AND(D189&gt;=70,E189&lt;70),"DEPENDENCY GAP","NO TRIGGER")))</f>
        <v/>
      </c>
      <c r="K189" s="18">
        <f>IF(J189="CONTRADICTION","HIGH",IF(J189="DEPENDENCY GAP","MEDIUM","—"))</f>
        <v/>
      </c>
      <c r="L189" s="18">
        <f>IF(J189="CONTRADICTION","Strong upstream claim is not supported by linked downstream capability/evidence. Trigger: Assessment redesign.",IF(J189="DEPENDENCY GAP","Downstream capability materially trails upstream expectation. Trigger: Assessment redesign.",""))</f>
        <v/>
      </c>
    </row>
    <row r="190">
      <c r="A190" s="18" t="inlineStr">
        <is>
          <t>CD11</t>
        </is>
      </c>
      <c r="B190" s="18" t="inlineStr">
        <is>
          <t>D04-I04</t>
        </is>
      </c>
      <c r="C190" s="18" t="inlineStr">
        <is>
          <t>D07-I07</t>
        </is>
      </c>
      <c r="D190" s="18">
        <f>'P0-3_Scorecard'!L46</f>
        <v/>
      </c>
      <c r="E190" s="18">
        <f>'P0-3_Scorecard'!L87</f>
        <v/>
      </c>
      <c r="F190" s="18">
        <f>'P0-3_Scorecard'!M46</f>
        <v/>
      </c>
      <c r="G190" s="18">
        <f>'P0-3_Scorecard'!M87</f>
        <v/>
      </c>
      <c r="H190" s="18">
        <f>IF(OR(D190="",F190=""),"",D190-(F190*20))</f>
        <v/>
      </c>
      <c r="I190" s="18">
        <f>IF(OR(E190="",G190=""),"",E190-(G190*20))</f>
        <v/>
      </c>
      <c r="J190" s="18">
        <f>IF(OR(D190="",E190=""),"INCOMPLETE",IF(AND(D190&gt;=80,E190&lt;50),"CONTRADICTION",IF(AND(D190&gt;=70,E190&lt;70),"DEPENDENCY GAP","NO TRIGGER")))</f>
        <v/>
      </c>
      <c r="K190" s="18">
        <f>IF(J190="CONTRADICTION","HIGH",IF(J190="DEPENDENCY GAP","MEDIUM","—"))</f>
        <v/>
      </c>
      <c r="L190" s="18">
        <f>IF(J190="CONTRADICTION","Strong upstream claim is not supported by linked downstream capability/evidence. Trigger: Assessment redesign.",IF(J190="DEPENDENCY GAP","Downstream capability materially trails upstream expectation. Trigger: Assessment redesign.",""))</f>
        <v/>
      </c>
    </row>
    <row r="191">
      <c r="A191" s="18" t="inlineStr">
        <is>
          <t>CD11</t>
        </is>
      </c>
      <c r="B191" s="18" t="inlineStr">
        <is>
          <t>D04-I04</t>
        </is>
      </c>
      <c r="C191" s="18" t="inlineStr">
        <is>
          <t>D07-I08</t>
        </is>
      </c>
      <c r="D191" s="18">
        <f>'P0-3_Scorecard'!L46</f>
        <v/>
      </c>
      <c r="E191" s="18">
        <f>'P0-3_Scorecard'!L88</f>
        <v/>
      </c>
      <c r="F191" s="18">
        <f>'P0-3_Scorecard'!M46</f>
        <v/>
      </c>
      <c r="G191" s="18">
        <f>'P0-3_Scorecard'!M88</f>
        <v/>
      </c>
      <c r="H191" s="18">
        <f>IF(OR(D191="",F191=""),"",D191-(F191*20))</f>
        <v/>
      </c>
      <c r="I191" s="18">
        <f>IF(OR(E191="",G191=""),"",E191-(G191*20))</f>
        <v/>
      </c>
      <c r="J191" s="18">
        <f>IF(OR(D191="",E191=""),"INCOMPLETE",IF(AND(D191&gt;=80,E191&lt;50),"CONTRADICTION",IF(AND(D191&gt;=70,E191&lt;70),"DEPENDENCY GAP","NO TRIGGER")))</f>
        <v/>
      </c>
      <c r="K191" s="18">
        <f>IF(J191="CONTRADICTION","HIGH",IF(J191="DEPENDENCY GAP","MEDIUM","—"))</f>
        <v/>
      </c>
      <c r="L191" s="18">
        <f>IF(J191="CONTRADICTION","Strong upstream claim is not supported by linked downstream capability/evidence. Trigger: Assessment redesign.",IF(J191="DEPENDENCY GAP","Downstream capability materially trails upstream expectation. Trigger: Assessment redesign.",""))</f>
        <v/>
      </c>
    </row>
    <row r="192">
      <c r="A192" s="18" t="inlineStr">
        <is>
          <t>CD11</t>
        </is>
      </c>
      <c r="B192" s="18" t="inlineStr">
        <is>
          <t>D04-I05</t>
        </is>
      </c>
      <c r="C192" s="18" t="inlineStr">
        <is>
          <t>D07-I01</t>
        </is>
      </c>
      <c r="D192" s="18">
        <f>'P0-3_Scorecard'!L47</f>
        <v/>
      </c>
      <c r="E192" s="18">
        <f>'P0-3_Scorecard'!L81</f>
        <v/>
      </c>
      <c r="F192" s="18">
        <f>'P0-3_Scorecard'!M47</f>
        <v/>
      </c>
      <c r="G192" s="18">
        <f>'P0-3_Scorecard'!M81</f>
        <v/>
      </c>
      <c r="H192" s="18">
        <f>IF(OR(D192="",F192=""),"",D192-(F192*20))</f>
        <v/>
      </c>
      <c r="I192" s="18">
        <f>IF(OR(E192="",G192=""),"",E192-(G192*20))</f>
        <v/>
      </c>
      <c r="J192" s="18">
        <f>IF(OR(D192="",E192=""),"INCOMPLETE",IF(AND(D192&gt;=80,E192&lt;50),"CONTRADICTION",IF(AND(D192&gt;=70,E192&lt;70),"DEPENDENCY GAP","NO TRIGGER")))</f>
        <v/>
      </c>
      <c r="K192" s="18">
        <f>IF(J192="CONTRADICTION","HIGH",IF(J192="DEPENDENCY GAP","MEDIUM","—"))</f>
        <v/>
      </c>
      <c r="L192" s="18">
        <f>IF(J192="CONTRADICTION","Strong upstream claim is not supported by linked downstream capability/evidence. Trigger: Assessment redesign.",IF(J192="DEPENDENCY GAP","Downstream capability materially trails upstream expectation. Trigger: Assessment redesign.",""))</f>
        <v/>
      </c>
    </row>
    <row r="193">
      <c r="A193" s="18" t="inlineStr">
        <is>
          <t>CD11</t>
        </is>
      </c>
      <c r="B193" s="18" t="inlineStr">
        <is>
          <t>D04-I05</t>
        </is>
      </c>
      <c r="C193" s="18" t="inlineStr">
        <is>
          <t>D07-I02</t>
        </is>
      </c>
      <c r="D193" s="18">
        <f>'P0-3_Scorecard'!L47</f>
        <v/>
      </c>
      <c r="E193" s="18">
        <f>'P0-3_Scorecard'!L82</f>
        <v/>
      </c>
      <c r="F193" s="18">
        <f>'P0-3_Scorecard'!M47</f>
        <v/>
      </c>
      <c r="G193" s="18">
        <f>'P0-3_Scorecard'!M82</f>
        <v/>
      </c>
      <c r="H193" s="18">
        <f>IF(OR(D193="",F193=""),"",D193-(F193*20))</f>
        <v/>
      </c>
      <c r="I193" s="18">
        <f>IF(OR(E193="",G193=""),"",E193-(G193*20))</f>
        <v/>
      </c>
      <c r="J193" s="18">
        <f>IF(OR(D193="",E193=""),"INCOMPLETE",IF(AND(D193&gt;=80,E193&lt;50),"CONTRADICTION",IF(AND(D193&gt;=70,E193&lt;70),"DEPENDENCY GAP","NO TRIGGER")))</f>
        <v/>
      </c>
      <c r="K193" s="18">
        <f>IF(J193="CONTRADICTION","HIGH",IF(J193="DEPENDENCY GAP","MEDIUM","—"))</f>
        <v/>
      </c>
      <c r="L193" s="18">
        <f>IF(J193="CONTRADICTION","Strong upstream claim is not supported by linked downstream capability/evidence. Trigger: Assessment redesign.",IF(J193="DEPENDENCY GAP","Downstream capability materially trails upstream expectation. Trigger: Assessment redesign.",""))</f>
        <v/>
      </c>
    </row>
    <row r="194">
      <c r="A194" s="18" t="inlineStr">
        <is>
          <t>CD11</t>
        </is>
      </c>
      <c r="B194" s="18" t="inlineStr">
        <is>
          <t>D04-I05</t>
        </is>
      </c>
      <c r="C194" s="18" t="inlineStr">
        <is>
          <t>D07-I04</t>
        </is>
      </c>
      <c r="D194" s="18">
        <f>'P0-3_Scorecard'!L47</f>
        <v/>
      </c>
      <c r="E194" s="18">
        <f>'P0-3_Scorecard'!L84</f>
        <v/>
      </c>
      <c r="F194" s="18">
        <f>'P0-3_Scorecard'!M47</f>
        <v/>
      </c>
      <c r="G194" s="18">
        <f>'P0-3_Scorecard'!M84</f>
        <v/>
      </c>
      <c r="H194" s="18">
        <f>IF(OR(D194="",F194=""),"",D194-(F194*20))</f>
        <v/>
      </c>
      <c r="I194" s="18">
        <f>IF(OR(E194="",G194=""),"",E194-(G194*20))</f>
        <v/>
      </c>
      <c r="J194" s="18">
        <f>IF(OR(D194="",E194=""),"INCOMPLETE",IF(AND(D194&gt;=80,E194&lt;50),"CONTRADICTION",IF(AND(D194&gt;=70,E194&lt;70),"DEPENDENCY GAP","NO TRIGGER")))</f>
        <v/>
      </c>
      <c r="K194" s="18">
        <f>IF(J194="CONTRADICTION","HIGH",IF(J194="DEPENDENCY GAP","MEDIUM","—"))</f>
        <v/>
      </c>
      <c r="L194" s="18">
        <f>IF(J194="CONTRADICTION","Strong upstream claim is not supported by linked downstream capability/evidence. Trigger: Assessment redesign.",IF(J194="DEPENDENCY GAP","Downstream capability materially trails upstream expectation. Trigger: Assessment redesign.",""))</f>
        <v/>
      </c>
    </row>
    <row r="195">
      <c r="A195" s="18" t="inlineStr">
        <is>
          <t>CD11</t>
        </is>
      </c>
      <c r="B195" s="18" t="inlineStr">
        <is>
          <t>D04-I05</t>
        </is>
      </c>
      <c r="C195" s="18" t="inlineStr">
        <is>
          <t>D07-I07</t>
        </is>
      </c>
      <c r="D195" s="18">
        <f>'P0-3_Scorecard'!L47</f>
        <v/>
      </c>
      <c r="E195" s="18">
        <f>'P0-3_Scorecard'!L87</f>
        <v/>
      </c>
      <c r="F195" s="18">
        <f>'P0-3_Scorecard'!M47</f>
        <v/>
      </c>
      <c r="G195" s="18">
        <f>'P0-3_Scorecard'!M87</f>
        <v/>
      </c>
      <c r="H195" s="18">
        <f>IF(OR(D195="",F195=""),"",D195-(F195*20))</f>
        <v/>
      </c>
      <c r="I195" s="18">
        <f>IF(OR(E195="",G195=""),"",E195-(G195*20))</f>
        <v/>
      </c>
      <c r="J195" s="18">
        <f>IF(OR(D195="",E195=""),"INCOMPLETE",IF(AND(D195&gt;=80,E195&lt;50),"CONTRADICTION",IF(AND(D195&gt;=70,E195&lt;70),"DEPENDENCY GAP","NO TRIGGER")))</f>
        <v/>
      </c>
      <c r="K195" s="18">
        <f>IF(J195="CONTRADICTION","HIGH",IF(J195="DEPENDENCY GAP","MEDIUM","—"))</f>
        <v/>
      </c>
      <c r="L195" s="18">
        <f>IF(J195="CONTRADICTION","Strong upstream claim is not supported by linked downstream capability/evidence. Trigger: Assessment redesign.",IF(J195="DEPENDENCY GAP","Downstream capability materially trails upstream expectation. Trigger: Assessment redesign.",""))</f>
        <v/>
      </c>
    </row>
    <row r="196">
      <c r="A196" s="18" t="inlineStr">
        <is>
          <t>CD11</t>
        </is>
      </c>
      <c r="B196" s="18" t="inlineStr">
        <is>
          <t>D04-I05</t>
        </is>
      </c>
      <c r="C196" s="18" t="inlineStr">
        <is>
          <t>D07-I08</t>
        </is>
      </c>
      <c r="D196" s="18">
        <f>'P0-3_Scorecard'!L47</f>
        <v/>
      </c>
      <c r="E196" s="18">
        <f>'P0-3_Scorecard'!L88</f>
        <v/>
      </c>
      <c r="F196" s="18">
        <f>'P0-3_Scorecard'!M47</f>
        <v/>
      </c>
      <c r="G196" s="18">
        <f>'P0-3_Scorecard'!M88</f>
        <v/>
      </c>
      <c r="H196" s="18">
        <f>IF(OR(D196="",F196=""),"",D196-(F196*20))</f>
        <v/>
      </c>
      <c r="I196" s="18">
        <f>IF(OR(E196="",G196=""),"",E196-(G196*20))</f>
        <v/>
      </c>
      <c r="J196" s="18">
        <f>IF(OR(D196="",E196=""),"INCOMPLETE",IF(AND(D196&gt;=80,E196&lt;50),"CONTRADICTION",IF(AND(D196&gt;=70,E196&lt;70),"DEPENDENCY GAP","NO TRIGGER")))</f>
        <v/>
      </c>
      <c r="K196" s="18">
        <f>IF(J196="CONTRADICTION","HIGH",IF(J196="DEPENDENCY GAP","MEDIUM","—"))</f>
        <v/>
      </c>
      <c r="L196" s="18">
        <f>IF(J196="CONTRADICTION","Strong upstream claim is not supported by linked downstream capability/evidence. Trigger: Assessment redesign.",IF(J196="DEPENDENCY GAP","Downstream capability materially trails upstream expectation. Trigger: Assessment redesign.",""))</f>
        <v/>
      </c>
    </row>
    <row r="197">
      <c r="A197" s="18" t="inlineStr">
        <is>
          <t>CD11</t>
        </is>
      </c>
      <c r="B197" s="18" t="inlineStr">
        <is>
          <t>D04-I08</t>
        </is>
      </c>
      <c r="C197" s="18" t="inlineStr">
        <is>
          <t>D07-I01</t>
        </is>
      </c>
      <c r="D197" s="18">
        <f>'P0-3_Scorecard'!L50</f>
        <v/>
      </c>
      <c r="E197" s="18">
        <f>'P0-3_Scorecard'!L81</f>
        <v/>
      </c>
      <c r="F197" s="18">
        <f>'P0-3_Scorecard'!M50</f>
        <v/>
      </c>
      <c r="G197" s="18">
        <f>'P0-3_Scorecard'!M81</f>
        <v/>
      </c>
      <c r="H197" s="18">
        <f>IF(OR(D197="",F197=""),"",D197-(F197*20))</f>
        <v/>
      </c>
      <c r="I197" s="18">
        <f>IF(OR(E197="",G197=""),"",E197-(G197*20))</f>
        <v/>
      </c>
      <c r="J197" s="18">
        <f>IF(OR(D197="",E197=""),"INCOMPLETE",IF(AND(D197&gt;=80,E197&lt;50),"CONTRADICTION",IF(AND(D197&gt;=70,E197&lt;70),"DEPENDENCY GAP","NO TRIGGER")))</f>
        <v/>
      </c>
      <c r="K197" s="18">
        <f>IF(J197="CONTRADICTION","HIGH",IF(J197="DEPENDENCY GAP","MEDIUM","—"))</f>
        <v/>
      </c>
      <c r="L197" s="18">
        <f>IF(J197="CONTRADICTION","Strong upstream claim is not supported by linked downstream capability/evidence. Trigger: Assessment redesign.",IF(J197="DEPENDENCY GAP","Downstream capability materially trails upstream expectation. Trigger: Assessment redesign.",""))</f>
        <v/>
      </c>
    </row>
    <row r="198">
      <c r="A198" s="18" t="inlineStr">
        <is>
          <t>CD11</t>
        </is>
      </c>
      <c r="B198" s="18" t="inlineStr">
        <is>
          <t>D04-I08</t>
        </is>
      </c>
      <c r="C198" s="18" t="inlineStr">
        <is>
          <t>D07-I02</t>
        </is>
      </c>
      <c r="D198" s="18">
        <f>'P0-3_Scorecard'!L50</f>
        <v/>
      </c>
      <c r="E198" s="18">
        <f>'P0-3_Scorecard'!L82</f>
        <v/>
      </c>
      <c r="F198" s="18">
        <f>'P0-3_Scorecard'!M50</f>
        <v/>
      </c>
      <c r="G198" s="18">
        <f>'P0-3_Scorecard'!M82</f>
        <v/>
      </c>
      <c r="H198" s="18">
        <f>IF(OR(D198="",F198=""),"",D198-(F198*20))</f>
        <v/>
      </c>
      <c r="I198" s="18">
        <f>IF(OR(E198="",G198=""),"",E198-(G198*20))</f>
        <v/>
      </c>
      <c r="J198" s="18">
        <f>IF(OR(D198="",E198=""),"INCOMPLETE",IF(AND(D198&gt;=80,E198&lt;50),"CONTRADICTION",IF(AND(D198&gt;=70,E198&lt;70),"DEPENDENCY GAP","NO TRIGGER")))</f>
        <v/>
      </c>
      <c r="K198" s="18">
        <f>IF(J198="CONTRADICTION","HIGH",IF(J198="DEPENDENCY GAP","MEDIUM","—"))</f>
        <v/>
      </c>
      <c r="L198" s="18">
        <f>IF(J198="CONTRADICTION","Strong upstream claim is not supported by linked downstream capability/evidence. Trigger: Assessment redesign.",IF(J198="DEPENDENCY GAP","Downstream capability materially trails upstream expectation. Trigger: Assessment redesign.",""))</f>
        <v/>
      </c>
    </row>
    <row r="199">
      <c r="A199" s="18" t="inlineStr">
        <is>
          <t>CD11</t>
        </is>
      </c>
      <c r="B199" s="18" t="inlineStr">
        <is>
          <t>D04-I08</t>
        </is>
      </c>
      <c r="C199" s="18" t="inlineStr">
        <is>
          <t>D07-I04</t>
        </is>
      </c>
      <c r="D199" s="18">
        <f>'P0-3_Scorecard'!L50</f>
        <v/>
      </c>
      <c r="E199" s="18">
        <f>'P0-3_Scorecard'!L84</f>
        <v/>
      </c>
      <c r="F199" s="18">
        <f>'P0-3_Scorecard'!M50</f>
        <v/>
      </c>
      <c r="G199" s="18">
        <f>'P0-3_Scorecard'!M84</f>
        <v/>
      </c>
      <c r="H199" s="18">
        <f>IF(OR(D199="",F199=""),"",D199-(F199*20))</f>
        <v/>
      </c>
      <c r="I199" s="18">
        <f>IF(OR(E199="",G199=""),"",E199-(G199*20))</f>
        <v/>
      </c>
      <c r="J199" s="18">
        <f>IF(OR(D199="",E199=""),"INCOMPLETE",IF(AND(D199&gt;=80,E199&lt;50),"CONTRADICTION",IF(AND(D199&gt;=70,E199&lt;70),"DEPENDENCY GAP","NO TRIGGER")))</f>
        <v/>
      </c>
      <c r="K199" s="18">
        <f>IF(J199="CONTRADICTION","HIGH",IF(J199="DEPENDENCY GAP","MEDIUM","—"))</f>
        <v/>
      </c>
      <c r="L199" s="18">
        <f>IF(J199="CONTRADICTION","Strong upstream claim is not supported by linked downstream capability/evidence. Trigger: Assessment redesign.",IF(J199="DEPENDENCY GAP","Downstream capability materially trails upstream expectation. Trigger: Assessment redesign.",""))</f>
        <v/>
      </c>
    </row>
    <row r="200">
      <c r="A200" s="18" t="inlineStr">
        <is>
          <t>CD11</t>
        </is>
      </c>
      <c r="B200" s="18" t="inlineStr">
        <is>
          <t>D04-I08</t>
        </is>
      </c>
      <c r="C200" s="18" t="inlineStr">
        <is>
          <t>D07-I07</t>
        </is>
      </c>
      <c r="D200" s="18">
        <f>'P0-3_Scorecard'!L50</f>
        <v/>
      </c>
      <c r="E200" s="18">
        <f>'P0-3_Scorecard'!L87</f>
        <v/>
      </c>
      <c r="F200" s="18">
        <f>'P0-3_Scorecard'!M50</f>
        <v/>
      </c>
      <c r="G200" s="18">
        <f>'P0-3_Scorecard'!M87</f>
        <v/>
      </c>
      <c r="H200" s="18">
        <f>IF(OR(D200="",F200=""),"",D200-(F200*20))</f>
        <v/>
      </c>
      <c r="I200" s="18">
        <f>IF(OR(E200="",G200=""),"",E200-(G200*20))</f>
        <v/>
      </c>
      <c r="J200" s="18">
        <f>IF(OR(D200="",E200=""),"INCOMPLETE",IF(AND(D200&gt;=80,E200&lt;50),"CONTRADICTION",IF(AND(D200&gt;=70,E200&lt;70),"DEPENDENCY GAP","NO TRIGGER")))</f>
        <v/>
      </c>
      <c r="K200" s="18">
        <f>IF(J200="CONTRADICTION","HIGH",IF(J200="DEPENDENCY GAP","MEDIUM","—"))</f>
        <v/>
      </c>
      <c r="L200" s="18">
        <f>IF(J200="CONTRADICTION","Strong upstream claim is not supported by linked downstream capability/evidence. Trigger: Assessment redesign.",IF(J200="DEPENDENCY GAP","Downstream capability materially trails upstream expectation. Trigger: Assessment redesign.",""))</f>
        <v/>
      </c>
    </row>
    <row r="201">
      <c r="A201" s="18" t="inlineStr">
        <is>
          <t>CD11</t>
        </is>
      </c>
      <c r="B201" s="18" t="inlineStr">
        <is>
          <t>D04-I08</t>
        </is>
      </c>
      <c r="C201" s="18" t="inlineStr">
        <is>
          <t>D07-I08</t>
        </is>
      </c>
      <c r="D201" s="18">
        <f>'P0-3_Scorecard'!L50</f>
        <v/>
      </c>
      <c r="E201" s="18">
        <f>'P0-3_Scorecard'!L88</f>
        <v/>
      </c>
      <c r="F201" s="18">
        <f>'P0-3_Scorecard'!M50</f>
        <v/>
      </c>
      <c r="G201" s="18">
        <f>'P0-3_Scorecard'!M88</f>
        <v/>
      </c>
      <c r="H201" s="18">
        <f>IF(OR(D201="",F201=""),"",D201-(F201*20))</f>
        <v/>
      </c>
      <c r="I201" s="18">
        <f>IF(OR(E201="",G201=""),"",E201-(G201*20))</f>
        <v/>
      </c>
      <c r="J201" s="18">
        <f>IF(OR(D201="",E201=""),"INCOMPLETE",IF(AND(D201&gt;=80,E201&lt;50),"CONTRADICTION",IF(AND(D201&gt;=70,E201&lt;70),"DEPENDENCY GAP","NO TRIGGER")))</f>
        <v/>
      </c>
      <c r="K201" s="18">
        <f>IF(J201="CONTRADICTION","HIGH",IF(J201="DEPENDENCY GAP","MEDIUM","—"))</f>
        <v/>
      </c>
      <c r="L201" s="18">
        <f>IF(J201="CONTRADICTION","Strong upstream claim is not supported by linked downstream capability/evidence. Trigger: Assessment redesign.",IF(J201="DEPENDENCY GAP","Downstream capability materially trails upstream expectation. Trigger: Assessment redesign.",""))</f>
        <v/>
      </c>
    </row>
    <row r="202">
      <c r="A202" s="18" t="inlineStr">
        <is>
          <t>CD11</t>
        </is>
      </c>
      <c r="B202" s="18" t="inlineStr">
        <is>
          <t>D04-I12</t>
        </is>
      </c>
      <c r="C202" s="18" t="inlineStr">
        <is>
          <t>D07-I01</t>
        </is>
      </c>
      <c r="D202" s="18">
        <f>'P0-3_Scorecard'!L54</f>
        <v/>
      </c>
      <c r="E202" s="18">
        <f>'P0-3_Scorecard'!L81</f>
        <v/>
      </c>
      <c r="F202" s="18">
        <f>'P0-3_Scorecard'!M54</f>
        <v/>
      </c>
      <c r="G202" s="18">
        <f>'P0-3_Scorecard'!M81</f>
        <v/>
      </c>
      <c r="H202" s="18">
        <f>IF(OR(D202="",F202=""),"",D202-(F202*20))</f>
        <v/>
      </c>
      <c r="I202" s="18">
        <f>IF(OR(E202="",G202=""),"",E202-(G202*20))</f>
        <v/>
      </c>
      <c r="J202" s="18">
        <f>IF(OR(D202="",E202=""),"INCOMPLETE",IF(AND(D202&gt;=80,E202&lt;50),"CONTRADICTION",IF(AND(D202&gt;=70,E202&lt;70),"DEPENDENCY GAP","NO TRIGGER")))</f>
        <v/>
      </c>
      <c r="K202" s="18">
        <f>IF(J202="CONTRADICTION","HIGH",IF(J202="DEPENDENCY GAP","MEDIUM","—"))</f>
        <v/>
      </c>
      <c r="L202" s="18">
        <f>IF(J202="CONTRADICTION","Strong upstream claim is not supported by linked downstream capability/evidence. Trigger: Assessment redesign.",IF(J202="DEPENDENCY GAP","Downstream capability materially trails upstream expectation. Trigger: Assessment redesign.",""))</f>
        <v/>
      </c>
    </row>
    <row r="203">
      <c r="A203" s="18" t="inlineStr">
        <is>
          <t>CD11</t>
        </is>
      </c>
      <c r="B203" s="18" t="inlineStr">
        <is>
          <t>D04-I12</t>
        </is>
      </c>
      <c r="C203" s="18" t="inlineStr">
        <is>
          <t>D07-I02</t>
        </is>
      </c>
      <c r="D203" s="18">
        <f>'P0-3_Scorecard'!L54</f>
        <v/>
      </c>
      <c r="E203" s="18">
        <f>'P0-3_Scorecard'!L82</f>
        <v/>
      </c>
      <c r="F203" s="18">
        <f>'P0-3_Scorecard'!M54</f>
        <v/>
      </c>
      <c r="G203" s="18">
        <f>'P0-3_Scorecard'!M82</f>
        <v/>
      </c>
      <c r="H203" s="18">
        <f>IF(OR(D203="",F203=""),"",D203-(F203*20))</f>
        <v/>
      </c>
      <c r="I203" s="18">
        <f>IF(OR(E203="",G203=""),"",E203-(G203*20))</f>
        <v/>
      </c>
      <c r="J203" s="18">
        <f>IF(OR(D203="",E203=""),"INCOMPLETE",IF(AND(D203&gt;=80,E203&lt;50),"CONTRADICTION",IF(AND(D203&gt;=70,E203&lt;70),"DEPENDENCY GAP","NO TRIGGER")))</f>
        <v/>
      </c>
      <c r="K203" s="18">
        <f>IF(J203="CONTRADICTION","HIGH",IF(J203="DEPENDENCY GAP","MEDIUM","—"))</f>
        <v/>
      </c>
      <c r="L203" s="18">
        <f>IF(J203="CONTRADICTION","Strong upstream claim is not supported by linked downstream capability/evidence. Trigger: Assessment redesign.",IF(J203="DEPENDENCY GAP","Downstream capability materially trails upstream expectation. Trigger: Assessment redesign.",""))</f>
        <v/>
      </c>
    </row>
    <row r="204">
      <c r="A204" s="18" t="inlineStr">
        <is>
          <t>CD11</t>
        </is>
      </c>
      <c r="B204" s="18" t="inlineStr">
        <is>
          <t>D04-I12</t>
        </is>
      </c>
      <c r="C204" s="18" t="inlineStr">
        <is>
          <t>D07-I04</t>
        </is>
      </c>
      <c r="D204" s="18">
        <f>'P0-3_Scorecard'!L54</f>
        <v/>
      </c>
      <c r="E204" s="18">
        <f>'P0-3_Scorecard'!L84</f>
        <v/>
      </c>
      <c r="F204" s="18">
        <f>'P0-3_Scorecard'!M54</f>
        <v/>
      </c>
      <c r="G204" s="18">
        <f>'P0-3_Scorecard'!M84</f>
        <v/>
      </c>
      <c r="H204" s="18">
        <f>IF(OR(D204="",F204=""),"",D204-(F204*20))</f>
        <v/>
      </c>
      <c r="I204" s="18">
        <f>IF(OR(E204="",G204=""),"",E204-(G204*20))</f>
        <v/>
      </c>
      <c r="J204" s="18">
        <f>IF(OR(D204="",E204=""),"INCOMPLETE",IF(AND(D204&gt;=80,E204&lt;50),"CONTRADICTION",IF(AND(D204&gt;=70,E204&lt;70),"DEPENDENCY GAP","NO TRIGGER")))</f>
        <v/>
      </c>
      <c r="K204" s="18">
        <f>IF(J204="CONTRADICTION","HIGH",IF(J204="DEPENDENCY GAP","MEDIUM","—"))</f>
        <v/>
      </c>
      <c r="L204" s="18">
        <f>IF(J204="CONTRADICTION","Strong upstream claim is not supported by linked downstream capability/evidence. Trigger: Assessment redesign.",IF(J204="DEPENDENCY GAP","Downstream capability materially trails upstream expectation. Trigger: Assessment redesign.",""))</f>
        <v/>
      </c>
    </row>
    <row r="205">
      <c r="A205" s="18" t="inlineStr">
        <is>
          <t>CD11</t>
        </is>
      </c>
      <c r="B205" s="18" t="inlineStr">
        <is>
          <t>D04-I12</t>
        </is>
      </c>
      <c r="C205" s="18" t="inlineStr">
        <is>
          <t>D07-I07</t>
        </is>
      </c>
      <c r="D205" s="18">
        <f>'P0-3_Scorecard'!L54</f>
        <v/>
      </c>
      <c r="E205" s="18">
        <f>'P0-3_Scorecard'!L87</f>
        <v/>
      </c>
      <c r="F205" s="18">
        <f>'P0-3_Scorecard'!M54</f>
        <v/>
      </c>
      <c r="G205" s="18">
        <f>'P0-3_Scorecard'!M87</f>
        <v/>
      </c>
      <c r="H205" s="18">
        <f>IF(OR(D205="",F205=""),"",D205-(F205*20))</f>
        <v/>
      </c>
      <c r="I205" s="18">
        <f>IF(OR(E205="",G205=""),"",E205-(G205*20))</f>
        <v/>
      </c>
      <c r="J205" s="18">
        <f>IF(OR(D205="",E205=""),"INCOMPLETE",IF(AND(D205&gt;=80,E205&lt;50),"CONTRADICTION",IF(AND(D205&gt;=70,E205&lt;70),"DEPENDENCY GAP","NO TRIGGER")))</f>
        <v/>
      </c>
      <c r="K205" s="18">
        <f>IF(J205="CONTRADICTION","HIGH",IF(J205="DEPENDENCY GAP","MEDIUM","—"))</f>
        <v/>
      </c>
      <c r="L205" s="18">
        <f>IF(J205="CONTRADICTION","Strong upstream claim is not supported by linked downstream capability/evidence. Trigger: Assessment redesign.",IF(J205="DEPENDENCY GAP","Downstream capability materially trails upstream expectation. Trigger: Assessment redesign.",""))</f>
        <v/>
      </c>
    </row>
    <row r="206">
      <c r="A206" s="18" t="inlineStr">
        <is>
          <t>CD11</t>
        </is>
      </c>
      <c r="B206" s="18" t="inlineStr">
        <is>
          <t>D04-I12</t>
        </is>
      </c>
      <c r="C206" s="18" t="inlineStr">
        <is>
          <t>D07-I08</t>
        </is>
      </c>
      <c r="D206" s="18">
        <f>'P0-3_Scorecard'!L54</f>
        <v/>
      </c>
      <c r="E206" s="18">
        <f>'P0-3_Scorecard'!L88</f>
        <v/>
      </c>
      <c r="F206" s="18">
        <f>'P0-3_Scorecard'!M54</f>
        <v/>
      </c>
      <c r="G206" s="18">
        <f>'P0-3_Scorecard'!M88</f>
        <v/>
      </c>
      <c r="H206" s="18">
        <f>IF(OR(D206="",F206=""),"",D206-(F206*20))</f>
        <v/>
      </c>
      <c r="I206" s="18">
        <f>IF(OR(E206="",G206=""),"",E206-(G206*20))</f>
        <v/>
      </c>
      <c r="J206" s="18">
        <f>IF(OR(D206="",E206=""),"INCOMPLETE",IF(AND(D206&gt;=80,E206&lt;50),"CONTRADICTION",IF(AND(D206&gt;=70,E206&lt;70),"DEPENDENCY GAP","NO TRIGGER")))</f>
        <v/>
      </c>
      <c r="K206" s="18">
        <f>IF(J206="CONTRADICTION","HIGH",IF(J206="DEPENDENCY GAP","MEDIUM","—"))</f>
        <v/>
      </c>
      <c r="L206" s="18">
        <f>IF(J206="CONTRADICTION","Strong upstream claim is not supported by linked downstream capability/evidence. Trigger: Assessment redesign.",IF(J206="DEPENDENCY GAP","Downstream capability materially trails upstream expectation. Trigger: Assessment redesign.",""))</f>
        <v/>
      </c>
    </row>
    <row r="207">
      <c r="A207" s="18" t="inlineStr">
        <is>
          <t>CD12</t>
        </is>
      </c>
      <c r="B207" s="18" t="inlineStr">
        <is>
          <t>D05-I03</t>
        </is>
      </c>
      <c r="C207" s="18" t="inlineStr">
        <is>
          <t>D07-I01</t>
        </is>
      </c>
      <c r="D207" s="18">
        <f>'P0-3_Scorecard'!L57</f>
        <v/>
      </c>
      <c r="E207" s="18">
        <f>'P0-3_Scorecard'!L81</f>
        <v/>
      </c>
      <c r="F207" s="18">
        <f>'P0-3_Scorecard'!M57</f>
        <v/>
      </c>
      <c r="G207" s="18">
        <f>'P0-3_Scorecard'!M81</f>
        <v/>
      </c>
      <c r="H207" s="18">
        <f>IF(OR(D207="",F207=""),"",D207-(F207*20))</f>
        <v/>
      </c>
      <c r="I207" s="18">
        <f>IF(OR(E207="",G207=""),"",E207-(G207*20))</f>
        <v/>
      </c>
      <c r="J207" s="18">
        <f>IF(OR(D207="",E207=""),"INCOMPLETE",IF(AND(D207&gt;=80,E207&lt;50),"CONTRADICTION",IF(AND(D207&gt;=70,E207&lt;70),"DEPENDENCY GAP","NO TRIGGER")))</f>
        <v/>
      </c>
      <c r="K207" s="18">
        <f>IF(J207="CONTRADICTION","HIGH",IF(J207="DEPENDENCY GAP","MEDIUM","—"))</f>
        <v/>
      </c>
      <c r="L207" s="18">
        <f>IF(J207="CONTRADICTION","Strong upstream claim is not supported by linked downstream capability/evidence. Trigger: Faculty practice review.",IF(J207="DEPENDENCY GAP","Downstream capability materially trails upstream expectation. Trigger: Faculty practice review.",""))</f>
        <v/>
      </c>
    </row>
    <row r="208">
      <c r="A208" s="18" t="inlineStr">
        <is>
          <t>CD12</t>
        </is>
      </c>
      <c r="B208" s="18" t="inlineStr">
        <is>
          <t>D05-I03</t>
        </is>
      </c>
      <c r="C208" s="18" t="inlineStr">
        <is>
          <t>D07-I04</t>
        </is>
      </c>
      <c r="D208" s="18">
        <f>'P0-3_Scorecard'!L57</f>
        <v/>
      </c>
      <c r="E208" s="18">
        <f>'P0-3_Scorecard'!L84</f>
        <v/>
      </c>
      <c r="F208" s="18">
        <f>'P0-3_Scorecard'!M57</f>
        <v/>
      </c>
      <c r="G208" s="18">
        <f>'P0-3_Scorecard'!M84</f>
        <v/>
      </c>
      <c r="H208" s="18">
        <f>IF(OR(D208="",F208=""),"",D208-(F208*20))</f>
        <v/>
      </c>
      <c r="I208" s="18">
        <f>IF(OR(E208="",G208=""),"",E208-(G208*20))</f>
        <v/>
      </c>
      <c r="J208" s="18">
        <f>IF(OR(D208="",E208=""),"INCOMPLETE",IF(AND(D208&gt;=80,E208&lt;50),"CONTRADICTION",IF(AND(D208&gt;=70,E208&lt;70),"DEPENDENCY GAP","NO TRIGGER")))</f>
        <v/>
      </c>
      <c r="K208" s="18">
        <f>IF(J208="CONTRADICTION","HIGH",IF(J208="DEPENDENCY GAP","MEDIUM","—"))</f>
        <v/>
      </c>
      <c r="L208" s="18">
        <f>IF(J208="CONTRADICTION","Strong upstream claim is not supported by linked downstream capability/evidence. Trigger: Faculty practice review.",IF(J208="DEPENDENCY GAP","Downstream capability materially trails upstream expectation. Trigger: Faculty practice review.",""))</f>
        <v/>
      </c>
    </row>
    <row r="209">
      <c r="A209" s="18" t="inlineStr">
        <is>
          <t>CD12</t>
        </is>
      </c>
      <c r="B209" s="18" t="inlineStr">
        <is>
          <t>D05-I03</t>
        </is>
      </c>
      <c r="C209" s="18" t="inlineStr">
        <is>
          <t>D07-I05</t>
        </is>
      </c>
      <c r="D209" s="18">
        <f>'P0-3_Scorecard'!L57</f>
        <v/>
      </c>
      <c r="E209" s="18">
        <f>'P0-3_Scorecard'!L85</f>
        <v/>
      </c>
      <c r="F209" s="18">
        <f>'P0-3_Scorecard'!M57</f>
        <v/>
      </c>
      <c r="G209" s="18">
        <f>'P0-3_Scorecard'!M85</f>
        <v/>
      </c>
      <c r="H209" s="18">
        <f>IF(OR(D209="",F209=""),"",D209-(F209*20))</f>
        <v/>
      </c>
      <c r="I209" s="18">
        <f>IF(OR(E209="",G209=""),"",E209-(G209*20))</f>
        <v/>
      </c>
      <c r="J209" s="18">
        <f>IF(OR(D209="",E209=""),"INCOMPLETE",IF(AND(D209&gt;=80,E209&lt;50),"CONTRADICTION",IF(AND(D209&gt;=70,E209&lt;70),"DEPENDENCY GAP","NO TRIGGER")))</f>
        <v/>
      </c>
      <c r="K209" s="18">
        <f>IF(J209="CONTRADICTION","HIGH",IF(J209="DEPENDENCY GAP","MEDIUM","—"))</f>
        <v/>
      </c>
      <c r="L209" s="18">
        <f>IF(J209="CONTRADICTION","Strong upstream claim is not supported by linked downstream capability/evidence. Trigger: Faculty practice review.",IF(J209="DEPENDENCY GAP","Downstream capability materially trails upstream expectation. Trigger: Faculty practice review.",""))</f>
        <v/>
      </c>
    </row>
    <row r="210">
      <c r="A210" s="18" t="inlineStr">
        <is>
          <t>CD12</t>
        </is>
      </c>
      <c r="B210" s="18" t="inlineStr">
        <is>
          <t>D05-I03</t>
        </is>
      </c>
      <c r="C210" s="18" t="inlineStr">
        <is>
          <t>D07-I11</t>
        </is>
      </c>
      <c r="D210" s="18">
        <f>'P0-3_Scorecard'!L57</f>
        <v/>
      </c>
      <c r="E210" s="18">
        <f>'P0-3_Scorecard'!L91</f>
        <v/>
      </c>
      <c r="F210" s="18">
        <f>'P0-3_Scorecard'!M57</f>
        <v/>
      </c>
      <c r="G210" s="18">
        <f>'P0-3_Scorecard'!M91</f>
        <v/>
      </c>
      <c r="H210" s="18">
        <f>IF(OR(D210="",F210=""),"",D210-(F210*20))</f>
        <v/>
      </c>
      <c r="I210" s="18">
        <f>IF(OR(E210="",G210=""),"",E210-(G210*20))</f>
        <v/>
      </c>
      <c r="J210" s="18">
        <f>IF(OR(D210="",E210=""),"INCOMPLETE",IF(AND(D210&gt;=80,E210&lt;50),"CONTRADICTION",IF(AND(D210&gt;=70,E210&lt;70),"DEPENDENCY GAP","NO TRIGGER")))</f>
        <v/>
      </c>
      <c r="K210" s="18">
        <f>IF(J210="CONTRADICTION","HIGH",IF(J210="DEPENDENCY GAP","MEDIUM","—"))</f>
        <v/>
      </c>
      <c r="L210" s="18">
        <f>IF(J210="CONTRADICTION","Strong upstream claim is not supported by linked downstream capability/evidence. Trigger: Faculty practice review.",IF(J210="DEPENDENCY GAP","Downstream capability materially trails upstream expectation. Trigger: Faculty practice review.",""))</f>
        <v/>
      </c>
    </row>
    <row r="211">
      <c r="A211" s="18" t="inlineStr">
        <is>
          <t>CD12</t>
        </is>
      </c>
      <c r="B211" s="18" t="inlineStr">
        <is>
          <t>D05-I04</t>
        </is>
      </c>
      <c r="C211" s="18" t="inlineStr">
        <is>
          <t>D07-I01</t>
        </is>
      </c>
      <c r="D211" s="18">
        <f>'P0-3_Scorecard'!L58</f>
        <v/>
      </c>
      <c r="E211" s="18">
        <f>'P0-3_Scorecard'!L81</f>
        <v/>
      </c>
      <c r="F211" s="18">
        <f>'P0-3_Scorecard'!M58</f>
        <v/>
      </c>
      <c r="G211" s="18">
        <f>'P0-3_Scorecard'!M81</f>
        <v/>
      </c>
      <c r="H211" s="18">
        <f>IF(OR(D211="",F211=""),"",D211-(F211*20))</f>
        <v/>
      </c>
      <c r="I211" s="18">
        <f>IF(OR(E211="",G211=""),"",E211-(G211*20))</f>
        <v/>
      </c>
      <c r="J211" s="18">
        <f>IF(OR(D211="",E211=""),"INCOMPLETE",IF(AND(D211&gt;=80,E211&lt;50),"CONTRADICTION",IF(AND(D211&gt;=70,E211&lt;70),"DEPENDENCY GAP","NO TRIGGER")))</f>
        <v/>
      </c>
      <c r="K211" s="18">
        <f>IF(J211="CONTRADICTION","HIGH",IF(J211="DEPENDENCY GAP","MEDIUM","—"))</f>
        <v/>
      </c>
      <c r="L211" s="18">
        <f>IF(J211="CONTRADICTION","Strong upstream claim is not supported by linked downstream capability/evidence. Trigger: Faculty practice review.",IF(J211="DEPENDENCY GAP","Downstream capability materially trails upstream expectation. Trigger: Faculty practice review.",""))</f>
        <v/>
      </c>
    </row>
    <row r="212">
      <c r="A212" s="18" t="inlineStr">
        <is>
          <t>CD12</t>
        </is>
      </c>
      <c r="B212" s="18" t="inlineStr">
        <is>
          <t>D05-I04</t>
        </is>
      </c>
      <c r="C212" s="18" t="inlineStr">
        <is>
          <t>D07-I04</t>
        </is>
      </c>
      <c r="D212" s="18">
        <f>'P0-3_Scorecard'!L58</f>
        <v/>
      </c>
      <c r="E212" s="18">
        <f>'P0-3_Scorecard'!L84</f>
        <v/>
      </c>
      <c r="F212" s="18">
        <f>'P0-3_Scorecard'!M58</f>
        <v/>
      </c>
      <c r="G212" s="18">
        <f>'P0-3_Scorecard'!M84</f>
        <v/>
      </c>
      <c r="H212" s="18">
        <f>IF(OR(D212="",F212=""),"",D212-(F212*20))</f>
        <v/>
      </c>
      <c r="I212" s="18">
        <f>IF(OR(E212="",G212=""),"",E212-(G212*20))</f>
        <v/>
      </c>
      <c r="J212" s="18">
        <f>IF(OR(D212="",E212=""),"INCOMPLETE",IF(AND(D212&gt;=80,E212&lt;50),"CONTRADICTION",IF(AND(D212&gt;=70,E212&lt;70),"DEPENDENCY GAP","NO TRIGGER")))</f>
        <v/>
      </c>
      <c r="K212" s="18">
        <f>IF(J212="CONTRADICTION","HIGH",IF(J212="DEPENDENCY GAP","MEDIUM","—"))</f>
        <v/>
      </c>
      <c r="L212" s="18">
        <f>IF(J212="CONTRADICTION","Strong upstream claim is not supported by linked downstream capability/evidence. Trigger: Faculty practice review.",IF(J212="DEPENDENCY GAP","Downstream capability materially trails upstream expectation. Trigger: Faculty practice review.",""))</f>
        <v/>
      </c>
    </row>
    <row r="213">
      <c r="A213" s="18" t="inlineStr">
        <is>
          <t>CD12</t>
        </is>
      </c>
      <c r="B213" s="18" t="inlineStr">
        <is>
          <t>D05-I04</t>
        </is>
      </c>
      <c r="C213" s="18" t="inlineStr">
        <is>
          <t>D07-I05</t>
        </is>
      </c>
      <c r="D213" s="18">
        <f>'P0-3_Scorecard'!L58</f>
        <v/>
      </c>
      <c r="E213" s="18">
        <f>'P0-3_Scorecard'!L85</f>
        <v/>
      </c>
      <c r="F213" s="18">
        <f>'P0-3_Scorecard'!M58</f>
        <v/>
      </c>
      <c r="G213" s="18">
        <f>'P0-3_Scorecard'!M85</f>
        <v/>
      </c>
      <c r="H213" s="18">
        <f>IF(OR(D213="",F213=""),"",D213-(F213*20))</f>
        <v/>
      </c>
      <c r="I213" s="18">
        <f>IF(OR(E213="",G213=""),"",E213-(G213*20))</f>
        <v/>
      </c>
      <c r="J213" s="18">
        <f>IF(OR(D213="",E213=""),"INCOMPLETE",IF(AND(D213&gt;=80,E213&lt;50),"CONTRADICTION",IF(AND(D213&gt;=70,E213&lt;70),"DEPENDENCY GAP","NO TRIGGER")))</f>
        <v/>
      </c>
      <c r="K213" s="18">
        <f>IF(J213="CONTRADICTION","HIGH",IF(J213="DEPENDENCY GAP","MEDIUM","—"))</f>
        <v/>
      </c>
      <c r="L213" s="18">
        <f>IF(J213="CONTRADICTION","Strong upstream claim is not supported by linked downstream capability/evidence. Trigger: Faculty practice review.",IF(J213="DEPENDENCY GAP","Downstream capability materially trails upstream expectation. Trigger: Faculty practice review.",""))</f>
        <v/>
      </c>
    </row>
    <row r="214">
      <c r="A214" s="18" t="inlineStr">
        <is>
          <t>CD12</t>
        </is>
      </c>
      <c r="B214" s="18" t="inlineStr">
        <is>
          <t>D05-I04</t>
        </is>
      </c>
      <c r="C214" s="18" t="inlineStr">
        <is>
          <t>D07-I11</t>
        </is>
      </c>
      <c r="D214" s="18">
        <f>'P0-3_Scorecard'!L58</f>
        <v/>
      </c>
      <c r="E214" s="18">
        <f>'P0-3_Scorecard'!L91</f>
        <v/>
      </c>
      <c r="F214" s="18">
        <f>'P0-3_Scorecard'!M58</f>
        <v/>
      </c>
      <c r="G214" s="18">
        <f>'P0-3_Scorecard'!M91</f>
        <v/>
      </c>
      <c r="H214" s="18">
        <f>IF(OR(D214="",F214=""),"",D214-(F214*20))</f>
        <v/>
      </c>
      <c r="I214" s="18">
        <f>IF(OR(E214="",G214=""),"",E214-(G214*20))</f>
        <v/>
      </c>
      <c r="J214" s="18">
        <f>IF(OR(D214="",E214=""),"INCOMPLETE",IF(AND(D214&gt;=80,E214&lt;50),"CONTRADICTION",IF(AND(D214&gt;=70,E214&lt;70),"DEPENDENCY GAP","NO TRIGGER")))</f>
        <v/>
      </c>
      <c r="K214" s="18">
        <f>IF(J214="CONTRADICTION","HIGH",IF(J214="DEPENDENCY GAP","MEDIUM","—"))</f>
        <v/>
      </c>
      <c r="L214" s="18">
        <f>IF(J214="CONTRADICTION","Strong upstream claim is not supported by linked downstream capability/evidence. Trigger: Faculty practice review.",IF(J214="DEPENDENCY GAP","Downstream capability materially trails upstream expectation. Trigger: Faculty practice review.",""))</f>
        <v/>
      </c>
    </row>
    <row r="215">
      <c r="A215" s="18" t="inlineStr">
        <is>
          <t>CD12</t>
        </is>
      </c>
      <c r="B215" s="18" t="inlineStr">
        <is>
          <t>D05-I05</t>
        </is>
      </c>
      <c r="C215" s="18" t="inlineStr">
        <is>
          <t>D07-I01</t>
        </is>
      </c>
      <c r="D215" s="18">
        <f>'P0-3_Scorecard'!L59</f>
        <v/>
      </c>
      <c r="E215" s="18">
        <f>'P0-3_Scorecard'!L81</f>
        <v/>
      </c>
      <c r="F215" s="18">
        <f>'P0-3_Scorecard'!M59</f>
        <v/>
      </c>
      <c r="G215" s="18">
        <f>'P0-3_Scorecard'!M81</f>
        <v/>
      </c>
      <c r="H215" s="18">
        <f>IF(OR(D215="",F215=""),"",D215-(F215*20))</f>
        <v/>
      </c>
      <c r="I215" s="18">
        <f>IF(OR(E215="",G215=""),"",E215-(G215*20))</f>
        <v/>
      </c>
      <c r="J215" s="18">
        <f>IF(OR(D215="",E215=""),"INCOMPLETE",IF(AND(D215&gt;=80,E215&lt;50),"CONTRADICTION",IF(AND(D215&gt;=70,E215&lt;70),"DEPENDENCY GAP","NO TRIGGER")))</f>
        <v/>
      </c>
      <c r="K215" s="18">
        <f>IF(J215="CONTRADICTION","HIGH",IF(J215="DEPENDENCY GAP","MEDIUM","—"))</f>
        <v/>
      </c>
      <c r="L215" s="18">
        <f>IF(J215="CONTRADICTION","Strong upstream claim is not supported by linked downstream capability/evidence. Trigger: Faculty practice review.",IF(J215="DEPENDENCY GAP","Downstream capability materially trails upstream expectation. Trigger: Faculty practice review.",""))</f>
        <v/>
      </c>
    </row>
    <row r="216">
      <c r="A216" s="18" t="inlineStr">
        <is>
          <t>CD12</t>
        </is>
      </c>
      <c r="B216" s="18" t="inlineStr">
        <is>
          <t>D05-I05</t>
        </is>
      </c>
      <c r="C216" s="18" t="inlineStr">
        <is>
          <t>D07-I04</t>
        </is>
      </c>
      <c r="D216" s="18">
        <f>'P0-3_Scorecard'!L59</f>
        <v/>
      </c>
      <c r="E216" s="18">
        <f>'P0-3_Scorecard'!L84</f>
        <v/>
      </c>
      <c r="F216" s="18">
        <f>'P0-3_Scorecard'!M59</f>
        <v/>
      </c>
      <c r="G216" s="18">
        <f>'P0-3_Scorecard'!M84</f>
        <v/>
      </c>
      <c r="H216" s="18">
        <f>IF(OR(D216="",F216=""),"",D216-(F216*20))</f>
        <v/>
      </c>
      <c r="I216" s="18">
        <f>IF(OR(E216="",G216=""),"",E216-(G216*20))</f>
        <v/>
      </c>
      <c r="J216" s="18">
        <f>IF(OR(D216="",E216=""),"INCOMPLETE",IF(AND(D216&gt;=80,E216&lt;50),"CONTRADICTION",IF(AND(D216&gt;=70,E216&lt;70),"DEPENDENCY GAP","NO TRIGGER")))</f>
        <v/>
      </c>
      <c r="K216" s="18">
        <f>IF(J216="CONTRADICTION","HIGH",IF(J216="DEPENDENCY GAP","MEDIUM","—"))</f>
        <v/>
      </c>
      <c r="L216" s="18">
        <f>IF(J216="CONTRADICTION","Strong upstream claim is not supported by linked downstream capability/evidence. Trigger: Faculty practice review.",IF(J216="DEPENDENCY GAP","Downstream capability materially trails upstream expectation. Trigger: Faculty practice review.",""))</f>
        <v/>
      </c>
    </row>
    <row r="217">
      <c r="A217" s="18" t="inlineStr">
        <is>
          <t>CD12</t>
        </is>
      </c>
      <c r="B217" s="18" t="inlineStr">
        <is>
          <t>D05-I05</t>
        </is>
      </c>
      <c r="C217" s="18" t="inlineStr">
        <is>
          <t>D07-I05</t>
        </is>
      </c>
      <c r="D217" s="18">
        <f>'P0-3_Scorecard'!L59</f>
        <v/>
      </c>
      <c r="E217" s="18">
        <f>'P0-3_Scorecard'!L85</f>
        <v/>
      </c>
      <c r="F217" s="18">
        <f>'P0-3_Scorecard'!M59</f>
        <v/>
      </c>
      <c r="G217" s="18">
        <f>'P0-3_Scorecard'!M85</f>
        <v/>
      </c>
      <c r="H217" s="18">
        <f>IF(OR(D217="",F217=""),"",D217-(F217*20))</f>
        <v/>
      </c>
      <c r="I217" s="18">
        <f>IF(OR(E217="",G217=""),"",E217-(G217*20))</f>
        <v/>
      </c>
      <c r="J217" s="18">
        <f>IF(OR(D217="",E217=""),"INCOMPLETE",IF(AND(D217&gt;=80,E217&lt;50),"CONTRADICTION",IF(AND(D217&gt;=70,E217&lt;70),"DEPENDENCY GAP","NO TRIGGER")))</f>
        <v/>
      </c>
      <c r="K217" s="18">
        <f>IF(J217="CONTRADICTION","HIGH",IF(J217="DEPENDENCY GAP","MEDIUM","—"))</f>
        <v/>
      </c>
      <c r="L217" s="18">
        <f>IF(J217="CONTRADICTION","Strong upstream claim is not supported by linked downstream capability/evidence. Trigger: Faculty practice review.",IF(J217="DEPENDENCY GAP","Downstream capability materially trails upstream expectation. Trigger: Faculty practice review.",""))</f>
        <v/>
      </c>
    </row>
    <row r="218">
      <c r="A218" s="18" t="inlineStr">
        <is>
          <t>CD12</t>
        </is>
      </c>
      <c r="B218" s="18" t="inlineStr">
        <is>
          <t>D05-I05</t>
        </is>
      </c>
      <c r="C218" s="18" t="inlineStr">
        <is>
          <t>D07-I11</t>
        </is>
      </c>
      <c r="D218" s="18">
        <f>'P0-3_Scorecard'!L59</f>
        <v/>
      </c>
      <c r="E218" s="18">
        <f>'P0-3_Scorecard'!L91</f>
        <v/>
      </c>
      <c r="F218" s="18">
        <f>'P0-3_Scorecard'!M59</f>
        <v/>
      </c>
      <c r="G218" s="18">
        <f>'P0-3_Scorecard'!M91</f>
        <v/>
      </c>
      <c r="H218" s="18">
        <f>IF(OR(D218="",F218=""),"",D218-(F218*20))</f>
        <v/>
      </c>
      <c r="I218" s="18">
        <f>IF(OR(E218="",G218=""),"",E218-(G218*20))</f>
        <v/>
      </c>
      <c r="J218" s="18">
        <f>IF(OR(D218="",E218=""),"INCOMPLETE",IF(AND(D218&gt;=80,E218&lt;50),"CONTRADICTION",IF(AND(D218&gt;=70,E218&lt;70),"DEPENDENCY GAP","NO TRIGGER")))</f>
        <v/>
      </c>
      <c r="K218" s="18">
        <f>IF(J218="CONTRADICTION","HIGH",IF(J218="DEPENDENCY GAP","MEDIUM","—"))</f>
        <v/>
      </c>
      <c r="L218" s="18">
        <f>IF(J218="CONTRADICTION","Strong upstream claim is not supported by linked downstream capability/evidence. Trigger: Faculty practice review.",IF(J218="DEPENDENCY GAP","Downstream capability materially trails upstream expectation. Trigger: Faculty practice review.",""))</f>
        <v/>
      </c>
    </row>
    <row r="219">
      <c r="A219" s="18" t="inlineStr">
        <is>
          <t>CD12</t>
        </is>
      </c>
      <c r="B219" s="18" t="inlineStr">
        <is>
          <t>D05-I12</t>
        </is>
      </c>
      <c r="C219" s="18" t="inlineStr">
        <is>
          <t>D07-I01</t>
        </is>
      </c>
      <c r="D219" s="18">
        <f>'P0-3_Scorecard'!L66</f>
        <v/>
      </c>
      <c r="E219" s="18">
        <f>'P0-3_Scorecard'!L81</f>
        <v/>
      </c>
      <c r="F219" s="18">
        <f>'P0-3_Scorecard'!M66</f>
        <v/>
      </c>
      <c r="G219" s="18">
        <f>'P0-3_Scorecard'!M81</f>
        <v/>
      </c>
      <c r="H219" s="18">
        <f>IF(OR(D219="",F219=""),"",D219-(F219*20))</f>
        <v/>
      </c>
      <c r="I219" s="18">
        <f>IF(OR(E219="",G219=""),"",E219-(G219*20))</f>
        <v/>
      </c>
      <c r="J219" s="18">
        <f>IF(OR(D219="",E219=""),"INCOMPLETE",IF(AND(D219&gt;=80,E219&lt;50),"CONTRADICTION",IF(AND(D219&gt;=70,E219&lt;70),"DEPENDENCY GAP","NO TRIGGER")))</f>
        <v/>
      </c>
      <c r="K219" s="18">
        <f>IF(J219="CONTRADICTION","HIGH",IF(J219="DEPENDENCY GAP","MEDIUM","—"))</f>
        <v/>
      </c>
      <c r="L219" s="18">
        <f>IF(J219="CONTRADICTION","Strong upstream claim is not supported by linked downstream capability/evidence. Trigger: Faculty practice review.",IF(J219="DEPENDENCY GAP","Downstream capability materially trails upstream expectation. Trigger: Faculty practice review.",""))</f>
        <v/>
      </c>
    </row>
    <row r="220">
      <c r="A220" s="18" t="inlineStr">
        <is>
          <t>CD12</t>
        </is>
      </c>
      <c r="B220" s="18" t="inlineStr">
        <is>
          <t>D05-I12</t>
        </is>
      </c>
      <c r="C220" s="18" t="inlineStr">
        <is>
          <t>D07-I04</t>
        </is>
      </c>
      <c r="D220" s="18">
        <f>'P0-3_Scorecard'!L66</f>
        <v/>
      </c>
      <c r="E220" s="18">
        <f>'P0-3_Scorecard'!L84</f>
        <v/>
      </c>
      <c r="F220" s="18">
        <f>'P0-3_Scorecard'!M66</f>
        <v/>
      </c>
      <c r="G220" s="18">
        <f>'P0-3_Scorecard'!M84</f>
        <v/>
      </c>
      <c r="H220" s="18">
        <f>IF(OR(D220="",F220=""),"",D220-(F220*20))</f>
        <v/>
      </c>
      <c r="I220" s="18">
        <f>IF(OR(E220="",G220=""),"",E220-(G220*20))</f>
        <v/>
      </c>
      <c r="J220" s="18">
        <f>IF(OR(D220="",E220=""),"INCOMPLETE",IF(AND(D220&gt;=80,E220&lt;50),"CONTRADICTION",IF(AND(D220&gt;=70,E220&lt;70),"DEPENDENCY GAP","NO TRIGGER")))</f>
        <v/>
      </c>
      <c r="K220" s="18">
        <f>IF(J220="CONTRADICTION","HIGH",IF(J220="DEPENDENCY GAP","MEDIUM","—"))</f>
        <v/>
      </c>
      <c r="L220" s="18">
        <f>IF(J220="CONTRADICTION","Strong upstream claim is not supported by linked downstream capability/evidence. Trigger: Faculty practice review.",IF(J220="DEPENDENCY GAP","Downstream capability materially trails upstream expectation. Trigger: Faculty practice review.",""))</f>
        <v/>
      </c>
    </row>
    <row r="221">
      <c r="A221" s="18" t="inlineStr">
        <is>
          <t>CD12</t>
        </is>
      </c>
      <c r="B221" s="18" t="inlineStr">
        <is>
          <t>D05-I12</t>
        </is>
      </c>
      <c r="C221" s="18" t="inlineStr">
        <is>
          <t>D07-I05</t>
        </is>
      </c>
      <c r="D221" s="18">
        <f>'P0-3_Scorecard'!L66</f>
        <v/>
      </c>
      <c r="E221" s="18">
        <f>'P0-3_Scorecard'!L85</f>
        <v/>
      </c>
      <c r="F221" s="18">
        <f>'P0-3_Scorecard'!M66</f>
        <v/>
      </c>
      <c r="G221" s="18">
        <f>'P0-3_Scorecard'!M85</f>
        <v/>
      </c>
      <c r="H221" s="18">
        <f>IF(OR(D221="",F221=""),"",D221-(F221*20))</f>
        <v/>
      </c>
      <c r="I221" s="18">
        <f>IF(OR(E221="",G221=""),"",E221-(G221*20))</f>
        <v/>
      </c>
      <c r="J221" s="18">
        <f>IF(OR(D221="",E221=""),"INCOMPLETE",IF(AND(D221&gt;=80,E221&lt;50),"CONTRADICTION",IF(AND(D221&gt;=70,E221&lt;70),"DEPENDENCY GAP","NO TRIGGER")))</f>
        <v/>
      </c>
      <c r="K221" s="18">
        <f>IF(J221="CONTRADICTION","HIGH",IF(J221="DEPENDENCY GAP","MEDIUM","—"))</f>
        <v/>
      </c>
      <c r="L221" s="18">
        <f>IF(J221="CONTRADICTION","Strong upstream claim is not supported by linked downstream capability/evidence. Trigger: Faculty practice review.",IF(J221="DEPENDENCY GAP","Downstream capability materially trails upstream expectation. Trigger: Faculty practice review.",""))</f>
        <v/>
      </c>
    </row>
    <row r="222">
      <c r="A222" s="18" t="inlineStr">
        <is>
          <t>CD12</t>
        </is>
      </c>
      <c r="B222" s="18" t="inlineStr">
        <is>
          <t>D05-I12</t>
        </is>
      </c>
      <c r="C222" s="18" t="inlineStr">
        <is>
          <t>D07-I11</t>
        </is>
      </c>
      <c r="D222" s="18">
        <f>'P0-3_Scorecard'!L66</f>
        <v/>
      </c>
      <c r="E222" s="18">
        <f>'P0-3_Scorecard'!L91</f>
        <v/>
      </c>
      <c r="F222" s="18">
        <f>'P0-3_Scorecard'!M66</f>
        <v/>
      </c>
      <c r="G222" s="18">
        <f>'P0-3_Scorecard'!M91</f>
        <v/>
      </c>
      <c r="H222" s="18">
        <f>IF(OR(D222="",F222=""),"",D222-(F222*20))</f>
        <v/>
      </c>
      <c r="I222" s="18">
        <f>IF(OR(E222="",G222=""),"",E222-(G222*20))</f>
        <v/>
      </c>
      <c r="J222" s="18">
        <f>IF(OR(D222="",E222=""),"INCOMPLETE",IF(AND(D222&gt;=80,E222&lt;50),"CONTRADICTION",IF(AND(D222&gt;=70,E222&lt;70),"DEPENDENCY GAP","NO TRIGGER")))</f>
        <v/>
      </c>
      <c r="K222" s="18">
        <f>IF(J222="CONTRADICTION","HIGH",IF(J222="DEPENDENCY GAP","MEDIUM","—"))</f>
        <v/>
      </c>
      <c r="L222" s="18">
        <f>IF(J222="CONTRADICTION","Strong upstream claim is not supported by linked downstream capability/evidence. Trigger: Faculty practice review.",IF(J222="DEPENDENCY GAP","Downstream capability materially trails upstream expectation. Trigger: Faculty practice review.",""))</f>
        <v/>
      </c>
    </row>
    <row r="223">
      <c r="A223" s="18" t="inlineStr">
        <is>
          <t>CD13</t>
        </is>
      </c>
      <c r="B223" s="18" t="inlineStr">
        <is>
          <t>D06-I04</t>
        </is>
      </c>
      <c r="C223" s="18" t="inlineStr">
        <is>
          <t>D09-I05</t>
        </is>
      </c>
      <c r="D223" s="18">
        <f>'P0-3_Scorecard'!L70</f>
        <v/>
      </c>
      <c r="E223" s="18">
        <f>'P0-3_Scorecard'!L109</f>
        <v/>
      </c>
      <c r="F223" s="18">
        <f>'P0-3_Scorecard'!M70</f>
        <v/>
      </c>
      <c r="G223" s="18">
        <f>'P0-3_Scorecard'!M109</f>
        <v/>
      </c>
      <c r="H223" s="18">
        <f>IF(OR(D223="",F223=""),"",D223-(F223*20))</f>
        <v/>
      </c>
      <c r="I223" s="18">
        <f>IF(OR(E223="",G223=""),"",E223-(G223*20))</f>
        <v/>
      </c>
      <c r="J223" s="18">
        <f>IF(OR(D223="",E223=""),"INCOMPLETE",IF(AND(D223&gt;=80,E223&lt;50),"CONTRADICTION",IF(AND(D223&gt;=70,E223&lt;70),"DEPENDENCY GAP","NO TRIGGER")))</f>
        <v/>
      </c>
      <c r="K223" s="18">
        <f>IF(J223="CONTRADICTION","HIGH",IF(J223="DEPENDENCY GAP","MEDIUM","—"))</f>
        <v/>
      </c>
      <c r="L223" s="18">
        <f>IF(J223="CONTRADICTION","Strong upstream claim is not supported by linked downstream capability/evidence. Trigger: Employability evidence review.",IF(J223="DEPENDENCY GAP","Downstream capability materially trails upstream expectation. Trigger: Employability evidence review.",""))</f>
        <v/>
      </c>
    </row>
    <row r="224">
      <c r="A224" s="18" t="inlineStr">
        <is>
          <t>CD13</t>
        </is>
      </c>
      <c r="B224" s="18" t="inlineStr">
        <is>
          <t>D06-I04</t>
        </is>
      </c>
      <c r="C224" s="18" t="inlineStr">
        <is>
          <t>D09-I06</t>
        </is>
      </c>
      <c r="D224" s="18">
        <f>'P0-3_Scorecard'!L70</f>
        <v/>
      </c>
      <c r="E224" s="18">
        <f>'P0-3_Scorecard'!L110</f>
        <v/>
      </c>
      <c r="F224" s="18">
        <f>'P0-3_Scorecard'!M70</f>
        <v/>
      </c>
      <c r="G224" s="18">
        <f>'P0-3_Scorecard'!M110</f>
        <v/>
      </c>
      <c r="H224" s="18">
        <f>IF(OR(D224="",F224=""),"",D224-(F224*20))</f>
        <v/>
      </c>
      <c r="I224" s="18">
        <f>IF(OR(E224="",G224=""),"",E224-(G224*20))</f>
        <v/>
      </c>
      <c r="J224" s="18">
        <f>IF(OR(D224="",E224=""),"INCOMPLETE",IF(AND(D224&gt;=80,E224&lt;50),"CONTRADICTION",IF(AND(D224&gt;=70,E224&lt;70),"DEPENDENCY GAP","NO TRIGGER")))</f>
        <v/>
      </c>
      <c r="K224" s="18">
        <f>IF(J224="CONTRADICTION","HIGH",IF(J224="DEPENDENCY GAP","MEDIUM","—"))</f>
        <v/>
      </c>
      <c r="L224" s="18">
        <f>IF(J224="CONTRADICTION","Strong upstream claim is not supported by linked downstream capability/evidence. Trigger: Employability evidence review.",IF(J224="DEPENDENCY GAP","Downstream capability materially trails upstream expectation. Trigger: Employability evidence review.",""))</f>
        <v/>
      </c>
    </row>
    <row r="225">
      <c r="A225" s="18" t="inlineStr">
        <is>
          <t>CD13</t>
        </is>
      </c>
      <c r="B225" s="18" t="inlineStr">
        <is>
          <t>D06-I04</t>
        </is>
      </c>
      <c r="C225" s="18" t="inlineStr">
        <is>
          <t>D09-I07</t>
        </is>
      </c>
      <c r="D225" s="18">
        <f>'P0-3_Scorecard'!L70</f>
        <v/>
      </c>
      <c r="E225" s="18">
        <f>'P0-3_Scorecard'!L111</f>
        <v/>
      </c>
      <c r="F225" s="18">
        <f>'P0-3_Scorecard'!M70</f>
        <v/>
      </c>
      <c r="G225" s="18">
        <f>'P0-3_Scorecard'!M111</f>
        <v/>
      </c>
      <c r="H225" s="18">
        <f>IF(OR(D225="",F225=""),"",D225-(F225*20))</f>
        <v/>
      </c>
      <c r="I225" s="18">
        <f>IF(OR(E225="",G225=""),"",E225-(G225*20))</f>
        <v/>
      </c>
      <c r="J225" s="18">
        <f>IF(OR(D225="",E225=""),"INCOMPLETE",IF(AND(D225&gt;=80,E225&lt;50),"CONTRADICTION",IF(AND(D225&gt;=70,E225&lt;70),"DEPENDENCY GAP","NO TRIGGER")))</f>
        <v/>
      </c>
      <c r="K225" s="18">
        <f>IF(J225="CONTRADICTION","HIGH",IF(J225="DEPENDENCY GAP","MEDIUM","—"))</f>
        <v/>
      </c>
      <c r="L225" s="18">
        <f>IF(J225="CONTRADICTION","Strong upstream claim is not supported by linked downstream capability/evidence. Trigger: Employability evidence review.",IF(J225="DEPENDENCY GAP","Downstream capability materially trails upstream expectation. Trigger: Employability evidence review.",""))</f>
        <v/>
      </c>
    </row>
    <row r="226">
      <c r="A226" s="18" t="inlineStr">
        <is>
          <t>CD13</t>
        </is>
      </c>
      <c r="B226" s="18" t="inlineStr">
        <is>
          <t>D06-I04</t>
        </is>
      </c>
      <c r="C226" s="18" t="inlineStr">
        <is>
          <t>D09-I08</t>
        </is>
      </c>
      <c r="D226" s="18">
        <f>'P0-3_Scorecard'!L70</f>
        <v/>
      </c>
      <c r="E226" s="18">
        <f>'P0-3_Scorecard'!L112</f>
        <v/>
      </c>
      <c r="F226" s="18">
        <f>'P0-3_Scorecard'!M70</f>
        <v/>
      </c>
      <c r="G226" s="18">
        <f>'P0-3_Scorecard'!M112</f>
        <v/>
      </c>
      <c r="H226" s="18">
        <f>IF(OR(D226="",F226=""),"",D226-(F226*20))</f>
        <v/>
      </c>
      <c r="I226" s="18">
        <f>IF(OR(E226="",G226=""),"",E226-(G226*20))</f>
        <v/>
      </c>
      <c r="J226" s="18">
        <f>IF(OR(D226="",E226=""),"INCOMPLETE",IF(AND(D226&gt;=80,E226&lt;50),"CONTRADICTION",IF(AND(D226&gt;=70,E226&lt;70),"DEPENDENCY GAP","NO TRIGGER")))</f>
        <v/>
      </c>
      <c r="K226" s="18">
        <f>IF(J226="CONTRADICTION","HIGH",IF(J226="DEPENDENCY GAP","MEDIUM","—"))</f>
        <v/>
      </c>
      <c r="L226" s="18">
        <f>IF(J226="CONTRADICTION","Strong upstream claim is not supported by linked downstream capability/evidence. Trigger: Employability evidence review.",IF(J226="DEPENDENCY GAP","Downstream capability materially trails upstream expectation. Trigger: Employability evidence review.",""))</f>
        <v/>
      </c>
    </row>
    <row r="227">
      <c r="A227" s="18" t="inlineStr">
        <is>
          <t>CD13</t>
        </is>
      </c>
      <c r="B227" s="18" t="inlineStr">
        <is>
          <t>D06-I04</t>
        </is>
      </c>
      <c r="C227" s="18" t="inlineStr">
        <is>
          <t>D09-I09</t>
        </is>
      </c>
      <c r="D227" s="18">
        <f>'P0-3_Scorecard'!L70</f>
        <v/>
      </c>
      <c r="E227" s="18">
        <f>'P0-3_Scorecard'!L113</f>
        <v/>
      </c>
      <c r="F227" s="18">
        <f>'P0-3_Scorecard'!M70</f>
        <v/>
      </c>
      <c r="G227" s="18">
        <f>'P0-3_Scorecard'!M113</f>
        <v/>
      </c>
      <c r="H227" s="18">
        <f>IF(OR(D227="",F227=""),"",D227-(F227*20))</f>
        <v/>
      </c>
      <c r="I227" s="18">
        <f>IF(OR(E227="",G227=""),"",E227-(G227*20))</f>
        <v/>
      </c>
      <c r="J227" s="18">
        <f>IF(OR(D227="",E227=""),"INCOMPLETE",IF(AND(D227&gt;=80,E227&lt;50),"CONTRADICTION",IF(AND(D227&gt;=70,E227&lt;70),"DEPENDENCY GAP","NO TRIGGER")))</f>
        <v/>
      </c>
      <c r="K227" s="18">
        <f>IF(J227="CONTRADICTION","HIGH",IF(J227="DEPENDENCY GAP","MEDIUM","—"))</f>
        <v/>
      </c>
      <c r="L227" s="18">
        <f>IF(J227="CONTRADICTION","Strong upstream claim is not supported by linked downstream capability/evidence. Trigger: Employability evidence review.",IF(J227="DEPENDENCY GAP","Downstream capability materially trails upstream expectation. Trigger: Employability evidence review.",""))</f>
        <v/>
      </c>
    </row>
    <row r="228">
      <c r="A228" s="18" t="inlineStr">
        <is>
          <t>CD13</t>
        </is>
      </c>
      <c r="B228" s="18" t="inlineStr">
        <is>
          <t>D06-I07</t>
        </is>
      </c>
      <c r="C228" s="18" t="inlineStr">
        <is>
          <t>D09-I05</t>
        </is>
      </c>
      <c r="D228" s="18">
        <f>'P0-3_Scorecard'!L73</f>
        <v/>
      </c>
      <c r="E228" s="18">
        <f>'P0-3_Scorecard'!L109</f>
        <v/>
      </c>
      <c r="F228" s="18">
        <f>'P0-3_Scorecard'!M73</f>
        <v/>
      </c>
      <c r="G228" s="18">
        <f>'P0-3_Scorecard'!M109</f>
        <v/>
      </c>
      <c r="H228" s="18">
        <f>IF(OR(D228="",F228=""),"",D228-(F228*20))</f>
        <v/>
      </c>
      <c r="I228" s="18">
        <f>IF(OR(E228="",G228=""),"",E228-(G228*20))</f>
        <v/>
      </c>
      <c r="J228" s="18">
        <f>IF(OR(D228="",E228=""),"INCOMPLETE",IF(AND(D228&gt;=80,E228&lt;50),"CONTRADICTION",IF(AND(D228&gt;=70,E228&lt;70),"DEPENDENCY GAP","NO TRIGGER")))</f>
        <v/>
      </c>
      <c r="K228" s="18">
        <f>IF(J228="CONTRADICTION","HIGH",IF(J228="DEPENDENCY GAP","MEDIUM","—"))</f>
        <v/>
      </c>
      <c r="L228" s="18">
        <f>IF(J228="CONTRADICTION","Strong upstream claim is not supported by linked downstream capability/evidence. Trigger: Employability evidence review.",IF(J228="DEPENDENCY GAP","Downstream capability materially trails upstream expectation. Trigger: Employability evidence review.",""))</f>
        <v/>
      </c>
    </row>
    <row r="229">
      <c r="A229" s="18" t="inlineStr">
        <is>
          <t>CD13</t>
        </is>
      </c>
      <c r="B229" s="18" t="inlineStr">
        <is>
          <t>D06-I07</t>
        </is>
      </c>
      <c r="C229" s="18" t="inlineStr">
        <is>
          <t>D09-I06</t>
        </is>
      </c>
      <c r="D229" s="18">
        <f>'P0-3_Scorecard'!L73</f>
        <v/>
      </c>
      <c r="E229" s="18">
        <f>'P0-3_Scorecard'!L110</f>
        <v/>
      </c>
      <c r="F229" s="18">
        <f>'P0-3_Scorecard'!M73</f>
        <v/>
      </c>
      <c r="G229" s="18">
        <f>'P0-3_Scorecard'!M110</f>
        <v/>
      </c>
      <c r="H229" s="18">
        <f>IF(OR(D229="",F229=""),"",D229-(F229*20))</f>
        <v/>
      </c>
      <c r="I229" s="18">
        <f>IF(OR(E229="",G229=""),"",E229-(G229*20))</f>
        <v/>
      </c>
      <c r="J229" s="18">
        <f>IF(OR(D229="",E229=""),"INCOMPLETE",IF(AND(D229&gt;=80,E229&lt;50),"CONTRADICTION",IF(AND(D229&gt;=70,E229&lt;70),"DEPENDENCY GAP","NO TRIGGER")))</f>
        <v/>
      </c>
      <c r="K229" s="18">
        <f>IF(J229="CONTRADICTION","HIGH",IF(J229="DEPENDENCY GAP","MEDIUM","—"))</f>
        <v/>
      </c>
      <c r="L229" s="18">
        <f>IF(J229="CONTRADICTION","Strong upstream claim is not supported by linked downstream capability/evidence. Trigger: Employability evidence review.",IF(J229="DEPENDENCY GAP","Downstream capability materially trails upstream expectation. Trigger: Employability evidence review.",""))</f>
        <v/>
      </c>
    </row>
    <row r="230">
      <c r="A230" s="18" t="inlineStr">
        <is>
          <t>CD13</t>
        </is>
      </c>
      <c r="B230" s="18" t="inlineStr">
        <is>
          <t>D06-I07</t>
        </is>
      </c>
      <c r="C230" s="18" t="inlineStr">
        <is>
          <t>D09-I07</t>
        </is>
      </c>
      <c r="D230" s="18">
        <f>'P0-3_Scorecard'!L73</f>
        <v/>
      </c>
      <c r="E230" s="18">
        <f>'P0-3_Scorecard'!L111</f>
        <v/>
      </c>
      <c r="F230" s="18">
        <f>'P0-3_Scorecard'!M73</f>
        <v/>
      </c>
      <c r="G230" s="18">
        <f>'P0-3_Scorecard'!M111</f>
        <v/>
      </c>
      <c r="H230" s="18">
        <f>IF(OR(D230="",F230=""),"",D230-(F230*20))</f>
        <v/>
      </c>
      <c r="I230" s="18">
        <f>IF(OR(E230="",G230=""),"",E230-(G230*20))</f>
        <v/>
      </c>
      <c r="J230" s="18">
        <f>IF(OR(D230="",E230=""),"INCOMPLETE",IF(AND(D230&gt;=80,E230&lt;50),"CONTRADICTION",IF(AND(D230&gt;=70,E230&lt;70),"DEPENDENCY GAP","NO TRIGGER")))</f>
        <v/>
      </c>
      <c r="K230" s="18">
        <f>IF(J230="CONTRADICTION","HIGH",IF(J230="DEPENDENCY GAP","MEDIUM","—"))</f>
        <v/>
      </c>
      <c r="L230" s="18">
        <f>IF(J230="CONTRADICTION","Strong upstream claim is not supported by linked downstream capability/evidence. Trigger: Employability evidence review.",IF(J230="DEPENDENCY GAP","Downstream capability materially trails upstream expectation. Trigger: Employability evidence review.",""))</f>
        <v/>
      </c>
    </row>
    <row r="231">
      <c r="A231" s="18" t="inlineStr">
        <is>
          <t>CD13</t>
        </is>
      </c>
      <c r="B231" s="18" t="inlineStr">
        <is>
          <t>D06-I07</t>
        </is>
      </c>
      <c r="C231" s="18" t="inlineStr">
        <is>
          <t>D09-I08</t>
        </is>
      </c>
      <c r="D231" s="18">
        <f>'P0-3_Scorecard'!L73</f>
        <v/>
      </c>
      <c r="E231" s="18">
        <f>'P0-3_Scorecard'!L112</f>
        <v/>
      </c>
      <c r="F231" s="18">
        <f>'P0-3_Scorecard'!M73</f>
        <v/>
      </c>
      <c r="G231" s="18">
        <f>'P0-3_Scorecard'!M112</f>
        <v/>
      </c>
      <c r="H231" s="18">
        <f>IF(OR(D231="",F231=""),"",D231-(F231*20))</f>
        <v/>
      </c>
      <c r="I231" s="18">
        <f>IF(OR(E231="",G231=""),"",E231-(G231*20))</f>
        <v/>
      </c>
      <c r="J231" s="18">
        <f>IF(OR(D231="",E231=""),"INCOMPLETE",IF(AND(D231&gt;=80,E231&lt;50),"CONTRADICTION",IF(AND(D231&gt;=70,E231&lt;70),"DEPENDENCY GAP","NO TRIGGER")))</f>
        <v/>
      </c>
      <c r="K231" s="18">
        <f>IF(J231="CONTRADICTION","HIGH",IF(J231="DEPENDENCY GAP","MEDIUM","—"))</f>
        <v/>
      </c>
      <c r="L231" s="18">
        <f>IF(J231="CONTRADICTION","Strong upstream claim is not supported by linked downstream capability/evidence. Trigger: Employability evidence review.",IF(J231="DEPENDENCY GAP","Downstream capability materially trails upstream expectation. Trigger: Employability evidence review.",""))</f>
        <v/>
      </c>
    </row>
    <row r="232">
      <c r="A232" s="18" t="inlineStr">
        <is>
          <t>CD13</t>
        </is>
      </c>
      <c r="B232" s="18" t="inlineStr">
        <is>
          <t>D06-I07</t>
        </is>
      </c>
      <c r="C232" s="18" t="inlineStr">
        <is>
          <t>D09-I09</t>
        </is>
      </c>
      <c r="D232" s="18">
        <f>'P0-3_Scorecard'!L73</f>
        <v/>
      </c>
      <c r="E232" s="18">
        <f>'P0-3_Scorecard'!L113</f>
        <v/>
      </c>
      <c r="F232" s="18">
        <f>'P0-3_Scorecard'!M73</f>
        <v/>
      </c>
      <c r="G232" s="18">
        <f>'P0-3_Scorecard'!M113</f>
        <v/>
      </c>
      <c r="H232" s="18">
        <f>IF(OR(D232="",F232=""),"",D232-(F232*20))</f>
        <v/>
      </c>
      <c r="I232" s="18">
        <f>IF(OR(E232="",G232=""),"",E232-(G232*20))</f>
        <v/>
      </c>
      <c r="J232" s="18">
        <f>IF(OR(D232="",E232=""),"INCOMPLETE",IF(AND(D232&gt;=80,E232&lt;50),"CONTRADICTION",IF(AND(D232&gt;=70,E232&lt;70),"DEPENDENCY GAP","NO TRIGGER")))</f>
        <v/>
      </c>
      <c r="K232" s="18">
        <f>IF(J232="CONTRADICTION","HIGH",IF(J232="DEPENDENCY GAP","MEDIUM","—"))</f>
        <v/>
      </c>
      <c r="L232" s="18">
        <f>IF(J232="CONTRADICTION","Strong upstream claim is not supported by linked downstream capability/evidence. Trigger: Employability evidence review.",IF(J232="DEPENDENCY GAP","Downstream capability materially trails upstream expectation. Trigger: Employability evidence review.",""))</f>
        <v/>
      </c>
    </row>
    <row r="233">
      <c r="A233" s="18" t="inlineStr">
        <is>
          <t>CD13</t>
        </is>
      </c>
      <c r="B233" s="18" t="inlineStr">
        <is>
          <t>D06-I08</t>
        </is>
      </c>
      <c r="C233" s="18" t="inlineStr">
        <is>
          <t>D09-I05</t>
        </is>
      </c>
      <c r="D233" s="18">
        <f>'P0-3_Scorecard'!L74</f>
        <v/>
      </c>
      <c r="E233" s="18">
        <f>'P0-3_Scorecard'!L109</f>
        <v/>
      </c>
      <c r="F233" s="18">
        <f>'P0-3_Scorecard'!M74</f>
        <v/>
      </c>
      <c r="G233" s="18">
        <f>'P0-3_Scorecard'!M109</f>
        <v/>
      </c>
      <c r="H233" s="18">
        <f>IF(OR(D233="",F233=""),"",D233-(F233*20))</f>
        <v/>
      </c>
      <c r="I233" s="18">
        <f>IF(OR(E233="",G233=""),"",E233-(G233*20))</f>
        <v/>
      </c>
      <c r="J233" s="18">
        <f>IF(OR(D233="",E233=""),"INCOMPLETE",IF(AND(D233&gt;=80,E233&lt;50),"CONTRADICTION",IF(AND(D233&gt;=70,E233&lt;70),"DEPENDENCY GAP","NO TRIGGER")))</f>
        <v/>
      </c>
      <c r="K233" s="18">
        <f>IF(J233="CONTRADICTION","HIGH",IF(J233="DEPENDENCY GAP","MEDIUM","—"))</f>
        <v/>
      </c>
      <c r="L233" s="18">
        <f>IF(J233="CONTRADICTION","Strong upstream claim is not supported by linked downstream capability/evidence. Trigger: Employability evidence review.",IF(J233="DEPENDENCY GAP","Downstream capability materially trails upstream expectation. Trigger: Employability evidence review.",""))</f>
        <v/>
      </c>
    </row>
    <row r="234">
      <c r="A234" s="18" t="inlineStr">
        <is>
          <t>CD13</t>
        </is>
      </c>
      <c r="B234" s="18" t="inlineStr">
        <is>
          <t>D06-I08</t>
        </is>
      </c>
      <c r="C234" s="18" t="inlineStr">
        <is>
          <t>D09-I06</t>
        </is>
      </c>
      <c r="D234" s="18">
        <f>'P0-3_Scorecard'!L74</f>
        <v/>
      </c>
      <c r="E234" s="18">
        <f>'P0-3_Scorecard'!L110</f>
        <v/>
      </c>
      <c r="F234" s="18">
        <f>'P0-3_Scorecard'!M74</f>
        <v/>
      </c>
      <c r="G234" s="18">
        <f>'P0-3_Scorecard'!M110</f>
        <v/>
      </c>
      <c r="H234" s="18">
        <f>IF(OR(D234="",F234=""),"",D234-(F234*20))</f>
        <v/>
      </c>
      <c r="I234" s="18">
        <f>IF(OR(E234="",G234=""),"",E234-(G234*20))</f>
        <v/>
      </c>
      <c r="J234" s="18">
        <f>IF(OR(D234="",E234=""),"INCOMPLETE",IF(AND(D234&gt;=80,E234&lt;50),"CONTRADICTION",IF(AND(D234&gt;=70,E234&lt;70),"DEPENDENCY GAP","NO TRIGGER")))</f>
        <v/>
      </c>
      <c r="K234" s="18">
        <f>IF(J234="CONTRADICTION","HIGH",IF(J234="DEPENDENCY GAP","MEDIUM","—"))</f>
        <v/>
      </c>
      <c r="L234" s="18">
        <f>IF(J234="CONTRADICTION","Strong upstream claim is not supported by linked downstream capability/evidence. Trigger: Employability evidence review.",IF(J234="DEPENDENCY GAP","Downstream capability materially trails upstream expectation. Trigger: Employability evidence review.",""))</f>
        <v/>
      </c>
    </row>
    <row r="235">
      <c r="A235" s="18" t="inlineStr">
        <is>
          <t>CD13</t>
        </is>
      </c>
      <c r="B235" s="18" t="inlineStr">
        <is>
          <t>D06-I08</t>
        </is>
      </c>
      <c r="C235" s="18" t="inlineStr">
        <is>
          <t>D09-I07</t>
        </is>
      </c>
      <c r="D235" s="18">
        <f>'P0-3_Scorecard'!L74</f>
        <v/>
      </c>
      <c r="E235" s="18">
        <f>'P0-3_Scorecard'!L111</f>
        <v/>
      </c>
      <c r="F235" s="18">
        <f>'P0-3_Scorecard'!M74</f>
        <v/>
      </c>
      <c r="G235" s="18">
        <f>'P0-3_Scorecard'!M111</f>
        <v/>
      </c>
      <c r="H235" s="18">
        <f>IF(OR(D235="",F235=""),"",D235-(F235*20))</f>
        <v/>
      </c>
      <c r="I235" s="18">
        <f>IF(OR(E235="",G235=""),"",E235-(G235*20))</f>
        <v/>
      </c>
      <c r="J235" s="18">
        <f>IF(OR(D235="",E235=""),"INCOMPLETE",IF(AND(D235&gt;=80,E235&lt;50),"CONTRADICTION",IF(AND(D235&gt;=70,E235&lt;70),"DEPENDENCY GAP","NO TRIGGER")))</f>
        <v/>
      </c>
      <c r="K235" s="18">
        <f>IF(J235="CONTRADICTION","HIGH",IF(J235="DEPENDENCY GAP","MEDIUM","—"))</f>
        <v/>
      </c>
      <c r="L235" s="18">
        <f>IF(J235="CONTRADICTION","Strong upstream claim is not supported by linked downstream capability/evidence. Trigger: Employability evidence review.",IF(J235="DEPENDENCY GAP","Downstream capability materially trails upstream expectation. Trigger: Employability evidence review.",""))</f>
        <v/>
      </c>
    </row>
    <row r="236">
      <c r="A236" s="18" t="inlineStr">
        <is>
          <t>CD13</t>
        </is>
      </c>
      <c r="B236" s="18" t="inlineStr">
        <is>
          <t>D06-I08</t>
        </is>
      </c>
      <c r="C236" s="18" t="inlineStr">
        <is>
          <t>D09-I08</t>
        </is>
      </c>
      <c r="D236" s="18">
        <f>'P0-3_Scorecard'!L74</f>
        <v/>
      </c>
      <c r="E236" s="18">
        <f>'P0-3_Scorecard'!L112</f>
        <v/>
      </c>
      <c r="F236" s="18">
        <f>'P0-3_Scorecard'!M74</f>
        <v/>
      </c>
      <c r="G236" s="18">
        <f>'P0-3_Scorecard'!M112</f>
        <v/>
      </c>
      <c r="H236" s="18">
        <f>IF(OR(D236="",F236=""),"",D236-(F236*20))</f>
        <v/>
      </c>
      <c r="I236" s="18">
        <f>IF(OR(E236="",G236=""),"",E236-(G236*20))</f>
        <v/>
      </c>
      <c r="J236" s="18">
        <f>IF(OR(D236="",E236=""),"INCOMPLETE",IF(AND(D236&gt;=80,E236&lt;50),"CONTRADICTION",IF(AND(D236&gt;=70,E236&lt;70),"DEPENDENCY GAP","NO TRIGGER")))</f>
        <v/>
      </c>
      <c r="K236" s="18">
        <f>IF(J236="CONTRADICTION","HIGH",IF(J236="DEPENDENCY GAP","MEDIUM","—"))</f>
        <v/>
      </c>
      <c r="L236" s="18">
        <f>IF(J236="CONTRADICTION","Strong upstream claim is not supported by linked downstream capability/evidence. Trigger: Employability evidence review.",IF(J236="DEPENDENCY GAP","Downstream capability materially trails upstream expectation. Trigger: Employability evidence review.",""))</f>
        <v/>
      </c>
    </row>
    <row r="237">
      <c r="A237" s="18" t="inlineStr">
        <is>
          <t>CD13</t>
        </is>
      </c>
      <c r="B237" s="18" t="inlineStr">
        <is>
          <t>D06-I08</t>
        </is>
      </c>
      <c r="C237" s="18" t="inlineStr">
        <is>
          <t>D09-I09</t>
        </is>
      </c>
      <c r="D237" s="18">
        <f>'P0-3_Scorecard'!L74</f>
        <v/>
      </c>
      <c r="E237" s="18">
        <f>'P0-3_Scorecard'!L113</f>
        <v/>
      </c>
      <c r="F237" s="18">
        <f>'P0-3_Scorecard'!M74</f>
        <v/>
      </c>
      <c r="G237" s="18">
        <f>'P0-3_Scorecard'!M113</f>
        <v/>
      </c>
      <c r="H237" s="18">
        <f>IF(OR(D237="",F237=""),"",D237-(F237*20))</f>
        <v/>
      </c>
      <c r="I237" s="18">
        <f>IF(OR(E237="",G237=""),"",E237-(G237*20))</f>
        <v/>
      </c>
      <c r="J237" s="18">
        <f>IF(OR(D237="",E237=""),"INCOMPLETE",IF(AND(D237&gt;=80,E237&lt;50),"CONTRADICTION",IF(AND(D237&gt;=70,E237&lt;70),"DEPENDENCY GAP","NO TRIGGER")))</f>
        <v/>
      </c>
      <c r="K237" s="18">
        <f>IF(J237="CONTRADICTION","HIGH",IF(J237="DEPENDENCY GAP","MEDIUM","—"))</f>
        <v/>
      </c>
      <c r="L237" s="18">
        <f>IF(J237="CONTRADICTION","Strong upstream claim is not supported by linked downstream capability/evidence. Trigger: Employability evidence review.",IF(J237="DEPENDENCY GAP","Downstream capability materially trails upstream expectation. Trigger: Employability evidence review.",""))</f>
        <v/>
      </c>
    </row>
    <row r="238">
      <c r="A238" s="18" t="inlineStr">
        <is>
          <t>CD13</t>
        </is>
      </c>
      <c r="B238" s="18" t="inlineStr">
        <is>
          <t>D06-I09</t>
        </is>
      </c>
      <c r="C238" s="18" t="inlineStr">
        <is>
          <t>D09-I05</t>
        </is>
      </c>
      <c r="D238" s="18">
        <f>'P0-3_Scorecard'!L75</f>
        <v/>
      </c>
      <c r="E238" s="18">
        <f>'P0-3_Scorecard'!L109</f>
        <v/>
      </c>
      <c r="F238" s="18">
        <f>'P0-3_Scorecard'!M75</f>
        <v/>
      </c>
      <c r="G238" s="18">
        <f>'P0-3_Scorecard'!M109</f>
        <v/>
      </c>
      <c r="H238" s="18">
        <f>IF(OR(D238="",F238=""),"",D238-(F238*20))</f>
        <v/>
      </c>
      <c r="I238" s="18">
        <f>IF(OR(E238="",G238=""),"",E238-(G238*20))</f>
        <v/>
      </c>
      <c r="J238" s="18">
        <f>IF(OR(D238="",E238=""),"INCOMPLETE",IF(AND(D238&gt;=80,E238&lt;50),"CONTRADICTION",IF(AND(D238&gt;=70,E238&lt;70),"DEPENDENCY GAP","NO TRIGGER")))</f>
        <v/>
      </c>
      <c r="K238" s="18">
        <f>IF(J238="CONTRADICTION","HIGH",IF(J238="DEPENDENCY GAP","MEDIUM","—"))</f>
        <v/>
      </c>
      <c r="L238" s="18">
        <f>IF(J238="CONTRADICTION","Strong upstream claim is not supported by linked downstream capability/evidence. Trigger: Employability evidence review.",IF(J238="DEPENDENCY GAP","Downstream capability materially trails upstream expectation. Trigger: Employability evidence review.",""))</f>
        <v/>
      </c>
    </row>
    <row r="239">
      <c r="A239" s="18" t="inlineStr">
        <is>
          <t>CD13</t>
        </is>
      </c>
      <c r="B239" s="18" t="inlineStr">
        <is>
          <t>D06-I09</t>
        </is>
      </c>
      <c r="C239" s="18" t="inlineStr">
        <is>
          <t>D09-I06</t>
        </is>
      </c>
      <c r="D239" s="18">
        <f>'P0-3_Scorecard'!L75</f>
        <v/>
      </c>
      <c r="E239" s="18">
        <f>'P0-3_Scorecard'!L110</f>
        <v/>
      </c>
      <c r="F239" s="18">
        <f>'P0-3_Scorecard'!M75</f>
        <v/>
      </c>
      <c r="G239" s="18">
        <f>'P0-3_Scorecard'!M110</f>
        <v/>
      </c>
      <c r="H239" s="18">
        <f>IF(OR(D239="",F239=""),"",D239-(F239*20))</f>
        <v/>
      </c>
      <c r="I239" s="18">
        <f>IF(OR(E239="",G239=""),"",E239-(G239*20))</f>
        <v/>
      </c>
      <c r="J239" s="18">
        <f>IF(OR(D239="",E239=""),"INCOMPLETE",IF(AND(D239&gt;=80,E239&lt;50),"CONTRADICTION",IF(AND(D239&gt;=70,E239&lt;70),"DEPENDENCY GAP","NO TRIGGER")))</f>
        <v/>
      </c>
      <c r="K239" s="18">
        <f>IF(J239="CONTRADICTION","HIGH",IF(J239="DEPENDENCY GAP","MEDIUM","—"))</f>
        <v/>
      </c>
      <c r="L239" s="18">
        <f>IF(J239="CONTRADICTION","Strong upstream claim is not supported by linked downstream capability/evidence. Trigger: Employability evidence review.",IF(J239="DEPENDENCY GAP","Downstream capability materially trails upstream expectation. Trigger: Employability evidence review.",""))</f>
        <v/>
      </c>
    </row>
    <row r="240">
      <c r="A240" s="18" t="inlineStr">
        <is>
          <t>CD13</t>
        </is>
      </c>
      <c r="B240" s="18" t="inlineStr">
        <is>
          <t>D06-I09</t>
        </is>
      </c>
      <c r="C240" s="18" t="inlineStr">
        <is>
          <t>D09-I07</t>
        </is>
      </c>
      <c r="D240" s="18">
        <f>'P0-3_Scorecard'!L75</f>
        <v/>
      </c>
      <c r="E240" s="18">
        <f>'P0-3_Scorecard'!L111</f>
        <v/>
      </c>
      <c r="F240" s="18">
        <f>'P0-3_Scorecard'!M75</f>
        <v/>
      </c>
      <c r="G240" s="18">
        <f>'P0-3_Scorecard'!M111</f>
        <v/>
      </c>
      <c r="H240" s="18">
        <f>IF(OR(D240="",F240=""),"",D240-(F240*20))</f>
        <v/>
      </c>
      <c r="I240" s="18">
        <f>IF(OR(E240="",G240=""),"",E240-(G240*20))</f>
        <v/>
      </c>
      <c r="J240" s="18">
        <f>IF(OR(D240="",E240=""),"INCOMPLETE",IF(AND(D240&gt;=80,E240&lt;50),"CONTRADICTION",IF(AND(D240&gt;=70,E240&lt;70),"DEPENDENCY GAP","NO TRIGGER")))</f>
        <v/>
      </c>
      <c r="K240" s="18">
        <f>IF(J240="CONTRADICTION","HIGH",IF(J240="DEPENDENCY GAP","MEDIUM","—"))</f>
        <v/>
      </c>
      <c r="L240" s="18">
        <f>IF(J240="CONTRADICTION","Strong upstream claim is not supported by linked downstream capability/evidence. Trigger: Employability evidence review.",IF(J240="DEPENDENCY GAP","Downstream capability materially trails upstream expectation. Trigger: Employability evidence review.",""))</f>
        <v/>
      </c>
    </row>
    <row r="241">
      <c r="A241" s="18" t="inlineStr">
        <is>
          <t>CD13</t>
        </is>
      </c>
      <c r="B241" s="18" t="inlineStr">
        <is>
          <t>D06-I09</t>
        </is>
      </c>
      <c r="C241" s="18" t="inlineStr">
        <is>
          <t>D09-I08</t>
        </is>
      </c>
      <c r="D241" s="18">
        <f>'P0-3_Scorecard'!L75</f>
        <v/>
      </c>
      <c r="E241" s="18">
        <f>'P0-3_Scorecard'!L112</f>
        <v/>
      </c>
      <c r="F241" s="18">
        <f>'P0-3_Scorecard'!M75</f>
        <v/>
      </c>
      <c r="G241" s="18">
        <f>'P0-3_Scorecard'!M112</f>
        <v/>
      </c>
      <c r="H241" s="18">
        <f>IF(OR(D241="",F241=""),"",D241-(F241*20))</f>
        <v/>
      </c>
      <c r="I241" s="18">
        <f>IF(OR(E241="",G241=""),"",E241-(G241*20))</f>
        <v/>
      </c>
      <c r="J241" s="18">
        <f>IF(OR(D241="",E241=""),"INCOMPLETE",IF(AND(D241&gt;=80,E241&lt;50),"CONTRADICTION",IF(AND(D241&gt;=70,E241&lt;70),"DEPENDENCY GAP","NO TRIGGER")))</f>
        <v/>
      </c>
      <c r="K241" s="18">
        <f>IF(J241="CONTRADICTION","HIGH",IF(J241="DEPENDENCY GAP","MEDIUM","—"))</f>
        <v/>
      </c>
      <c r="L241" s="18">
        <f>IF(J241="CONTRADICTION","Strong upstream claim is not supported by linked downstream capability/evidence. Trigger: Employability evidence review.",IF(J241="DEPENDENCY GAP","Downstream capability materially trails upstream expectation. Trigger: Employability evidence review.",""))</f>
        <v/>
      </c>
    </row>
    <row r="242">
      <c r="A242" s="18" t="inlineStr">
        <is>
          <t>CD13</t>
        </is>
      </c>
      <c r="B242" s="18" t="inlineStr">
        <is>
          <t>D06-I09</t>
        </is>
      </c>
      <c r="C242" s="18" t="inlineStr">
        <is>
          <t>D09-I09</t>
        </is>
      </c>
      <c r="D242" s="18">
        <f>'P0-3_Scorecard'!L75</f>
        <v/>
      </c>
      <c r="E242" s="18">
        <f>'P0-3_Scorecard'!L113</f>
        <v/>
      </c>
      <c r="F242" s="18">
        <f>'P0-3_Scorecard'!M75</f>
        <v/>
      </c>
      <c r="G242" s="18">
        <f>'P0-3_Scorecard'!M113</f>
        <v/>
      </c>
      <c r="H242" s="18">
        <f>IF(OR(D242="",F242=""),"",D242-(F242*20))</f>
        <v/>
      </c>
      <c r="I242" s="18">
        <f>IF(OR(E242="",G242=""),"",E242-(G242*20))</f>
        <v/>
      </c>
      <c r="J242" s="18">
        <f>IF(OR(D242="",E242=""),"INCOMPLETE",IF(AND(D242&gt;=80,E242&lt;50),"CONTRADICTION",IF(AND(D242&gt;=70,E242&lt;70),"DEPENDENCY GAP","NO TRIGGER")))</f>
        <v/>
      </c>
      <c r="K242" s="18">
        <f>IF(J242="CONTRADICTION","HIGH",IF(J242="DEPENDENCY GAP","MEDIUM","—"))</f>
        <v/>
      </c>
      <c r="L242" s="18">
        <f>IF(J242="CONTRADICTION","Strong upstream claim is not supported by linked downstream capability/evidence. Trigger: Employability evidence review.",IF(J242="DEPENDENCY GAP","Downstream capability materially trails upstream expectation. Trigger: Employability evidence review.",""))</f>
        <v/>
      </c>
    </row>
    <row r="243">
      <c r="A243" s="18" t="inlineStr">
        <is>
          <t>CD13</t>
        </is>
      </c>
      <c r="B243" s="18" t="inlineStr">
        <is>
          <t>D06-I10</t>
        </is>
      </c>
      <c r="C243" s="18" t="inlineStr">
        <is>
          <t>D09-I05</t>
        </is>
      </c>
      <c r="D243" s="18">
        <f>'P0-3_Scorecard'!L76</f>
        <v/>
      </c>
      <c r="E243" s="18">
        <f>'P0-3_Scorecard'!L109</f>
        <v/>
      </c>
      <c r="F243" s="18">
        <f>'P0-3_Scorecard'!M76</f>
        <v/>
      </c>
      <c r="G243" s="18">
        <f>'P0-3_Scorecard'!M109</f>
        <v/>
      </c>
      <c r="H243" s="18">
        <f>IF(OR(D243="",F243=""),"",D243-(F243*20))</f>
        <v/>
      </c>
      <c r="I243" s="18">
        <f>IF(OR(E243="",G243=""),"",E243-(G243*20))</f>
        <v/>
      </c>
      <c r="J243" s="18">
        <f>IF(OR(D243="",E243=""),"INCOMPLETE",IF(AND(D243&gt;=80,E243&lt;50),"CONTRADICTION",IF(AND(D243&gt;=70,E243&lt;70),"DEPENDENCY GAP","NO TRIGGER")))</f>
        <v/>
      </c>
      <c r="K243" s="18">
        <f>IF(J243="CONTRADICTION","HIGH",IF(J243="DEPENDENCY GAP","MEDIUM","—"))</f>
        <v/>
      </c>
      <c r="L243" s="18">
        <f>IF(J243="CONTRADICTION","Strong upstream claim is not supported by linked downstream capability/evidence. Trigger: Employability evidence review.",IF(J243="DEPENDENCY GAP","Downstream capability materially trails upstream expectation. Trigger: Employability evidence review.",""))</f>
        <v/>
      </c>
    </row>
    <row r="244">
      <c r="A244" s="18" t="inlineStr">
        <is>
          <t>CD13</t>
        </is>
      </c>
      <c r="B244" s="18" t="inlineStr">
        <is>
          <t>D06-I10</t>
        </is>
      </c>
      <c r="C244" s="18" t="inlineStr">
        <is>
          <t>D09-I06</t>
        </is>
      </c>
      <c r="D244" s="18">
        <f>'P0-3_Scorecard'!L76</f>
        <v/>
      </c>
      <c r="E244" s="18">
        <f>'P0-3_Scorecard'!L110</f>
        <v/>
      </c>
      <c r="F244" s="18">
        <f>'P0-3_Scorecard'!M76</f>
        <v/>
      </c>
      <c r="G244" s="18">
        <f>'P0-3_Scorecard'!M110</f>
        <v/>
      </c>
      <c r="H244" s="18">
        <f>IF(OR(D244="",F244=""),"",D244-(F244*20))</f>
        <v/>
      </c>
      <c r="I244" s="18">
        <f>IF(OR(E244="",G244=""),"",E244-(G244*20))</f>
        <v/>
      </c>
      <c r="J244" s="18">
        <f>IF(OR(D244="",E244=""),"INCOMPLETE",IF(AND(D244&gt;=80,E244&lt;50),"CONTRADICTION",IF(AND(D244&gt;=70,E244&lt;70),"DEPENDENCY GAP","NO TRIGGER")))</f>
        <v/>
      </c>
      <c r="K244" s="18">
        <f>IF(J244="CONTRADICTION","HIGH",IF(J244="DEPENDENCY GAP","MEDIUM","—"))</f>
        <v/>
      </c>
      <c r="L244" s="18">
        <f>IF(J244="CONTRADICTION","Strong upstream claim is not supported by linked downstream capability/evidence. Trigger: Employability evidence review.",IF(J244="DEPENDENCY GAP","Downstream capability materially trails upstream expectation. Trigger: Employability evidence review.",""))</f>
        <v/>
      </c>
    </row>
    <row r="245">
      <c r="A245" s="18" t="inlineStr">
        <is>
          <t>CD13</t>
        </is>
      </c>
      <c r="B245" s="18" t="inlineStr">
        <is>
          <t>D06-I10</t>
        </is>
      </c>
      <c r="C245" s="18" t="inlineStr">
        <is>
          <t>D09-I07</t>
        </is>
      </c>
      <c r="D245" s="18">
        <f>'P0-3_Scorecard'!L76</f>
        <v/>
      </c>
      <c r="E245" s="18">
        <f>'P0-3_Scorecard'!L111</f>
        <v/>
      </c>
      <c r="F245" s="18">
        <f>'P0-3_Scorecard'!M76</f>
        <v/>
      </c>
      <c r="G245" s="18">
        <f>'P0-3_Scorecard'!M111</f>
        <v/>
      </c>
      <c r="H245" s="18">
        <f>IF(OR(D245="",F245=""),"",D245-(F245*20))</f>
        <v/>
      </c>
      <c r="I245" s="18">
        <f>IF(OR(E245="",G245=""),"",E245-(G245*20))</f>
        <v/>
      </c>
      <c r="J245" s="18">
        <f>IF(OR(D245="",E245=""),"INCOMPLETE",IF(AND(D245&gt;=80,E245&lt;50),"CONTRADICTION",IF(AND(D245&gt;=70,E245&lt;70),"DEPENDENCY GAP","NO TRIGGER")))</f>
        <v/>
      </c>
      <c r="K245" s="18">
        <f>IF(J245="CONTRADICTION","HIGH",IF(J245="DEPENDENCY GAP","MEDIUM","—"))</f>
        <v/>
      </c>
      <c r="L245" s="18">
        <f>IF(J245="CONTRADICTION","Strong upstream claim is not supported by linked downstream capability/evidence. Trigger: Employability evidence review.",IF(J245="DEPENDENCY GAP","Downstream capability materially trails upstream expectation. Trigger: Employability evidence review.",""))</f>
        <v/>
      </c>
    </row>
    <row r="246">
      <c r="A246" s="18" t="inlineStr">
        <is>
          <t>CD13</t>
        </is>
      </c>
      <c r="B246" s="18" t="inlineStr">
        <is>
          <t>D06-I10</t>
        </is>
      </c>
      <c r="C246" s="18" t="inlineStr">
        <is>
          <t>D09-I08</t>
        </is>
      </c>
      <c r="D246" s="18">
        <f>'P0-3_Scorecard'!L76</f>
        <v/>
      </c>
      <c r="E246" s="18">
        <f>'P0-3_Scorecard'!L112</f>
        <v/>
      </c>
      <c r="F246" s="18">
        <f>'P0-3_Scorecard'!M76</f>
        <v/>
      </c>
      <c r="G246" s="18">
        <f>'P0-3_Scorecard'!M112</f>
        <v/>
      </c>
      <c r="H246" s="18">
        <f>IF(OR(D246="",F246=""),"",D246-(F246*20))</f>
        <v/>
      </c>
      <c r="I246" s="18">
        <f>IF(OR(E246="",G246=""),"",E246-(G246*20))</f>
        <v/>
      </c>
      <c r="J246" s="18">
        <f>IF(OR(D246="",E246=""),"INCOMPLETE",IF(AND(D246&gt;=80,E246&lt;50),"CONTRADICTION",IF(AND(D246&gt;=70,E246&lt;70),"DEPENDENCY GAP","NO TRIGGER")))</f>
        <v/>
      </c>
      <c r="K246" s="18">
        <f>IF(J246="CONTRADICTION","HIGH",IF(J246="DEPENDENCY GAP","MEDIUM","—"))</f>
        <v/>
      </c>
      <c r="L246" s="18">
        <f>IF(J246="CONTRADICTION","Strong upstream claim is not supported by linked downstream capability/evidence. Trigger: Employability evidence review.",IF(J246="DEPENDENCY GAP","Downstream capability materially trails upstream expectation. Trigger: Employability evidence review.",""))</f>
        <v/>
      </c>
    </row>
    <row r="247">
      <c r="A247" s="18" t="inlineStr">
        <is>
          <t>CD13</t>
        </is>
      </c>
      <c r="B247" s="18" t="inlineStr">
        <is>
          <t>D06-I10</t>
        </is>
      </c>
      <c r="C247" s="18" t="inlineStr">
        <is>
          <t>D09-I09</t>
        </is>
      </c>
      <c r="D247" s="18">
        <f>'P0-3_Scorecard'!L76</f>
        <v/>
      </c>
      <c r="E247" s="18">
        <f>'P0-3_Scorecard'!L113</f>
        <v/>
      </c>
      <c r="F247" s="18">
        <f>'P0-3_Scorecard'!M76</f>
        <v/>
      </c>
      <c r="G247" s="18">
        <f>'P0-3_Scorecard'!M113</f>
        <v/>
      </c>
      <c r="H247" s="18">
        <f>IF(OR(D247="",F247=""),"",D247-(F247*20))</f>
        <v/>
      </c>
      <c r="I247" s="18">
        <f>IF(OR(E247="",G247=""),"",E247-(G247*20))</f>
        <v/>
      </c>
      <c r="J247" s="18">
        <f>IF(OR(D247="",E247=""),"INCOMPLETE",IF(AND(D247&gt;=80,E247&lt;50),"CONTRADICTION",IF(AND(D247&gt;=70,E247&lt;70),"DEPENDENCY GAP","NO TRIGGER")))</f>
        <v/>
      </c>
      <c r="K247" s="18">
        <f>IF(J247="CONTRADICTION","HIGH",IF(J247="DEPENDENCY GAP","MEDIUM","—"))</f>
        <v/>
      </c>
      <c r="L247" s="18">
        <f>IF(J247="CONTRADICTION","Strong upstream claim is not supported by linked downstream capability/evidence. Trigger: Employability evidence review.",IF(J247="DEPENDENCY GAP","Downstream capability materially trails upstream expectation. Trigger: Employability evidence review.",""))</f>
        <v/>
      </c>
    </row>
    <row r="248">
      <c r="A248" s="18" t="inlineStr">
        <is>
          <t>CD13</t>
        </is>
      </c>
      <c r="B248" s="18" t="inlineStr">
        <is>
          <t>D06-I11</t>
        </is>
      </c>
      <c r="C248" s="18" t="inlineStr">
        <is>
          <t>D09-I05</t>
        </is>
      </c>
      <c r="D248" s="18">
        <f>'P0-3_Scorecard'!L77</f>
        <v/>
      </c>
      <c r="E248" s="18">
        <f>'P0-3_Scorecard'!L109</f>
        <v/>
      </c>
      <c r="F248" s="18">
        <f>'P0-3_Scorecard'!M77</f>
        <v/>
      </c>
      <c r="G248" s="18">
        <f>'P0-3_Scorecard'!M109</f>
        <v/>
      </c>
      <c r="H248" s="18">
        <f>IF(OR(D248="",F248=""),"",D248-(F248*20))</f>
        <v/>
      </c>
      <c r="I248" s="18">
        <f>IF(OR(E248="",G248=""),"",E248-(G248*20))</f>
        <v/>
      </c>
      <c r="J248" s="18">
        <f>IF(OR(D248="",E248=""),"INCOMPLETE",IF(AND(D248&gt;=80,E248&lt;50),"CONTRADICTION",IF(AND(D248&gt;=70,E248&lt;70),"DEPENDENCY GAP","NO TRIGGER")))</f>
        <v/>
      </c>
      <c r="K248" s="18">
        <f>IF(J248="CONTRADICTION","HIGH",IF(J248="DEPENDENCY GAP","MEDIUM","—"))</f>
        <v/>
      </c>
      <c r="L248" s="18">
        <f>IF(J248="CONTRADICTION","Strong upstream claim is not supported by linked downstream capability/evidence. Trigger: Employability evidence review.",IF(J248="DEPENDENCY GAP","Downstream capability materially trails upstream expectation. Trigger: Employability evidence review.",""))</f>
        <v/>
      </c>
    </row>
    <row r="249">
      <c r="A249" s="18" t="inlineStr">
        <is>
          <t>CD13</t>
        </is>
      </c>
      <c r="B249" s="18" t="inlineStr">
        <is>
          <t>D06-I11</t>
        </is>
      </c>
      <c r="C249" s="18" t="inlineStr">
        <is>
          <t>D09-I06</t>
        </is>
      </c>
      <c r="D249" s="18">
        <f>'P0-3_Scorecard'!L77</f>
        <v/>
      </c>
      <c r="E249" s="18">
        <f>'P0-3_Scorecard'!L110</f>
        <v/>
      </c>
      <c r="F249" s="18">
        <f>'P0-3_Scorecard'!M77</f>
        <v/>
      </c>
      <c r="G249" s="18">
        <f>'P0-3_Scorecard'!M110</f>
        <v/>
      </c>
      <c r="H249" s="18">
        <f>IF(OR(D249="",F249=""),"",D249-(F249*20))</f>
        <v/>
      </c>
      <c r="I249" s="18">
        <f>IF(OR(E249="",G249=""),"",E249-(G249*20))</f>
        <v/>
      </c>
      <c r="J249" s="18">
        <f>IF(OR(D249="",E249=""),"INCOMPLETE",IF(AND(D249&gt;=80,E249&lt;50),"CONTRADICTION",IF(AND(D249&gt;=70,E249&lt;70),"DEPENDENCY GAP","NO TRIGGER")))</f>
        <v/>
      </c>
      <c r="K249" s="18">
        <f>IF(J249="CONTRADICTION","HIGH",IF(J249="DEPENDENCY GAP","MEDIUM","—"))</f>
        <v/>
      </c>
      <c r="L249" s="18">
        <f>IF(J249="CONTRADICTION","Strong upstream claim is not supported by linked downstream capability/evidence. Trigger: Employability evidence review.",IF(J249="DEPENDENCY GAP","Downstream capability materially trails upstream expectation. Trigger: Employability evidence review.",""))</f>
        <v/>
      </c>
    </row>
    <row r="250">
      <c r="A250" s="18" t="inlineStr">
        <is>
          <t>CD13</t>
        </is>
      </c>
      <c r="B250" s="18" t="inlineStr">
        <is>
          <t>D06-I11</t>
        </is>
      </c>
      <c r="C250" s="18" t="inlineStr">
        <is>
          <t>D09-I07</t>
        </is>
      </c>
      <c r="D250" s="18">
        <f>'P0-3_Scorecard'!L77</f>
        <v/>
      </c>
      <c r="E250" s="18">
        <f>'P0-3_Scorecard'!L111</f>
        <v/>
      </c>
      <c r="F250" s="18">
        <f>'P0-3_Scorecard'!M77</f>
        <v/>
      </c>
      <c r="G250" s="18">
        <f>'P0-3_Scorecard'!M111</f>
        <v/>
      </c>
      <c r="H250" s="18">
        <f>IF(OR(D250="",F250=""),"",D250-(F250*20))</f>
        <v/>
      </c>
      <c r="I250" s="18">
        <f>IF(OR(E250="",G250=""),"",E250-(G250*20))</f>
        <v/>
      </c>
      <c r="J250" s="18">
        <f>IF(OR(D250="",E250=""),"INCOMPLETE",IF(AND(D250&gt;=80,E250&lt;50),"CONTRADICTION",IF(AND(D250&gt;=70,E250&lt;70),"DEPENDENCY GAP","NO TRIGGER")))</f>
        <v/>
      </c>
      <c r="K250" s="18">
        <f>IF(J250="CONTRADICTION","HIGH",IF(J250="DEPENDENCY GAP","MEDIUM","—"))</f>
        <v/>
      </c>
      <c r="L250" s="18">
        <f>IF(J250="CONTRADICTION","Strong upstream claim is not supported by linked downstream capability/evidence. Trigger: Employability evidence review.",IF(J250="DEPENDENCY GAP","Downstream capability materially trails upstream expectation. Trigger: Employability evidence review.",""))</f>
        <v/>
      </c>
    </row>
    <row r="251">
      <c r="A251" s="18" t="inlineStr">
        <is>
          <t>CD13</t>
        </is>
      </c>
      <c r="B251" s="18" t="inlineStr">
        <is>
          <t>D06-I11</t>
        </is>
      </c>
      <c r="C251" s="18" t="inlineStr">
        <is>
          <t>D09-I08</t>
        </is>
      </c>
      <c r="D251" s="18">
        <f>'P0-3_Scorecard'!L77</f>
        <v/>
      </c>
      <c r="E251" s="18">
        <f>'P0-3_Scorecard'!L112</f>
        <v/>
      </c>
      <c r="F251" s="18">
        <f>'P0-3_Scorecard'!M77</f>
        <v/>
      </c>
      <c r="G251" s="18">
        <f>'P0-3_Scorecard'!M112</f>
        <v/>
      </c>
      <c r="H251" s="18">
        <f>IF(OR(D251="",F251=""),"",D251-(F251*20))</f>
        <v/>
      </c>
      <c r="I251" s="18">
        <f>IF(OR(E251="",G251=""),"",E251-(G251*20))</f>
        <v/>
      </c>
      <c r="J251" s="18">
        <f>IF(OR(D251="",E251=""),"INCOMPLETE",IF(AND(D251&gt;=80,E251&lt;50),"CONTRADICTION",IF(AND(D251&gt;=70,E251&lt;70),"DEPENDENCY GAP","NO TRIGGER")))</f>
        <v/>
      </c>
      <c r="K251" s="18">
        <f>IF(J251="CONTRADICTION","HIGH",IF(J251="DEPENDENCY GAP","MEDIUM","—"))</f>
        <v/>
      </c>
      <c r="L251" s="18">
        <f>IF(J251="CONTRADICTION","Strong upstream claim is not supported by linked downstream capability/evidence. Trigger: Employability evidence review.",IF(J251="DEPENDENCY GAP","Downstream capability materially trails upstream expectation. Trigger: Employability evidence review.",""))</f>
        <v/>
      </c>
    </row>
    <row r="252">
      <c r="A252" s="18" t="inlineStr">
        <is>
          <t>CD13</t>
        </is>
      </c>
      <c r="B252" s="18" t="inlineStr">
        <is>
          <t>D06-I11</t>
        </is>
      </c>
      <c r="C252" s="18" t="inlineStr">
        <is>
          <t>D09-I09</t>
        </is>
      </c>
      <c r="D252" s="18">
        <f>'P0-3_Scorecard'!L77</f>
        <v/>
      </c>
      <c r="E252" s="18">
        <f>'P0-3_Scorecard'!L113</f>
        <v/>
      </c>
      <c r="F252" s="18">
        <f>'P0-3_Scorecard'!M77</f>
        <v/>
      </c>
      <c r="G252" s="18">
        <f>'P0-3_Scorecard'!M113</f>
        <v/>
      </c>
      <c r="H252" s="18">
        <f>IF(OR(D252="",F252=""),"",D252-(F252*20))</f>
        <v/>
      </c>
      <c r="I252" s="18">
        <f>IF(OR(E252="",G252=""),"",E252-(G252*20))</f>
        <v/>
      </c>
      <c r="J252" s="18">
        <f>IF(OR(D252="",E252=""),"INCOMPLETE",IF(AND(D252&gt;=80,E252&lt;50),"CONTRADICTION",IF(AND(D252&gt;=70,E252&lt;70),"DEPENDENCY GAP","NO TRIGGER")))</f>
        <v/>
      </c>
      <c r="K252" s="18">
        <f>IF(J252="CONTRADICTION","HIGH",IF(J252="DEPENDENCY GAP","MEDIUM","—"))</f>
        <v/>
      </c>
      <c r="L252" s="18">
        <f>IF(J252="CONTRADICTION","Strong upstream claim is not supported by linked downstream capability/evidence. Trigger: Employability evidence review.",IF(J252="DEPENDENCY GAP","Downstream capability materially trails upstream expectation. Trigger: Employability evidence review.",""))</f>
        <v/>
      </c>
    </row>
    <row r="253">
      <c r="A253" s="18" t="inlineStr">
        <is>
          <t>CD14</t>
        </is>
      </c>
      <c r="B253" s="18" t="inlineStr">
        <is>
          <t>D07-I07</t>
        </is>
      </c>
      <c r="C253" s="18" t="inlineStr">
        <is>
          <t>D08-I02</t>
        </is>
      </c>
      <c r="D253" s="18">
        <f>'P0-3_Scorecard'!L87</f>
        <v/>
      </c>
      <c r="E253" s="18">
        <f>'P0-3_Scorecard'!L94</f>
        <v/>
      </c>
      <c r="F253" s="18">
        <f>'P0-3_Scorecard'!M87</f>
        <v/>
      </c>
      <c r="G253" s="18">
        <f>'P0-3_Scorecard'!M94</f>
        <v/>
      </c>
      <c r="H253" s="18">
        <f>IF(OR(D253="",F253=""),"",D253-(F253*20))</f>
        <v/>
      </c>
      <c r="I253" s="18">
        <f>IF(OR(E253="",G253=""),"",E253-(G253*20))</f>
        <v/>
      </c>
      <c r="J253" s="18">
        <f>IF(OR(D253="",E253=""),"INCOMPLETE",IF(AND(D253&gt;=80,E253&lt;50),"CONTRADICTION",IF(AND(D253&gt;=70,E253&lt;70),"DEPENDENCY GAP","NO TRIGGER")))</f>
        <v/>
      </c>
      <c r="K253" s="18">
        <f>IF(J253="CONTRADICTION","HIGH",IF(J253="DEPENDENCY GAP","MEDIUM","—"))</f>
        <v/>
      </c>
      <c r="L253" s="18">
        <f>IF(J253="CONTRADICTION","Strong upstream claim is not supported by linked downstream capability/evidence. Trigger: Data/evidence architecture review.",IF(J253="DEPENDENCY GAP","Downstream capability materially trails upstream expectation. Trigger: Data/evidence architecture review.",""))</f>
        <v/>
      </c>
    </row>
    <row r="254">
      <c r="A254" s="18" t="inlineStr">
        <is>
          <t>CD14</t>
        </is>
      </c>
      <c r="B254" s="18" t="inlineStr">
        <is>
          <t>D07-I07</t>
        </is>
      </c>
      <c r="C254" s="18" t="inlineStr">
        <is>
          <t>D08-I03</t>
        </is>
      </c>
      <c r="D254" s="18">
        <f>'P0-3_Scorecard'!L87</f>
        <v/>
      </c>
      <c r="E254" s="18">
        <f>'P0-3_Scorecard'!L95</f>
        <v/>
      </c>
      <c r="F254" s="18">
        <f>'P0-3_Scorecard'!M87</f>
        <v/>
      </c>
      <c r="G254" s="18">
        <f>'P0-3_Scorecard'!M95</f>
        <v/>
      </c>
      <c r="H254" s="18">
        <f>IF(OR(D254="",F254=""),"",D254-(F254*20))</f>
        <v/>
      </c>
      <c r="I254" s="18">
        <f>IF(OR(E254="",G254=""),"",E254-(G254*20))</f>
        <v/>
      </c>
      <c r="J254" s="18">
        <f>IF(OR(D254="",E254=""),"INCOMPLETE",IF(AND(D254&gt;=80,E254&lt;50),"CONTRADICTION",IF(AND(D254&gt;=70,E254&lt;70),"DEPENDENCY GAP","NO TRIGGER")))</f>
        <v/>
      </c>
      <c r="K254" s="18">
        <f>IF(J254="CONTRADICTION","HIGH",IF(J254="DEPENDENCY GAP","MEDIUM","—"))</f>
        <v/>
      </c>
      <c r="L254" s="18">
        <f>IF(J254="CONTRADICTION","Strong upstream claim is not supported by linked downstream capability/evidence. Trigger: Data/evidence architecture review.",IF(J254="DEPENDENCY GAP","Downstream capability materially trails upstream expectation. Trigger: Data/evidence architecture review.",""))</f>
        <v/>
      </c>
    </row>
    <row r="255">
      <c r="A255" s="18" t="inlineStr">
        <is>
          <t>CD14</t>
        </is>
      </c>
      <c r="B255" s="18" t="inlineStr">
        <is>
          <t>D07-I07</t>
        </is>
      </c>
      <c r="C255" s="18" t="inlineStr">
        <is>
          <t>D08-I04</t>
        </is>
      </c>
      <c r="D255" s="18">
        <f>'P0-3_Scorecard'!L87</f>
        <v/>
      </c>
      <c r="E255" s="18">
        <f>'P0-3_Scorecard'!L96</f>
        <v/>
      </c>
      <c r="F255" s="18">
        <f>'P0-3_Scorecard'!M87</f>
        <v/>
      </c>
      <c r="G255" s="18">
        <f>'P0-3_Scorecard'!M96</f>
        <v/>
      </c>
      <c r="H255" s="18">
        <f>IF(OR(D255="",F255=""),"",D255-(F255*20))</f>
        <v/>
      </c>
      <c r="I255" s="18">
        <f>IF(OR(E255="",G255=""),"",E255-(G255*20))</f>
        <v/>
      </c>
      <c r="J255" s="18">
        <f>IF(OR(D255="",E255=""),"INCOMPLETE",IF(AND(D255&gt;=80,E255&lt;50),"CONTRADICTION",IF(AND(D255&gt;=70,E255&lt;70),"DEPENDENCY GAP","NO TRIGGER")))</f>
        <v/>
      </c>
      <c r="K255" s="18">
        <f>IF(J255="CONTRADICTION","HIGH",IF(J255="DEPENDENCY GAP","MEDIUM","—"))</f>
        <v/>
      </c>
      <c r="L255" s="18">
        <f>IF(J255="CONTRADICTION","Strong upstream claim is not supported by linked downstream capability/evidence. Trigger: Data/evidence architecture review.",IF(J255="DEPENDENCY GAP","Downstream capability materially trails upstream expectation. Trigger: Data/evidence architecture review.",""))</f>
        <v/>
      </c>
    </row>
    <row r="256">
      <c r="A256" s="18" t="inlineStr">
        <is>
          <t>CD14</t>
        </is>
      </c>
      <c r="B256" s="18" t="inlineStr">
        <is>
          <t>D07-I07</t>
        </is>
      </c>
      <c r="C256" s="18" t="inlineStr">
        <is>
          <t>D08-I05</t>
        </is>
      </c>
      <c r="D256" s="18">
        <f>'P0-3_Scorecard'!L87</f>
        <v/>
      </c>
      <c r="E256" s="18">
        <f>'P0-3_Scorecard'!L97</f>
        <v/>
      </c>
      <c r="F256" s="18">
        <f>'P0-3_Scorecard'!M87</f>
        <v/>
      </c>
      <c r="G256" s="18">
        <f>'P0-3_Scorecard'!M97</f>
        <v/>
      </c>
      <c r="H256" s="18">
        <f>IF(OR(D256="",F256=""),"",D256-(F256*20))</f>
        <v/>
      </c>
      <c r="I256" s="18">
        <f>IF(OR(E256="",G256=""),"",E256-(G256*20))</f>
        <v/>
      </c>
      <c r="J256" s="18">
        <f>IF(OR(D256="",E256=""),"INCOMPLETE",IF(AND(D256&gt;=80,E256&lt;50),"CONTRADICTION",IF(AND(D256&gt;=70,E256&lt;70),"DEPENDENCY GAP","NO TRIGGER")))</f>
        <v/>
      </c>
      <c r="K256" s="18">
        <f>IF(J256="CONTRADICTION","HIGH",IF(J256="DEPENDENCY GAP","MEDIUM","—"))</f>
        <v/>
      </c>
      <c r="L256" s="18">
        <f>IF(J256="CONTRADICTION","Strong upstream claim is not supported by linked downstream capability/evidence. Trigger: Data/evidence architecture review.",IF(J256="DEPENDENCY GAP","Downstream capability materially trails upstream expectation. Trigger: Data/evidence architecture review.",""))</f>
        <v/>
      </c>
    </row>
    <row r="257">
      <c r="A257" s="18" t="inlineStr">
        <is>
          <t>CD14</t>
        </is>
      </c>
      <c r="B257" s="18" t="inlineStr">
        <is>
          <t>D07-I07</t>
        </is>
      </c>
      <c r="C257" s="18" t="inlineStr">
        <is>
          <t>D08-I12</t>
        </is>
      </c>
      <c r="D257" s="18">
        <f>'P0-3_Scorecard'!L87</f>
        <v/>
      </c>
      <c r="E257" s="18">
        <f>'P0-3_Scorecard'!L104</f>
        <v/>
      </c>
      <c r="F257" s="18">
        <f>'P0-3_Scorecard'!M87</f>
        <v/>
      </c>
      <c r="G257" s="18">
        <f>'P0-3_Scorecard'!M104</f>
        <v/>
      </c>
      <c r="H257" s="18">
        <f>IF(OR(D257="",F257=""),"",D257-(F257*20))</f>
        <v/>
      </c>
      <c r="I257" s="18">
        <f>IF(OR(E257="",G257=""),"",E257-(G257*20))</f>
        <v/>
      </c>
      <c r="J257" s="18">
        <f>IF(OR(D257="",E257=""),"INCOMPLETE",IF(AND(D257&gt;=80,E257&lt;50),"CONTRADICTION",IF(AND(D257&gt;=70,E257&lt;70),"DEPENDENCY GAP","NO TRIGGER")))</f>
        <v/>
      </c>
      <c r="K257" s="18">
        <f>IF(J257="CONTRADICTION","HIGH",IF(J257="DEPENDENCY GAP","MEDIUM","—"))</f>
        <v/>
      </c>
      <c r="L257" s="18">
        <f>IF(J257="CONTRADICTION","Strong upstream claim is not supported by linked downstream capability/evidence. Trigger: Data/evidence architecture review.",IF(J257="DEPENDENCY GAP","Downstream capability materially trails upstream expectation. Trigger: Data/evidence architecture review.",""))</f>
        <v/>
      </c>
    </row>
    <row r="258">
      <c r="A258" s="18" t="inlineStr">
        <is>
          <t>CD14</t>
        </is>
      </c>
      <c r="B258" s="18" t="inlineStr">
        <is>
          <t>D07-I08</t>
        </is>
      </c>
      <c r="C258" s="18" t="inlineStr">
        <is>
          <t>D08-I02</t>
        </is>
      </c>
      <c r="D258" s="18">
        <f>'P0-3_Scorecard'!L88</f>
        <v/>
      </c>
      <c r="E258" s="18">
        <f>'P0-3_Scorecard'!L94</f>
        <v/>
      </c>
      <c r="F258" s="18">
        <f>'P0-3_Scorecard'!M88</f>
        <v/>
      </c>
      <c r="G258" s="18">
        <f>'P0-3_Scorecard'!M94</f>
        <v/>
      </c>
      <c r="H258" s="18">
        <f>IF(OR(D258="",F258=""),"",D258-(F258*20))</f>
        <v/>
      </c>
      <c r="I258" s="18">
        <f>IF(OR(E258="",G258=""),"",E258-(G258*20))</f>
        <v/>
      </c>
      <c r="J258" s="18">
        <f>IF(OR(D258="",E258=""),"INCOMPLETE",IF(AND(D258&gt;=80,E258&lt;50),"CONTRADICTION",IF(AND(D258&gt;=70,E258&lt;70),"DEPENDENCY GAP","NO TRIGGER")))</f>
        <v/>
      </c>
      <c r="K258" s="18">
        <f>IF(J258="CONTRADICTION","HIGH",IF(J258="DEPENDENCY GAP","MEDIUM","—"))</f>
        <v/>
      </c>
      <c r="L258" s="18">
        <f>IF(J258="CONTRADICTION","Strong upstream claim is not supported by linked downstream capability/evidence. Trigger: Data/evidence architecture review.",IF(J258="DEPENDENCY GAP","Downstream capability materially trails upstream expectation. Trigger: Data/evidence architecture review.",""))</f>
        <v/>
      </c>
    </row>
    <row r="259">
      <c r="A259" s="18" t="inlineStr">
        <is>
          <t>CD14</t>
        </is>
      </c>
      <c r="B259" s="18" t="inlineStr">
        <is>
          <t>D07-I08</t>
        </is>
      </c>
      <c r="C259" s="18" t="inlineStr">
        <is>
          <t>D08-I03</t>
        </is>
      </c>
      <c r="D259" s="18">
        <f>'P0-3_Scorecard'!L88</f>
        <v/>
      </c>
      <c r="E259" s="18">
        <f>'P0-3_Scorecard'!L95</f>
        <v/>
      </c>
      <c r="F259" s="18">
        <f>'P0-3_Scorecard'!M88</f>
        <v/>
      </c>
      <c r="G259" s="18">
        <f>'P0-3_Scorecard'!M95</f>
        <v/>
      </c>
      <c r="H259" s="18">
        <f>IF(OR(D259="",F259=""),"",D259-(F259*20))</f>
        <v/>
      </c>
      <c r="I259" s="18">
        <f>IF(OR(E259="",G259=""),"",E259-(G259*20))</f>
        <v/>
      </c>
      <c r="J259" s="18">
        <f>IF(OR(D259="",E259=""),"INCOMPLETE",IF(AND(D259&gt;=80,E259&lt;50),"CONTRADICTION",IF(AND(D259&gt;=70,E259&lt;70),"DEPENDENCY GAP","NO TRIGGER")))</f>
        <v/>
      </c>
      <c r="K259" s="18">
        <f>IF(J259="CONTRADICTION","HIGH",IF(J259="DEPENDENCY GAP","MEDIUM","—"))</f>
        <v/>
      </c>
      <c r="L259" s="18">
        <f>IF(J259="CONTRADICTION","Strong upstream claim is not supported by linked downstream capability/evidence. Trigger: Data/evidence architecture review.",IF(J259="DEPENDENCY GAP","Downstream capability materially trails upstream expectation. Trigger: Data/evidence architecture review.",""))</f>
        <v/>
      </c>
    </row>
    <row r="260">
      <c r="A260" s="18" t="inlineStr">
        <is>
          <t>CD14</t>
        </is>
      </c>
      <c r="B260" s="18" t="inlineStr">
        <is>
          <t>D07-I08</t>
        </is>
      </c>
      <c r="C260" s="18" t="inlineStr">
        <is>
          <t>D08-I04</t>
        </is>
      </c>
      <c r="D260" s="18">
        <f>'P0-3_Scorecard'!L88</f>
        <v/>
      </c>
      <c r="E260" s="18">
        <f>'P0-3_Scorecard'!L96</f>
        <v/>
      </c>
      <c r="F260" s="18">
        <f>'P0-3_Scorecard'!M88</f>
        <v/>
      </c>
      <c r="G260" s="18">
        <f>'P0-3_Scorecard'!M96</f>
        <v/>
      </c>
      <c r="H260" s="18">
        <f>IF(OR(D260="",F260=""),"",D260-(F260*20))</f>
        <v/>
      </c>
      <c r="I260" s="18">
        <f>IF(OR(E260="",G260=""),"",E260-(G260*20))</f>
        <v/>
      </c>
      <c r="J260" s="18">
        <f>IF(OR(D260="",E260=""),"INCOMPLETE",IF(AND(D260&gt;=80,E260&lt;50),"CONTRADICTION",IF(AND(D260&gt;=70,E260&lt;70),"DEPENDENCY GAP","NO TRIGGER")))</f>
        <v/>
      </c>
      <c r="K260" s="18">
        <f>IF(J260="CONTRADICTION","HIGH",IF(J260="DEPENDENCY GAP","MEDIUM","—"))</f>
        <v/>
      </c>
      <c r="L260" s="18">
        <f>IF(J260="CONTRADICTION","Strong upstream claim is not supported by linked downstream capability/evidence. Trigger: Data/evidence architecture review.",IF(J260="DEPENDENCY GAP","Downstream capability materially trails upstream expectation. Trigger: Data/evidence architecture review.",""))</f>
        <v/>
      </c>
    </row>
    <row r="261">
      <c r="A261" s="18" t="inlineStr">
        <is>
          <t>CD14</t>
        </is>
      </c>
      <c r="B261" s="18" t="inlineStr">
        <is>
          <t>D07-I08</t>
        </is>
      </c>
      <c r="C261" s="18" t="inlineStr">
        <is>
          <t>D08-I05</t>
        </is>
      </c>
      <c r="D261" s="18">
        <f>'P0-3_Scorecard'!L88</f>
        <v/>
      </c>
      <c r="E261" s="18">
        <f>'P0-3_Scorecard'!L97</f>
        <v/>
      </c>
      <c r="F261" s="18">
        <f>'P0-3_Scorecard'!M88</f>
        <v/>
      </c>
      <c r="G261" s="18">
        <f>'P0-3_Scorecard'!M97</f>
        <v/>
      </c>
      <c r="H261" s="18">
        <f>IF(OR(D261="",F261=""),"",D261-(F261*20))</f>
        <v/>
      </c>
      <c r="I261" s="18">
        <f>IF(OR(E261="",G261=""),"",E261-(G261*20))</f>
        <v/>
      </c>
      <c r="J261" s="18">
        <f>IF(OR(D261="",E261=""),"INCOMPLETE",IF(AND(D261&gt;=80,E261&lt;50),"CONTRADICTION",IF(AND(D261&gt;=70,E261&lt;70),"DEPENDENCY GAP","NO TRIGGER")))</f>
        <v/>
      </c>
      <c r="K261" s="18">
        <f>IF(J261="CONTRADICTION","HIGH",IF(J261="DEPENDENCY GAP","MEDIUM","—"))</f>
        <v/>
      </c>
      <c r="L261" s="18">
        <f>IF(J261="CONTRADICTION","Strong upstream claim is not supported by linked downstream capability/evidence. Trigger: Data/evidence architecture review.",IF(J261="DEPENDENCY GAP","Downstream capability materially trails upstream expectation. Trigger: Data/evidence architecture review.",""))</f>
        <v/>
      </c>
    </row>
    <row r="262">
      <c r="A262" s="18" t="inlineStr">
        <is>
          <t>CD14</t>
        </is>
      </c>
      <c r="B262" s="18" t="inlineStr">
        <is>
          <t>D07-I08</t>
        </is>
      </c>
      <c r="C262" s="18" t="inlineStr">
        <is>
          <t>D08-I12</t>
        </is>
      </c>
      <c r="D262" s="18">
        <f>'P0-3_Scorecard'!L88</f>
        <v/>
      </c>
      <c r="E262" s="18">
        <f>'P0-3_Scorecard'!L104</f>
        <v/>
      </c>
      <c r="F262" s="18">
        <f>'P0-3_Scorecard'!M88</f>
        <v/>
      </c>
      <c r="G262" s="18">
        <f>'P0-3_Scorecard'!M104</f>
        <v/>
      </c>
      <c r="H262" s="18">
        <f>IF(OR(D262="",F262=""),"",D262-(F262*20))</f>
        <v/>
      </c>
      <c r="I262" s="18">
        <f>IF(OR(E262="",G262=""),"",E262-(G262*20))</f>
        <v/>
      </c>
      <c r="J262" s="18">
        <f>IF(OR(D262="",E262=""),"INCOMPLETE",IF(AND(D262&gt;=80,E262&lt;50),"CONTRADICTION",IF(AND(D262&gt;=70,E262&lt;70),"DEPENDENCY GAP","NO TRIGGER")))</f>
        <v/>
      </c>
      <c r="K262" s="18">
        <f>IF(J262="CONTRADICTION","HIGH",IF(J262="DEPENDENCY GAP","MEDIUM","—"))</f>
        <v/>
      </c>
      <c r="L262" s="18">
        <f>IF(J262="CONTRADICTION","Strong upstream claim is not supported by linked downstream capability/evidence. Trigger: Data/evidence architecture review.",IF(J262="DEPENDENCY GAP","Downstream capability materially trails upstream expectation. Trigger: Data/evidence architecture review.",""))</f>
        <v/>
      </c>
    </row>
    <row r="263">
      <c r="A263" s="18" t="inlineStr">
        <is>
          <t>CD14</t>
        </is>
      </c>
      <c r="B263" s="18" t="inlineStr">
        <is>
          <t>D07-I12</t>
        </is>
      </c>
      <c r="C263" s="18" t="inlineStr">
        <is>
          <t>D08-I02</t>
        </is>
      </c>
      <c r="D263" s="18">
        <f>'P0-3_Scorecard'!L92</f>
        <v/>
      </c>
      <c r="E263" s="18">
        <f>'P0-3_Scorecard'!L94</f>
        <v/>
      </c>
      <c r="F263" s="18">
        <f>'P0-3_Scorecard'!M92</f>
        <v/>
      </c>
      <c r="G263" s="18">
        <f>'P0-3_Scorecard'!M94</f>
        <v/>
      </c>
      <c r="H263" s="18">
        <f>IF(OR(D263="",F263=""),"",D263-(F263*20))</f>
        <v/>
      </c>
      <c r="I263" s="18">
        <f>IF(OR(E263="",G263=""),"",E263-(G263*20))</f>
        <v/>
      </c>
      <c r="J263" s="18">
        <f>IF(OR(D263="",E263=""),"INCOMPLETE",IF(AND(D263&gt;=80,E263&lt;50),"CONTRADICTION",IF(AND(D263&gt;=70,E263&lt;70),"DEPENDENCY GAP","NO TRIGGER")))</f>
        <v/>
      </c>
      <c r="K263" s="18">
        <f>IF(J263="CONTRADICTION","HIGH",IF(J263="DEPENDENCY GAP","MEDIUM","—"))</f>
        <v/>
      </c>
      <c r="L263" s="18">
        <f>IF(J263="CONTRADICTION","Strong upstream claim is not supported by linked downstream capability/evidence. Trigger: Data/evidence architecture review.",IF(J263="DEPENDENCY GAP","Downstream capability materially trails upstream expectation. Trigger: Data/evidence architecture review.",""))</f>
        <v/>
      </c>
    </row>
    <row r="264">
      <c r="A264" s="18" t="inlineStr">
        <is>
          <t>CD14</t>
        </is>
      </c>
      <c r="B264" s="18" t="inlineStr">
        <is>
          <t>D07-I12</t>
        </is>
      </c>
      <c r="C264" s="18" t="inlineStr">
        <is>
          <t>D08-I03</t>
        </is>
      </c>
      <c r="D264" s="18">
        <f>'P0-3_Scorecard'!L92</f>
        <v/>
      </c>
      <c r="E264" s="18">
        <f>'P0-3_Scorecard'!L95</f>
        <v/>
      </c>
      <c r="F264" s="18">
        <f>'P0-3_Scorecard'!M92</f>
        <v/>
      </c>
      <c r="G264" s="18">
        <f>'P0-3_Scorecard'!M95</f>
        <v/>
      </c>
      <c r="H264" s="18">
        <f>IF(OR(D264="",F264=""),"",D264-(F264*20))</f>
        <v/>
      </c>
      <c r="I264" s="18">
        <f>IF(OR(E264="",G264=""),"",E264-(G264*20))</f>
        <v/>
      </c>
      <c r="J264" s="18">
        <f>IF(OR(D264="",E264=""),"INCOMPLETE",IF(AND(D264&gt;=80,E264&lt;50),"CONTRADICTION",IF(AND(D264&gt;=70,E264&lt;70),"DEPENDENCY GAP","NO TRIGGER")))</f>
        <v/>
      </c>
      <c r="K264" s="18">
        <f>IF(J264="CONTRADICTION","HIGH",IF(J264="DEPENDENCY GAP","MEDIUM","—"))</f>
        <v/>
      </c>
      <c r="L264" s="18">
        <f>IF(J264="CONTRADICTION","Strong upstream claim is not supported by linked downstream capability/evidence. Trigger: Data/evidence architecture review.",IF(J264="DEPENDENCY GAP","Downstream capability materially trails upstream expectation. Trigger: Data/evidence architecture review.",""))</f>
        <v/>
      </c>
    </row>
    <row r="265">
      <c r="A265" s="18" t="inlineStr">
        <is>
          <t>CD14</t>
        </is>
      </c>
      <c r="B265" s="18" t="inlineStr">
        <is>
          <t>D07-I12</t>
        </is>
      </c>
      <c r="C265" s="18" t="inlineStr">
        <is>
          <t>D08-I04</t>
        </is>
      </c>
      <c r="D265" s="18">
        <f>'P0-3_Scorecard'!L92</f>
        <v/>
      </c>
      <c r="E265" s="18">
        <f>'P0-3_Scorecard'!L96</f>
        <v/>
      </c>
      <c r="F265" s="18">
        <f>'P0-3_Scorecard'!M92</f>
        <v/>
      </c>
      <c r="G265" s="18">
        <f>'P0-3_Scorecard'!M96</f>
        <v/>
      </c>
      <c r="H265" s="18">
        <f>IF(OR(D265="",F265=""),"",D265-(F265*20))</f>
        <v/>
      </c>
      <c r="I265" s="18">
        <f>IF(OR(E265="",G265=""),"",E265-(G265*20))</f>
        <v/>
      </c>
      <c r="J265" s="18">
        <f>IF(OR(D265="",E265=""),"INCOMPLETE",IF(AND(D265&gt;=80,E265&lt;50),"CONTRADICTION",IF(AND(D265&gt;=70,E265&lt;70),"DEPENDENCY GAP","NO TRIGGER")))</f>
        <v/>
      </c>
      <c r="K265" s="18">
        <f>IF(J265="CONTRADICTION","HIGH",IF(J265="DEPENDENCY GAP","MEDIUM","—"))</f>
        <v/>
      </c>
      <c r="L265" s="18">
        <f>IF(J265="CONTRADICTION","Strong upstream claim is not supported by linked downstream capability/evidence. Trigger: Data/evidence architecture review.",IF(J265="DEPENDENCY GAP","Downstream capability materially trails upstream expectation. Trigger: Data/evidence architecture review.",""))</f>
        <v/>
      </c>
    </row>
    <row r="266">
      <c r="A266" s="18" t="inlineStr">
        <is>
          <t>CD14</t>
        </is>
      </c>
      <c r="B266" s="18" t="inlineStr">
        <is>
          <t>D07-I12</t>
        </is>
      </c>
      <c r="C266" s="18" t="inlineStr">
        <is>
          <t>D08-I05</t>
        </is>
      </c>
      <c r="D266" s="18">
        <f>'P0-3_Scorecard'!L92</f>
        <v/>
      </c>
      <c r="E266" s="18">
        <f>'P0-3_Scorecard'!L97</f>
        <v/>
      </c>
      <c r="F266" s="18">
        <f>'P0-3_Scorecard'!M92</f>
        <v/>
      </c>
      <c r="G266" s="18">
        <f>'P0-3_Scorecard'!M97</f>
        <v/>
      </c>
      <c r="H266" s="18">
        <f>IF(OR(D266="",F266=""),"",D266-(F266*20))</f>
        <v/>
      </c>
      <c r="I266" s="18">
        <f>IF(OR(E266="",G266=""),"",E266-(G266*20))</f>
        <v/>
      </c>
      <c r="J266" s="18">
        <f>IF(OR(D266="",E266=""),"INCOMPLETE",IF(AND(D266&gt;=80,E266&lt;50),"CONTRADICTION",IF(AND(D266&gt;=70,E266&lt;70),"DEPENDENCY GAP","NO TRIGGER")))</f>
        <v/>
      </c>
      <c r="K266" s="18">
        <f>IF(J266="CONTRADICTION","HIGH",IF(J266="DEPENDENCY GAP","MEDIUM","—"))</f>
        <v/>
      </c>
      <c r="L266" s="18">
        <f>IF(J266="CONTRADICTION","Strong upstream claim is not supported by linked downstream capability/evidence. Trigger: Data/evidence architecture review.",IF(J266="DEPENDENCY GAP","Downstream capability materially trails upstream expectation. Trigger: Data/evidence architecture review.",""))</f>
        <v/>
      </c>
    </row>
    <row r="267">
      <c r="A267" s="18" t="inlineStr">
        <is>
          <t>CD14</t>
        </is>
      </c>
      <c r="B267" s="18" t="inlineStr">
        <is>
          <t>D07-I12</t>
        </is>
      </c>
      <c r="C267" s="18" t="inlineStr">
        <is>
          <t>D08-I12</t>
        </is>
      </c>
      <c r="D267" s="18">
        <f>'P0-3_Scorecard'!L92</f>
        <v/>
      </c>
      <c r="E267" s="18">
        <f>'P0-3_Scorecard'!L104</f>
        <v/>
      </c>
      <c r="F267" s="18">
        <f>'P0-3_Scorecard'!M92</f>
        <v/>
      </c>
      <c r="G267" s="18">
        <f>'P0-3_Scorecard'!M104</f>
        <v/>
      </c>
      <c r="H267" s="18">
        <f>IF(OR(D267="",F267=""),"",D267-(F267*20))</f>
        <v/>
      </c>
      <c r="I267" s="18">
        <f>IF(OR(E267="",G267=""),"",E267-(G267*20))</f>
        <v/>
      </c>
      <c r="J267" s="18">
        <f>IF(OR(D267="",E267=""),"INCOMPLETE",IF(AND(D267&gt;=80,E267&lt;50),"CONTRADICTION",IF(AND(D267&gt;=70,E267&lt;70),"DEPENDENCY GAP","NO TRIGGER")))</f>
        <v/>
      </c>
      <c r="K267" s="18">
        <f>IF(J267="CONTRADICTION","HIGH",IF(J267="DEPENDENCY GAP","MEDIUM","—"))</f>
        <v/>
      </c>
      <c r="L267" s="18">
        <f>IF(J267="CONTRADICTION","Strong upstream claim is not supported by linked downstream capability/evidence. Trigger: Data/evidence architecture review.",IF(J267="DEPENDENCY GAP","Downstream capability materially trails upstream expectation. Trigger: Data/evidence architecture review.",""))</f>
        <v/>
      </c>
    </row>
    <row r="268">
      <c r="A268" s="18" t="inlineStr">
        <is>
          <t>CD15</t>
        </is>
      </c>
      <c r="B268" s="18" t="inlineStr">
        <is>
          <t>D08-I05</t>
        </is>
      </c>
      <c r="C268" s="18" t="inlineStr">
        <is>
          <t>D09-I01</t>
        </is>
      </c>
      <c r="D268" s="18">
        <f>'P0-3_Scorecard'!L97</f>
        <v/>
      </c>
      <c r="E268" s="18">
        <f>'P0-3_Scorecard'!L105</f>
        <v/>
      </c>
      <c r="F268" s="18">
        <f>'P0-3_Scorecard'!M97</f>
        <v/>
      </c>
      <c r="G268" s="18">
        <f>'P0-3_Scorecard'!M105</f>
        <v/>
      </c>
      <c r="H268" s="18">
        <f>IF(OR(D268="",F268=""),"",D268-(F268*20))</f>
        <v/>
      </c>
      <c r="I268" s="18">
        <f>IF(OR(E268="",G268=""),"",E268-(G268*20))</f>
        <v/>
      </c>
      <c r="J268" s="18">
        <f>IF(OR(D268="",E268=""),"INCOMPLETE",IF(AND(D268&gt;=80,E268&lt;50),"CONTRADICTION",IF(AND(D268&gt;=70,E268&lt;70),"DEPENDENCY GAP","NO TRIGGER")))</f>
        <v/>
      </c>
      <c r="K268" s="18">
        <f>IF(J268="CONTRADICTION","HIGH",IF(J268="DEPENDENCY GAP","MEDIUM","—"))</f>
        <v/>
      </c>
      <c r="L268" s="18">
        <f>IF(J268="CONTRADICTION","Strong upstream claim is not supported by linked downstream capability/evidence. Trigger: Labour-market intelligence review.",IF(J268="DEPENDENCY GAP","Downstream capability materially trails upstream expectation. Trigger: Labour-market intelligence review.",""))</f>
        <v/>
      </c>
    </row>
    <row r="269">
      <c r="A269" s="18" t="inlineStr">
        <is>
          <t>CD15</t>
        </is>
      </c>
      <c r="B269" s="18" t="inlineStr">
        <is>
          <t>D08-I05</t>
        </is>
      </c>
      <c r="C269" s="18" t="inlineStr">
        <is>
          <t>D09-I02</t>
        </is>
      </c>
      <c r="D269" s="18">
        <f>'P0-3_Scorecard'!L97</f>
        <v/>
      </c>
      <c r="E269" s="18">
        <f>'P0-3_Scorecard'!L106</f>
        <v/>
      </c>
      <c r="F269" s="18">
        <f>'P0-3_Scorecard'!M97</f>
        <v/>
      </c>
      <c r="G269" s="18">
        <f>'P0-3_Scorecard'!M106</f>
        <v/>
      </c>
      <c r="H269" s="18">
        <f>IF(OR(D269="",F269=""),"",D269-(F269*20))</f>
        <v/>
      </c>
      <c r="I269" s="18">
        <f>IF(OR(E269="",G269=""),"",E269-(G269*20))</f>
        <v/>
      </c>
      <c r="J269" s="18">
        <f>IF(OR(D269="",E269=""),"INCOMPLETE",IF(AND(D269&gt;=80,E269&lt;50),"CONTRADICTION",IF(AND(D269&gt;=70,E269&lt;70),"DEPENDENCY GAP","NO TRIGGER")))</f>
        <v/>
      </c>
      <c r="K269" s="18">
        <f>IF(J269="CONTRADICTION","HIGH",IF(J269="DEPENDENCY GAP","MEDIUM","—"))</f>
        <v/>
      </c>
      <c r="L269" s="18">
        <f>IF(J269="CONTRADICTION","Strong upstream claim is not supported by linked downstream capability/evidence. Trigger: Labour-market intelligence review.",IF(J269="DEPENDENCY GAP","Downstream capability materially trails upstream expectation. Trigger: Labour-market intelligence review.",""))</f>
        <v/>
      </c>
    </row>
    <row r="270">
      <c r="A270" s="18" t="inlineStr">
        <is>
          <t>CD15</t>
        </is>
      </c>
      <c r="B270" s="18" t="inlineStr">
        <is>
          <t>D08-I05</t>
        </is>
      </c>
      <c r="C270" s="18" t="inlineStr">
        <is>
          <t>D09-I03</t>
        </is>
      </c>
      <c r="D270" s="18">
        <f>'P0-3_Scorecard'!L97</f>
        <v/>
      </c>
      <c r="E270" s="18">
        <f>'P0-3_Scorecard'!L107</f>
        <v/>
      </c>
      <c r="F270" s="18">
        <f>'P0-3_Scorecard'!M97</f>
        <v/>
      </c>
      <c r="G270" s="18">
        <f>'P0-3_Scorecard'!M107</f>
        <v/>
      </c>
      <c r="H270" s="18">
        <f>IF(OR(D270="",F270=""),"",D270-(F270*20))</f>
        <v/>
      </c>
      <c r="I270" s="18">
        <f>IF(OR(E270="",G270=""),"",E270-(G270*20))</f>
        <v/>
      </c>
      <c r="J270" s="18">
        <f>IF(OR(D270="",E270=""),"INCOMPLETE",IF(AND(D270&gt;=80,E270&lt;50),"CONTRADICTION",IF(AND(D270&gt;=70,E270&lt;70),"DEPENDENCY GAP","NO TRIGGER")))</f>
        <v/>
      </c>
      <c r="K270" s="18">
        <f>IF(J270="CONTRADICTION","HIGH",IF(J270="DEPENDENCY GAP","MEDIUM","—"))</f>
        <v/>
      </c>
      <c r="L270" s="18">
        <f>IF(J270="CONTRADICTION","Strong upstream claim is not supported by linked downstream capability/evidence. Trigger: Labour-market intelligence review.",IF(J270="DEPENDENCY GAP","Downstream capability materially trails upstream expectation. Trigger: Labour-market intelligence review.",""))</f>
        <v/>
      </c>
    </row>
    <row r="271">
      <c r="A271" s="18" t="inlineStr">
        <is>
          <t>CD15</t>
        </is>
      </c>
      <c r="B271" s="18" t="inlineStr">
        <is>
          <t>D08-I05</t>
        </is>
      </c>
      <c r="C271" s="18" t="inlineStr">
        <is>
          <t>D09-I12</t>
        </is>
      </c>
      <c r="D271" s="18">
        <f>'P0-3_Scorecard'!L97</f>
        <v/>
      </c>
      <c r="E271" s="18">
        <f>'P0-3_Scorecard'!L116</f>
        <v/>
      </c>
      <c r="F271" s="18">
        <f>'P0-3_Scorecard'!M97</f>
        <v/>
      </c>
      <c r="G271" s="18">
        <f>'P0-3_Scorecard'!M116</f>
        <v/>
      </c>
      <c r="H271" s="18">
        <f>IF(OR(D271="",F271=""),"",D271-(F271*20))</f>
        <v/>
      </c>
      <c r="I271" s="18">
        <f>IF(OR(E271="",G271=""),"",E271-(G271*20))</f>
        <v/>
      </c>
      <c r="J271" s="18">
        <f>IF(OR(D271="",E271=""),"INCOMPLETE",IF(AND(D271&gt;=80,E271&lt;50),"CONTRADICTION",IF(AND(D271&gt;=70,E271&lt;70),"DEPENDENCY GAP","NO TRIGGER")))</f>
        <v/>
      </c>
      <c r="K271" s="18">
        <f>IF(J271="CONTRADICTION","HIGH",IF(J271="DEPENDENCY GAP","MEDIUM","—"))</f>
        <v/>
      </c>
      <c r="L271" s="18">
        <f>IF(J271="CONTRADICTION","Strong upstream claim is not supported by linked downstream capability/evidence. Trigger: Labour-market intelligence review.",IF(J271="DEPENDENCY GAP","Downstream capability materially trails upstream expectation. Trigger: Labour-market intelligence review.",""))</f>
        <v/>
      </c>
    </row>
    <row r="272">
      <c r="A272" s="18" t="inlineStr">
        <is>
          <t>CD15</t>
        </is>
      </c>
      <c r="B272" s="18" t="inlineStr">
        <is>
          <t>D08-I12</t>
        </is>
      </c>
      <c r="C272" s="18" t="inlineStr">
        <is>
          <t>D09-I01</t>
        </is>
      </c>
      <c r="D272" s="18">
        <f>'P0-3_Scorecard'!L104</f>
        <v/>
      </c>
      <c r="E272" s="18">
        <f>'P0-3_Scorecard'!L105</f>
        <v/>
      </c>
      <c r="F272" s="18">
        <f>'P0-3_Scorecard'!M104</f>
        <v/>
      </c>
      <c r="G272" s="18">
        <f>'P0-3_Scorecard'!M105</f>
        <v/>
      </c>
      <c r="H272" s="18">
        <f>IF(OR(D272="",F272=""),"",D272-(F272*20))</f>
        <v/>
      </c>
      <c r="I272" s="18">
        <f>IF(OR(E272="",G272=""),"",E272-(G272*20))</f>
        <v/>
      </c>
      <c r="J272" s="18">
        <f>IF(OR(D272="",E272=""),"INCOMPLETE",IF(AND(D272&gt;=80,E272&lt;50),"CONTRADICTION",IF(AND(D272&gt;=70,E272&lt;70),"DEPENDENCY GAP","NO TRIGGER")))</f>
        <v/>
      </c>
      <c r="K272" s="18">
        <f>IF(J272="CONTRADICTION","HIGH",IF(J272="DEPENDENCY GAP","MEDIUM","—"))</f>
        <v/>
      </c>
      <c r="L272" s="18">
        <f>IF(J272="CONTRADICTION","Strong upstream claim is not supported by linked downstream capability/evidence. Trigger: Labour-market intelligence review.",IF(J272="DEPENDENCY GAP","Downstream capability materially trails upstream expectation. Trigger: Labour-market intelligence review.",""))</f>
        <v/>
      </c>
    </row>
    <row r="273">
      <c r="A273" s="18" t="inlineStr">
        <is>
          <t>CD15</t>
        </is>
      </c>
      <c r="B273" s="18" t="inlineStr">
        <is>
          <t>D08-I12</t>
        </is>
      </c>
      <c r="C273" s="18" t="inlineStr">
        <is>
          <t>D09-I02</t>
        </is>
      </c>
      <c r="D273" s="18">
        <f>'P0-3_Scorecard'!L104</f>
        <v/>
      </c>
      <c r="E273" s="18">
        <f>'P0-3_Scorecard'!L106</f>
        <v/>
      </c>
      <c r="F273" s="18">
        <f>'P0-3_Scorecard'!M104</f>
        <v/>
      </c>
      <c r="G273" s="18">
        <f>'P0-3_Scorecard'!M106</f>
        <v/>
      </c>
      <c r="H273" s="18">
        <f>IF(OR(D273="",F273=""),"",D273-(F273*20))</f>
        <v/>
      </c>
      <c r="I273" s="18">
        <f>IF(OR(E273="",G273=""),"",E273-(G273*20))</f>
        <v/>
      </c>
      <c r="J273" s="18">
        <f>IF(OR(D273="",E273=""),"INCOMPLETE",IF(AND(D273&gt;=80,E273&lt;50),"CONTRADICTION",IF(AND(D273&gt;=70,E273&lt;70),"DEPENDENCY GAP","NO TRIGGER")))</f>
        <v/>
      </c>
      <c r="K273" s="18">
        <f>IF(J273="CONTRADICTION","HIGH",IF(J273="DEPENDENCY GAP","MEDIUM","—"))</f>
        <v/>
      </c>
      <c r="L273" s="18">
        <f>IF(J273="CONTRADICTION","Strong upstream claim is not supported by linked downstream capability/evidence. Trigger: Labour-market intelligence review.",IF(J273="DEPENDENCY GAP","Downstream capability materially trails upstream expectation. Trigger: Labour-market intelligence review.",""))</f>
        <v/>
      </c>
    </row>
    <row r="274">
      <c r="A274" s="18" t="inlineStr">
        <is>
          <t>CD15</t>
        </is>
      </c>
      <c r="B274" s="18" t="inlineStr">
        <is>
          <t>D08-I12</t>
        </is>
      </c>
      <c r="C274" s="18" t="inlineStr">
        <is>
          <t>D09-I03</t>
        </is>
      </c>
      <c r="D274" s="18">
        <f>'P0-3_Scorecard'!L104</f>
        <v/>
      </c>
      <c r="E274" s="18">
        <f>'P0-3_Scorecard'!L107</f>
        <v/>
      </c>
      <c r="F274" s="18">
        <f>'P0-3_Scorecard'!M104</f>
        <v/>
      </c>
      <c r="G274" s="18">
        <f>'P0-3_Scorecard'!M107</f>
        <v/>
      </c>
      <c r="H274" s="18">
        <f>IF(OR(D274="",F274=""),"",D274-(F274*20))</f>
        <v/>
      </c>
      <c r="I274" s="18">
        <f>IF(OR(E274="",G274=""),"",E274-(G274*20))</f>
        <v/>
      </c>
      <c r="J274" s="18">
        <f>IF(OR(D274="",E274=""),"INCOMPLETE",IF(AND(D274&gt;=80,E274&lt;50),"CONTRADICTION",IF(AND(D274&gt;=70,E274&lt;70),"DEPENDENCY GAP","NO TRIGGER")))</f>
        <v/>
      </c>
      <c r="K274" s="18">
        <f>IF(J274="CONTRADICTION","HIGH",IF(J274="DEPENDENCY GAP","MEDIUM","—"))</f>
        <v/>
      </c>
      <c r="L274" s="18">
        <f>IF(J274="CONTRADICTION","Strong upstream claim is not supported by linked downstream capability/evidence. Trigger: Labour-market intelligence review.",IF(J274="DEPENDENCY GAP","Downstream capability materially trails upstream expectation. Trigger: Labour-market intelligence review.",""))</f>
        <v/>
      </c>
    </row>
    <row r="275">
      <c r="A275" s="18" t="inlineStr">
        <is>
          <t>CD15</t>
        </is>
      </c>
      <c r="B275" s="18" t="inlineStr">
        <is>
          <t>D08-I12</t>
        </is>
      </c>
      <c r="C275" s="18" t="inlineStr">
        <is>
          <t>D09-I12</t>
        </is>
      </c>
      <c r="D275" s="18">
        <f>'P0-3_Scorecard'!L104</f>
        <v/>
      </c>
      <c r="E275" s="18">
        <f>'P0-3_Scorecard'!L116</f>
        <v/>
      </c>
      <c r="F275" s="18">
        <f>'P0-3_Scorecard'!M104</f>
        <v/>
      </c>
      <c r="G275" s="18">
        <f>'P0-3_Scorecard'!M116</f>
        <v/>
      </c>
      <c r="H275" s="18">
        <f>IF(OR(D275="",F275=""),"",D275-(F275*20))</f>
        <v/>
      </c>
      <c r="I275" s="18">
        <f>IF(OR(E275="",G275=""),"",E275-(G275*20))</f>
        <v/>
      </c>
      <c r="J275" s="18">
        <f>IF(OR(D275="",E275=""),"INCOMPLETE",IF(AND(D275&gt;=80,E275&lt;50),"CONTRADICTION",IF(AND(D275&gt;=70,E275&lt;70),"DEPENDENCY GAP","NO TRIGGER")))</f>
        <v/>
      </c>
      <c r="K275" s="18">
        <f>IF(J275="CONTRADICTION","HIGH",IF(J275="DEPENDENCY GAP","MEDIUM","—"))</f>
        <v/>
      </c>
      <c r="L275" s="18">
        <f>IF(J275="CONTRADICTION","Strong upstream claim is not supported by linked downstream capability/evidence. Trigger: Labour-market intelligence review.",IF(J275="DEPENDENCY GAP","Downstream capability materially trails upstream expectation. Trigger: Labour-market intelligence review.",""))</f>
        <v/>
      </c>
    </row>
    <row r="276">
      <c r="A276" s="18" t="inlineStr">
        <is>
          <t>CD16</t>
        </is>
      </c>
      <c r="B276" s="18" t="inlineStr">
        <is>
          <t>D09-I01</t>
        </is>
      </c>
      <c r="C276" s="18" t="inlineStr">
        <is>
          <t>D04-I01</t>
        </is>
      </c>
      <c r="D276" s="18">
        <f>'P0-3_Scorecard'!L105</f>
        <v/>
      </c>
      <c r="E276" s="18">
        <f>'P0-3_Scorecard'!L43</f>
        <v/>
      </c>
      <c r="F276" s="18">
        <f>'P0-3_Scorecard'!M105</f>
        <v/>
      </c>
      <c r="G276" s="18">
        <f>'P0-3_Scorecard'!M43</f>
        <v/>
      </c>
      <c r="H276" s="18">
        <f>IF(OR(D276="",F276=""),"",D276-(F276*20))</f>
        <v/>
      </c>
      <c r="I276" s="18">
        <f>IF(OR(E276="",G276=""),"",E276-(G276*20))</f>
        <v/>
      </c>
      <c r="J276" s="18">
        <f>IF(OR(D276="",E276=""),"INCOMPLETE",IF(AND(D276&gt;=80,E276&lt;50),"CONTRADICTION",IF(AND(D276&gt;=70,E276&lt;70),"DEPENDENCY GAP","NO TRIGGER")))</f>
        <v/>
      </c>
      <c r="K276" s="18">
        <f>IF(J276="CONTRADICTION","HIGH",IF(J276="DEPENDENCY GAP","MEDIUM","—"))</f>
        <v/>
      </c>
      <c r="L276" s="18">
        <f>IF(J276="CONTRADICTION","Strong upstream claim is not supported by linked downstream capability/evidence. Trigger: Programme portfolio review.",IF(J276="DEPENDENCY GAP","Downstream capability materially trails upstream expectation. Trigger: Programme portfolio review.",""))</f>
        <v/>
      </c>
    </row>
    <row r="277">
      <c r="A277" s="18" t="inlineStr">
        <is>
          <t>CD16</t>
        </is>
      </c>
      <c r="B277" s="18" t="inlineStr">
        <is>
          <t>D09-I01</t>
        </is>
      </c>
      <c r="C277" s="18" t="inlineStr">
        <is>
          <t>D04-I03</t>
        </is>
      </c>
      <c r="D277" s="18">
        <f>'P0-3_Scorecard'!L105</f>
        <v/>
      </c>
      <c r="E277" s="18">
        <f>'P0-3_Scorecard'!L45</f>
        <v/>
      </c>
      <c r="F277" s="18">
        <f>'P0-3_Scorecard'!M105</f>
        <v/>
      </c>
      <c r="G277" s="18">
        <f>'P0-3_Scorecard'!M45</f>
        <v/>
      </c>
      <c r="H277" s="18">
        <f>IF(OR(D277="",F277=""),"",D277-(F277*20))</f>
        <v/>
      </c>
      <c r="I277" s="18">
        <f>IF(OR(E277="",G277=""),"",E277-(G277*20))</f>
        <v/>
      </c>
      <c r="J277" s="18">
        <f>IF(OR(D277="",E277=""),"INCOMPLETE",IF(AND(D277&gt;=80,E277&lt;50),"CONTRADICTION",IF(AND(D277&gt;=70,E277&lt;70),"DEPENDENCY GAP","NO TRIGGER")))</f>
        <v/>
      </c>
      <c r="K277" s="18">
        <f>IF(J277="CONTRADICTION","HIGH",IF(J277="DEPENDENCY GAP","MEDIUM","—"))</f>
        <v/>
      </c>
      <c r="L277" s="18">
        <f>IF(J277="CONTRADICTION","Strong upstream claim is not supported by linked downstream capability/evidence. Trigger: Programme portfolio review.",IF(J277="DEPENDENCY GAP","Downstream capability materially trails upstream expectation. Trigger: Programme portfolio review.",""))</f>
        <v/>
      </c>
    </row>
    <row r="278">
      <c r="A278" s="18" t="inlineStr">
        <is>
          <t>CD16</t>
        </is>
      </c>
      <c r="B278" s="18" t="inlineStr">
        <is>
          <t>D09-I01</t>
        </is>
      </c>
      <c r="C278" s="18" t="inlineStr">
        <is>
          <t>D04-I08</t>
        </is>
      </c>
      <c r="D278" s="18">
        <f>'P0-3_Scorecard'!L105</f>
        <v/>
      </c>
      <c r="E278" s="18">
        <f>'P0-3_Scorecard'!L50</f>
        <v/>
      </c>
      <c r="F278" s="18">
        <f>'P0-3_Scorecard'!M105</f>
        <v/>
      </c>
      <c r="G278" s="18">
        <f>'P0-3_Scorecard'!M50</f>
        <v/>
      </c>
      <c r="H278" s="18">
        <f>IF(OR(D278="",F278=""),"",D278-(F278*20))</f>
        <v/>
      </c>
      <c r="I278" s="18">
        <f>IF(OR(E278="",G278=""),"",E278-(G278*20))</f>
        <v/>
      </c>
      <c r="J278" s="18">
        <f>IF(OR(D278="",E278=""),"INCOMPLETE",IF(AND(D278&gt;=80,E278&lt;50),"CONTRADICTION",IF(AND(D278&gt;=70,E278&lt;70),"DEPENDENCY GAP","NO TRIGGER")))</f>
        <v/>
      </c>
      <c r="K278" s="18">
        <f>IF(J278="CONTRADICTION","HIGH",IF(J278="DEPENDENCY GAP","MEDIUM","—"))</f>
        <v/>
      </c>
      <c r="L278" s="18">
        <f>IF(J278="CONTRADICTION","Strong upstream claim is not supported by linked downstream capability/evidence. Trigger: Programme portfolio review.",IF(J278="DEPENDENCY GAP","Downstream capability materially trails upstream expectation. Trigger: Programme portfolio review.",""))</f>
        <v/>
      </c>
    </row>
    <row r="279">
      <c r="A279" s="18" t="inlineStr">
        <is>
          <t>CD16</t>
        </is>
      </c>
      <c r="B279" s="18" t="inlineStr">
        <is>
          <t>D09-I01</t>
        </is>
      </c>
      <c r="C279" s="18" t="inlineStr">
        <is>
          <t>D04-I12</t>
        </is>
      </c>
      <c r="D279" s="18">
        <f>'P0-3_Scorecard'!L105</f>
        <v/>
      </c>
      <c r="E279" s="18">
        <f>'P0-3_Scorecard'!L54</f>
        <v/>
      </c>
      <c r="F279" s="18">
        <f>'P0-3_Scorecard'!M105</f>
        <v/>
      </c>
      <c r="G279" s="18">
        <f>'P0-3_Scorecard'!M54</f>
        <v/>
      </c>
      <c r="H279" s="18">
        <f>IF(OR(D279="",F279=""),"",D279-(F279*20))</f>
        <v/>
      </c>
      <c r="I279" s="18">
        <f>IF(OR(E279="",G279=""),"",E279-(G279*20))</f>
        <v/>
      </c>
      <c r="J279" s="18">
        <f>IF(OR(D279="",E279=""),"INCOMPLETE",IF(AND(D279&gt;=80,E279&lt;50),"CONTRADICTION",IF(AND(D279&gt;=70,E279&lt;70),"DEPENDENCY GAP","NO TRIGGER")))</f>
        <v/>
      </c>
      <c r="K279" s="18">
        <f>IF(J279="CONTRADICTION","HIGH",IF(J279="DEPENDENCY GAP","MEDIUM","—"))</f>
        <v/>
      </c>
      <c r="L279" s="18">
        <f>IF(J279="CONTRADICTION","Strong upstream claim is not supported by linked downstream capability/evidence. Trigger: Programme portfolio review.",IF(J279="DEPENDENCY GAP","Downstream capability materially trails upstream expectation. Trigger: Programme portfolio review.",""))</f>
        <v/>
      </c>
    </row>
    <row r="280">
      <c r="A280" s="18" t="inlineStr">
        <is>
          <t>CD16</t>
        </is>
      </c>
      <c r="B280" s="18" t="inlineStr">
        <is>
          <t>D09-I03</t>
        </is>
      </c>
      <c r="C280" s="18" t="inlineStr">
        <is>
          <t>D04-I01</t>
        </is>
      </c>
      <c r="D280" s="18">
        <f>'P0-3_Scorecard'!L107</f>
        <v/>
      </c>
      <c r="E280" s="18">
        <f>'P0-3_Scorecard'!L43</f>
        <v/>
      </c>
      <c r="F280" s="18">
        <f>'P0-3_Scorecard'!M107</f>
        <v/>
      </c>
      <c r="G280" s="18">
        <f>'P0-3_Scorecard'!M43</f>
        <v/>
      </c>
      <c r="H280" s="18">
        <f>IF(OR(D280="",F280=""),"",D280-(F280*20))</f>
        <v/>
      </c>
      <c r="I280" s="18">
        <f>IF(OR(E280="",G280=""),"",E280-(G280*20))</f>
        <v/>
      </c>
      <c r="J280" s="18">
        <f>IF(OR(D280="",E280=""),"INCOMPLETE",IF(AND(D280&gt;=80,E280&lt;50),"CONTRADICTION",IF(AND(D280&gt;=70,E280&lt;70),"DEPENDENCY GAP","NO TRIGGER")))</f>
        <v/>
      </c>
      <c r="K280" s="18">
        <f>IF(J280="CONTRADICTION","HIGH",IF(J280="DEPENDENCY GAP","MEDIUM","—"))</f>
        <v/>
      </c>
      <c r="L280" s="18">
        <f>IF(J280="CONTRADICTION","Strong upstream claim is not supported by linked downstream capability/evidence. Trigger: Programme portfolio review.",IF(J280="DEPENDENCY GAP","Downstream capability materially trails upstream expectation. Trigger: Programme portfolio review.",""))</f>
        <v/>
      </c>
    </row>
    <row r="281">
      <c r="A281" s="18" t="inlineStr">
        <is>
          <t>CD16</t>
        </is>
      </c>
      <c r="B281" s="18" t="inlineStr">
        <is>
          <t>D09-I03</t>
        </is>
      </c>
      <c r="C281" s="18" t="inlineStr">
        <is>
          <t>D04-I03</t>
        </is>
      </c>
      <c r="D281" s="18">
        <f>'P0-3_Scorecard'!L107</f>
        <v/>
      </c>
      <c r="E281" s="18">
        <f>'P0-3_Scorecard'!L45</f>
        <v/>
      </c>
      <c r="F281" s="18">
        <f>'P0-3_Scorecard'!M107</f>
        <v/>
      </c>
      <c r="G281" s="18">
        <f>'P0-3_Scorecard'!M45</f>
        <v/>
      </c>
      <c r="H281" s="18">
        <f>IF(OR(D281="",F281=""),"",D281-(F281*20))</f>
        <v/>
      </c>
      <c r="I281" s="18">
        <f>IF(OR(E281="",G281=""),"",E281-(G281*20))</f>
        <v/>
      </c>
      <c r="J281" s="18">
        <f>IF(OR(D281="",E281=""),"INCOMPLETE",IF(AND(D281&gt;=80,E281&lt;50),"CONTRADICTION",IF(AND(D281&gt;=70,E281&lt;70),"DEPENDENCY GAP","NO TRIGGER")))</f>
        <v/>
      </c>
      <c r="K281" s="18">
        <f>IF(J281="CONTRADICTION","HIGH",IF(J281="DEPENDENCY GAP","MEDIUM","—"))</f>
        <v/>
      </c>
      <c r="L281" s="18">
        <f>IF(J281="CONTRADICTION","Strong upstream claim is not supported by linked downstream capability/evidence. Trigger: Programme portfolio review.",IF(J281="DEPENDENCY GAP","Downstream capability materially trails upstream expectation. Trigger: Programme portfolio review.",""))</f>
        <v/>
      </c>
    </row>
    <row r="282">
      <c r="A282" s="18" t="inlineStr">
        <is>
          <t>CD16</t>
        </is>
      </c>
      <c r="B282" s="18" t="inlineStr">
        <is>
          <t>D09-I03</t>
        </is>
      </c>
      <c r="C282" s="18" t="inlineStr">
        <is>
          <t>D04-I08</t>
        </is>
      </c>
      <c r="D282" s="18">
        <f>'P0-3_Scorecard'!L107</f>
        <v/>
      </c>
      <c r="E282" s="18">
        <f>'P0-3_Scorecard'!L50</f>
        <v/>
      </c>
      <c r="F282" s="18">
        <f>'P0-3_Scorecard'!M107</f>
        <v/>
      </c>
      <c r="G282" s="18">
        <f>'P0-3_Scorecard'!M50</f>
        <v/>
      </c>
      <c r="H282" s="18">
        <f>IF(OR(D282="",F282=""),"",D282-(F282*20))</f>
        <v/>
      </c>
      <c r="I282" s="18">
        <f>IF(OR(E282="",G282=""),"",E282-(G282*20))</f>
        <v/>
      </c>
      <c r="J282" s="18">
        <f>IF(OR(D282="",E282=""),"INCOMPLETE",IF(AND(D282&gt;=80,E282&lt;50),"CONTRADICTION",IF(AND(D282&gt;=70,E282&lt;70),"DEPENDENCY GAP","NO TRIGGER")))</f>
        <v/>
      </c>
      <c r="K282" s="18">
        <f>IF(J282="CONTRADICTION","HIGH",IF(J282="DEPENDENCY GAP","MEDIUM","—"))</f>
        <v/>
      </c>
      <c r="L282" s="18">
        <f>IF(J282="CONTRADICTION","Strong upstream claim is not supported by linked downstream capability/evidence. Trigger: Programme portfolio review.",IF(J282="DEPENDENCY GAP","Downstream capability materially trails upstream expectation. Trigger: Programme portfolio review.",""))</f>
        <v/>
      </c>
    </row>
    <row r="283">
      <c r="A283" s="18" t="inlineStr">
        <is>
          <t>CD16</t>
        </is>
      </c>
      <c r="B283" s="18" t="inlineStr">
        <is>
          <t>D09-I03</t>
        </is>
      </c>
      <c r="C283" s="18" t="inlineStr">
        <is>
          <t>D04-I12</t>
        </is>
      </c>
      <c r="D283" s="18">
        <f>'P0-3_Scorecard'!L107</f>
        <v/>
      </c>
      <c r="E283" s="18">
        <f>'P0-3_Scorecard'!L54</f>
        <v/>
      </c>
      <c r="F283" s="18">
        <f>'P0-3_Scorecard'!M107</f>
        <v/>
      </c>
      <c r="G283" s="18">
        <f>'P0-3_Scorecard'!M54</f>
        <v/>
      </c>
      <c r="H283" s="18">
        <f>IF(OR(D283="",F283=""),"",D283-(F283*20))</f>
        <v/>
      </c>
      <c r="I283" s="18">
        <f>IF(OR(E283="",G283=""),"",E283-(G283*20))</f>
        <v/>
      </c>
      <c r="J283" s="18">
        <f>IF(OR(D283="",E283=""),"INCOMPLETE",IF(AND(D283&gt;=80,E283&lt;50),"CONTRADICTION",IF(AND(D283&gt;=70,E283&lt;70),"DEPENDENCY GAP","NO TRIGGER")))</f>
        <v/>
      </c>
      <c r="K283" s="18">
        <f>IF(J283="CONTRADICTION","HIGH",IF(J283="DEPENDENCY GAP","MEDIUM","—"))</f>
        <v/>
      </c>
      <c r="L283" s="18">
        <f>IF(J283="CONTRADICTION","Strong upstream claim is not supported by linked downstream capability/evidence. Trigger: Programme portfolio review.",IF(J283="DEPENDENCY GAP","Downstream capability materially trails upstream expectation. Trigger: Programme portfolio review.",""))</f>
        <v/>
      </c>
    </row>
    <row r="284">
      <c r="A284" s="18" t="inlineStr">
        <is>
          <t>CD16</t>
        </is>
      </c>
      <c r="B284" s="18" t="inlineStr">
        <is>
          <t>D09-I10</t>
        </is>
      </c>
      <c r="C284" s="18" t="inlineStr">
        <is>
          <t>D04-I01</t>
        </is>
      </c>
      <c r="D284" s="18">
        <f>'P0-3_Scorecard'!L114</f>
        <v/>
      </c>
      <c r="E284" s="18">
        <f>'P0-3_Scorecard'!L43</f>
        <v/>
      </c>
      <c r="F284" s="18">
        <f>'P0-3_Scorecard'!M114</f>
        <v/>
      </c>
      <c r="G284" s="18">
        <f>'P0-3_Scorecard'!M43</f>
        <v/>
      </c>
      <c r="H284" s="18">
        <f>IF(OR(D284="",F284=""),"",D284-(F284*20))</f>
        <v/>
      </c>
      <c r="I284" s="18">
        <f>IF(OR(E284="",G284=""),"",E284-(G284*20))</f>
        <v/>
      </c>
      <c r="J284" s="18">
        <f>IF(OR(D284="",E284=""),"INCOMPLETE",IF(AND(D284&gt;=80,E284&lt;50),"CONTRADICTION",IF(AND(D284&gt;=70,E284&lt;70),"DEPENDENCY GAP","NO TRIGGER")))</f>
        <v/>
      </c>
      <c r="K284" s="18">
        <f>IF(J284="CONTRADICTION","HIGH",IF(J284="DEPENDENCY GAP","MEDIUM","—"))</f>
        <v/>
      </c>
      <c r="L284" s="18">
        <f>IF(J284="CONTRADICTION","Strong upstream claim is not supported by linked downstream capability/evidence. Trigger: Programme portfolio review.",IF(J284="DEPENDENCY GAP","Downstream capability materially trails upstream expectation. Trigger: Programme portfolio review.",""))</f>
        <v/>
      </c>
    </row>
    <row r="285">
      <c r="A285" s="18" t="inlineStr">
        <is>
          <t>CD16</t>
        </is>
      </c>
      <c r="B285" s="18" t="inlineStr">
        <is>
          <t>D09-I10</t>
        </is>
      </c>
      <c r="C285" s="18" t="inlineStr">
        <is>
          <t>D04-I03</t>
        </is>
      </c>
      <c r="D285" s="18">
        <f>'P0-3_Scorecard'!L114</f>
        <v/>
      </c>
      <c r="E285" s="18">
        <f>'P0-3_Scorecard'!L45</f>
        <v/>
      </c>
      <c r="F285" s="18">
        <f>'P0-3_Scorecard'!M114</f>
        <v/>
      </c>
      <c r="G285" s="18">
        <f>'P0-3_Scorecard'!M45</f>
        <v/>
      </c>
      <c r="H285" s="18">
        <f>IF(OR(D285="",F285=""),"",D285-(F285*20))</f>
        <v/>
      </c>
      <c r="I285" s="18">
        <f>IF(OR(E285="",G285=""),"",E285-(G285*20))</f>
        <v/>
      </c>
      <c r="J285" s="18">
        <f>IF(OR(D285="",E285=""),"INCOMPLETE",IF(AND(D285&gt;=80,E285&lt;50),"CONTRADICTION",IF(AND(D285&gt;=70,E285&lt;70),"DEPENDENCY GAP","NO TRIGGER")))</f>
        <v/>
      </c>
      <c r="K285" s="18">
        <f>IF(J285="CONTRADICTION","HIGH",IF(J285="DEPENDENCY GAP","MEDIUM","—"))</f>
        <v/>
      </c>
      <c r="L285" s="18">
        <f>IF(J285="CONTRADICTION","Strong upstream claim is not supported by linked downstream capability/evidence. Trigger: Programme portfolio review.",IF(J285="DEPENDENCY GAP","Downstream capability materially trails upstream expectation. Trigger: Programme portfolio review.",""))</f>
        <v/>
      </c>
    </row>
    <row r="286">
      <c r="A286" s="18" t="inlineStr">
        <is>
          <t>CD16</t>
        </is>
      </c>
      <c r="B286" s="18" t="inlineStr">
        <is>
          <t>D09-I10</t>
        </is>
      </c>
      <c r="C286" s="18" t="inlineStr">
        <is>
          <t>D04-I08</t>
        </is>
      </c>
      <c r="D286" s="18">
        <f>'P0-3_Scorecard'!L114</f>
        <v/>
      </c>
      <c r="E286" s="18">
        <f>'P0-3_Scorecard'!L50</f>
        <v/>
      </c>
      <c r="F286" s="18">
        <f>'P0-3_Scorecard'!M114</f>
        <v/>
      </c>
      <c r="G286" s="18">
        <f>'P0-3_Scorecard'!M50</f>
        <v/>
      </c>
      <c r="H286" s="18">
        <f>IF(OR(D286="",F286=""),"",D286-(F286*20))</f>
        <v/>
      </c>
      <c r="I286" s="18">
        <f>IF(OR(E286="",G286=""),"",E286-(G286*20))</f>
        <v/>
      </c>
      <c r="J286" s="18">
        <f>IF(OR(D286="",E286=""),"INCOMPLETE",IF(AND(D286&gt;=80,E286&lt;50),"CONTRADICTION",IF(AND(D286&gt;=70,E286&lt;70),"DEPENDENCY GAP","NO TRIGGER")))</f>
        <v/>
      </c>
      <c r="K286" s="18">
        <f>IF(J286="CONTRADICTION","HIGH",IF(J286="DEPENDENCY GAP","MEDIUM","—"))</f>
        <v/>
      </c>
      <c r="L286" s="18">
        <f>IF(J286="CONTRADICTION","Strong upstream claim is not supported by linked downstream capability/evidence. Trigger: Programme portfolio review.",IF(J286="DEPENDENCY GAP","Downstream capability materially trails upstream expectation. Trigger: Programme portfolio review.",""))</f>
        <v/>
      </c>
    </row>
    <row r="287">
      <c r="A287" s="18" t="inlineStr">
        <is>
          <t>CD16</t>
        </is>
      </c>
      <c r="B287" s="18" t="inlineStr">
        <is>
          <t>D09-I10</t>
        </is>
      </c>
      <c r="C287" s="18" t="inlineStr">
        <is>
          <t>D04-I12</t>
        </is>
      </c>
      <c r="D287" s="18">
        <f>'P0-3_Scorecard'!L114</f>
        <v/>
      </c>
      <c r="E287" s="18">
        <f>'P0-3_Scorecard'!L54</f>
        <v/>
      </c>
      <c r="F287" s="18">
        <f>'P0-3_Scorecard'!M114</f>
        <v/>
      </c>
      <c r="G287" s="18">
        <f>'P0-3_Scorecard'!M54</f>
        <v/>
      </c>
      <c r="H287" s="18">
        <f>IF(OR(D287="",F287=""),"",D287-(F287*20))</f>
        <v/>
      </c>
      <c r="I287" s="18">
        <f>IF(OR(E287="",G287=""),"",E287-(G287*20))</f>
        <v/>
      </c>
      <c r="J287" s="18">
        <f>IF(OR(D287="",E287=""),"INCOMPLETE",IF(AND(D287&gt;=80,E287&lt;50),"CONTRADICTION",IF(AND(D287&gt;=70,E287&lt;70),"DEPENDENCY GAP","NO TRIGGER")))</f>
        <v/>
      </c>
      <c r="K287" s="18">
        <f>IF(J287="CONTRADICTION","HIGH",IF(J287="DEPENDENCY GAP","MEDIUM","—"))</f>
        <v/>
      </c>
      <c r="L287" s="18">
        <f>IF(J287="CONTRADICTION","Strong upstream claim is not supported by linked downstream capability/evidence. Trigger: Programme portfolio review.",IF(J287="DEPENDENCY GAP","Downstream capability materially trails upstream expectation. Trigger: Programme portfolio review.",""))</f>
        <v/>
      </c>
    </row>
    <row r="288">
      <c r="A288" s="18" t="inlineStr">
        <is>
          <t>CD16</t>
        </is>
      </c>
      <c r="B288" s="18" t="inlineStr">
        <is>
          <t>D09-I11</t>
        </is>
      </c>
      <c r="C288" s="18" t="inlineStr">
        <is>
          <t>D04-I01</t>
        </is>
      </c>
      <c r="D288" s="18">
        <f>'P0-3_Scorecard'!L115</f>
        <v/>
      </c>
      <c r="E288" s="18">
        <f>'P0-3_Scorecard'!L43</f>
        <v/>
      </c>
      <c r="F288" s="18">
        <f>'P0-3_Scorecard'!M115</f>
        <v/>
      </c>
      <c r="G288" s="18">
        <f>'P0-3_Scorecard'!M43</f>
        <v/>
      </c>
      <c r="H288" s="18">
        <f>IF(OR(D288="",F288=""),"",D288-(F288*20))</f>
        <v/>
      </c>
      <c r="I288" s="18">
        <f>IF(OR(E288="",G288=""),"",E288-(G288*20))</f>
        <v/>
      </c>
      <c r="J288" s="18">
        <f>IF(OR(D288="",E288=""),"INCOMPLETE",IF(AND(D288&gt;=80,E288&lt;50),"CONTRADICTION",IF(AND(D288&gt;=70,E288&lt;70),"DEPENDENCY GAP","NO TRIGGER")))</f>
        <v/>
      </c>
      <c r="K288" s="18">
        <f>IF(J288="CONTRADICTION","HIGH",IF(J288="DEPENDENCY GAP","MEDIUM","—"))</f>
        <v/>
      </c>
      <c r="L288" s="18">
        <f>IF(J288="CONTRADICTION","Strong upstream claim is not supported by linked downstream capability/evidence. Trigger: Programme portfolio review.",IF(J288="DEPENDENCY GAP","Downstream capability materially trails upstream expectation. Trigger: Programme portfolio review.",""))</f>
        <v/>
      </c>
    </row>
    <row r="289">
      <c r="A289" s="18" t="inlineStr">
        <is>
          <t>CD16</t>
        </is>
      </c>
      <c r="B289" s="18" t="inlineStr">
        <is>
          <t>D09-I11</t>
        </is>
      </c>
      <c r="C289" s="18" t="inlineStr">
        <is>
          <t>D04-I03</t>
        </is>
      </c>
      <c r="D289" s="18">
        <f>'P0-3_Scorecard'!L115</f>
        <v/>
      </c>
      <c r="E289" s="18">
        <f>'P0-3_Scorecard'!L45</f>
        <v/>
      </c>
      <c r="F289" s="18">
        <f>'P0-3_Scorecard'!M115</f>
        <v/>
      </c>
      <c r="G289" s="18">
        <f>'P0-3_Scorecard'!M45</f>
        <v/>
      </c>
      <c r="H289" s="18">
        <f>IF(OR(D289="",F289=""),"",D289-(F289*20))</f>
        <v/>
      </c>
      <c r="I289" s="18">
        <f>IF(OR(E289="",G289=""),"",E289-(G289*20))</f>
        <v/>
      </c>
      <c r="J289" s="18">
        <f>IF(OR(D289="",E289=""),"INCOMPLETE",IF(AND(D289&gt;=80,E289&lt;50),"CONTRADICTION",IF(AND(D289&gt;=70,E289&lt;70),"DEPENDENCY GAP","NO TRIGGER")))</f>
        <v/>
      </c>
      <c r="K289" s="18">
        <f>IF(J289="CONTRADICTION","HIGH",IF(J289="DEPENDENCY GAP","MEDIUM","—"))</f>
        <v/>
      </c>
      <c r="L289" s="18">
        <f>IF(J289="CONTRADICTION","Strong upstream claim is not supported by linked downstream capability/evidence. Trigger: Programme portfolio review.",IF(J289="DEPENDENCY GAP","Downstream capability materially trails upstream expectation. Trigger: Programme portfolio review.",""))</f>
        <v/>
      </c>
    </row>
    <row r="290">
      <c r="A290" s="18" t="inlineStr">
        <is>
          <t>CD16</t>
        </is>
      </c>
      <c r="B290" s="18" t="inlineStr">
        <is>
          <t>D09-I11</t>
        </is>
      </c>
      <c r="C290" s="18" t="inlineStr">
        <is>
          <t>D04-I08</t>
        </is>
      </c>
      <c r="D290" s="18">
        <f>'P0-3_Scorecard'!L115</f>
        <v/>
      </c>
      <c r="E290" s="18">
        <f>'P0-3_Scorecard'!L50</f>
        <v/>
      </c>
      <c r="F290" s="18">
        <f>'P0-3_Scorecard'!M115</f>
        <v/>
      </c>
      <c r="G290" s="18">
        <f>'P0-3_Scorecard'!M50</f>
        <v/>
      </c>
      <c r="H290" s="18">
        <f>IF(OR(D290="",F290=""),"",D290-(F290*20))</f>
        <v/>
      </c>
      <c r="I290" s="18">
        <f>IF(OR(E290="",G290=""),"",E290-(G290*20))</f>
        <v/>
      </c>
      <c r="J290" s="18">
        <f>IF(OR(D290="",E290=""),"INCOMPLETE",IF(AND(D290&gt;=80,E290&lt;50),"CONTRADICTION",IF(AND(D290&gt;=70,E290&lt;70),"DEPENDENCY GAP","NO TRIGGER")))</f>
        <v/>
      </c>
      <c r="K290" s="18">
        <f>IF(J290="CONTRADICTION","HIGH",IF(J290="DEPENDENCY GAP","MEDIUM","—"))</f>
        <v/>
      </c>
      <c r="L290" s="18">
        <f>IF(J290="CONTRADICTION","Strong upstream claim is not supported by linked downstream capability/evidence. Trigger: Programme portfolio review.",IF(J290="DEPENDENCY GAP","Downstream capability materially trails upstream expectation. Trigger: Programme portfolio review.",""))</f>
        <v/>
      </c>
    </row>
    <row r="291">
      <c r="A291" s="18" t="inlineStr">
        <is>
          <t>CD16</t>
        </is>
      </c>
      <c r="B291" s="18" t="inlineStr">
        <is>
          <t>D09-I11</t>
        </is>
      </c>
      <c r="C291" s="18" t="inlineStr">
        <is>
          <t>D04-I12</t>
        </is>
      </c>
      <c r="D291" s="18">
        <f>'P0-3_Scorecard'!L115</f>
        <v/>
      </c>
      <c r="E291" s="18">
        <f>'P0-3_Scorecard'!L54</f>
        <v/>
      </c>
      <c r="F291" s="18">
        <f>'P0-3_Scorecard'!M115</f>
        <v/>
      </c>
      <c r="G291" s="18">
        <f>'P0-3_Scorecard'!M54</f>
        <v/>
      </c>
      <c r="H291" s="18">
        <f>IF(OR(D291="",F291=""),"",D291-(F291*20))</f>
        <v/>
      </c>
      <c r="I291" s="18">
        <f>IF(OR(E291="",G291=""),"",E291-(G291*20))</f>
        <v/>
      </c>
      <c r="J291" s="18">
        <f>IF(OR(D291="",E291=""),"INCOMPLETE",IF(AND(D291&gt;=80,E291&lt;50),"CONTRADICTION",IF(AND(D291&gt;=70,E291&lt;70),"DEPENDENCY GAP","NO TRIGGER")))</f>
        <v/>
      </c>
      <c r="K291" s="18">
        <f>IF(J291="CONTRADICTION","HIGH",IF(J291="DEPENDENCY GAP","MEDIUM","—"))</f>
        <v/>
      </c>
      <c r="L291" s="18">
        <f>IF(J291="CONTRADICTION","Strong upstream claim is not supported by linked downstream capability/evidence. Trigger: Programme portfolio review.",IF(J291="DEPENDENCY GAP","Downstream capability materially trails upstream expectation. Trigger: Programme portfolio review.",""))</f>
        <v/>
      </c>
    </row>
    <row r="292">
      <c r="A292" s="18" t="inlineStr">
        <is>
          <t>CD17</t>
        </is>
      </c>
      <c r="B292" s="18" t="inlineStr">
        <is>
          <t>D09-I03</t>
        </is>
      </c>
      <c r="C292" s="18" t="inlineStr">
        <is>
          <t>D05-I02</t>
        </is>
      </c>
      <c r="D292" s="18">
        <f>'P0-3_Scorecard'!L107</f>
        <v/>
      </c>
      <c r="E292" s="18">
        <f>'P0-3_Scorecard'!L56</f>
        <v/>
      </c>
      <c r="F292" s="18">
        <f>'P0-3_Scorecard'!M107</f>
        <v/>
      </c>
      <c r="G292" s="18">
        <f>'P0-3_Scorecard'!M56</f>
        <v/>
      </c>
      <c r="H292" s="18">
        <f>IF(OR(D292="",F292=""),"",D292-(F292*20))</f>
        <v/>
      </c>
      <c r="I292" s="18">
        <f>IF(OR(E292="",G292=""),"",E292-(G292*20))</f>
        <v/>
      </c>
      <c r="J292" s="18">
        <f>IF(OR(D292="",E292=""),"INCOMPLETE",IF(AND(D292&gt;=80,E292&lt;50),"CONTRADICTION",IF(AND(D292&gt;=70,E292&lt;70),"DEPENDENCY GAP","NO TRIGGER")))</f>
        <v/>
      </c>
      <c r="K292" s="18">
        <f>IF(J292="CONTRADICTION","HIGH",IF(J292="DEPENDENCY GAP","MEDIUM","—"))</f>
        <v/>
      </c>
      <c r="L292" s="18">
        <f>IF(J292="CONTRADICTION","Strong upstream claim is not supported by linked downstream capability/evidence. Trigger: Faculty capability review.",IF(J292="DEPENDENCY GAP","Downstream capability materially trails upstream expectation. Trigger: Faculty capability review.",""))</f>
        <v/>
      </c>
    </row>
    <row r="293">
      <c r="A293" s="18" t="inlineStr">
        <is>
          <t>CD17</t>
        </is>
      </c>
      <c r="B293" s="18" t="inlineStr">
        <is>
          <t>D09-I03</t>
        </is>
      </c>
      <c r="C293" s="18" t="inlineStr">
        <is>
          <t>D05-I05</t>
        </is>
      </c>
      <c r="D293" s="18">
        <f>'P0-3_Scorecard'!L107</f>
        <v/>
      </c>
      <c r="E293" s="18">
        <f>'P0-3_Scorecard'!L59</f>
        <v/>
      </c>
      <c r="F293" s="18">
        <f>'P0-3_Scorecard'!M107</f>
        <v/>
      </c>
      <c r="G293" s="18">
        <f>'P0-3_Scorecard'!M59</f>
        <v/>
      </c>
      <c r="H293" s="18">
        <f>IF(OR(D293="",F293=""),"",D293-(F293*20))</f>
        <v/>
      </c>
      <c r="I293" s="18">
        <f>IF(OR(E293="",G293=""),"",E293-(G293*20))</f>
        <v/>
      </c>
      <c r="J293" s="18">
        <f>IF(OR(D293="",E293=""),"INCOMPLETE",IF(AND(D293&gt;=80,E293&lt;50),"CONTRADICTION",IF(AND(D293&gt;=70,E293&lt;70),"DEPENDENCY GAP","NO TRIGGER")))</f>
        <v/>
      </c>
      <c r="K293" s="18">
        <f>IF(J293="CONTRADICTION","HIGH",IF(J293="DEPENDENCY GAP","MEDIUM","—"))</f>
        <v/>
      </c>
      <c r="L293" s="18">
        <f>IF(J293="CONTRADICTION","Strong upstream claim is not supported by linked downstream capability/evidence. Trigger: Faculty capability review.",IF(J293="DEPENDENCY GAP","Downstream capability materially trails upstream expectation. Trigger: Faculty capability review.",""))</f>
        <v/>
      </c>
    </row>
    <row r="294">
      <c r="A294" s="18" t="inlineStr">
        <is>
          <t>CD17</t>
        </is>
      </c>
      <c r="B294" s="18" t="inlineStr">
        <is>
          <t>D09-I03</t>
        </is>
      </c>
      <c r="C294" s="18" t="inlineStr">
        <is>
          <t>D05-I08</t>
        </is>
      </c>
      <c r="D294" s="18">
        <f>'P0-3_Scorecard'!L107</f>
        <v/>
      </c>
      <c r="E294" s="18">
        <f>'P0-3_Scorecard'!L62</f>
        <v/>
      </c>
      <c r="F294" s="18">
        <f>'P0-3_Scorecard'!M107</f>
        <v/>
      </c>
      <c r="G294" s="18">
        <f>'P0-3_Scorecard'!M62</f>
        <v/>
      </c>
      <c r="H294" s="18">
        <f>IF(OR(D294="",F294=""),"",D294-(F294*20))</f>
        <v/>
      </c>
      <c r="I294" s="18">
        <f>IF(OR(E294="",G294=""),"",E294-(G294*20))</f>
        <v/>
      </c>
      <c r="J294" s="18">
        <f>IF(OR(D294="",E294=""),"INCOMPLETE",IF(AND(D294&gt;=80,E294&lt;50),"CONTRADICTION",IF(AND(D294&gt;=70,E294&lt;70),"DEPENDENCY GAP","NO TRIGGER")))</f>
        <v/>
      </c>
      <c r="K294" s="18">
        <f>IF(J294="CONTRADICTION","HIGH",IF(J294="DEPENDENCY GAP","MEDIUM","—"))</f>
        <v/>
      </c>
      <c r="L294" s="18">
        <f>IF(J294="CONTRADICTION","Strong upstream claim is not supported by linked downstream capability/evidence. Trigger: Faculty capability review.",IF(J294="DEPENDENCY GAP","Downstream capability materially trails upstream expectation. Trigger: Faculty capability review.",""))</f>
        <v/>
      </c>
    </row>
    <row r="295">
      <c r="A295" s="18" t="inlineStr">
        <is>
          <t>CD17</t>
        </is>
      </c>
      <c r="B295" s="18" t="inlineStr">
        <is>
          <t>D09-I03</t>
        </is>
      </c>
      <c r="C295" s="18" t="inlineStr">
        <is>
          <t>D05-I12</t>
        </is>
      </c>
      <c r="D295" s="18">
        <f>'P0-3_Scorecard'!L107</f>
        <v/>
      </c>
      <c r="E295" s="18">
        <f>'P0-3_Scorecard'!L66</f>
        <v/>
      </c>
      <c r="F295" s="18">
        <f>'P0-3_Scorecard'!M107</f>
        <v/>
      </c>
      <c r="G295" s="18">
        <f>'P0-3_Scorecard'!M66</f>
        <v/>
      </c>
      <c r="H295" s="18">
        <f>IF(OR(D295="",F295=""),"",D295-(F295*20))</f>
        <v/>
      </c>
      <c r="I295" s="18">
        <f>IF(OR(E295="",G295=""),"",E295-(G295*20))</f>
        <v/>
      </c>
      <c r="J295" s="18">
        <f>IF(OR(D295="",E295=""),"INCOMPLETE",IF(AND(D295&gt;=80,E295&lt;50),"CONTRADICTION",IF(AND(D295&gt;=70,E295&lt;70),"DEPENDENCY GAP","NO TRIGGER")))</f>
        <v/>
      </c>
      <c r="K295" s="18">
        <f>IF(J295="CONTRADICTION","HIGH",IF(J295="DEPENDENCY GAP","MEDIUM","—"))</f>
        <v/>
      </c>
      <c r="L295" s="18">
        <f>IF(J295="CONTRADICTION","Strong upstream claim is not supported by linked downstream capability/evidence. Trigger: Faculty capability review.",IF(J295="DEPENDENCY GAP","Downstream capability materially trails upstream expectation. Trigger: Faculty capability review.",""))</f>
        <v/>
      </c>
    </row>
    <row r="296">
      <c r="A296" s="18" t="inlineStr">
        <is>
          <t>CD17</t>
        </is>
      </c>
      <c r="B296" s="18" t="inlineStr">
        <is>
          <t>D09-I10</t>
        </is>
      </c>
      <c r="C296" s="18" t="inlineStr">
        <is>
          <t>D05-I02</t>
        </is>
      </c>
      <c r="D296" s="18">
        <f>'P0-3_Scorecard'!L114</f>
        <v/>
      </c>
      <c r="E296" s="18">
        <f>'P0-3_Scorecard'!L56</f>
        <v/>
      </c>
      <c r="F296" s="18">
        <f>'P0-3_Scorecard'!M114</f>
        <v/>
      </c>
      <c r="G296" s="18">
        <f>'P0-3_Scorecard'!M56</f>
        <v/>
      </c>
      <c r="H296" s="18">
        <f>IF(OR(D296="",F296=""),"",D296-(F296*20))</f>
        <v/>
      </c>
      <c r="I296" s="18">
        <f>IF(OR(E296="",G296=""),"",E296-(G296*20))</f>
        <v/>
      </c>
      <c r="J296" s="18">
        <f>IF(OR(D296="",E296=""),"INCOMPLETE",IF(AND(D296&gt;=80,E296&lt;50),"CONTRADICTION",IF(AND(D296&gt;=70,E296&lt;70),"DEPENDENCY GAP","NO TRIGGER")))</f>
        <v/>
      </c>
      <c r="K296" s="18">
        <f>IF(J296="CONTRADICTION","HIGH",IF(J296="DEPENDENCY GAP","MEDIUM","—"))</f>
        <v/>
      </c>
      <c r="L296" s="18">
        <f>IF(J296="CONTRADICTION","Strong upstream claim is not supported by linked downstream capability/evidence. Trigger: Faculty capability review.",IF(J296="DEPENDENCY GAP","Downstream capability materially trails upstream expectation. Trigger: Faculty capability review.",""))</f>
        <v/>
      </c>
    </row>
    <row r="297">
      <c r="A297" s="18" t="inlineStr">
        <is>
          <t>CD17</t>
        </is>
      </c>
      <c r="B297" s="18" t="inlineStr">
        <is>
          <t>D09-I10</t>
        </is>
      </c>
      <c r="C297" s="18" t="inlineStr">
        <is>
          <t>D05-I05</t>
        </is>
      </c>
      <c r="D297" s="18">
        <f>'P0-3_Scorecard'!L114</f>
        <v/>
      </c>
      <c r="E297" s="18">
        <f>'P0-3_Scorecard'!L59</f>
        <v/>
      </c>
      <c r="F297" s="18">
        <f>'P0-3_Scorecard'!M114</f>
        <v/>
      </c>
      <c r="G297" s="18">
        <f>'P0-3_Scorecard'!M59</f>
        <v/>
      </c>
      <c r="H297" s="18">
        <f>IF(OR(D297="",F297=""),"",D297-(F297*20))</f>
        <v/>
      </c>
      <c r="I297" s="18">
        <f>IF(OR(E297="",G297=""),"",E297-(G297*20))</f>
        <v/>
      </c>
      <c r="J297" s="18">
        <f>IF(OR(D297="",E297=""),"INCOMPLETE",IF(AND(D297&gt;=80,E297&lt;50),"CONTRADICTION",IF(AND(D297&gt;=70,E297&lt;70),"DEPENDENCY GAP","NO TRIGGER")))</f>
        <v/>
      </c>
      <c r="K297" s="18">
        <f>IF(J297="CONTRADICTION","HIGH",IF(J297="DEPENDENCY GAP","MEDIUM","—"))</f>
        <v/>
      </c>
      <c r="L297" s="18">
        <f>IF(J297="CONTRADICTION","Strong upstream claim is not supported by linked downstream capability/evidence. Trigger: Faculty capability review.",IF(J297="DEPENDENCY GAP","Downstream capability materially trails upstream expectation. Trigger: Faculty capability review.",""))</f>
        <v/>
      </c>
    </row>
    <row r="298">
      <c r="A298" s="18" t="inlineStr">
        <is>
          <t>CD17</t>
        </is>
      </c>
      <c r="B298" s="18" t="inlineStr">
        <is>
          <t>D09-I10</t>
        </is>
      </c>
      <c r="C298" s="18" t="inlineStr">
        <is>
          <t>D05-I08</t>
        </is>
      </c>
      <c r="D298" s="18">
        <f>'P0-3_Scorecard'!L114</f>
        <v/>
      </c>
      <c r="E298" s="18">
        <f>'P0-3_Scorecard'!L62</f>
        <v/>
      </c>
      <c r="F298" s="18">
        <f>'P0-3_Scorecard'!M114</f>
        <v/>
      </c>
      <c r="G298" s="18">
        <f>'P0-3_Scorecard'!M62</f>
        <v/>
      </c>
      <c r="H298" s="18">
        <f>IF(OR(D298="",F298=""),"",D298-(F298*20))</f>
        <v/>
      </c>
      <c r="I298" s="18">
        <f>IF(OR(E298="",G298=""),"",E298-(G298*20))</f>
        <v/>
      </c>
      <c r="J298" s="18">
        <f>IF(OR(D298="",E298=""),"INCOMPLETE",IF(AND(D298&gt;=80,E298&lt;50),"CONTRADICTION",IF(AND(D298&gt;=70,E298&lt;70),"DEPENDENCY GAP","NO TRIGGER")))</f>
        <v/>
      </c>
      <c r="K298" s="18">
        <f>IF(J298="CONTRADICTION","HIGH",IF(J298="DEPENDENCY GAP","MEDIUM","—"))</f>
        <v/>
      </c>
      <c r="L298" s="18">
        <f>IF(J298="CONTRADICTION","Strong upstream claim is not supported by linked downstream capability/evidence. Trigger: Faculty capability review.",IF(J298="DEPENDENCY GAP","Downstream capability materially trails upstream expectation. Trigger: Faculty capability review.",""))</f>
        <v/>
      </c>
    </row>
    <row r="299">
      <c r="A299" s="18" t="inlineStr">
        <is>
          <t>CD17</t>
        </is>
      </c>
      <c r="B299" s="18" t="inlineStr">
        <is>
          <t>D09-I10</t>
        </is>
      </c>
      <c r="C299" s="18" t="inlineStr">
        <is>
          <t>D05-I12</t>
        </is>
      </c>
      <c r="D299" s="18">
        <f>'P0-3_Scorecard'!L114</f>
        <v/>
      </c>
      <c r="E299" s="18">
        <f>'P0-3_Scorecard'!L66</f>
        <v/>
      </c>
      <c r="F299" s="18">
        <f>'P0-3_Scorecard'!M114</f>
        <v/>
      </c>
      <c r="G299" s="18">
        <f>'P0-3_Scorecard'!M66</f>
        <v/>
      </c>
      <c r="H299" s="18">
        <f>IF(OR(D299="",F299=""),"",D299-(F299*20))</f>
        <v/>
      </c>
      <c r="I299" s="18">
        <f>IF(OR(E299="",G299=""),"",E299-(G299*20))</f>
        <v/>
      </c>
      <c r="J299" s="18">
        <f>IF(OR(D299="",E299=""),"INCOMPLETE",IF(AND(D299&gt;=80,E299&lt;50),"CONTRADICTION",IF(AND(D299&gt;=70,E299&lt;70),"DEPENDENCY GAP","NO TRIGGER")))</f>
        <v/>
      </c>
      <c r="K299" s="18">
        <f>IF(J299="CONTRADICTION","HIGH",IF(J299="DEPENDENCY GAP","MEDIUM","—"))</f>
        <v/>
      </c>
      <c r="L299" s="18">
        <f>IF(J299="CONTRADICTION","Strong upstream claim is not supported by linked downstream capability/evidence. Trigger: Faculty capability review.",IF(J299="DEPENDENCY GAP","Downstream capability materially trails upstream expectation. Trigger: Faculty capability review.",""))</f>
        <v/>
      </c>
    </row>
    <row r="300">
      <c r="A300" s="18" t="inlineStr">
        <is>
          <t>CD18</t>
        </is>
      </c>
      <c r="B300" s="18" t="inlineStr">
        <is>
          <t>D09-I05</t>
        </is>
      </c>
      <c r="C300" s="18" t="inlineStr">
        <is>
          <t>D06-I07</t>
        </is>
      </c>
      <c r="D300" s="18">
        <f>'P0-3_Scorecard'!L109</f>
        <v/>
      </c>
      <c r="E300" s="18">
        <f>'P0-3_Scorecard'!L73</f>
        <v/>
      </c>
      <c r="F300" s="18">
        <f>'P0-3_Scorecard'!M109</f>
        <v/>
      </c>
      <c r="G300" s="18">
        <f>'P0-3_Scorecard'!M73</f>
        <v/>
      </c>
      <c r="H300" s="18">
        <f>IF(OR(D300="",F300=""),"",D300-(F300*20))</f>
        <v/>
      </c>
      <c r="I300" s="18">
        <f>IF(OR(E300="",G300=""),"",E300-(G300*20))</f>
        <v/>
      </c>
      <c r="J300" s="18">
        <f>IF(OR(D300="",E300=""),"INCOMPLETE",IF(AND(D300&gt;=80,E300&lt;50),"CONTRADICTION",IF(AND(D300&gt;=70,E300&lt;70),"DEPENDENCY GAP","NO TRIGGER")))</f>
        <v/>
      </c>
      <c r="K300" s="18">
        <f>IF(J300="CONTRADICTION","HIGH",IF(J300="DEPENDENCY GAP","MEDIUM","—"))</f>
        <v/>
      </c>
      <c r="L300" s="18">
        <f>IF(J300="CONTRADICTION","Strong upstream claim is not supported by linked downstream capability/evidence. Trigger: Student development review.",IF(J300="DEPENDENCY GAP","Downstream capability materially trails upstream expectation. Trigger: Student development review.",""))</f>
        <v/>
      </c>
    </row>
    <row r="301">
      <c r="A301" s="18" t="inlineStr">
        <is>
          <t>CD18</t>
        </is>
      </c>
      <c r="B301" s="18" t="inlineStr">
        <is>
          <t>D09-I05</t>
        </is>
      </c>
      <c r="C301" s="18" t="inlineStr">
        <is>
          <t>D06-I08</t>
        </is>
      </c>
      <c r="D301" s="18">
        <f>'P0-3_Scorecard'!L109</f>
        <v/>
      </c>
      <c r="E301" s="18">
        <f>'P0-3_Scorecard'!L74</f>
        <v/>
      </c>
      <c r="F301" s="18">
        <f>'P0-3_Scorecard'!M109</f>
        <v/>
      </c>
      <c r="G301" s="18">
        <f>'P0-3_Scorecard'!M74</f>
        <v/>
      </c>
      <c r="H301" s="18">
        <f>IF(OR(D301="",F301=""),"",D301-(F301*20))</f>
        <v/>
      </c>
      <c r="I301" s="18">
        <f>IF(OR(E301="",G301=""),"",E301-(G301*20))</f>
        <v/>
      </c>
      <c r="J301" s="18">
        <f>IF(OR(D301="",E301=""),"INCOMPLETE",IF(AND(D301&gt;=80,E301&lt;50),"CONTRADICTION",IF(AND(D301&gt;=70,E301&lt;70),"DEPENDENCY GAP","NO TRIGGER")))</f>
        <v/>
      </c>
      <c r="K301" s="18">
        <f>IF(J301="CONTRADICTION","HIGH",IF(J301="DEPENDENCY GAP","MEDIUM","—"))</f>
        <v/>
      </c>
      <c r="L301" s="18">
        <f>IF(J301="CONTRADICTION","Strong upstream claim is not supported by linked downstream capability/evidence. Trigger: Student development review.",IF(J301="DEPENDENCY GAP","Downstream capability materially trails upstream expectation. Trigger: Student development review.",""))</f>
        <v/>
      </c>
    </row>
    <row r="302">
      <c r="A302" s="18" t="inlineStr">
        <is>
          <t>CD18</t>
        </is>
      </c>
      <c r="B302" s="18" t="inlineStr">
        <is>
          <t>D09-I05</t>
        </is>
      </c>
      <c r="C302" s="18" t="inlineStr">
        <is>
          <t>D06-I09</t>
        </is>
      </c>
      <c r="D302" s="18">
        <f>'P0-3_Scorecard'!L109</f>
        <v/>
      </c>
      <c r="E302" s="18">
        <f>'P0-3_Scorecard'!L75</f>
        <v/>
      </c>
      <c r="F302" s="18">
        <f>'P0-3_Scorecard'!M109</f>
        <v/>
      </c>
      <c r="G302" s="18">
        <f>'P0-3_Scorecard'!M75</f>
        <v/>
      </c>
      <c r="H302" s="18">
        <f>IF(OR(D302="",F302=""),"",D302-(F302*20))</f>
        <v/>
      </c>
      <c r="I302" s="18">
        <f>IF(OR(E302="",G302=""),"",E302-(G302*20))</f>
        <v/>
      </c>
      <c r="J302" s="18">
        <f>IF(OR(D302="",E302=""),"INCOMPLETE",IF(AND(D302&gt;=80,E302&lt;50),"CONTRADICTION",IF(AND(D302&gt;=70,E302&lt;70),"DEPENDENCY GAP","NO TRIGGER")))</f>
        <v/>
      </c>
      <c r="K302" s="18">
        <f>IF(J302="CONTRADICTION","HIGH",IF(J302="DEPENDENCY GAP","MEDIUM","—"))</f>
        <v/>
      </c>
      <c r="L302" s="18">
        <f>IF(J302="CONTRADICTION","Strong upstream claim is not supported by linked downstream capability/evidence. Trigger: Student development review.",IF(J302="DEPENDENCY GAP","Downstream capability materially trails upstream expectation. Trigger: Student development review.",""))</f>
        <v/>
      </c>
    </row>
    <row r="303">
      <c r="A303" s="18" t="inlineStr">
        <is>
          <t>CD18</t>
        </is>
      </c>
      <c r="B303" s="18" t="inlineStr">
        <is>
          <t>D09-I05</t>
        </is>
      </c>
      <c r="C303" s="18" t="inlineStr">
        <is>
          <t>D06-I14</t>
        </is>
      </c>
      <c r="D303" s="18">
        <f>'P0-3_Scorecard'!L109</f>
        <v/>
      </c>
      <c r="E303" s="18">
        <f>'P0-3_Scorecard'!L80</f>
        <v/>
      </c>
      <c r="F303" s="18">
        <f>'P0-3_Scorecard'!M109</f>
        <v/>
      </c>
      <c r="G303" s="18">
        <f>'P0-3_Scorecard'!M80</f>
        <v/>
      </c>
      <c r="H303" s="18">
        <f>IF(OR(D303="",F303=""),"",D303-(F303*20))</f>
        <v/>
      </c>
      <c r="I303" s="18">
        <f>IF(OR(E303="",G303=""),"",E303-(G303*20))</f>
        <v/>
      </c>
      <c r="J303" s="18">
        <f>IF(OR(D303="",E303=""),"INCOMPLETE",IF(AND(D303&gt;=80,E303&lt;50),"CONTRADICTION",IF(AND(D303&gt;=70,E303&lt;70),"DEPENDENCY GAP","NO TRIGGER")))</f>
        <v/>
      </c>
      <c r="K303" s="18">
        <f>IF(J303="CONTRADICTION","HIGH",IF(J303="DEPENDENCY GAP","MEDIUM","—"))</f>
        <v/>
      </c>
      <c r="L303" s="18">
        <f>IF(J303="CONTRADICTION","Strong upstream claim is not supported by linked downstream capability/evidence. Trigger: Student development review.",IF(J303="DEPENDENCY GAP","Downstream capability materially trails upstream expectation. Trigger: Student development review.",""))</f>
        <v/>
      </c>
    </row>
    <row r="304">
      <c r="A304" s="18" t="inlineStr">
        <is>
          <t>CD18</t>
        </is>
      </c>
      <c r="B304" s="18" t="inlineStr">
        <is>
          <t>D09-I06</t>
        </is>
      </c>
      <c r="C304" s="18" t="inlineStr">
        <is>
          <t>D06-I07</t>
        </is>
      </c>
      <c r="D304" s="18">
        <f>'P0-3_Scorecard'!L110</f>
        <v/>
      </c>
      <c r="E304" s="18">
        <f>'P0-3_Scorecard'!L73</f>
        <v/>
      </c>
      <c r="F304" s="18">
        <f>'P0-3_Scorecard'!M110</f>
        <v/>
      </c>
      <c r="G304" s="18">
        <f>'P0-3_Scorecard'!M73</f>
        <v/>
      </c>
      <c r="H304" s="18">
        <f>IF(OR(D304="",F304=""),"",D304-(F304*20))</f>
        <v/>
      </c>
      <c r="I304" s="18">
        <f>IF(OR(E304="",G304=""),"",E304-(G304*20))</f>
        <v/>
      </c>
      <c r="J304" s="18">
        <f>IF(OR(D304="",E304=""),"INCOMPLETE",IF(AND(D304&gt;=80,E304&lt;50),"CONTRADICTION",IF(AND(D304&gt;=70,E304&lt;70),"DEPENDENCY GAP","NO TRIGGER")))</f>
        <v/>
      </c>
      <c r="K304" s="18">
        <f>IF(J304="CONTRADICTION","HIGH",IF(J304="DEPENDENCY GAP","MEDIUM","—"))</f>
        <v/>
      </c>
      <c r="L304" s="18">
        <f>IF(J304="CONTRADICTION","Strong upstream claim is not supported by linked downstream capability/evidence. Trigger: Student development review.",IF(J304="DEPENDENCY GAP","Downstream capability materially trails upstream expectation. Trigger: Student development review.",""))</f>
        <v/>
      </c>
    </row>
    <row r="305">
      <c r="A305" s="18" t="inlineStr">
        <is>
          <t>CD18</t>
        </is>
      </c>
      <c r="B305" s="18" t="inlineStr">
        <is>
          <t>D09-I06</t>
        </is>
      </c>
      <c r="C305" s="18" t="inlineStr">
        <is>
          <t>D06-I08</t>
        </is>
      </c>
      <c r="D305" s="18">
        <f>'P0-3_Scorecard'!L110</f>
        <v/>
      </c>
      <c r="E305" s="18">
        <f>'P0-3_Scorecard'!L74</f>
        <v/>
      </c>
      <c r="F305" s="18">
        <f>'P0-3_Scorecard'!M110</f>
        <v/>
      </c>
      <c r="G305" s="18">
        <f>'P0-3_Scorecard'!M74</f>
        <v/>
      </c>
      <c r="H305" s="18">
        <f>IF(OR(D305="",F305=""),"",D305-(F305*20))</f>
        <v/>
      </c>
      <c r="I305" s="18">
        <f>IF(OR(E305="",G305=""),"",E305-(G305*20))</f>
        <v/>
      </c>
      <c r="J305" s="18">
        <f>IF(OR(D305="",E305=""),"INCOMPLETE",IF(AND(D305&gt;=80,E305&lt;50),"CONTRADICTION",IF(AND(D305&gt;=70,E305&lt;70),"DEPENDENCY GAP","NO TRIGGER")))</f>
        <v/>
      </c>
      <c r="K305" s="18">
        <f>IF(J305="CONTRADICTION","HIGH",IF(J305="DEPENDENCY GAP","MEDIUM","—"))</f>
        <v/>
      </c>
      <c r="L305" s="18">
        <f>IF(J305="CONTRADICTION","Strong upstream claim is not supported by linked downstream capability/evidence. Trigger: Student development review.",IF(J305="DEPENDENCY GAP","Downstream capability materially trails upstream expectation. Trigger: Student development review.",""))</f>
        <v/>
      </c>
    </row>
    <row r="306">
      <c r="A306" s="18" t="inlineStr">
        <is>
          <t>CD18</t>
        </is>
      </c>
      <c r="B306" s="18" t="inlineStr">
        <is>
          <t>D09-I06</t>
        </is>
      </c>
      <c r="C306" s="18" t="inlineStr">
        <is>
          <t>D06-I09</t>
        </is>
      </c>
      <c r="D306" s="18">
        <f>'P0-3_Scorecard'!L110</f>
        <v/>
      </c>
      <c r="E306" s="18">
        <f>'P0-3_Scorecard'!L75</f>
        <v/>
      </c>
      <c r="F306" s="18">
        <f>'P0-3_Scorecard'!M110</f>
        <v/>
      </c>
      <c r="G306" s="18">
        <f>'P0-3_Scorecard'!M75</f>
        <v/>
      </c>
      <c r="H306" s="18">
        <f>IF(OR(D306="",F306=""),"",D306-(F306*20))</f>
        <v/>
      </c>
      <c r="I306" s="18">
        <f>IF(OR(E306="",G306=""),"",E306-(G306*20))</f>
        <v/>
      </c>
      <c r="J306" s="18">
        <f>IF(OR(D306="",E306=""),"INCOMPLETE",IF(AND(D306&gt;=80,E306&lt;50),"CONTRADICTION",IF(AND(D306&gt;=70,E306&lt;70),"DEPENDENCY GAP","NO TRIGGER")))</f>
        <v/>
      </c>
      <c r="K306" s="18">
        <f>IF(J306="CONTRADICTION","HIGH",IF(J306="DEPENDENCY GAP","MEDIUM","—"))</f>
        <v/>
      </c>
      <c r="L306" s="18">
        <f>IF(J306="CONTRADICTION","Strong upstream claim is not supported by linked downstream capability/evidence. Trigger: Student development review.",IF(J306="DEPENDENCY GAP","Downstream capability materially trails upstream expectation. Trigger: Student development review.",""))</f>
        <v/>
      </c>
    </row>
    <row r="307">
      <c r="A307" s="18" t="inlineStr">
        <is>
          <t>CD18</t>
        </is>
      </c>
      <c r="B307" s="18" t="inlineStr">
        <is>
          <t>D09-I06</t>
        </is>
      </c>
      <c r="C307" s="18" t="inlineStr">
        <is>
          <t>D06-I14</t>
        </is>
      </c>
      <c r="D307" s="18">
        <f>'P0-3_Scorecard'!L110</f>
        <v/>
      </c>
      <c r="E307" s="18">
        <f>'P0-3_Scorecard'!L80</f>
        <v/>
      </c>
      <c r="F307" s="18">
        <f>'P0-3_Scorecard'!M110</f>
        <v/>
      </c>
      <c r="G307" s="18">
        <f>'P0-3_Scorecard'!M80</f>
        <v/>
      </c>
      <c r="H307" s="18">
        <f>IF(OR(D307="",F307=""),"",D307-(F307*20))</f>
        <v/>
      </c>
      <c r="I307" s="18">
        <f>IF(OR(E307="",G307=""),"",E307-(G307*20))</f>
        <v/>
      </c>
      <c r="J307" s="18">
        <f>IF(OR(D307="",E307=""),"INCOMPLETE",IF(AND(D307&gt;=80,E307&lt;50),"CONTRADICTION",IF(AND(D307&gt;=70,E307&lt;70),"DEPENDENCY GAP","NO TRIGGER")))</f>
        <v/>
      </c>
      <c r="K307" s="18">
        <f>IF(J307="CONTRADICTION","HIGH",IF(J307="DEPENDENCY GAP","MEDIUM","—"))</f>
        <v/>
      </c>
      <c r="L307" s="18">
        <f>IF(J307="CONTRADICTION","Strong upstream claim is not supported by linked downstream capability/evidence. Trigger: Student development review.",IF(J307="DEPENDENCY GAP","Downstream capability materially trails upstream expectation. Trigger: Student development review.",""))</f>
        <v/>
      </c>
    </row>
    <row r="308">
      <c r="A308" s="18" t="inlineStr">
        <is>
          <t>CD18</t>
        </is>
      </c>
      <c r="B308" s="18" t="inlineStr">
        <is>
          <t>D09-I07</t>
        </is>
      </c>
      <c r="C308" s="18" t="inlineStr">
        <is>
          <t>D06-I07</t>
        </is>
      </c>
      <c r="D308" s="18">
        <f>'P0-3_Scorecard'!L111</f>
        <v/>
      </c>
      <c r="E308" s="18">
        <f>'P0-3_Scorecard'!L73</f>
        <v/>
      </c>
      <c r="F308" s="18">
        <f>'P0-3_Scorecard'!M111</f>
        <v/>
      </c>
      <c r="G308" s="18">
        <f>'P0-3_Scorecard'!M73</f>
        <v/>
      </c>
      <c r="H308" s="18">
        <f>IF(OR(D308="",F308=""),"",D308-(F308*20))</f>
        <v/>
      </c>
      <c r="I308" s="18">
        <f>IF(OR(E308="",G308=""),"",E308-(G308*20))</f>
        <v/>
      </c>
      <c r="J308" s="18">
        <f>IF(OR(D308="",E308=""),"INCOMPLETE",IF(AND(D308&gt;=80,E308&lt;50),"CONTRADICTION",IF(AND(D308&gt;=70,E308&lt;70),"DEPENDENCY GAP","NO TRIGGER")))</f>
        <v/>
      </c>
      <c r="K308" s="18">
        <f>IF(J308="CONTRADICTION","HIGH",IF(J308="DEPENDENCY GAP","MEDIUM","—"))</f>
        <v/>
      </c>
      <c r="L308" s="18">
        <f>IF(J308="CONTRADICTION","Strong upstream claim is not supported by linked downstream capability/evidence. Trigger: Student development review.",IF(J308="DEPENDENCY GAP","Downstream capability materially trails upstream expectation. Trigger: Student development review.",""))</f>
        <v/>
      </c>
    </row>
    <row r="309">
      <c r="A309" s="18" t="inlineStr">
        <is>
          <t>CD18</t>
        </is>
      </c>
      <c r="B309" s="18" t="inlineStr">
        <is>
          <t>D09-I07</t>
        </is>
      </c>
      <c r="C309" s="18" t="inlineStr">
        <is>
          <t>D06-I08</t>
        </is>
      </c>
      <c r="D309" s="18">
        <f>'P0-3_Scorecard'!L111</f>
        <v/>
      </c>
      <c r="E309" s="18">
        <f>'P0-3_Scorecard'!L74</f>
        <v/>
      </c>
      <c r="F309" s="18">
        <f>'P0-3_Scorecard'!M111</f>
        <v/>
      </c>
      <c r="G309" s="18">
        <f>'P0-3_Scorecard'!M74</f>
        <v/>
      </c>
      <c r="H309" s="18">
        <f>IF(OR(D309="",F309=""),"",D309-(F309*20))</f>
        <v/>
      </c>
      <c r="I309" s="18">
        <f>IF(OR(E309="",G309=""),"",E309-(G309*20))</f>
        <v/>
      </c>
      <c r="J309" s="18">
        <f>IF(OR(D309="",E309=""),"INCOMPLETE",IF(AND(D309&gt;=80,E309&lt;50),"CONTRADICTION",IF(AND(D309&gt;=70,E309&lt;70),"DEPENDENCY GAP","NO TRIGGER")))</f>
        <v/>
      </c>
      <c r="K309" s="18">
        <f>IF(J309="CONTRADICTION","HIGH",IF(J309="DEPENDENCY GAP","MEDIUM","—"))</f>
        <v/>
      </c>
      <c r="L309" s="18">
        <f>IF(J309="CONTRADICTION","Strong upstream claim is not supported by linked downstream capability/evidence. Trigger: Student development review.",IF(J309="DEPENDENCY GAP","Downstream capability materially trails upstream expectation. Trigger: Student development review.",""))</f>
        <v/>
      </c>
    </row>
    <row r="310">
      <c r="A310" s="18" t="inlineStr">
        <is>
          <t>CD18</t>
        </is>
      </c>
      <c r="B310" s="18" t="inlineStr">
        <is>
          <t>D09-I07</t>
        </is>
      </c>
      <c r="C310" s="18" t="inlineStr">
        <is>
          <t>D06-I09</t>
        </is>
      </c>
      <c r="D310" s="18">
        <f>'P0-3_Scorecard'!L111</f>
        <v/>
      </c>
      <c r="E310" s="18">
        <f>'P0-3_Scorecard'!L75</f>
        <v/>
      </c>
      <c r="F310" s="18">
        <f>'P0-3_Scorecard'!M111</f>
        <v/>
      </c>
      <c r="G310" s="18">
        <f>'P0-3_Scorecard'!M75</f>
        <v/>
      </c>
      <c r="H310" s="18">
        <f>IF(OR(D310="",F310=""),"",D310-(F310*20))</f>
        <v/>
      </c>
      <c r="I310" s="18">
        <f>IF(OR(E310="",G310=""),"",E310-(G310*20))</f>
        <v/>
      </c>
      <c r="J310" s="18">
        <f>IF(OR(D310="",E310=""),"INCOMPLETE",IF(AND(D310&gt;=80,E310&lt;50),"CONTRADICTION",IF(AND(D310&gt;=70,E310&lt;70),"DEPENDENCY GAP","NO TRIGGER")))</f>
        <v/>
      </c>
      <c r="K310" s="18">
        <f>IF(J310="CONTRADICTION","HIGH",IF(J310="DEPENDENCY GAP","MEDIUM","—"))</f>
        <v/>
      </c>
      <c r="L310" s="18">
        <f>IF(J310="CONTRADICTION","Strong upstream claim is not supported by linked downstream capability/evidence. Trigger: Student development review.",IF(J310="DEPENDENCY GAP","Downstream capability materially trails upstream expectation. Trigger: Student development review.",""))</f>
        <v/>
      </c>
    </row>
    <row r="311">
      <c r="A311" s="18" t="inlineStr">
        <is>
          <t>CD18</t>
        </is>
      </c>
      <c r="B311" s="18" t="inlineStr">
        <is>
          <t>D09-I07</t>
        </is>
      </c>
      <c r="C311" s="18" t="inlineStr">
        <is>
          <t>D06-I14</t>
        </is>
      </c>
      <c r="D311" s="18">
        <f>'P0-3_Scorecard'!L111</f>
        <v/>
      </c>
      <c r="E311" s="18">
        <f>'P0-3_Scorecard'!L80</f>
        <v/>
      </c>
      <c r="F311" s="18">
        <f>'P0-3_Scorecard'!M111</f>
        <v/>
      </c>
      <c r="G311" s="18">
        <f>'P0-3_Scorecard'!M80</f>
        <v/>
      </c>
      <c r="H311" s="18">
        <f>IF(OR(D311="",F311=""),"",D311-(F311*20))</f>
        <v/>
      </c>
      <c r="I311" s="18">
        <f>IF(OR(E311="",G311=""),"",E311-(G311*20))</f>
        <v/>
      </c>
      <c r="J311" s="18">
        <f>IF(OR(D311="",E311=""),"INCOMPLETE",IF(AND(D311&gt;=80,E311&lt;50),"CONTRADICTION",IF(AND(D311&gt;=70,E311&lt;70),"DEPENDENCY GAP","NO TRIGGER")))</f>
        <v/>
      </c>
      <c r="K311" s="18">
        <f>IF(J311="CONTRADICTION","HIGH",IF(J311="DEPENDENCY GAP","MEDIUM","—"))</f>
        <v/>
      </c>
      <c r="L311" s="18">
        <f>IF(J311="CONTRADICTION","Strong upstream claim is not supported by linked downstream capability/evidence. Trigger: Student development review.",IF(J311="DEPENDENCY GAP","Downstream capability materially trails upstream expectation. Trigger: Student development review.",""))</f>
        <v/>
      </c>
    </row>
    <row r="312">
      <c r="A312" s="18" t="inlineStr">
        <is>
          <t>CD18</t>
        </is>
      </c>
      <c r="B312" s="18" t="inlineStr">
        <is>
          <t>D09-I12</t>
        </is>
      </c>
      <c r="C312" s="18" t="inlineStr">
        <is>
          <t>D06-I07</t>
        </is>
      </c>
      <c r="D312" s="18">
        <f>'P0-3_Scorecard'!L116</f>
        <v/>
      </c>
      <c r="E312" s="18">
        <f>'P0-3_Scorecard'!L73</f>
        <v/>
      </c>
      <c r="F312" s="18">
        <f>'P0-3_Scorecard'!M116</f>
        <v/>
      </c>
      <c r="G312" s="18">
        <f>'P0-3_Scorecard'!M73</f>
        <v/>
      </c>
      <c r="H312" s="18">
        <f>IF(OR(D312="",F312=""),"",D312-(F312*20))</f>
        <v/>
      </c>
      <c r="I312" s="18">
        <f>IF(OR(E312="",G312=""),"",E312-(G312*20))</f>
        <v/>
      </c>
      <c r="J312" s="18">
        <f>IF(OR(D312="",E312=""),"INCOMPLETE",IF(AND(D312&gt;=80,E312&lt;50),"CONTRADICTION",IF(AND(D312&gt;=70,E312&lt;70),"DEPENDENCY GAP","NO TRIGGER")))</f>
        <v/>
      </c>
      <c r="K312" s="18">
        <f>IF(J312="CONTRADICTION","HIGH",IF(J312="DEPENDENCY GAP","MEDIUM","—"))</f>
        <v/>
      </c>
      <c r="L312" s="18">
        <f>IF(J312="CONTRADICTION","Strong upstream claim is not supported by linked downstream capability/evidence. Trigger: Student development review.",IF(J312="DEPENDENCY GAP","Downstream capability materially trails upstream expectation. Trigger: Student development review.",""))</f>
        <v/>
      </c>
    </row>
    <row r="313">
      <c r="A313" s="18" t="inlineStr">
        <is>
          <t>CD18</t>
        </is>
      </c>
      <c r="B313" s="18" t="inlineStr">
        <is>
          <t>D09-I12</t>
        </is>
      </c>
      <c r="C313" s="18" t="inlineStr">
        <is>
          <t>D06-I08</t>
        </is>
      </c>
      <c r="D313" s="18">
        <f>'P0-3_Scorecard'!L116</f>
        <v/>
      </c>
      <c r="E313" s="18">
        <f>'P0-3_Scorecard'!L74</f>
        <v/>
      </c>
      <c r="F313" s="18">
        <f>'P0-3_Scorecard'!M116</f>
        <v/>
      </c>
      <c r="G313" s="18">
        <f>'P0-3_Scorecard'!M74</f>
        <v/>
      </c>
      <c r="H313" s="18">
        <f>IF(OR(D313="",F313=""),"",D313-(F313*20))</f>
        <v/>
      </c>
      <c r="I313" s="18">
        <f>IF(OR(E313="",G313=""),"",E313-(G313*20))</f>
        <v/>
      </c>
      <c r="J313" s="18">
        <f>IF(OR(D313="",E313=""),"INCOMPLETE",IF(AND(D313&gt;=80,E313&lt;50),"CONTRADICTION",IF(AND(D313&gt;=70,E313&lt;70),"DEPENDENCY GAP","NO TRIGGER")))</f>
        <v/>
      </c>
      <c r="K313" s="18">
        <f>IF(J313="CONTRADICTION","HIGH",IF(J313="DEPENDENCY GAP","MEDIUM","—"))</f>
        <v/>
      </c>
      <c r="L313" s="18">
        <f>IF(J313="CONTRADICTION","Strong upstream claim is not supported by linked downstream capability/evidence. Trigger: Student development review.",IF(J313="DEPENDENCY GAP","Downstream capability materially trails upstream expectation. Trigger: Student development review.",""))</f>
        <v/>
      </c>
    </row>
    <row r="314">
      <c r="A314" s="18" t="inlineStr">
        <is>
          <t>CD18</t>
        </is>
      </c>
      <c r="B314" s="18" t="inlineStr">
        <is>
          <t>D09-I12</t>
        </is>
      </c>
      <c r="C314" s="18" t="inlineStr">
        <is>
          <t>D06-I09</t>
        </is>
      </c>
      <c r="D314" s="18">
        <f>'P0-3_Scorecard'!L116</f>
        <v/>
      </c>
      <c r="E314" s="18">
        <f>'P0-3_Scorecard'!L75</f>
        <v/>
      </c>
      <c r="F314" s="18">
        <f>'P0-3_Scorecard'!M116</f>
        <v/>
      </c>
      <c r="G314" s="18">
        <f>'P0-3_Scorecard'!M75</f>
        <v/>
      </c>
      <c r="H314" s="18">
        <f>IF(OR(D314="",F314=""),"",D314-(F314*20))</f>
        <v/>
      </c>
      <c r="I314" s="18">
        <f>IF(OR(E314="",G314=""),"",E314-(G314*20))</f>
        <v/>
      </c>
      <c r="J314" s="18">
        <f>IF(OR(D314="",E314=""),"INCOMPLETE",IF(AND(D314&gt;=80,E314&lt;50),"CONTRADICTION",IF(AND(D314&gt;=70,E314&lt;70),"DEPENDENCY GAP","NO TRIGGER")))</f>
        <v/>
      </c>
      <c r="K314" s="18">
        <f>IF(J314="CONTRADICTION","HIGH",IF(J314="DEPENDENCY GAP","MEDIUM","—"))</f>
        <v/>
      </c>
      <c r="L314" s="18">
        <f>IF(J314="CONTRADICTION","Strong upstream claim is not supported by linked downstream capability/evidence. Trigger: Student development review.",IF(J314="DEPENDENCY GAP","Downstream capability materially trails upstream expectation. Trigger: Student development review.",""))</f>
        <v/>
      </c>
    </row>
    <row r="315">
      <c r="A315" s="18" t="inlineStr">
        <is>
          <t>CD18</t>
        </is>
      </c>
      <c r="B315" s="18" t="inlineStr">
        <is>
          <t>D09-I12</t>
        </is>
      </c>
      <c r="C315" s="18" t="inlineStr">
        <is>
          <t>D06-I14</t>
        </is>
      </c>
      <c r="D315" s="18">
        <f>'P0-3_Scorecard'!L116</f>
        <v/>
      </c>
      <c r="E315" s="18">
        <f>'P0-3_Scorecard'!L80</f>
        <v/>
      </c>
      <c r="F315" s="18">
        <f>'P0-3_Scorecard'!M116</f>
        <v/>
      </c>
      <c r="G315" s="18">
        <f>'P0-3_Scorecard'!M80</f>
        <v/>
      </c>
      <c r="H315" s="18">
        <f>IF(OR(D315="",F315=""),"",D315-(F315*20))</f>
        <v/>
      </c>
      <c r="I315" s="18">
        <f>IF(OR(E315="",G315=""),"",E315-(G315*20))</f>
        <v/>
      </c>
      <c r="J315" s="18">
        <f>IF(OR(D315="",E315=""),"INCOMPLETE",IF(AND(D315&gt;=80,E315&lt;50),"CONTRADICTION",IF(AND(D315&gt;=70,E315&lt;70),"DEPENDENCY GAP","NO TRIGGER")))</f>
        <v/>
      </c>
      <c r="K315" s="18">
        <f>IF(J315="CONTRADICTION","HIGH",IF(J315="DEPENDENCY GAP","MEDIUM","—"))</f>
        <v/>
      </c>
      <c r="L315" s="18">
        <f>IF(J315="CONTRADICTION","Strong upstream claim is not supported by linked downstream capability/evidence. Trigger: Student development review.",IF(J315="DEPENDENCY GAP","Downstream capability materially trails upstream expectation. Trigger: Student development review.",""))</f>
        <v/>
      </c>
    </row>
    <row r="316">
      <c r="A316" s="18" t="inlineStr">
        <is>
          <t>CD19</t>
        </is>
      </c>
      <c r="B316" s="18" t="inlineStr">
        <is>
          <t>D10-I03</t>
        </is>
      </c>
      <c r="C316" s="18" t="inlineStr">
        <is>
          <t>D03-I05</t>
        </is>
      </c>
      <c r="D316" s="18">
        <f>'P0-3_Scorecard'!L119</f>
        <v/>
      </c>
      <c r="E316" s="18">
        <f>'P0-3_Scorecard'!L30</f>
        <v/>
      </c>
      <c r="F316" s="18">
        <f>'P0-3_Scorecard'!M119</f>
        <v/>
      </c>
      <c r="G316" s="18">
        <f>'P0-3_Scorecard'!M30</f>
        <v/>
      </c>
      <c r="H316" s="18">
        <f>IF(OR(D316="",F316=""),"",D316-(F316*20))</f>
        <v/>
      </c>
      <c r="I316" s="18">
        <f>IF(OR(E316="",G316=""),"",E316-(G316*20))</f>
        <v/>
      </c>
      <c r="J316" s="18">
        <f>IF(OR(D316="",E316=""),"INCOMPLETE",IF(AND(D316&gt;=80,E316&lt;50),"CONTRADICTION",IF(AND(D316&gt;=70,E316&lt;70),"DEPENDENCY GAP","NO TRIGGER")))</f>
        <v/>
      </c>
      <c r="K316" s="18">
        <f>IF(J316="CONTRADICTION","HIGH",IF(J316="DEPENDENCY GAP","MEDIUM","—"))</f>
        <v/>
      </c>
      <c r="L316" s="18">
        <f>IF(J316="CONTRADICTION","Strong upstream claim is not supported by linked downstream capability/evidence. Trigger: Research-learning review.",IF(J316="DEPENDENCY GAP","Downstream capability materially trails upstream expectation. Trigger: Research-learning review.",""))</f>
        <v/>
      </c>
    </row>
    <row r="317">
      <c r="A317" s="18" t="inlineStr">
        <is>
          <t>CD19</t>
        </is>
      </c>
      <c r="B317" s="18" t="inlineStr">
        <is>
          <t>D10-I03</t>
        </is>
      </c>
      <c r="C317" s="18" t="inlineStr">
        <is>
          <t>D03-I06</t>
        </is>
      </c>
      <c r="D317" s="18">
        <f>'P0-3_Scorecard'!L119</f>
        <v/>
      </c>
      <c r="E317" s="18">
        <f>'P0-3_Scorecard'!L31</f>
        <v/>
      </c>
      <c r="F317" s="18">
        <f>'P0-3_Scorecard'!M119</f>
        <v/>
      </c>
      <c r="G317" s="18">
        <f>'P0-3_Scorecard'!M31</f>
        <v/>
      </c>
      <c r="H317" s="18">
        <f>IF(OR(D317="",F317=""),"",D317-(F317*20))</f>
        <v/>
      </c>
      <c r="I317" s="18">
        <f>IF(OR(E317="",G317=""),"",E317-(G317*20))</f>
        <v/>
      </c>
      <c r="J317" s="18">
        <f>IF(OR(D317="",E317=""),"INCOMPLETE",IF(AND(D317&gt;=80,E317&lt;50),"CONTRADICTION",IF(AND(D317&gt;=70,E317&lt;70),"DEPENDENCY GAP","NO TRIGGER")))</f>
        <v/>
      </c>
      <c r="K317" s="18">
        <f>IF(J317="CONTRADICTION","HIGH",IF(J317="DEPENDENCY GAP","MEDIUM","—"))</f>
        <v/>
      </c>
      <c r="L317" s="18">
        <f>IF(J317="CONTRADICTION","Strong upstream claim is not supported by linked downstream capability/evidence. Trigger: Research-learning review.",IF(J317="DEPENDENCY GAP","Downstream capability materially trails upstream expectation. Trigger: Research-learning review.",""))</f>
        <v/>
      </c>
    </row>
    <row r="318">
      <c r="A318" s="18" t="inlineStr">
        <is>
          <t>CD19</t>
        </is>
      </c>
      <c r="B318" s="18" t="inlineStr">
        <is>
          <t>D10-I03</t>
        </is>
      </c>
      <c r="C318" s="18" t="inlineStr">
        <is>
          <t>D03-I07</t>
        </is>
      </c>
      <c r="D318" s="18">
        <f>'P0-3_Scorecard'!L119</f>
        <v/>
      </c>
      <c r="E318" s="18">
        <f>'P0-3_Scorecard'!L32</f>
        <v/>
      </c>
      <c r="F318" s="18">
        <f>'P0-3_Scorecard'!M119</f>
        <v/>
      </c>
      <c r="G318" s="18">
        <f>'P0-3_Scorecard'!M32</f>
        <v/>
      </c>
      <c r="H318" s="18">
        <f>IF(OR(D318="",F318=""),"",D318-(F318*20))</f>
        <v/>
      </c>
      <c r="I318" s="18">
        <f>IF(OR(E318="",G318=""),"",E318-(G318*20))</f>
        <v/>
      </c>
      <c r="J318" s="18">
        <f>IF(OR(D318="",E318=""),"INCOMPLETE",IF(AND(D318&gt;=80,E318&lt;50),"CONTRADICTION",IF(AND(D318&gt;=70,E318&lt;70),"DEPENDENCY GAP","NO TRIGGER")))</f>
        <v/>
      </c>
      <c r="K318" s="18">
        <f>IF(J318="CONTRADICTION","HIGH",IF(J318="DEPENDENCY GAP","MEDIUM","—"))</f>
        <v/>
      </c>
      <c r="L318" s="18">
        <f>IF(J318="CONTRADICTION","Strong upstream claim is not supported by linked downstream capability/evidence. Trigger: Research-learning review.",IF(J318="DEPENDENCY GAP","Downstream capability materially trails upstream expectation. Trigger: Research-learning review.",""))</f>
        <v/>
      </c>
    </row>
    <row r="319">
      <c r="A319" s="18" t="inlineStr">
        <is>
          <t>CD19</t>
        </is>
      </c>
      <c r="B319" s="18" t="inlineStr">
        <is>
          <t>D10-I03</t>
        </is>
      </c>
      <c r="C319" s="18" t="inlineStr">
        <is>
          <t>D03-I13</t>
        </is>
      </c>
      <c r="D319" s="18">
        <f>'P0-3_Scorecard'!L119</f>
        <v/>
      </c>
      <c r="E319" s="18">
        <f>'P0-3_Scorecard'!L38</f>
        <v/>
      </c>
      <c r="F319" s="18">
        <f>'P0-3_Scorecard'!M119</f>
        <v/>
      </c>
      <c r="G319" s="18">
        <f>'P0-3_Scorecard'!M38</f>
        <v/>
      </c>
      <c r="H319" s="18">
        <f>IF(OR(D319="",F319=""),"",D319-(F319*20))</f>
        <v/>
      </c>
      <c r="I319" s="18">
        <f>IF(OR(E319="",G319=""),"",E319-(G319*20))</f>
        <v/>
      </c>
      <c r="J319" s="18">
        <f>IF(OR(D319="",E319=""),"INCOMPLETE",IF(AND(D319&gt;=80,E319&lt;50),"CONTRADICTION",IF(AND(D319&gt;=70,E319&lt;70),"DEPENDENCY GAP","NO TRIGGER")))</f>
        <v/>
      </c>
      <c r="K319" s="18">
        <f>IF(J319="CONTRADICTION","HIGH",IF(J319="DEPENDENCY GAP","MEDIUM","—"))</f>
        <v/>
      </c>
      <c r="L319" s="18">
        <f>IF(J319="CONTRADICTION","Strong upstream claim is not supported by linked downstream capability/evidence. Trigger: Research-learning review.",IF(J319="DEPENDENCY GAP","Downstream capability materially trails upstream expectation. Trigger: Research-learning review.",""))</f>
        <v/>
      </c>
    </row>
    <row r="320">
      <c r="A320" s="18" t="inlineStr">
        <is>
          <t>CD19</t>
        </is>
      </c>
      <c r="B320" s="18" t="inlineStr">
        <is>
          <t>D10-I03</t>
        </is>
      </c>
      <c r="C320" s="18" t="inlineStr">
        <is>
          <t>D03-I16</t>
        </is>
      </c>
      <c r="D320" s="18">
        <f>'P0-3_Scorecard'!L119</f>
        <v/>
      </c>
      <c r="E320" s="18">
        <f>'P0-3_Scorecard'!L41</f>
        <v/>
      </c>
      <c r="F320" s="18">
        <f>'P0-3_Scorecard'!M119</f>
        <v/>
      </c>
      <c r="G320" s="18">
        <f>'P0-3_Scorecard'!M41</f>
        <v/>
      </c>
      <c r="H320" s="18">
        <f>IF(OR(D320="",F320=""),"",D320-(F320*20))</f>
        <v/>
      </c>
      <c r="I320" s="18">
        <f>IF(OR(E320="",G320=""),"",E320-(G320*20))</f>
        <v/>
      </c>
      <c r="J320" s="18">
        <f>IF(OR(D320="",E320=""),"INCOMPLETE",IF(AND(D320&gt;=80,E320&lt;50),"CONTRADICTION",IF(AND(D320&gt;=70,E320&lt;70),"DEPENDENCY GAP","NO TRIGGER")))</f>
        <v/>
      </c>
      <c r="K320" s="18">
        <f>IF(J320="CONTRADICTION","HIGH",IF(J320="DEPENDENCY GAP","MEDIUM","—"))</f>
        <v/>
      </c>
      <c r="L320" s="18">
        <f>IF(J320="CONTRADICTION","Strong upstream claim is not supported by linked downstream capability/evidence. Trigger: Research-learning review.",IF(J320="DEPENDENCY GAP","Downstream capability materially trails upstream expectation. Trigger: Research-learning review.",""))</f>
        <v/>
      </c>
    </row>
    <row r="321">
      <c r="A321" s="18" t="inlineStr">
        <is>
          <t>CD19</t>
        </is>
      </c>
      <c r="B321" s="18" t="inlineStr">
        <is>
          <t>D10-I08</t>
        </is>
      </c>
      <c r="C321" s="18" t="inlineStr">
        <is>
          <t>D03-I05</t>
        </is>
      </c>
      <c r="D321" s="18">
        <f>'P0-3_Scorecard'!L124</f>
        <v/>
      </c>
      <c r="E321" s="18">
        <f>'P0-3_Scorecard'!L30</f>
        <v/>
      </c>
      <c r="F321" s="18">
        <f>'P0-3_Scorecard'!M124</f>
        <v/>
      </c>
      <c r="G321" s="18">
        <f>'P0-3_Scorecard'!M30</f>
        <v/>
      </c>
      <c r="H321" s="18">
        <f>IF(OR(D321="",F321=""),"",D321-(F321*20))</f>
        <v/>
      </c>
      <c r="I321" s="18">
        <f>IF(OR(E321="",G321=""),"",E321-(G321*20))</f>
        <v/>
      </c>
      <c r="J321" s="18">
        <f>IF(OR(D321="",E321=""),"INCOMPLETE",IF(AND(D321&gt;=80,E321&lt;50),"CONTRADICTION",IF(AND(D321&gt;=70,E321&lt;70),"DEPENDENCY GAP","NO TRIGGER")))</f>
        <v/>
      </c>
      <c r="K321" s="18">
        <f>IF(J321="CONTRADICTION","HIGH",IF(J321="DEPENDENCY GAP","MEDIUM","—"))</f>
        <v/>
      </c>
      <c r="L321" s="18">
        <f>IF(J321="CONTRADICTION","Strong upstream claim is not supported by linked downstream capability/evidence. Trigger: Research-learning review.",IF(J321="DEPENDENCY GAP","Downstream capability materially trails upstream expectation. Trigger: Research-learning review.",""))</f>
        <v/>
      </c>
    </row>
    <row r="322">
      <c r="A322" s="18" t="inlineStr">
        <is>
          <t>CD19</t>
        </is>
      </c>
      <c r="B322" s="18" t="inlineStr">
        <is>
          <t>D10-I08</t>
        </is>
      </c>
      <c r="C322" s="18" t="inlineStr">
        <is>
          <t>D03-I06</t>
        </is>
      </c>
      <c r="D322" s="18">
        <f>'P0-3_Scorecard'!L124</f>
        <v/>
      </c>
      <c r="E322" s="18">
        <f>'P0-3_Scorecard'!L31</f>
        <v/>
      </c>
      <c r="F322" s="18">
        <f>'P0-3_Scorecard'!M124</f>
        <v/>
      </c>
      <c r="G322" s="18">
        <f>'P0-3_Scorecard'!M31</f>
        <v/>
      </c>
      <c r="H322" s="18">
        <f>IF(OR(D322="",F322=""),"",D322-(F322*20))</f>
        <v/>
      </c>
      <c r="I322" s="18">
        <f>IF(OR(E322="",G322=""),"",E322-(G322*20))</f>
        <v/>
      </c>
      <c r="J322" s="18">
        <f>IF(OR(D322="",E322=""),"INCOMPLETE",IF(AND(D322&gt;=80,E322&lt;50),"CONTRADICTION",IF(AND(D322&gt;=70,E322&lt;70),"DEPENDENCY GAP","NO TRIGGER")))</f>
        <v/>
      </c>
      <c r="K322" s="18">
        <f>IF(J322="CONTRADICTION","HIGH",IF(J322="DEPENDENCY GAP","MEDIUM","—"))</f>
        <v/>
      </c>
      <c r="L322" s="18">
        <f>IF(J322="CONTRADICTION","Strong upstream claim is not supported by linked downstream capability/evidence. Trigger: Research-learning review.",IF(J322="DEPENDENCY GAP","Downstream capability materially trails upstream expectation. Trigger: Research-learning review.",""))</f>
        <v/>
      </c>
    </row>
    <row r="323">
      <c r="A323" s="18" t="inlineStr">
        <is>
          <t>CD19</t>
        </is>
      </c>
      <c r="B323" s="18" t="inlineStr">
        <is>
          <t>D10-I08</t>
        </is>
      </c>
      <c r="C323" s="18" t="inlineStr">
        <is>
          <t>D03-I07</t>
        </is>
      </c>
      <c r="D323" s="18">
        <f>'P0-3_Scorecard'!L124</f>
        <v/>
      </c>
      <c r="E323" s="18">
        <f>'P0-3_Scorecard'!L32</f>
        <v/>
      </c>
      <c r="F323" s="18">
        <f>'P0-3_Scorecard'!M124</f>
        <v/>
      </c>
      <c r="G323" s="18">
        <f>'P0-3_Scorecard'!M32</f>
        <v/>
      </c>
      <c r="H323" s="18">
        <f>IF(OR(D323="",F323=""),"",D323-(F323*20))</f>
        <v/>
      </c>
      <c r="I323" s="18">
        <f>IF(OR(E323="",G323=""),"",E323-(G323*20))</f>
        <v/>
      </c>
      <c r="J323" s="18">
        <f>IF(OR(D323="",E323=""),"INCOMPLETE",IF(AND(D323&gt;=80,E323&lt;50),"CONTRADICTION",IF(AND(D323&gt;=70,E323&lt;70),"DEPENDENCY GAP","NO TRIGGER")))</f>
        <v/>
      </c>
      <c r="K323" s="18">
        <f>IF(J323="CONTRADICTION","HIGH",IF(J323="DEPENDENCY GAP","MEDIUM","—"))</f>
        <v/>
      </c>
      <c r="L323" s="18">
        <f>IF(J323="CONTRADICTION","Strong upstream claim is not supported by linked downstream capability/evidence. Trigger: Research-learning review.",IF(J323="DEPENDENCY GAP","Downstream capability materially trails upstream expectation. Trigger: Research-learning review.",""))</f>
        <v/>
      </c>
    </row>
    <row r="324">
      <c r="A324" s="18" t="inlineStr">
        <is>
          <t>CD19</t>
        </is>
      </c>
      <c r="B324" s="18" t="inlineStr">
        <is>
          <t>D10-I08</t>
        </is>
      </c>
      <c r="C324" s="18" t="inlineStr">
        <is>
          <t>D03-I13</t>
        </is>
      </c>
      <c r="D324" s="18">
        <f>'P0-3_Scorecard'!L124</f>
        <v/>
      </c>
      <c r="E324" s="18">
        <f>'P0-3_Scorecard'!L38</f>
        <v/>
      </c>
      <c r="F324" s="18">
        <f>'P0-3_Scorecard'!M124</f>
        <v/>
      </c>
      <c r="G324" s="18">
        <f>'P0-3_Scorecard'!M38</f>
        <v/>
      </c>
      <c r="H324" s="18">
        <f>IF(OR(D324="",F324=""),"",D324-(F324*20))</f>
        <v/>
      </c>
      <c r="I324" s="18">
        <f>IF(OR(E324="",G324=""),"",E324-(G324*20))</f>
        <v/>
      </c>
      <c r="J324" s="18">
        <f>IF(OR(D324="",E324=""),"INCOMPLETE",IF(AND(D324&gt;=80,E324&lt;50),"CONTRADICTION",IF(AND(D324&gt;=70,E324&lt;70),"DEPENDENCY GAP","NO TRIGGER")))</f>
        <v/>
      </c>
      <c r="K324" s="18">
        <f>IF(J324="CONTRADICTION","HIGH",IF(J324="DEPENDENCY GAP","MEDIUM","—"))</f>
        <v/>
      </c>
      <c r="L324" s="18">
        <f>IF(J324="CONTRADICTION","Strong upstream claim is not supported by linked downstream capability/evidence. Trigger: Research-learning review.",IF(J324="DEPENDENCY GAP","Downstream capability materially trails upstream expectation. Trigger: Research-learning review.",""))</f>
        <v/>
      </c>
    </row>
    <row r="325">
      <c r="A325" s="18" t="inlineStr">
        <is>
          <t>CD19</t>
        </is>
      </c>
      <c r="B325" s="18" t="inlineStr">
        <is>
          <t>D10-I08</t>
        </is>
      </c>
      <c r="C325" s="18" t="inlineStr">
        <is>
          <t>D03-I16</t>
        </is>
      </c>
      <c r="D325" s="18">
        <f>'P0-3_Scorecard'!L124</f>
        <v/>
      </c>
      <c r="E325" s="18">
        <f>'P0-3_Scorecard'!L41</f>
        <v/>
      </c>
      <c r="F325" s="18">
        <f>'P0-3_Scorecard'!M124</f>
        <v/>
      </c>
      <c r="G325" s="18">
        <f>'P0-3_Scorecard'!M41</f>
        <v/>
      </c>
      <c r="H325" s="18">
        <f>IF(OR(D325="",F325=""),"",D325-(F325*20))</f>
        <v/>
      </c>
      <c r="I325" s="18">
        <f>IF(OR(E325="",G325=""),"",E325-(G325*20))</f>
        <v/>
      </c>
      <c r="J325" s="18">
        <f>IF(OR(D325="",E325=""),"INCOMPLETE",IF(AND(D325&gt;=80,E325&lt;50),"CONTRADICTION",IF(AND(D325&gt;=70,E325&lt;70),"DEPENDENCY GAP","NO TRIGGER")))</f>
        <v/>
      </c>
      <c r="K325" s="18">
        <f>IF(J325="CONTRADICTION","HIGH",IF(J325="DEPENDENCY GAP","MEDIUM","—"))</f>
        <v/>
      </c>
      <c r="L325" s="18">
        <f>IF(J325="CONTRADICTION","Strong upstream claim is not supported by linked downstream capability/evidence. Trigger: Research-learning review.",IF(J325="DEPENDENCY GAP","Downstream capability materially trails upstream expectation. Trigger: Research-learning review.",""))</f>
        <v/>
      </c>
    </row>
    <row r="326">
      <c r="A326" s="18" t="inlineStr">
        <is>
          <t>CD19</t>
        </is>
      </c>
      <c r="B326" s="18" t="inlineStr">
        <is>
          <t>D10-I14</t>
        </is>
      </c>
      <c r="C326" s="18" t="inlineStr">
        <is>
          <t>D03-I05</t>
        </is>
      </c>
      <c r="D326" s="18">
        <f>'P0-3_Scorecard'!L130</f>
        <v/>
      </c>
      <c r="E326" s="18">
        <f>'P0-3_Scorecard'!L30</f>
        <v/>
      </c>
      <c r="F326" s="18">
        <f>'P0-3_Scorecard'!M130</f>
        <v/>
      </c>
      <c r="G326" s="18">
        <f>'P0-3_Scorecard'!M30</f>
        <v/>
      </c>
      <c r="H326" s="18">
        <f>IF(OR(D326="",F326=""),"",D326-(F326*20))</f>
        <v/>
      </c>
      <c r="I326" s="18">
        <f>IF(OR(E326="",G326=""),"",E326-(G326*20))</f>
        <v/>
      </c>
      <c r="J326" s="18">
        <f>IF(OR(D326="",E326=""),"INCOMPLETE",IF(AND(D326&gt;=80,E326&lt;50),"CONTRADICTION",IF(AND(D326&gt;=70,E326&lt;70),"DEPENDENCY GAP","NO TRIGGER")))</f>
        <v/>
      </c>
      <c r="K326" s="18">
        <f>IF(J326="CONTRADICTION","HIGH",IF(J326="DEPENDENCY GAP","MEDIUM","—"))</f>
        <v/>
      </c>
      <c r="L326" s="18">
        <f>IF(J326="CONTRADICTION","Strong upstream claim is not supported by linked downstream capability/evidence. Trigger: Research-learning review.",IF(J326="DEPENDENCY GAP","Downstream capability materially trails upstream expectation. Trigger: Research-learning review.",""))</f>
        <v/>
      </c>
    </row>
    <row r="327">
      <c r="A327" s="18" t="inlineStr">
        <is>
          <t>CD19</t>
        </is>
      </c>
      <c r="B327" s="18" t="inlineStr">
        <is>
          <t>D10-I14</t>
        </is>
      </c>
      <c r="C327" s="18" t="inlineStr">
        <is>
          <t>D03-I06</t>
        </is>
      </c>
      <c r="D327" s="18">
        <f>'P0-3_Scorecard'!L130</f>
        <v/>
      </c>
      <c r="E327" s="18">
        <f>'P0-3_Scorecard'!L31</f>
        <v/>
      </c>
      <c r="F327" s="18">
        <f>'P0-3_Scorecard'!M130</f>
        <v/>
      </c>
      <c r="G327" s="18">
        <f>'P0-3_Scorecard'!M31</f>
        <v/>
      </c>
      <c r="H327" s="18">
        <f>IF(OR(D327="",F327=""),"",D327-(F327*20))</f>
        <v/>
      </c>
      <c r="I327" s="18">
        <f>IF(OR(E327="",G327=""),"",E327-(G327*20))</f>
        <v/>
      </c>
      <c r="J327" s="18">
        <f>IF(OR(D327="",E327=""),"INCOMPLETE",IF(AND(D327&gt;=80,E327&lt;50),"CONTRADICTION",IF(AND(D327&gt;=70,E327&lt;70),"DEPENDENCY GAP","NO TRIGGER")))</f>
        <v/>
      </c>
      <c r="K327" s="18">
        <f>IF(J327="CONTRADICTION","HIGH",IF(J327="DEPENDENCY GAP","MEDIUM","—"))</f>
        <v/>
      </c>
      <c r="L327" s="18">
        <f>IF(J327="CONTRADICTION","Strong upstream claim is not supported by linked downstream capability/evidence. Trigger: Research-learning review.",IF(J327="DEPENDENCY GAP","Downstream capability materially trails upstream expectation. Trigger: Research-learning review.",""))</f>
        <v/>
      </c>
    </row>
    <row r="328">
      <c r="A328" s="18" t="inlineStr">
        <is>
          <t>CD19</t>
        </is>
      </c>
      <c r="B328" s="18" t="inlineStr">
        <is>
          <t>D10-I14</t>
        </is>
      </c>
      <c r="C328" s="18" t="inlineStr">
        <is>
          <t>D03-I07</t>
        </is>
      </c>
      <c r="D328" s="18">
        <f>'P0-3_Scorecard'!L130</f>
        <v/>
      </c>
      <c r="E328" s="18">
        <f>'P0-3_Scorecard'!L32</f>
        <v/>
      </c>
      <c r="F328" s="18">
        <f>'P0-3_Scorecard'!M130</f>
        <v/>
      </c>
      <c r="G328" s="18">
        <f>'P0-3_Scorecard'!M32</f>
        <v/>
      </c>
      <c r="H328" s="18">
        <f>IF(OR(D328="",F328=""),"",D328-(F328*20))</f>
        <v/>
      </c>
      <c r="I328" s="18">
        <f>IF(OR(E328="",G328=""),"",E328-(G328*20))</f>
        <v/>
      </c>
      <c r="J328" s="18">
        <f>IF(OR(D328="",E328=""),"INCOMPLETE",IF(AND(D328&gt;=80,E328&lt;50),"CONTRADICTION",IF(AND(D328&gt;=70,E328&lt;70),"DEPENDENCY GAP","NO TRIGGER")))</f>
        <v/>
      </c>
      <c r="K328" s="18">
        <f>IF(J328="CONTRADICTION","HIGH",IF(J328="DEPENDENCY GAP","MEDIUM","—"))</f>
        <v/>
      </c>
      <c r="L328" s="18">
        <f>IF(J328="CONTRADICTION","Strong upstream claim is not supported by linked downstream capability/evidence. Trigger: Research-learning review.",IF(J328="DEPENDENCY GAP","Downstream capability materially trails upstream expectation. Trigger: Research-learning review.",""))</f>
        <v/>
      </c>
    </row>
    <row r="329">
      <c r="A329" s="18" t="inlineStr">
        <is>
          <t>CD19</t>
        </is>
      </c>
      <c r="B329" s="18" t="inlineStr">
        <is>
          <t>D10-I14</t>
        </is>
      </c>
      <c r="C329" s="18" t="inlineStr">
        <is>
          <t>D03-I13</t>
        </is>
      </c>
      <c r="D329" s="18">
        <f>'P0-3_Scorecard'!L130</f>
        <v/>
      </c>
      <c r="E329" s="18">
        <f>'P0-3_Scorecard'!L38</f>
        <v/>
      </c>
      <c r="F329" s="18">
        <f>'P0-3_Scorecard'!M130</f>
        <v/>
      </c>
      <c r="G329" s="18">
        <f>'P0-3_Scorecard'!M38</f>
        <v/>
      </c>
      <c r="H329" s="18">
        <f>IF(OR(D329="",F329=""),"",D329-(F329*20))</f>
        <v/>
      </c>
      <c r="I329" s="18">
        <f>IF(OR(E329="",G329=""),"",E329-(G329*20))</f>
        <v/>
      </c>
      <c r="J329" s="18">
        <f>IF(OR(D329="",E329=""),"INCOMPLETE",IF(AND(D329&gt;=80,E329&lt;50),"CONTRADICTION",IF(AND(D329&gt;=70,E329&lt;70),"DEPENDENCY GAP","NO TRIGGER")))</f>
        <v/>
      </c>
      <c r="K329" s="18">
        <f>IF(J329="CONTRADICTION","HIGH",IF(J329="DEPENDENCY GAP","MEDIUM","—"))</f>
        <v/>
      </c>
      <c r="L329" s="18">
        <f>IF(J329="CONTRADICTION","Strong upstream claim is not supported by linked downstream capability/evidence. Trigger: Research-learning review.",IF(J329="DEPENDENCY GAP","Downstream capability materially trails upstream expectation. Trigger: Research-learning review.",""))</f>
        <v/>
      </c>
    </row>
    <row r="330">
      <c r="A330" s="18" t="inlineStr">
        <is>
          <t>CD19</t>
        </is>
      </c>
      <c r="B330" s="18" t="inlineStr">
        <is>
          <t>D10-I14</t>
        </is>
      </c>
      <c r="C330" s="18" t="inlineStr">
        <is>
          <t>D03-I16</t>
        </is>
      </c>
      <c r="D330" s="18">
        <f>'P0-3_Scorecard'!L130</f>
        <v/>
      </c>
      <c r="E330" s="18">
        <f>'P0-3_Scorecard'!L41</f>
        <v/>
      </c>
      <c r="F330" s="18">
        <f>'P0-3_Scorecard'!M130</f>
        <v/>
      </c>
      <c r="G330" s="18">
        <f>'P0-3_Scorecard'!M41</f>
        <v/>
      </c>
      <c r="H330" s="18">
        <f>IF(OR(D330="",F330=""),"",D330-(F330*20))</f>
        <v/>
      </c>
      <c r="I330" s="18">
        <f>IF(OR(E330="",G330=""),"",E330-(G330*20))</f>
        <v/>
      </c>
      <c r="J330" s="18">
        <f>IF(OR(D330="",E330=""),"INCOMPLETE",IF(AND(D330&gt;=80,E330&lt;50),"CONTRADICTION",IF(AND(D330&gt;=70,E330&lt;70),"DEPENDENCY GAP","NO TRIGGER")))</f>
        <v/>
      </c>
      <c r="K330" s="18">
        <f>IF(J330="CONTRADICTION","HIGH",IF(J330="DEPENDENCY GAP","MEDIUM","—"))</f>
        <v/>
      </c>
      <c r="L330" s="18">
        <f>IF(J330="CONTRADICTION","Strong upstream claim is not supported by linked downstream capability/evidence. Trigger: Research-learning review.",IF(J330="DEPENDENCY GAP","Downstream capability materially trails upstream expectation. Trigger: Research-learning review.",""))</f>
        <v/>
      </c>
    </row>
    <row r="331">
      <c r="A331" s="18" t="inlineStr">
        <is>
          <t>CD20</t>
        </is>
      </c>
      <c r="B331" s="18" t="inlineStr">
        <is>
          <t>D10-I08</t>
        </is>
      </c>
      <c r="C331" s="18" t="inlineStr">
        <is>
          <t>D09-I05</t>
        </is>
      </c>
      <c r="D331" s="18">
        <f>'P0-3_Scorecard'!L124</f>
        <v/>
      </c>
      <c r="E331" s="18">
        <f>'P0-3_Scorecard'!L109</f>
        <v/>
      </c>
      <c r="F331" s="18">
        <f>'P0-3_Scorecard'!M124</f>
        <v/>
      </c>
      <c r="G331" s="18">
        <f>'P0-3_Scorecard'!M109</f>
        <v/>
      </c>
      <c r="H331" s="18">
        <f>IF(OR(D331="",F331=""),"",D331-(F331*20))</f>
        <v/>
      </c>
      <c r="I331" s="18">
        <f>IF(OR(E331="",G331=""),"",E331-(G331*20))</f>
        <v/>
      </c>
      <c r="J331" s="18">
        <f>IF(OR(D331="",E331=""),"INCOMPLETE",IF(AND(D331&gt;=80,E331&lt;50),"CONTRADICTION",IF(AND(D331&gt;=70,E331&lt;70),"DEPENDENCY GAP","NO TRIGGER")))</f>
        <v/>
      </c>
      <c r="K331" s="18">
        <f>IF(J331="CONTRADICTION","HIGH",IF(J331="DEPENDENCY GAP","MEDIUM","—"))</f>
        <v/>
      </c>
      <c r="L331" s="18">
        <f>IF(J331="CONTRADICTION","Strong upstream claim is not supported by linked downstream capability/evidence. Trigger: Translation review.",IF(J331="DEPENDENCY GAP","Downstream capability materially trails upstream expectation. Trigger: Translation review.",""))</f>
        <v/>
      </c>
    </row>
    <row r="332">
      <c r="A332" s="18" t="inlineStr">
        <is>
          <t>CD20</t>
        </is>
      </c>
      <c r="B332" s="18" t="inlineStr">
        <is>
          <t>D10-I08</t>
        </is>
      </c>
      <c r="C332" s="18" t="inlineStr">
        <is>
          <t>D09-I10</t>
        </is>
      </c>
      <c r="D332" s="18">
        <f>'P0-3_Scorecard'!L124</f>
        <v/>
      </c>
      <c r="E332" s="18">
        <f>'P0-3_Scorecard'!L114</f>
        <v/>
      </c>
      <c r="F332" s="18">
        <f>'P0-3_Scorecard'!M124</f>
        <v/>
      </c>
      <c r="G332" s="18">
        <f>'P0-3_Scorecard'!M114</f>
        <v/>
      </c>
      <c r="H332" s="18">
        <f>IF(OR(D332="",F332=""),"",D332-(F332*20))</f>
        <v/>
      </c>
      <c r="I332" s="18">
        <f>IF(OR(E332="",G332=""),"",E332-(G332*20))</f>
        <v/>
      </c>
      <c r="J332" s="18">
        <f>IF(OR(D332="",E332=""),"INCOMPLETE",IF(AND(D332&gt;=80,E332&lt;50),"CONTRADICTION",IF(AND(D332&gt;=70,E332&lt;70),"DEPENDENCY GAP","NO TRIGGER")))</f>
        <v/>
      </c>
      <c r="K332" s="18">
        <f>IF(J332="CONTRADICTION","HIGH",IF(J332="DEPENDENCY GAP","MEDIUM","—"))</f>
        <v/>
      </c>
      <c r="L332" s="18">
        <f>IF(J332="CONTRADICTION","Strong upstream claim is not supported by linked downstream capability/evidence. Trigger: Translation review.",IF(J332="DEPENDENCY GAP","Downstream capability materially trails upstream expectation. Trigger: Translation review.",""))</f>
        <v/>
      </c>
    </row>
    <row r="333">
      <c r="A333" s="18" t="inlineStr">
        <is>
          <t>CD20</t>
        </is>
      </c>
      <c r="B333" s="18" t="inlineStr">
        <is>
          <t>D10-I08</t>
        </is>
      </c>
      <c r="C333" s="18" t="inlineStr">
        <is>
          <t>D09-I11</t>
        </is>
      </c>
      <c r="D333" s="18">
        <f>'P0-3_Scorecard'!L124</f>
        <v/>
      </c>
      <c r="E333" s="18">
        <f>'P0-3_Scorecard'!L115</f>
        <v/>
      </c>
      <c r="F333" s="18">
        <f>'P0-3_Scorecard'!M124</f>
        <v/>
      </c>
      <c r="G333" s="18">
        <f>'P0-3_Scorecard'!M115</f>
        <v/>
      </c>
      <c r="H333" s="18">
        <f>IF(OR(D333="",F333=""),"",D333-(F333*20))</f>
        <v/>
      </c>
      <c r="I333" s="18">
        <f>IF(OR(E333="",G333=""),"",E333-(G333*20))</f>
        <v/>
      </c>
      <c r="J333" s="18">
        <f>IF(OR(D333="",E333=""),"INCOMPLETE",IF(AND(D333&gt;=80,E333&lt;50),"CONTRADICTION",IF(AND(D333&gt;=70,E333&lt;70),"DEPENDENCY GAP","NO TRIGGER")))</f>
        <v/>
      </c>
      <c r="K333" s="18">
        <f>IF(J333="CONTRADICTION","HIGH",IF(J333="DEPENDENCY GAP","MEDIUM","—"))</f>
        <v/>
      </c>
      <c r="L333" s="18">
        <f>IF(J333="CONTRADICTION","Strong upstream claim is not supported by linked downstream capability/evidence. Trigger: Translation review.",IF(J333="DEPENDENCY GAP","Downstream capability materially trails upstream expectation. Trigger: Translation review.",""))</f>
        <v/>
      </c>
    </row>
    <row r="334">
      <c r="A334" s="18" t="inlineStr">
        <is>
          <t>CD20</t>
        </is>
      </c>
      <c r="B334" s="18" t="inlineStr">
        <is>
          <t>D10-I08</t>
        </is>
      </c>
      <c r="C334" s="18" t="inlineStr">
        <is>
          <t>D09-I12</t>
        </is>
      </c>
      <c r="D334" s="18">
        <f>'P0-3_Scorecard'!L124</f>
        <v/>
      </c>
      <c r="E334" s="18">
        <f>'P0-3_Scorecard'!L116</f>
        <v/>
      </c>
      <c r="F334" s="18">
        <f>'P0-3_Scorecard'!M124</f>
        <v/>
      </c>
      <c r="G334" s="18">
        <f>'P0-3_Scorecard'!M116</f>
        <v/>
      </c>
      <c r="H334" s="18">
        <f>IF(OR(D334="",F334=""),"",D334-(F334*20))</f>
        <v/>
      </c>
      <c r="I334" s="18">
        <f>IF(OR(E334="",G334=""),"",E334-(G334*20))</f>
        <v/>
      </c>
      <c r="J334" s="18">
        <f>IF(OR(D334="",E334=""),"INCOMPLETE",IF(AND(D334&gt;=80,E334&lt;50),"CONTRADICTION",IF(AND(D334&gt;=70,E334&lt;70),"DEPENDENCY GAP","NO TRIGGER")))</f>
        <v/>
      </c>
      <c r="K334" s="18">
        <f>IF(J334="CONTRADICTION","HIGH",IF(J334="DEPENDENCY GAP","MEDIUM","—"))</f>
        <v/>
      </c>
      <c r="L334" s="18">
        <f>IF(J334="CONTRADICTION","Strong upstream claim is not supported by linked downstream capability/evidence. Trigger: Translation review.",IF(J334="DEPENDENCY GAP","Downstream capability materially trails upstream expectation. Trigger: Translation review.",""))</f>
        <v/>
      </c>
    </row>
    <row r="335">
      <c r="A335" s="18" t="inlineStr">
        <is>
          <t>CD20</t>
        </is>
      </c>
      <c r="B335" s="18" t="inlineStr">
        <is>
          <t>D10-I09</t>
        </is>
      </c>
      <c r="C335" s="18" t="inlineStr">
        <is>
          <t>D09-I05</t>
        </is>
      </c>
      <c r="D335" s="18">
        <f>'P0-3_Scorecard'!L125</f>
        <v/>
      </c>
      <c r="E335" s="18">
        <f>'P0-3_Scorecard'!L109</f>
        <v/>
      </c>
      <c r="F335" s="18">
        <f>'P0-3_Scorecard'!M125</f>
        <v/>
      </c>
      <c r="G335" s="18">
        <f>'P0-3_Scorecard'!M109</f>
        <v/>
      </c>
      <c r="H335" s="18">
        <f>IF(OR(D335="",F335=""),"",D335-(F335*20))</f>
        <v/>
      </c>
      <c r="I335" s="18">
        <f>IF(OR(E335="",G335=""),"",E335-(G335*20))</f>
        <v/>
      </c>
      <c r="J335" s="18">
        <f>IF(OR(D335="",E335=""),"INCOMPLETE",IF(AND(D335&gt;=80,E335&lt;50),"CONTRADICTION",IF(AND(D335&gt;=70,E335&lt;70),"DEPENDENCY GAP","NO TRIGGER")))</f>
        <v/>
      </c>
      <c r="K335" s="18">
        <f>IF(J335="CONTRADICTION","HIGH",IF(J335="DEPENDENCY GAP","MEDIUM","—"))</f>
        <v/>
      </c>
      <c r="L335" s="18">
        <f>IF(J335="CONTRADICTION","Strong upstream claim is not supported by linked downstream capability/evidence. Trigger: Translation review.",IF(J335="DEPENDENCY GAP","Downstream capability materially trails upstream expectation. Trigger: Translation review.",""))</f>
        <v/>
      </c>
    </row>
    <row r="336">
      <c r="A336" s="18" t="inlineStr">
        <is>
          <t>CD20</t>
        </is>
      </c>
      <c r="B336" s="18" t="inlineStr">
        <is>
          <t>D10-I09</t>
        </is>
      </c>
      <c r="C336" s="18" t="inlineStr">
        <is>
          <t>D09-I10</t>
        </is>
      </c>
      <c r="D336" s="18">
        <f>'P0-3_Scorecard'!L125</f>
        <v/>
      </c>
      <c r="E336" s="18">
        <f>'P0-3_Scorecard'!L114</f>
        <v/>
      </c>
      <c r="F336" s="18">
        <f>'P0-3_Scorecard'!M125</f>
        <v/>
      </c>
      <c r="G336" s="18">
        <f>'P0-3_Scorecard'!M114</f>
        <v/>
      </c>
      <c r="H336" s="18">
        <f>IF(OR(D336="",F336=""),"",D336-(F336*20))</f>
        <v/>
      </c>
      <c r="I336" s="18">
        <f>IF(OR(E336="",G336=""),"",E336-(G336*20))</f>
        <v/>
      </c>
      <c r="J336" s="18">
        <f>IF(OR(D336="",E336=""),"INCOMPLETE",IF(AND(D336&gt;=80,E336&lt;50),"CONTRADICTION",IF(AND(D336&gt;=70,E336&lt;70),"DEPENDENCY GAP","NO TRIGGER")))</f>
        <v/>
      </c>
      <c r="K336" s="18">
        <f>IF(J336="CONTRADICTION","HIGH",IF(J336="DEPENDENCY GAP","MEDIUM","—"))</f>
        <v/>
      </c>
      <c r="L336" s="18">
        <f>IF(J336="CONTRADICTION","Strong upstream claim is not supported by linked downstream capability/evidence. Trigger: Translation review.",IF(J336="DEPENDENCY GAP","Downstream capability materially trails upstream expectation. Trigger: Translation review.",""))</f>
        <v/>
      </c>
    </row>
    <row r="337">
      <c r="A337" s="18" t="inlineStr">
        <is>
          <t>CD20</t>
        </is>
      </c>
      <c r="B337" s="18" t="inlineStr">
        <is>
          <t>D10-I09</t>
        </is>
      </c>
      <c r="C337" s="18" t="inlineStr">
        <is>
          <t>D09-I11</t>
        </is>
      </c>
      <c r="D337" s="18">
        <f>'P0-3_Scorecard'!L125</f>
        <v/>
      </c>
      <c r="E337" s="18">
        <f>'P0-3_Scorecard'!L115</f>
        <v/>
      </c>
      <c r="F337" s="18">
        <f>'P0-3_Scorecard'!M125</f>
        <v/>
      </c>
      <c r="G337" s="18">
        <f>'P0-3_Scorecard'!M115</f>
        <v/>
      </c>
      <c r="H337" s="18">
        <f>IF(OR(D337="",F337=""),"",D337-(F337*20))</f>
        <v/>
      </c>
      <c r="I337" s="18">
        <f>IF(OR(E337="",G337=""),"",E337-(G337*20))</f>
        <v/>
      </c>
      <c r="J337" s="18">
        <f>IF(OR(D337="",E337=""),"INCOMPLETE",IF(AND(D337&gt;=80,E337&lt;50),"CONTRADICTION",IF(AND(D337&gt;=70,E337&lt;70),"DEPENDENCY GAP","NO TRIGGER")))</f>
        <v/>
      </c>
      <c r="K337" s="18">
        <f>IF(J337="CONTRADICTION","HIGH",IF(J337="DEPENDENCY GAP","MEDIUM","—"))</f>
        <v/>
      </c>
      <c r="L337" s="18">
        <f>IF(J337="CONTRADICTION","Strong upstream claim is not supported by linked downstream capability/evidence. Trigger: Translation review.",IF(J337="DEPENDENCY GAP","Downstream capability materially trails upstream expectation. Trigger: Translation review.",""))</f>
        <v/>
      </c>
    </row>
    <row r="338">
      <c r="A338" s="18" t="inlineStr">
        <is>
          <t>CD20</t>
        </is>
      </c>
      <c r="B338" s="18" t="inlineStr">
        <is>
          <t>D10-I09</t>
        </is>
      </c>
      <c r="C338" s="18" t="inlineStr">
        <is>
          <t>D09-I12</t>
        </is>
      </c>
      <c r="D338" s="18">
        <f>'P0-3_Scorecard'!L125</f>
        <v/>
      </c>
      <c r="E338" s="18">
        <f>'P0-3_Scorecard'!L116</f>
        <v/>
      </c>
      <c r="F338" s="18">
        <f>'P0-3_Scorecard'!M125</f>
        <v/>
      </c>
      <c r="G338" s="18">
        <f>'P0-3_Scorecard'!M116</f>
        <v/>
      </c>
      <c r="H338" s="18">
        <f>IF(OR(D338="",F338=""),"",D338-(F338*20))</f>
        <v/>
      </c>
      <c r="I338" s="18">
        <f>IF(OR(E338="",G338=""),"",E338-(G338*20))</f>
        <v/>
      </c>
      <c r="J338" s="18">
        <f>IF(OR(D338="",E338=""),"INCOMPLETE",IF(AND(D338&gt;=80,E338&lt;50),"CONTRADICTION",IF(AND(D338&gt;=70,E338&lt;70),"DEPENDENCY GAP","NO TRIGGER")))</f>
        <v/>
      </c>
      <c r="K338" s="18">
        <f>IF(J338="CONTRADICTION","HIGH",IF(J338="DEPENDENCY GAP","MEDIUM","—"))</f>
        <v/>
      </c>
      <c r="L338" s="18">
        <f>IF(J338="CONTRADICTION","Strong upstream claim is not supported by linked downstream capability/evidence. Trigger: Translation review.",IF(J338="DEPENDENCY GAP","Downstream capability materially trails upstream expectation. Trigger: Translation review.",""))</f>
        <v/>
      </c>
    </row>
    <row r="339">
      <c r="A339" s="18" t="inlineStr">
        <is>
          <t>CD20</t>
        </is>
      </c>
      <c r="B339" s="18" t="inlineStr">
        <is>
          <t>D10-I10</t>
        </is>
      </c>
      <c r="C339" s="18" t="inlineStr">
        <is>
          <t>D09-I05</t>
        </is>
      </c>
      <c r="D339" s="18">
        <f>'P0-3_Scorecard'!L126</f>
        <v/>
      </c>
      <c r="E339" s="18">
        <f>'P0-3_Scorecard'!L109</f>
        <v/>
      </c>
      <c r="F339" s="18">
        <f>'P0-3_Scorecard'!M126</f>
        <v/>
      </c>
      <c r="G339" s="18">
        <f>'P0-3_Scorecard'!M109</f>
        <v/>
      </c>
      <c r="H339" s="18">
        <f>IF(OR(D339="",F339=""),"",D339-(F339*20))</f>
        <v/>
      </c>
      <c r="I339" s="18">
        <f>IF(OR(E339="",G339=""),"",E339-(G339*20))</f>
        <v/>
      </c>
      <c r="J339" s="18">
        <f>IF(OR(D339="",E339=""),"INCOMPLETE",IF(AND(D339&gt;=80,E339&lt;50),"CONTRADICTION",IF(AND(D339&gt;=70,E339&lt;70),"DEPENDENCY GAP","NO TRIGGER")))</f>
        <v/>
      </c>
      <c r="K339" s="18">
        <f>IF(J339="CONTRADICTION","HIGH",IF(J339="DEPENDENCY GAP","MEDIUM","—"))</f>
        <v/>
      </c>
      <c r="L339" s="18">
        <f>IF(J339="CONTRADICTION","Strong upstream claim is not supported by linked downstream capability/evidence. Trigger: Translation review.",IF(J339="DEPENDENCY GAP","Downstream capability materially trails upstream expectation. Trigger: Translation review.",""))</f>
        <v/>
      </c>
    </row>
    <row r="340">
      <c r="A340" s="18" t="inlineStr">
        <is>
          <t>CD20</t>
        </is>
      </c>
      <c r="B340" s="18" t="inlineStr">
        <is>
          <t>D10-I10</t>
        </is>
      </c>
      <c r="C340" s="18" t="inlineStr">
        <is>
          <t>D09-I10</t>
        </is>
      </c>
      <c r="D340" s="18">
        <f>'P0-3_Scorecard'!L126</f>
        <v/>
      </c>
      <c r="E340" s="18">
        <f>'P0-3_Scorecard'!L114</f>
        <v/>
      </c>
      <c r="F340" s="18">
        <f>'P0-3_Scorecard'!M126</f>
        <v/>
      </c>
      <c r="G340" s="18">
        <f>'P0-3_Scorecard'!M114</f>
        <v/>
      </c>
      <c r="H340" s="18">
        <f>IF(OR(D340="",F340=""),"",D340-(F340*20))</f>
        <v/>
      </c>
      <c r="I340" s="18">
        <f>IF(OR(E340="",G340=""),"",E340-(G340*20))</f>
        <v/>
      </c>
      <c r="J340" s="18">
        <f>IF(OR(D340="",E340=""),"INCOMPLETE",IF(AND(D340&gt;=80,E340&lt;50),"CONTRADICTION",IF(AND(D340&gt;=70,E340&lt;70),"DEPENDENCY GAP","NO TRIGGER")))</f>
        <v/>
      </c>
      <c r="K340" s="18">
        <f>IF(J340="CONTRADICTION","HIGH",IF(J340="DEPENDENCY GAP","MEDIUM","—"))</f>
        <v/>
      </c>
      <c r="L340" s="18">
        <f>IF(J340="CONTRADICTION","Strong upstream claim is not supported by linked downstream capability/evidence. Trigger: Translation review.",IF(J340="DEPENDENCY GAP","Downstream capability materially trails upstream expectation. Trigger: Translation review.",""))</f>
        <v/>
      </c>
    </row>
    <row r="341">
      <c r="A341" s="18" t="inlineStr">
        <is>
          <t>CD20</t>
        </is>
      </c>
      <c r="B341" s="18" t="inlineStr">
        <is>
          <t>D10-I10</t>
        </is>
      </c>
      <c r="C341" s="18" t="inlineStr">
        <is>
          <t>D09-I11</t>
        </is>
      </c>
      <c r="D341" s="18">
        <f>'P0-3_Scorecard'!L126</f>
        <v/>
      </c>
      <c r="E341" s="18">
        <f>'P0-3_Scorecard'!L115</f>
        <v/>
      </c>
      <c r="F341" s="18">
        <f>'P0-3_Scorecard'!M126</f>
        <v/>
      </c>
      <c r="G341" s="18">
        <f>'P0-3_Scorecard'!M115</f>
        <v/>
      </c>
      <c r="H341" s="18">
        <f>IF(OR(D341="",F341=""),"",D341-(F341*20))</f>
        <v/>
      </c>
      <c r="I341" s="18">
        <f>IF(OR(E341="",G341=""),"",E341-(G341*20))</f>
        <v/>
      </c>
      <c r="J341" s="18">
        <f>IF(OR(D341="",E341=""),"INCOMPLETE",IF(AND(D341&gt;=80,E341&lt;50),"CONTRADICTION",IF(AND(D341&gt;=70,E341&lt;70),"DEPENDENCY GAP","NO TRIGGER")))</f>
        <v/>
      </c>
      <c r="K341" s="18">
        <f>IF(J341="CONTRADICTION","HIGH",IF(J341="DEPENDENCY GAP","MEDIUM","—"))</f>
        <v/>
      </c>
      <c r="L341" s="18">
        <f>IF(J341="CONTRADICTION","Strong upstream claim is not supported by linked downstream capability/evidence. Trigger: Translation review.",IF(J341="DEPENDENCY GAP","Downstream capability materially trails upstream expectation. Trigger: Translation review.",""))</f>
        <v/>
      </c>
    </row>
    <row r="342">
      <c r="A342" s="18" t="inlineStr">
        <is>
          <t>CD20</t>
        </is>
      </c>
      <c r="B342" s="18" t="inlineStr">
        <is>
          <t>D10-I10</t>
        </is>
      </c>
      <c r="C342" s="18" t="inlineStr">
        <is>
          <t>D09-I12</t>
        </is>
      </c>
      <c r="D342" s="18">
        <f>'P0-3_Scorecard'!L126</f>
        <v/>
      </c>
      <c r="E342" s="18">
        <f>'P0-3_Scorecard'!L116</f>
        <v/>
      </c>
      <c r="F342" s="18">
        <f>'P0-3_Scorecard'!M126</f>
        <v/>
      </c>
      <c r="G342" s="18">
        <f>'P0-3_Scorecard'!M116</f>
        <v/>
      </c>
      <c r="H342" s="18">
        <f>IF(OR(D342="",F342=""),"",D342-(F342*20))</f>
        <v/>
      </c>
      <c r="I342" s="18">
        <f>IF(OR(E342="",G342=""),"",E342-(G342*20))</f>
        <v/>
      </c>
      <c r="J342" s="18">
        <f>IF(OR(D342="",E342=""),"INCOMPLETE",IF(AND(D342&gt;=80,E342&lt;50),"CONTRADICTION",IF(AND(D342&gt;=70,E342&lt;70),"DEPENDENCY GAP","NO TRIGGER")))</f>
        <v/>
      </c>
      <c r="K342" s="18">
        <f>IF(J342="CONTRADICTION","HIGH",IF(J342="DEPENDENCY GAP","MEDIUM","—"))</f>
        <v/>
      </c>
      <c r="L342" s="18">
        <f>IF(J342="CONTRADICTION","Strong upstream claim is not supported by linked downstream capability/evidence. Trigger: Translation review.",IF(J342="DEPENDENCY GAP","Downstream capability materially trails upstream expectation. Trigger: Translation review.",""))</f>
        <v/>
      </c>
    </row>
    <row r="343">
      <c r="A343" s="18" t="inlineStr">
        <is>
          <t>CD20</t>
        </is>
      </c>
      <c r="B343" s="18" t="inlineStr">
        <is>
          <t>D10-I13</t>
        </is>
      </c>
      <c r="C343" s="18" t="inlineStr">
        <is>
          <t>D09-I05</t>
        </is>
      </c>
      <c r="D343" s="18">
        <f>'P0-3_Scorecard'!L129</f>
        <v/>
      </c>
      <c r="E343" s="18">
        <f>'P0-3_Scorecard'!L109</f>
        <v/>
      </c>
      <c r="F343" s="18">
        <f>'P0-3_Scorecard'!M129</f>
        <v/>
      </c>
      <c r="G343" s="18">
        <f>'P0-3_Scorecard'!M109</f>
        <v/>
      </c>
      <c r="H343" s="18">
        <f>IF(OR(D343="",F343=""),"",D343-(F343*20))</f>
        <v/>
      </c>
      <c r="I343" s="18">
        <f>IF(OR(E343="",G343=""),"",E343-(G343*20))</f>
        <v/>
      </c>
      <c r="J343" s="18">
        <f>IF(OR(D343="",E343=""),"INCOMPLETE",IF(AND(D343&gt;=80,E343&lt;50),"CONTRADICTION",IF(AND(D343&gt;=70,E343&lt;70),"DEPENDENCY GAP","NO TRIGGER")))</f>
        <v/>
      </c>
      <c r="K343" s="18">
        <f>IF(J343="CONTRADICTION","HIGH",IF(J343="DEPENDENCY GAP","MEDIUM","—"))</f>
        <v/>
      </c>
      <c r="L343" s="18">
        <f>IF(J343="CONTRADICTION","Strong upstream claim is not supported by linked downstream capability/evidence. Trigger: Translation review.",IF(J343="DEPENDENCY GAP","Downstream capability materially trails upstream expectation. Trigger: Translation review.",""))</f>
        <v/>
      </c>
    </row>
    <row r="344">
      <c r="A344" s="18" t="inlineStr">
        <is>
          <t>CD20</t>
        </is>
      </c>
      <c r="B344" s="18" t="inlineStr">
        <is>
          <t>D10-I13</t>
        </is>
      </c>
      <c r="C344" s="18" t="inlineStr">
        <is>
          <t>D09-I10</t>
        </is>
      </c>
      <c r="D344" s="18">
        <f>'P0-3_Scorecard'!L129</f>
        <v/>
      </c>
      <c r="E344" s="18">
        <f>'P0-3_Scorecard'!L114</f>
        <v/>
      </c>
      <c r="F344" s="18">
        <f>'P0-3_Scorecard'!M129</f>
        <v/>
      </c>
      <c r="G344" s="18">
        <f>'P0-3_Scorecard'!M114</f>
        <v/>
      </c>
      <c r="H344" s="18">
        <f>IF(OR(D344="",F344=""),"",D344-(F344*20))</f>
        <v/>
      </c>
      <c r="I344" s="18">
        <f>IF(OR(E344="",G344=""),"",E344-(G344*20))</f>
        <v/>
      </c>
      <c r="J344" s="18">
        <f>IF(OR(D344="",E344=""),"INCOMPLETE",IF(AND(D344&gt;=80,E344&lt;50),"CONTRADICTION",IF(AND(D344&gt;=70,E344&lt;70),"DEPENDENCY GAP","NO TRIGGER")))</f>
        <v/>
      </c>
      <c r="K344" s="18">
        <f>IF(J344="CONTRADICTION","HIGH",IF(J344="DEPENDENCY GAP","MEDIUM","—"))</f>
        <v/>
      </c>
      <c r="L344" s="18">
        <f>IF(J344="CONTRADICTION","Strong upstream claim is not supported by linked downstream capability/evidence. Trigger: Translation review.",IF(J344="DEPENDENCY GAP","Downstream capability materially trails upstream expectation. Trigger: Translation review.",""))</f>
        <v/>
      </c>
    </row>
    <row r="345">
      <c r="A345" s="18" t="inlineStr">
        <is>
          <t>CD20</t>
        </is>
      </c>
      <c r="B345" s="18" t="inlineStr">
        <is>
          <t>D10-I13</t>
        </is>
      </c>
      <c r="C345" s="18" t="inlineStr">
        <is>
          <t>D09-I11</t>
        </is>
      </c>
      <c r="D345" s="18">
        <f>'P0-3_Scorecard'!L129</f>
        <v/>
      </c>
      <c r="E345" s="18">
        <f>'P0-3_Scorecard'!L115</f>
        <v/>
      </c>
      <c r="F345" s="18">
        <f>'P0-3_Scorecard'!M129</f>
        <v/>
      </c>
      <c r="G345" s="18">
        <f>'P0-3_Scorecard'!M115</f>
        <v/>
      </c>
      <c r="H345" s="18">
        <f>IF(OR(D345="",F345=""),"",D345-(F345*20))</f>
        <v/>
      </c>
      <c r="I345" s="18">
        <f>IF(OR(E345="",G345=""),"",E345-(G345*20))</f>
        <v/>
      </c>
      <c r="J345" s="18">
        <f>IF(OR(D345="",E345=""),"INCOMPLETE",IF(AND(D345&gt;=80,E345&lt;50),"CONTRADICTION",IF(AND(D345&gt;=70,E345&lt;70),"DEPENDENCY GAP","NO TRIGGER")))</f>
        <v/>
      </c>
      <c r="K345" s="18">
        <f>IF(J345="CONTRADICTION","HIGH",IF(J345="DEPENDENCY GAP","MEDIUM","—"))</f>
        <v/>
      </c>
      <c r="L345" s="18">
        <f>IF(J345="CONTRADICTION","Strong upstream claim is not supported by linked downstream capability/evidence. Trigger: Translation review.",IF(J345="DEPENDENCY GAP","Downstream capability materially trails upstream expectation. Trigger: Translation review.",""))</f>
        <v/>
      </c>
    </row>
    <row r="346">
      <c r="A346" s="18" t="inlineStr">
        <is>
          <t>CD20</t>
        </is>
      </c>
      <c r="B346" s="18" t="inlineStr">
        <is>
          <t>D10-I13</t>
        </is>
      </c>
      <c r="C346" s="18" t="inlineStr">
        <is>
          <t>D09-I12</t>
        </is>
      </c>
      <c r="D346" s="18">
        <f>'P0-3_Scorecard'!L129</f>
        <v/>
      </c>
      <c r="E346" s="18">
        <f>'P0-3_Scorecard'!L116</f>
        <v/>
      </c>
      <c r="F346" s="18">
        <f>'P0-3_Scorecard'!M129</f>
        <v/>
      </c>
      <c r="G346" s="18">
        <f>'P0-3_Scorecard'!M116</f>
        <v/>
      </c>
      <c r="H346" s="18">
        <f>IF(OR(D346="",F346=""),"",D346-(F346*20))</f>
        <v/>
      </c>
      <c r="I346" s="18">
        <f>IF(OR(E346="",G346=""),"",E346-(G346*20))</f>
        <v/>
      </c>
      <c r="J346" s="18">
        <f>IF(OR(D346="",E346=""),"INCOMPLETE",IF(AND(D346&gt;=80,E346&lt;50),"CONTRADICTION",IF(AND(D346&gt;=70,E346&lt;70),"DEPENDENCY GAP","NO TRIGGER")))</f>
        <v/>
      </c>
      <c r="K346" s="18">
        <f>IF(J346="CONTRADICTION","HIGH",IF(J346="DEPENDENCY GAP","MEDIUM","—"))</f>
        <v/>
      </c>
      <c r="L346" s="18">
        <f>IF(J346="CONTRADICTION","Strong upstream claim is not supported by linked downstream capability/evidence. Trigger: Translation review.",IF(J346="DEPENDENCY GAP","Downstream capability materially trails upstream expectation. Trigger: Translation review.",""))</f>
        <v/>
      </c>
    </row>
    <row r="347">
      <c r="A347" s="18" t="inlineStr">
        <is>
          <t>CD21</t>
        </is>
      </c>
      <c r="B347" s="18" t="inlineStr">
        <is>
          <t>D10-I01</t>
        </is>
      </c>
      <c r="C347" s="18" t="inlineStr">
        <is>
          <t>D11-I01</t>
        </is>
      </c>
      <c r="D347" s="18">
        <f>'P0-3_Scorecard'!L117</f>
        <v/>
      </c>
      <c r="E347" s="18">
        <f>'P0-3_Scorecard'!L131</f>
        <v/>
      </c>
      <c r="F347" s="18">
        <f>'P0-3_Scorecard'!M117</f>
        <v/>
      </c>
      <c r="G347" s="18">
        <f>'P0-3_Scorecard'!M131</f>
        <v/>
      </c>
      <c r="H347" s="18">
        <f>IF(OR(D347="",F347=""),"",D347-(F347*20))</f>
        <v/>
      </c>
      <c r="I347" s="18">
        <f>IF(OR(E347="",G347=""),"",E347-(G347*20))</f>
        <v/>
      </c>
      <c r="J347" s="18">
        <f>IF(OR(D347="",E347=""),"INCOMPLETE",IF(AND(D347&gt;=80,E347&lt;50),"CONTRADICTION",IF(AND(D347&gt;=70,E347&lt;70),"DEPENDENCY GAP","NO TRIGGER")))</f>
        <v/>
      </c>
      <c r="K347" s="18">
        <f>IF(J347="CONTRADICTION","HIGH",IF(J347="DEPENDENCY GAP","MEDIUM","—"))</f>
        <v/>
      </c>
      <c r="L347" s="18">
        <f>IF(J347="CONTRADICTION","Strong upstream claim is not supported by linked downstream capability/evidence. Trigger: Institutional learning review.",IF(J347="DEPENDENCY GAP","Downstream capability materially trails upstream expectation. Trigger: Institutional learning review.",""))</f>
        <v/>
      </c>
    </row>
    <row r="348">
      <c r="A348" s="18" t="inlineStr">
        <is>
          <t>CD21</t>
        </is>
      </c>
      <c r="B348" s="18" t="inlineStr">
        <is>
          <t>D10-I01</t>
        </is>
      </c>
      <c r="C348" s="18" t="inlineStr">
        <is>
          <t>D11-I06</t>
        </is>
      </c>
      <c r="D348" s="18">
        <f>'P0-3_Scorecard'!L117</f>
        <v/>
      </c>
      <c r="E348" s="18">
        <f>'P0-3_Scorecard'!L136</f>
        <v/>
      </c>
      <c r="F348" s="18">
        <f>'P0-3_Scorecard'!M117</f>
        <v/>
      </c>
      <c r="G348" s="18">
        <f>'P0-3_Scorecard'!M136</f>
        <v/>
      </c>
      <c r="H348" s="18">
        <f>IF(OR(D348="",F348=""),"",D348-(F348*20))</f>
        <v/>
      </c>
      <c r="I348" s="18">
        <f>IF(OR(E348="",G348=""),"",E348-(G348*20))</f>
        <v/>
      </c>
      <c r="J348" s="18">
        <f>IF(OR(D348="",E348=""),"INCOMPLETE",IF(AND(D348&gt;=80,E348&lt;50),"CONTRADICTION",IF(AND(D348&gt;=70,E348&lt;70),"DEPENDENCY GAP","NO TRIGGER")))</f>
        <v/>
      </c>
      <c r="K348" s="18">
        <f>IF(J348="CONTRADICTION","HIGH",IF(J348="DEPENDENCY GAP","MEDIUM","—"))</f>
        <v/>
      </c>
      <c r="L348" s="18">
        <f>IF(J348="CONTRADICTION","Strong upstream claim is not supported by linked downstream capability/evidence. Trigger: Institutional learning review.",IF(J348="DEPENDENCY GAP","Downstream capability materially trails upstream expectation. Trigger: Institutional learning review.",""))</f>
        <v/>
      </c>
    </row>
    <row r="349">
      <c r="A349" s="18" t="inlineStr">
        <is>
          <t>CD21</t>
        </is>
      </c>
      <c r="B349" s="18" t="inlineStr">
        <is>
          <t>D10-I01</t>
        </is>
      </c>
      <c r="C349" s="18" t="inlineStr">
        <is>
          <t>D11-I13</t>
        </is>
      </c>
      <c r="D349" s="18">
        <f>'P0-3_Scorecard'!L117</f>
        <v/>
      </c>
      <c r="E349" s="18">
        <f>'P0-3_Scorecard'!L143</f>
        <v/>
      </c>
      <c r="F349" s="18">
        <f>'P0-3_Scorecard'!M117</f>
        <v/>
      </c>
      <c r="G349" s="18">
        <f>'P0-3_Scorecard'!M143</f>
        <v/>
      </c>
      <c r="H349" s="18">
        <f>IF(OR(D349="",F349=""),"",D349-(F349*20))</f>
        <v/>
      </c>
      <c r="I349" s="18">
        <f>IF(OR(E349="",G349=""),"",E349-(G349*20))</f>
        <v/>
      </c>
      <c r="J349" s="18">
        <f>IF(OR(D349="",E349=""),"INCOMPLETE",IF(AND(D349&gt;=80,E349&lt;50),"CONTRADICTION",IF(AND(D349&gt;=70,E349&lt;70),"DEPENDENCY GAP","NO TRIGGER")))</f>
        <v/>
      </c>
      <c r="K349" s="18">
        <f>IF(J349="CONTRADICTION","HIGH",IF(J349="DEPENDENCY GAP","MEDIUM","—"))</f>
        <v/>
      </c>
      <c r="L349" s="18">
        <f>IF(J349="CONTRADICTION","Strong upstream claim is not supported by linked downstream capability/evidence. Trigger: Institutional learning review.",IF(J349="DEPENDENCY GAP","Downstream capability materially trails upstream expectation. Trigger: Institutional learning review.",""))</f>
        <v/>
      </c>
    </row>
    <row r="350">
      <c r="A350" s="18" t="inlineStr">
        <is>
          <t>CD21</t>
        </is>
      </c>
      <c r="B350" s="18" t="inlineStr">
        <is>
          <t>D10-I01</t>
        </is>
      </c>
      <c r="C350" s="18" t="inlineStr">
        <is>
          <t>D11-I14</t>
        </is>
      </c>
      <c r="D350" s="18">
        <f>'P0-3_Scorecard'!L117</f>
        <v/>
      </c>
      <c r="E350" s="18">
        <f>'P0-3_Scorecard'!L144</f>
        <v/>
      </c>
      <c r="F350" s="18">
        <f>'P0-3_Scorecard'!M117</f>
        <v/>
      </c>
      <c r="G350" s="18">
        <f>'P0-3_Scorecard'!M144</f>
        <v/>
      </c>
      <c r="H350" s="18">
        <f>IF(OR(D350="",F350=""),"",D350-(F350*20))</f>
        <v/>
      </c>
      <c r="I350" s="18">
        <f>IF(OR(E350="",G350=""),"",E350-(G350*20))</f>
        <v/>
      </c>
      <c r="J350" s="18">
        <f>IF(OR(D350="",E350=""),"INCOMPLETE",IF(AND(D350&gt;=80,E350&lt;50),"CONTRADICTION",IF(AND(D350&gt;=70,E350&lt;70),"DEPENDENCY GAP","NO TRIGGER")))</f>
        <v/>
      </c>
      <c r="K350" s="18">
        <f>IF(J350="CONTRADICTION","HIGH",IF(J350="DEPENDENCY GAP","MEDIUM","—"))</f>
        <v/>
      </c>
      <c r="L350" s="18">
        <f>IF(J350="CONTRADICTION","Strong upstream claim is not supported by linked downstream capability/evidence. Trigger: Institutional learning review.",IF(J350="DEPENDENCY GAP","Downstream capability materially trails upstream expectation. Trigger: Institutional learning review.",""))</f>
        <v/>
      </c>
    </row>
    <row r="351">
      <c r="A351" s="18" t="inlineStr">
        <is>
          <t>CD21</t>
        </is>
      </c>
      <c r="B351" s="18" t="inlineStr">
        <is>
          <t>D10-I02</t>
        </is>
      </c>
      <c r="C351" s="18" t="inlineStr">
        <is>
          <t>D11-I01</t>
        </is>
      </c>
      <c r="D351" s="18">
        <f>'P0-3_Scorecard'!L118</f>
        <v/>
      </c>
      <c r="E351" s="18">
        <f>'P0-3_Scorecard'!L131</f>
        <v/>
      </c>
      <c r="F351" s="18">
        <f>'P0-3_Scorecard'!M118</f>
        <v/>
      </c>
      <c r="G351" s="18">
        <f>'P0-3_Scorecard'!M131</f>
        <v/>
      </c>
      <c r="H351" s="18">
        <f>IF(OR(D351="",F351=""),"",D351-(F351*20))</f>
        <v/>
      </c>
      <c r="I351" s="18">
        <f>IF(OR(E351="",G351=""),"",E351-(G351*20))</f>
        <v/>
      </c>
      <c r="J351" s="18">
        <f>IF(OR(D351="",E351=""),"INCOMPLETE",IF(AND(D351&gt;=80,E351&lt;50),"CONTRADICTION",IF(AND(D351&gt;=70,E351&lt;70),"DEPENDENCY GAP","NO TRIGGER")))</f>
        <v/>
      </c>
      <c r="K351" s="18">
        <f>IF(J351="CONTRADICTION","HIGH",IF(J351="DEPENDENCY GAP","MEDIUM","—"))</f>
        <v/>
      </c>
      <c r="L351" s="18">
        <f>IF(J351="CONTRADICTION","Strong upstream claim is not supported by linked downstream capability/evidence. Trigger: Institutional learning review.",IF(J351="DEPENDENCY GAP","Downstream capability materially trails upstream expectation. Trigger: Institutional learning review.",""))</f>
        <v/>
      </c>
    </row>
    <row r="352">
      <c r="A352" s="18" t="inlineStr">
        <is>
          <t>CD21</t>
        </is>
      </c>
      <c r="B352" s="18" t="inlineStr">
        <is>
          <t>D10-I02</t>
        </is>
      </c>
      <c r="C352" s="18" t="inlineStr">
        <is>
          <t>D11-I06</t>
        </is>
      </c>
      <c r="D352" s="18">
        <f>'P0-3_Scorecard'!L118</f>
        <v/>
      </c>
      <c r="E352" s="18">
        <f>'P0-3_Scorecard'!L136</f>
        <v/>
      </c>
      <c r="F352" s="18">
        <f>'P0-3_Scorecard'!M118</f>
        <v/>
      </c>
      <c r="G352" s="18">
        <f>'P0-3_Scorecard'!M136</f>
        <v/>
      </c>
      <c r="H352" s="18">
        <f>IF(OR(D352="",F352=""),"",D352-(F352*20))</f>
        <v/>
      </c>
      <c r="I352" s="18">
        <f>IF(OR(E352="",G352=""),"",E352-(G352*20))</f>
        <v/>
      </c>
      <c r="J352" s="18">
        <f>IF(OR(D352="",E352=""),"INCOMPLETE",IF(AND(D352&gt;=80,E352&lt;50),"CONTRADICTION",IF(AND(D352&gt;=70,E352&lt;70),"DEPENDENCY GAP","NO TRIGGER")))</f>
        <v/>
      </c>
      <c r="K352" s="18">
        <f>IF(J352="CONTRADICTION","HIGH",IF(J352="DEPENDENCY GAP","MEDIUM","—"))</f>
        <v/>
      </c>
      <c r="L352" s="18">
        <f>IF(J352="CONTRADICTION","Strong upstream claim is not supported by linked downstream capability/evidence. Trigger: Institutional learning review.",IF(J352="DEPENDENCY GAP","Downstream capability materially trails upstream expectation. Trigger: Institutional learning review.",""))</f>
        <v/>
      </c>
    </row>
    <row r="353">
      <c r="A353" s="18" t="inlineStr">
        <is>
          <t>CD21</t>
        </is>
      </c>
      <c r="B353" s="18" t="inlineStr">
        <is>
          <t>D10-I02</t>
        </is>
      </c>
      <c r="C353" s="18" t="inlineStr">
        <is>
          <t>D11-I13</t>
        </is>
      </c>
      <c r="D353" s="18">
        <f>'P0-3_Scorecard'!L118</f>
        <v/>
      </c>
      <c r="E353" s="18">
        <f>'P0-3_Scorecard'!L143</f>
        <v/>
      </c>
      <c r="F353" s="18">
        <f>'P0-3_Scorecard'!M118</f>
        <v/>
      </c>
      <c r="G353" s="18">
        <f>'P0-3_Scorecard'!M143</f>
        <v/>
      </c>
      <c r="H353" s="18">
        <f>IF(OR(D353="",F353=""),"",D353-(F353*20))</f>
        <v/>
      </c>
      <c r="I353" s="18">
        <f>IF(OR(E353="",G353=""),"",E353-(G353*20))</f>
        <v/>
      </c>
      <c r="J353" s="18">
        <f>IF(OR(D353="",E353=""),"INCOMPLETE",IF(AND(D353&gt;=80,E353&lt;50),"CONTRADICTION",IF(AND(D353&gt;=70,E353&lt;70),"DEPENDENCY GAP","NO TRIGGER")))</f>
        <v/>
      </c>
      <c r="K353" s="18">
        <f>IF(J353="CONTRADICTION","HIGH",IF(J353="DEPENDENCY GAP","MEDIUM","—"))</f>
        <v/>
      </c>
      <c r="L353" s="18">
        <f>IF(J353="CONTRADICTION","Strong upstream claim is not supported by linked downstream capability/evidence. Trigger: Institutional learning review.",IF(J353="DEPENDENCY GAP","Downstream capability materially trails upstream expectation. Trigger: Institutional learning review.",""))</f>
        <v/>
      </c>
    </row>
    <row r="354">
      <c r="A354" s="18" t="inlineStr">
        <is>
          <t>CD21</t>
        </is>
      </c>
      <c r="B354" s="18" t="inlineStr">
        <is>
          <t>D10-I02</t>
        </is>
      </c>
      <c r="C354" s="18" t="inlineStr">
        <is>
          <t>D11-I14</t>
        </is>
      </c>
      <c r="D354" s="18">
        <f>'P0-3_Scorecard'!L118</f>
        <v/>
      </c>
      <c r="E354" s="18">
        <f>'P0-3_Scorecard'!L144</f>
        <v/>
      </c>
      <c r="F354" s="18">
        <f>'P0-3_Scorecard'!M118</f>
        <v/>
      </c>
      <c r="G354" s="18">
        <f>'P0-3_Scorecard'!M144</f>
        <v/>
      </c>
      <c r="H354" s="18">
        <f>IF(OR(D354="",F354=""),"",D354-(F354*20))</f>
        <v/>
      </c>
      <c r="I354" s="18">
        <f>IF(OR(E354="",G354=""),"",E354-(G354*20))</f>
        <v/>
      </c>
      <c r="J354" s="18">
        <f>IF(OR(D354="",E354=""),"INCOMPLETE",IF(AND(D354&gt;=80,E354&lt;50),"CONTRADICTION",IF(AND(D354&gt;=70,E354&lt;70),"DEPENDENCY GAP","NO TRIGGER")))</f>
        <v/>
      </c>
      <c r="K354" s="18">
        <f>IF(J354="CONTRADICTION","HIGH",IF(J354="DEPENDENCY GAP","MEDIUM","—"))</f>
        <v/>
      </c>
      <c r="L354" s="18">
        <f>IF(J354="CONTRADICTION","Strong upstream claim is not supported by linked downstream capability/evidence. Trigger: Institutional learning review.",IF(J354="DEPENDENCY GAP","Downstream capability materially trails upstream expectation. Trigger: Institutional learning review.",""))</f>
        <v/>
      </c>
    </row>
    <row r="355">
      <c r="A355" s="18" t="inlineStr">
        <is>
          <t>CD21</t>
        </is>
      </c>
      <c r="B355" s="18" t="inlineStr">
        <is>
          <t>D10-I13</t>
        </is>
      </c>
      <c r="C355" s="18" t="inlineStr">
        <is>
          <t>D11-I01</t>
        </is>
      </c>
      <c r="D355" s="18">
        <f>'P0-3_Scorecard'!L129</f>
        <v/>
      </c>
      <c r="E355" s="18">
        <f>'P0-3_Scorecard'!L131</f>
        <v/>
      </c>
      <c r="F355" s="18">
        <f>'P0-3_Scorecard'!M129</f>
        <v/>
      </c>
      <c r="G355" s="18">
        <f>'P0-3_Scorecard'!M131</f>
        <v/>
      </c>
      <c r="H355" s="18">
        <f>IF(OR(D355="",F355=""),"",D355-(F355*20))</f>
        <v/>
      </c>
      <c r="I355" s="18">
        <f>IF(OR(E355="",G355=""),"",E355-(G355*20))</f>
        <v/>
      </c>
      <c r="J355" s="18">
        <f>IF(OR(D355="",E355=""),"INCOMPLETE",IF(AND(D355&gt;=80,E355&lt;50),"CONTRADICTION",IF(AND(D355&gt;=70,E355&lt;70),"DEPENDENCY GAP","NO TRIGGER")))</f>
        <v/>
      </c>
      <c r="K355" s="18">
        <f>IF(J355="CONTRADICTION","HIGH",IF(J355="DEPENDENCY GAP","MEDIUM","—"))</f>
        <v/>
      </c>
      <c r="L355" s="18">
        <f>IF(J355="CONTRADICTION","Strong upstream claim is not supported by linked downstream capability/evidence. Trigger: Institutional learning review.",IF(J355="DEPENDENCY GAP","Downstream capability materially trails upstream expectation. Trigger: Institutional learning review.",""))</f>
        <v/>
      </c>
    </row>
    <row r="356">
      <c r="A356" s="18" t="inlineStr">
        <is>
          <t>CD21</t>
        </is>
      </c>
      <c r="B356" s="18" t="inlineStr">
        <is>
          <t>D10-I13</t>
        </is>
      </c>
      <c r="C356" s="18" t="inlineStr">
        <is>
          <t>D11-I06</t>
        </is>
      </c>
      <c r="D356" s="18">
        <f>'P0-3_Scorecard'!L129</f>
        <v/>
      </c>
      <c r="E356" s="18">
        <f>'P0-3_Scorecard'!L136</f>
        <v/>
      </c>
      <c r="F356" s="18">
        <f>'P0-3_Scorecard'!M129</f>
        <v/>
      </c>
      <c r="G356" s="18">
        <f>'P0-3_Scorecard'!M136</f>
        <v/>
      </c>
      <c r="H356" s="18">
        <f>IF(OR(D356="",F356=""),"",D356-(F356*20))</f>
        <v/>
      </c>
      <c r="I356" s="18">
        <f>IF(OR(E356="",G356=""),"",E356-(G356*20))</f>
        <v/>
      </c>
      <c r="J356" s="18">
        <f>IF(OR(D356="",E356=""),"INCOMPLETE",IF(AND(D356&gt;=80,E356&lt;50),"CONTRADICTION",IF(AND(D356&gt;=70,E356&lt;70),"DEPENDENCY GAP","NO TRIGGER")))</f>
        <v/>
      </c>
      <c r="K356" s="18">
        <f>IF(J356="CONTRADICTION","HIGH",IF(J356="DEPENDENCY GAP","MEDIUM","—"))</f>
        <v/>
      </c>
      <c r="L356" s="18">
        <f>IF(J356="CONTRADICTION","Strong upstream claim is not supported by linked downstream capability/evidence. Trigger: Institutional learning review.",IF(J356="DEPENDENCY GAP","Downstream capability materially trails upstream expectation. Trigger: Institutional learning review.",""))</f>
        <v/>
      </c>
    </row>
    <row r="357">
      <c r="A357" s="18" t="inlineStr">
        <is>
          <t>CD21</t>
        </is>
      </c>
      <c r="B357" s="18" t="inlineStr">
        <is>
          <t>D10-I13</t>
        </is>
      </c>
      <c r="C357" s="18" t="inlineStr">
        <is>
          <t>D11-I13</t>
        </is>
      </c>
      <c r="D357" s="18">
        <f>'P0-3_Scorecard'!L129</f>
        <v/>
      </c>
      <c r="E357" s="18">
        <f>'P0-3_Scorecard'!L143</f>
        <v/>
      </c>
      <c r="F357" s="18">
        <f>'P0-3_Scorecard'!M129</f>
        <v/>
      </c>
      <c r="G357" s="18">
        <f>'P0-3_Scorecard'!M143</f>
        <v/>
      </c>
      <c r="H357" s="18">
        <f>IF(OR(D357="",F357=""),"",D357-(F357*20))</f>
        <v/>
      </c>
      <c r="I357" s="18">
        <f>IF(OR(E357="",G357=""),"",E357-(G357*20))</f>
        <v/>
      </c>
      <c r="J357" s="18">
        <f>IF(OR(D357="",E357=""),"INCOMPLETE",IF(AND(D357&gt;=80,E357&lt;50),"CONTRADICTION",IF(AND(D357&gt;=70,E357&lt;70),"DEPENDENCY GAP","NO TRIGGER")))</f>
        <v/>
      </c>
      <c r="K357" s="18">
        <f>IF(J357="CONTRADICTION","HIGH",IF(J357="DEPENDENCY GAP","MEDIUM","—"))</f>
        <v/>
      </c>
      <c r="L357" s="18">
        <f>IF(J357="CONTRADICTION","Strong upstream claim is not supported by linked downstream capability/evidence. Trigger: Institutional learning review.",IF(J357="DEPENDENCY GAP","Downstream capability materially trails upstream expectation. Trigger: Institutional learning review.",""))</f>
        <v/>
      </c>
    </row>
    <row r="358">
      <c r="A358" s="18" t="inlineStr">
        <is>
          <t>CD21</t>
        </is>
      </c>
      <c r="B358" s="18" t="inlineStr">
        <is>
          <t>D10-I13</t>
        </is>
      </c>
      <c r="C358" s="18" t="inlineStr">
        <is>
          <t>D11-I14</t>
        </is>
      </c>
      <c r="D358" s="18">
        <f>'P0-3_Scorecard'!L129</f>
        <v/>
      </c>
      <c r="E358" s="18">
        <f>'P0-3_Scorecard'!L144</f>
        <v/>
      </c>
      <c r="F358" s="18">
        <f>'P0-3_Scorecard'!M129</f>
        <v/>
      </c>
      <c r="G358" s="18">
        <f>'P0-3_Scorecard'!M144</f>
        <v/>
      </c>
      <c r="H358" s="18">
        <f>IF(OR(D358="",F358=""),"",D358-(F358*20))</f>
        <v/>
      </c>
      <c r="I358" s="18">
        <f>IF(OR(E358="",G358=""),"",E358-(G358*20))</f>
        <v/>
      </c>
      <c r="J358" s="18">
        <f>IF(OR(D358="",E358=""),"INCOMPLETE",IF(AND(D358&gt;=80,E358&lt;50),"CONTRADICTION",IF(AND(D358&gt;=70,E358&lt;70),"DEPENDENCY GAP","NO TRIGGER")))</f>
        <v/>
      </c>
      <c r="K358" s="18">
        <f>IF(J358="CONTRADICTION","HIGH",IF(J358="DEPENDENCY GAP","MEDIUM","—"))</f>
        <v/>
      </c>
      <c r="L358" s="18">
        <f>IF(J358="CONTRADICTION","Strong upstream claim is not supported by linked downstream capability/evidence. Trigger: Institutional learning review.",IF(J358="DEPENDENCY GAP","Downstream capability materially trails upstream expectation. Trigger: Institutional learning review.",""))</f>
        <v/>
      </c>
    </row>
    <row r="359">
      <c r="A359" s="18" t="inlineStr">
        <is>
          <t>CD22</t>
        </is>
      </c>
      <c r="B359" s="18" t="inlineStr">
        <is>
          <t>D11-I01</t>
        </is>
      </c>
      <c r="C359" s="18" t="inlineStr">
        <is>
          <t>D01-I02</t>
        </is>
      </c>
      <c r="D359" s="18">
        <f>'P0-3_Scorecard'!L131</f>
        <v/>
      </c>
      <c r="E359" s="18">
        <f>'P0-3_Scorecard'!L3</f>
        <v/>
      </c>
      <c r="F359" s="18">
        <f>'P0-3_Scorecard'!M131</f>
        <v/>
      </c>
      <c r="G359" s="18">
        <f>'P0-3_Scorecard'!M3</f>
        <v/>
      </c>
      <c r="H359" s="18">
        <f>IF(OR(D359="",F359=""),"",D359-(F359*20))</f>
        <v/>
      </c>
      <c r="I359" s="18">
        <f>IF(OR(E359="",G359=""),"",E359-(G359*20))</f>
        <v/>
      </c>
      <c r="J359" s="18">
        <f>IF(OR(D359="",E359=""),"INCOMPLETE",IF(AND(D359&gt;=80,E359&lt;50),"CONTRADICTION",IF(AND(D359&gt;=70,E359&lt;70),"DEPENDENCY GAP","NO TRIGGER")))</f>
        <v/>
      </c>
      <c r="K359" s="18">
        <f>IF(J359="CONTRADICTION","HIGH",IF(J359="DEPENDENCY GAP","MEDIUM","—"))</f>
        <v/>
      </c>
      <c r="L359" s="18">
        <f>IF(J359="CONTRADICTION","Strong upstream claim is not supported by linked downstream capability/evidence. Trigger: Strategy learning review.",IF(J359="DEPENDENCY GAP","Downstream capability materially trails upstream expectation. Trigger: Strategy learning review.",""))</f>
        <v/>
      </c>
    </row>
    <row r="360">
      <c r="A360" s="18" t="inlineStr">
        <is>
          <t>CD22</t>
        </is>
      </c>
      <c r="B360" s="18" t="inlineStr">
        <is>
          <t>D11-I01</t>
        </is>
      </c>
      <c r="C360" s="18" t="inlineStr">
        <is>
          <t>D01-I03</t>
        </is>
      </c>
      <c r="D360" s="18">
        <f>'P0-3_Scorecard'!L131</f>
        <v/>
      </c>
      <c r="E360" s="18">
        <f>'P0-3_Scorecard'!L4</f>
        <v/>
      </c>
      <c r="F360" s="18">
        <f>'P0-3_Scorecard'!M131</f>
        <v/>
      </c>
      <c r="G360" s="18">
        <f>'P0-3_Scorecard'!M4</f>
        <v/>
      </c>
      <c r="H360" s="18">
        <f>IF(OR(D360="",F360=""),"",D360-(F360*20))</f>
        <v/>
      </c>
      <c r="I360" s="18">
        <f>IF(OR(E360="",G360=""),"",E360-(G360*20))</f>
        <v/>
      </c>
      <c r="J360" s="18">
        <f>IF(OR(D360="",E360=""),"INCOMPLETE",IF(AND(D360&gt;=80,E360&lt;50),"CONTRADICTION",IF(AND(D360&gt;=70,E360&lt;70),"DEPENDENCY GAP","NO TRIGGER")))</f>
        <v/>
      </c>
      <c r="K360" s="18">
        <f>IF(J360="CONTRADICTION","HIGH",IF(J360="DEPENDENCY GAP","MEDIUM","—"))</f>
        <v/>
      </c>
      <c r="L360" s="18">
        <f>IF(J360="CONTRADICTION","Strong upstream claim is not supported by linked downstream capability/evidence. Trigger: Strategy learning review.",IF(J360="DEPENDENCY GAP","Downstream capability materially trails upstream expectation. Trigger: Strategy learning review.",""))</f>
        <v/>
      </c>
    </row>
    <row r="361">
      <c r="A361" s="18" t="inlineStr">
        <is>
          <t>CD22</t>
        </is>
      </c>
      <c r="B361" s="18" t="inlineStr">
        <is>
          <t>D11-I01</t>
        </is>
      </c>
      <c r="C361" s="18" t="inlineStr">
        <is>
          <t>D01-I10</t>
        </is>
      </c>
      <c r="D361" s="18">
        <f>'P0-3_Scorecard'!L131</f>
        <v/>
      </c>
      <c r="E361" s="18">
        <f>'P0-3_Scorecard'!L11</f>
        <v/>
      </c>
      <c r="F361" s="18">
        <f>'P0-3_Scorecard'!M131</f>
        <v/>
      </c>
      <c r="G361" s="18">
        <f>'P0-3_Scorecard'!M11</f>
        <v/>
      </c>
      <c r="H361" s="18">
        <f>IF(OR(D361="",F361=""),"",D361-(F361*20))</f>
        <v/>
      </c>
      <c r="I361" s="18">
        <f>IF(OR(E361="",G361=""),"",E361-(G361*20))</f>
        <v/>
      </c>
      <c r="J361" s="18">
        <f>IF(OR(D361="",E361=""),"INCOMPLETE",IF(AND(D361&gt;=80,E361&lt;50),"CONTRADICTION",IF(AND(D361&gt;=70,E361&lt;70),"DEPENDENCY GAP","NO TRIGGER")))</f>
        <v/>
      </c>
      <c r="K361" s="18">
        <f>IF(J361="CONTRADICTION","HIGH",IF(J361="DEPENDENCY GAP","MEDIUM","—"))</f>
        <v/>
      </c>
      <c r="L361" s="18">
        <f>IF(J361="CONTRADICTION","Strong upstream claim is not supported by linked downstream capability/evidence. Trigger: Strategy learning review.",IF(J361="DEPENDENCY GAP","Downstream capability materially trails upstream expectation. Trigger: Strategy learning review.",""))</f>
        <v/>
      </c>
    </row>
    <row r="362">
      <c r="A362" s="18" t="inlineStr">
        <is>
          <t>CD22</t>
        </is>
      </c>
      <c r="B362" s="18" t="inlineStr">
        <is>
          <t>D11-I02</t>
        </is>
      </c>
      <c r="C362" s="18" t="inlineStr">
        <is>
          <t>D01-I02</t>
        </is>
      </c>
      <c r="D362" s="18">
        <f>'P0-3_Scorecard'!L132</f>
        <v/>
      </c>
      <c r="E362" s="18">
        <f>'P0-3_Scorecard'!L3</f>
        <v/>
      </c>
      <c r="F362" s="18">
        <f>'P0-3_Scorecard'!M132</f>
        <v/>
      </c>
      <c r="G362" s="18">
        <f>'P0-3_Scorecard'!M3</f>
        <v/>
      </c>
      <c r="H362" s="18">
        <f>IF(OR(D362="",F362=""),"",D362-(F362*20))</f>
        <v/>
      </c>
      <c r="I362" s="18">
        <f>IF(OR(E362="",G362=""),"",E362-(G362*20))</f>
        <v/>
      </c>
      <c r="J362" s="18">
        <f>IF(OR(D362="",E362=""),"INCOMPLETE",IF(AND(D362&gt;=80,E362&lt;50),"CONTRADICTION",IF(AND(D362&gt;=70,E362&lt;70),"DEPENDENCY GAP","NO TRIGGER")))</f>
        <v/>
      </c>
      <c r="K362" s="18">
        <f>IF(J362="CONTRADICTION","HIGH",IF(J362="DEPENDENCY GAP","MEDIUM","—"))</f>
        <v/>
      </c>
      <c r="L362" s="18">
        <f>IF(J362="CONTRADICTION","Strong upstream claim is not supported by linked downstream capability/evidence. Trigger: Strategy learning review.",IF(J362="DEPENDENCY GAP","Downstream capability materially trails upstream expectation. Trigger: Strategy learning review.",""))</f>
        <v/>
      </c>
    </row>
    <row r="363">
      <c r="A363" s="18" t="inlineStr">
        <is>
          <t>CD22</t>
        </is>
      </c>
      <c r="B363" s="18" t="inlineStr">
        <is>
          <t>D11-I02</t>
        </is>
      </c>
      <c r="C363" s="18" t="inlineStr">
        <is>
          <t>D01-I03</t>
        </is>
      </c>
      <c r="D363" s="18">
        <f>'P0-3_Scorecard'!L132</f>
        <v/>
      </c>
      <c r="E363" s="18">
        <f>'P0-3_Scorecard'!L4</f>
        <v/>
      </c>
      <c r="F363" s="18">
        <f>'P0-3_Scorecard'!M132</f>
        <v/>
      </c>
      <c r="G363" s="18">
        <f>'P0-3_Scorecard'!M4</f>
        <v/>
      </c>
      <c r="H363" s="18">
        <f>IF(OR(D363="",F363=""),"",D363-(F363*20))</f>
        <v/>
      </c>
      <c r="I363" s="18">
        <f>IF(OR(E363="",G363=""),"",E363-(G363*20))</f>
        <v/>
      </c>
      <c r="J363" s="18">
        <f>IF(OR(D363="",E363=""),"INCOMPLETE",IF(AND(D363&gt;=80,E363&lt;50),"CONTRADICTION",IF(AND(D363&gt;=70,E363&lt;70),"DEPENDENCY GAP","NO TRIGGER")))</f>
        <v/>
      </c>
      <c r="K363" s="18">
        <f>IF(J363="CONTRADICTION","HIGH",IF(J363="DEPENDENCY GAP","MEDIUM","—"))</f>
        <v/>
      </c>
      <c r="L363" s="18">
        <f>IF(J363="CONTRADICTION","Strong upstream claim is not supported by linked downstream capability/evidence. Trigger: Strategy learning review.",IF(J363="DEPENDENCY GAP","Downstream capability materially trails upstream expectation. Trigger: Strategy learning review.",""))</f>
        <v/>
      </c>
    </row>
    <row r="364">
      <c r="A364" s="18" t="inlineStr">
        <is>
          <t>CD22</t>
        </is>
      </c>
      <c r="B364" s="18" t="inlineStr">
        <is>
          <t>D11-I02</t>
        </is>
      </c>
      <c r="C364" s="18" t="inlineStr">
        <is>
          <t>D01-I10</t>
        </is>
      </c>
      <c r="D364" s="18">
        <f>'P0-3_Scorecard'!L132</f>
        <v/>
      </c>
      <c r="E364" s="18">
        <f>'P0-3_Scorecard'!L11</f>
        <v/>
      </c>
      <c r="F364" s="18">
        <f>'P0-3_Scorecard'!M132</f>
        <v/>
      </c>
      <c r="G364" s="18">
        <f>'P0-3_Scorecard'!M11</f>
        <v/>
      </c>
      <c r="H364" s="18">
        <f>IF(OR(D364="",F364=""),"",D364-(F364*20))</f>
        <v/>
      </c>
      <c r="I364" s="18">
        <f>IF(OR(E364="",G364=""),"",E364-(G364*20))</f>
        <v/>
      </c>
      <c r="J364" s="18">
        <f>IF(OR(D364="",E364=""),"INCOMPLETE",IF(AND(D364&gt;=80,E364&lt;50),"CONTRADICTION",IF(AND(D364&gt;=70,E364&lt;70),"DEPENDENCY GAP","NO TRIGGER")))</f>
        <v/>
      </c>
      <c r="K364" s="18">
        <f>IF(J364="CONTRADICTION","HIGH",IF(J364="DEPENDENCY GAP","MEDIUM","—"))</f>
        <v/>
      </c>
      <c r="L364" s="18">
        <f>IF(J364="CONTRADICTION","Strong upstream claim is not supported by linked downstream capability/evidence. Trigger: Strategy learning review.",IF(J364="DEPENDENCY GAP","Downstream capability materially trails upstream expectation. Trigger: Strategy learning review.",""))</f>
        <v/>
      </c>
    </row>
    <row r="365">
      <c r="A365" s="18" t="inlineStr">
        <is>
          <t>CD22</t>
        </is>
      </c>
      <c r="B365" s="18" t="inlineStr">
        <is>
          <t>D11-I06</t>
        </is>
      </c>
      <c r="C365" s="18" t="inlineStr">
        <is>
          <t>D01-I02</t>
        </is>
      </c>
      <c r="D365" s="18">
        <f>'P0-3_Scorecard'!L136</f>
        <v/>
      </c>
      <c r="E365" s="18">
        <f>'P0-3_Scorecard'!L3</f>
        <v/>
      </c>
      <c r="F365" s="18">
        <f>'P0-3_Scorecard'!M136</f>
        <v/>
      </c>
      <c r="G365" s="18">
        <f>'P0-3_Scorecard'!M3</f>
        <v/>
      </c>
      <c r="H365" s="18">
        <f>IF(OR(D365="",F365=""),"",D365-(F365*20))</f>
        <v/>
      </c>
      <c r="I365" s="18">
        <f>IF(OR(E365="",G365=""),"",E365-(G365*20))</f>
        <v/>
      </c>
      <c r="J365" s="18">
        <f>IF(OR(D365="",E365=""),"INCOMPLETE",IF(AND(D365&gt;=80,E365&lt;50),"CONTRADICTION",IF(AND(D365&gt;=70,E365&lt;70),"DEPENDENCY GAP","NO TRIGGER")))</f>
        <v/>
      </c>
      <c r="K365" s="18">
        <f>IF(J365="CONTRADICTION","HIGH",IF(J365="DEPENDENCY GAP","MEDIUM","—"))</f>
        <v/>
      </c>
      <c r="L365" s="18">
        <f>IF(J365="CONTRADICTION","Strong upstream claim is not supported by linked downstream capability/evidence. Trigger: Strategy learning review.",IF(J365="DEPENDENCY GAP","Downstream capability materially trails upstream expectation. Trigger: Strategy learning review.",""))</f>
        <v/>
      </c>
    </row>
    <row r="366">
      <c r="A366" s="18" t="inlineStr">
        <is>
          <t>CD22</t>
        </is>
      </c>
      <c r="B366" s="18" t="inlineStr">
        <is>
          <t>D11-I06</t>
        </is>
      </c>
      <c r="C366" s="18" t="inlineStr">
        <is>
          <t>D01-I03</t>
        </is>
      </c>
      <c r="D366" s="18">
        <f>'P0-3_Scorecard'!L136</f>
        <v/>
      </c>
      <c r="E366" s="18">
        <f>'P0-3_Scorecard'!L4</f>
        <v/>
      </c>
      <c r="F366" s="18">
        <f>'P0-3_Scorecard'!M136</f>
        <v/>
      </c>
      <c r="G366" s="18">
        <f>'P0-3_Scorecard'!M4</f>
        <v/>
      </c>
      <c r="H366" s="18">
        <f>IF(OR(D366="",F366=""),"",D366-(F366*20))</f>
        <v/>
      </c>
      <c r="I366" s="18">
        <f>IF(OR(E366="",G366=""),"",E366-(G366*20))</f>
        <v/>
      </c>
      <c r="J366" s="18">
        <f>IF(OR(D366="",E366=""),"INCOMPLETE",IF(AND(D366&gt;=80,E366&lt;50),"CONTRADICTION",IF(AND(D366&gt;=70,E366&lt;70),"DEPENDENCY GAP","NO TRIGGER")))</f>
        <v/>
      </c>
      <c r="K366" s="18">
        <f>IF(J366="CONTRADICTION","HIGH",IF(J366="DEPENDENCY GAP","MEDIUM","—"))</f>
        <v/>
      </c>
      <c r="L366" s="18">
        <f>IF(J366="CONTRADICTION","Strong upstream claim is not supported by linked downstream capability/evidence. Trigger: Strategy learning review.",IF(J366="DEPENDENCY GAP","Downstream capability materially trails upstream expectation. Trigger: Strategy learning review.",""))</f>
        <v/>
      </c>
    </row>
    <row r="367">
      <c r="A367" s="18" t="inlineStr">
        <is>
          <t>CD22</t>
        </is>
      </c>
      <c r="B367" s="18" t="inlineStr">
        <is>
          <t>D11-I06</t>
        </is>
      </c>
      <c r="C367" s="18" t="inlineStr">
        <is>
          <t>D01-I10</t>
        </is>
      </c>
      <c r="D367" s="18">
        <f>'P0-3_Scorecard'!L136</f>
        <v/>
      </c>
      <c r="E367" s="18">
        <f>'P0-3_Scorecard'!L11</f>
        <v/>
      </c>
      <c r="F367" s="18">
        <f>'P0-3_Scorecard'!M136</f>
        <v/>
      </c>
      <c r="G367" s="18">
        <f>'P0-3_Scorecard'!M11</f>
        <v/>
      </c>
      <c r="H367" s="18">
        <f>IF(OR(D367="",F367=""),"",D367-(F367*20))</f>
        <v/>
      </c>
      <c r="I367" s="18">
        <f>IF(OR(E367="",G367=""),"",E367-(G367*20))</f>
        <v/>
      </c>
      <c r="J367" s="18">
        <f>IF(OR(D367="",E367=""),"INCOMPLETE",IF(AND(D367&gt;=80,E367&lt;50),"CONTRADICTION",IF(AND(D367&gt;=70,E367&lt;70),"DEPENDENCY GAP","NO TRIGGER")))</f>
        <v/>
      </c>
      <c r="K367" s="18">
        <f>IF(J367="CONTRADICTION","HIGH",IF(J367="DEPENDENCY GAP","MEDIUM","—"))</f>
        <v/>
      </c>
      <c r="L367" s="18">
        <f>IF(J367="CONTRADICTION","Strong upstream claim is not supported by linked downstream capability/evidence. Trigger: Strategy learning review.",IF(J367="DEPENDENCY GAP","Downstream capability materially trails upstream expectation. Trigger: Strategy learning review.",""))</f>
        <v/>
      </c>
    </row>
    <row r="368">
      <c r="A368" s="18" t="inlineStr">
        <is>
          <t>CD22</t>
        </is>
      </c>
      <c r="B368" s="18" t="inlineStr">
        <is>
          <t>D11-I13</t>
        </is>
      </c>
      <c r="C368" s="18" t="inlineStr">
        <is>
          <t>D01-I02</t>
        </is>
      </c>
      <c r="D368" s="18">
        <f>'P0-3_Scorecard'!L143</f>
        <v/>
      </c>
      <c r="E368" s="18">
        <f>'P0-3_Scorecard'!L3</f>
        <v/>
      </c>
      <c r="F368" s="18">
        <f>'P0-3_Scorecard'!M143</f>
        <v/>
      </c>
      <c r="G368" s="18">
        <f>'P0-3_Scorecard'!M3</f>
        <v/>
      </c>
      <c r="H368" s="18">
        <f>IF(OR(D368="",F368=""),"",D368-(F368*20))</f>
        <v/>
      </c>
      <c r="I368" s="18">
        <f>IF(OR(E368="",G368=""),"",E368-(G368*20))</f>
        <v/>
      </c>
      <c r="J368" s="18">
        <f>IF(OR(D368="",E368=""),"INCOMPLETE",IF(AND(D368&gt;=80,E368&lt;50),"CONTRADICTION",IF(AND(D368&gt;=70,E368&lt;70),"DEPENDENCY GAP","NO TRIGGER")))</f>
        <v/>
      </c>
      <c r="K368" s="18">
        <f>IF(J368="CONTRADICTION","HIGH",IF(J368="DEPENDENCY GAP","MEDIUM","—"))</f>
        <v/>
      </c>
      <c r="L368" s="18">
        <f>IF(J368="CONTRADICTION","Strong upstream claim is not supported by linked downstream capability/evidence. Trigger: Strategy learning review.",IF(J368="DEPENDENCY GAP","Downstream capability materially trails upstream expectation. Trigger: Strategy learning review.",""))</f>
        <v/>
      </c>
    </row>
    <row r="369">
      <c r="A369" s="18" t="inlineStr">
        <is>
          <t>CD22</t>
        </is>
      </c>
      <c r="B369" s="18" t="inlineStr">
        <is>
          <t>D11-I13</t>
        </is>
      </c>
      <c r="C369" s="18" t="inlineStr">
        <is>
          <t>D01-I03</t>
        </is>
      </c>
      <c r="D369" s="18">
        <f>'P0-3_Scorecard'!L143</f>
        <v/>
      </c>
      <c r="E369" s="18">
        <f>'P0-3_Scorecard'!L4</f>
        <v/>
      </c>
      <c r="F369" s="18">
        <f>'P0-3_Scorecard'!M143</f>
        <v/>
      </c>
      <c r="G369" s="18">
        <f>'P0-3_Scorecard'!M4</f>
        <v/>
      </c>
      <c r="H369" s="18">
        <f>IF(OR(D369="",F369=""),"",D369-(F369*20))</f>
        <v/>
      </c>
      <c r="I369" s="18">
        <f>IF(OR(E369="",G369=""),"",E369-(G369*20))</f>
        <v/>
      </c>
      <c r="J369" s="18">
        <f>IF(OR(D369="",E369=""),"INCOMPLETE",IF(AND(D369&gt;=80,E369&lt;50),"CONTRADICTION",IF(AND(D369&gt;=70,E369&lt;70),"DEPENDENCY GAP","NO TRIGGER")))</f>
        <v/>
      </c>
      <c r="K369" s="18">
        <f>IF(J369="CONTRADICTION","HIGH",IF(J369="DEPENDENCY GAP","MEDIUM","—"))</f>
        <v/>
      </c>
      <c r="L369" s="18">
        <f>IF(J369="CONTRADICTION","Strong upstream claim is not supported by linked downstream capability/evidence. Trigger: Strategy learning review.",IF(J369="DEPENDENCY GAP","Downstream capability materially trails upstream expectation. Trigger: Strategy learning review.",""))</f>
        <v/>
      </c>
    </row>
    <row r="370">
      <c r="A370" s="18" t="inlineStr">
        <is>
          <t>CD22</t>
        </is>
      </c>
      <c r="B370" s="18" t="inlineStr">
        <is>
          <t>D11-I13</t>
        </is>
      </c>
      <c r="C370" s="18" t="inlineStr">
        <is>
          <t>D01-I10</t>
        </is>
      </c>
      <c r="D370" s="18">
        <f>'P0-3_Scorecard'!L143</f>
        <v/>
      </c>
      <c r="E370" s="18">
        <f>'P0-3_Scorecard'!L11</f>
        <v/>
      </c>
      <c r="F370" s="18">
        <f>'P0-3_Scorecard'!M143</f>
        <v/>
      </c>
      <c r="G370" s="18">
        <f>'P0-3_Scorecard'!M11</f>
        <v/>
      </c>
      <c r="H370" s="18">
        <f>IF(OR(D370="",F370=""),"",D370-(F370*20))</f>
        <v/>
      </c>
      <c r="I370" s="18">
        <f>IF(OR(E370="",G370=""),"",E370-(G370*20))</f>
        <v/>
      </c>
      <c r="J370" s="18">
        <f>IF(OR(D370="",E370=""),"INCOMPLETE",IF(AND(D370&gt;=80,E370&lt;50),"CONTRADICTION",IF(AND(D370&gt;=70,E370&lt;70),"DEPENDENCY GAP","NO TRIGGER")))</f>
        <v/>
      </c>
      <c r="K370" s="18">
        <f>IF(J370="CONTRADICTION","HIGH",IF(J370="DEPENDENCY GAP","MEDIUM","—"))</f>
        <v/>
      </c>
      <c r="L370" s="18">
        <f>IF(J370="CONTRADICTION","Strong upstream claim is not supported by linked downstream capability/evidence. Trigger: Strategy learning review.",IF(J370="DEPENDENCY GAP","Downstream capability materially trails upstream expectation. Trigger: Strategy learning review.",""))</f>
        <v/>
      </c>
    </row>
    <row r="371">
      <c r="A371" s="18" t="inlineStr">
        <is>
          <t>CD22</t>
        </is>
      </c>
      <c r="B371" s="18" t="inlineStr">
        <is>
          <t>D11-I14</t>
        </is>
      </c>
      <c r="C371" s="18" t="inlineStr">
        <is>
          <t>D01-I02</t>
        </is>
      </c>
      <c r="D371" s="18">
        <f>'P0-3_Scorecard'!L144</f>
        <v/>
      </c>
      <c r="E371" s="18">
        <f>'P0-3_Scorecard'!L3</f>
        <v/>
      </c>
      <c r="F371" s="18">
        <f>'P0-3_Scorecard'!M144</f>
        <v/>
      </c>
      <c r="G371" s="18">
        <f>'P0-3_Scorecard'!M3</f>
        <v/>
      </c>
      <c r="H371" s="18">
        <f>IF(OR(D371="",F371=""),"",D371-(F371*20))</f>
        <v/>
      </c>
      <c r="I371" s="18">
        <f>IF(OR(E371="",G371=""),"",E371-(G371*20))</f>
        <v/>
      </c>
      <c r="J371" s="18">
        <f>IF(OR(D371="",E371=""),"INCOMPLETE",IF(AND(D371&gt;=80,E371&lt;50),"CONTRADICTION",IF(AND(D371&gt;=70,E371&lt;70),"DEPENDENCY GAP","NO TRIGGER")))</f>
        <v/>
      </c>
      <c r="K371" s="18">
        <f>IF(J371="CONTRADICTION","HIGH",IF(J371="DEPENDENCY GAP","MEDIUM","—"))</f>
        <v/>
      </c>
      <c r="L371" s="18">
        <f>IF(J371="CONTRADICTION","Strong upstream claim is not supported by linked downstream capability/evidence. Trigger: Strategy learning review.",IF(J371="DEPENDENCY GAP","Downstream capability materially trails upstream expectation. Trigger: Strategy learning review.",""))</f>
        <v/>
      </c>
    </row>
    <row r="372">
      <c r="A372" s="18" t="inlineStr">
        <is>
          <t>CD22</t>
        </is>
      </c>
      <c r="B372" s="18" t="inlineStr">
        <is>
          <t>D11-I14</t>
        </is>
      </c>
      <c r="C372" s="18" t="inlineStr">
        <is>
          <t>D01-I03</t>
        </is>
      </c>
      <c r="D372" s="18">
        <f>'P0-3_Scorecard'!L144</f>
        <v/>
      </c>
      <c r="E372" s="18">
        <f>'P0-3_Scorecard'!L4</f>
        <v/>
      </c>
      <c r="F372" s="18">
        <f>'P0-3_Scorecard'!M144</f>
        <v/>
      </c>
      <c r="G372" s="18">
        <f>'P0-3_Scorecard'!M4</f>
        <v/>
      </c>
      <c r="H372" s="18">
        <f>IF(OR(D372="",F372=""),"",D372-(F372*20))</f>
        <v/>
      </c>
      <c r="I372" s="18">
        <f>IF(OR(E372="",G372=""),"",E372-(G372*20))</f>
        <v/>
      </c>
      <c r="J372" s="18">
        <f>IF(OR(D372="",E372=""),"INCOMPLETE",IF(AND(D372&gt;=80,E372&lt;50),"CONTRADICTION",IF(AND(D372&gt;=70,E372&lt;70),"DEPENDENCY GAP","NO TRIGGER")))</f>
        <v/>
      </c>
      <c r="K372" s="18">
        <f>IF(J372="CONTRADICTION","HIGH",IF(J372="DEPENDENCY GAP","MEDIUM","—"))</f>
        <v/>
      </c>
      <c r="L372" s="18">
        <f>IF(J372="CONTRADICTION","Strong upstream claim is not supported by linked downstream capability/evidence. Trigger: Strategy learning review.",IF(J372="DEPENDENCY GAP","Downstream capability materially trails upstream expectation. Trigger: Strategy learning review.",""))</f>
        <v/>
      </c>
    </row>
    <row r="373">
      <c r="A373" s="18" t="inlineStr">
        <is>
          <t>CD22</t>
        </is>
      </c>
      <c r="B373" s="18" t="inlineStr">
        <is>
          <t>D11-I14</t>
        </is>
      </c>
      <c r="C373" s="18" t="inlineStr">
        <is>
          <t>D01-I10</t>
        </is>
      </c>
      <c r="D373" s="18">
        <f>'P0-3_Scorecard'!L144</f>
        <v/>
      </c>
      <c r="E373" s="18">
        <f>'P0-3_Scorecard'!L11</f>
        <v/>
      </c>
      <c r="F373" s="18">
        <f>'P0-3_Scorecard'!M144</f>
        <v/>
      </c>
      <c r="G373" s="18">
        <f>'P0-3_Scorecard'!M11</f>
        <v/>
      </c>
      <c r="H373" s="18">
        <f>IF(OR(D373="",F373=""),"",D373-(F373*20))</f>
        <v/>
      </c>
      <c r="I373" s="18">
        <f>IF(OR(E373="",G373=""),"",E373-(G373*20))</f>
        <v/>
      </c>
      <c r="J373" s="18">
        <f>IF(OR(D373="",E373=""),"INCOMPLETE",IF(AND(D373&gt;=80,E373&lt;50),"CONTRADICTION",IF(AND(D373&gt;=70,E373&lt;70),"DEPENDENCY GAP","NO TRIGGER")))</f>
        <v/>
      </c>
      <c r="K373" s="18">
        <f>IF(J373="CONTRADICTION","HIGH",IF(J373="DEPENDENCY GAP","MEDIUM","—"))</f>
        <v/>
      </c>
      <c r="L373" s="18">
        <f>IF(J373="CONTRADICTION","Strong upstream claim is not supported by linked downstream capability/evidence. Trigger: Strategy learning review.",IF(J373="DEPENDENCY GAP","Downstream capability materially trails upstream expectation. Trigger: Strategy learning review.",""))</f>
        <v/>
      </c>
    </row>
    <row r="374">
      <c r="A374" s="18" t="inlineStr">
        <is>
          <t>CD23</t>
        </is>
      </c>
      <c r="B374" s="18" t="inlineStr">
        <is>
          <t>D11-I02</t>
        </is>
      </c>
      <c r="C374" s="18" t="inlineStr">
        <is>
          <t>D04-I03</t>
        </is>
      </c>
      <c r="D374" s="18">
        <f>'P0-3_Scorecard'!L132</f>
        <v/>
      </c>
      <c r="E374" s="18">
        <f>'P0-3_Scorecard'!L45</f>
        <v/>
      </c>
      <c r="F374" s="18">
        <f>'P0-3_Scorecard'!M132</f>
        <v/>
      </c>
      <c r="G374" s="18">
        <f>'P0-3_Scorecard'!M45</f>
        <v/>
      </c>
      <c r="H374" s="18">
        <f>IF(OR(D374="",F374=""),"",D374-(F374*20))</f>
        <v/>
      </c>
      <c r="I374" s="18">
        <f>IF(OR(E374="",G374=""),"",E374-(G374*20))</f>
        <v/>
      </c>
      <c r="J374" s="18">
        <f>IF(OR(D374="",E374=""),"INCOMPLETE",IF(AND(D374&gt;=80,E374&lt;50),"CONTRADICTION",IF(AND(D374&gt;=70,E374&lt;70),"DEPENDENCY GAP","NO TRIGGER")))</f>
        <v/>
      </c>
      <c r="K374" s="18">
        <f>IF(J374="CONTRADICTION","HIGH",IF(J374="DEPENDENCY GAP","MEDIUM","—"))</f>
        <v/>
      </c>
      <c r="L374" s="18">
        <f>IF(J374="CONTRADICTION","Strong upstream claim is not supported by linked downstream capability/evidence. Trigger: Programme adaptation review.",IF(J374="DEPENDENCY GAP","Downstream capability materially trails upstream expectation. Trigger: Programme adaptation review.",""))</f>
        <v/>
      </c>
    </row>
    <row r="375">
      <c r="A375" s="18" t="inlineStr">
        <is>
          <t>CD23</t>
        </is>
      </c>
      <c r="B375" s="18" t="inlineStr">
        <is>
          <t>D11-I02</t>
        </is>
      </c>
      <c r="C375" s="18" t="inlineStr">
        <is>
          <t>D04-I05</t>
        </is>
      </c>
      <c r="D375" s="18">
        <f>'P0-3_Scorecard'!L132</f>
        <v/>
      </c>
      <c r="E375" s="18">
        <f>'P0-3_Scorecard'!L47</f>
        <v/>
      </c>
      <c r="F375" s="18">
        <f>'P0-3_Scorecard'!M132</f>
        <v/>
      </c>
      <c r="G375" s="18">
        <f>'P0-3_Scorecard'!M47</f>
        <v/>
      </c>
      <c r="H375" s="18">
        <f>IF(OR(D375="",F375=""),"",D375-(F375*20))</f>
        <v/>
      </c>
      <c r="I375" s="18">
        <f>IF(OR(E375="",G375=""),"",E375-(G375*20))</f>
        <v/>
      </c>
      <c r="J375" s="18">
        <f>IF(OR(D375="",E375=""),"INCOMPLETE",IF(AND(D375&gt;=80,E375&lt;50),"CONTRADICTION",IF(AND(D375&gt;=70,E375&lt;70),"DEPENDENCY GAP","NO TRIGGER")))</f>
        <v/>
      </c>
      <c r="K375" s="18">
        <f>IF(J375="CONTRADICTION","HIGH",IF(J375="DEPENDENCY GAP","MEDIUM","—"))</f>
        <v/>
      </c>
      <c r="L375" s="18">
        <f>IF(J375="CONTRADICTION","Strong upstream claim is not supported by linked downstream capability/evidence. Trigger: Programme adaptation review.",IF(J375="DEPENDENCY GAP","Downstream capability materially trails upstream expectation. Trigger: Programme adaptation review.",""))</f>
        <v/>
      </c>
    </row>
    <row r="376">
      <c r="A376" s="18" t="inlineStr">
        <is>
          <t>CD23</t>
        </is>
      </c>
      <c r="B376" s="18" t="inlineStr">
        <is>
          <t>D11-I02</t>
        </is>
      </c>
      <c r="C376" s="18" t="inlineStr">
        <is>
          <t>D04-I08</t>
        </is>
      </c>
      <c r="D376" s="18">
        <f>'P0-3_Scorecard'!L132</f>
        <v/>
      </c>
      <c r="E376" s="18">
        <f>'P0-3_Scorecard'!L50</f>
        <v/>
      </c>
      <c r="F376" s="18">
        <f>'P0-3_Scorecard'!M132</f>
        <v/>
      </c>
      <c r="G376" s="18">
        <f>'P0-3_Scorecard'!M50</f>
        <v/>
      </c>
      <c r="H376" s="18">
        <f>IF(OR(D376="",F376=""),"",D376-(F376*20))</f>
        <v/>
      </c>
      <c r="I376" s="18">
        <f>IF(OR(E376="",G376=""),"",E376-(G376*20))</f>
        <v/>
      </c>
      <c r="J376" s="18">
        <f>IF(OR(D376="",E376=""),"INCOMPLETE",IF(AND(D376&gt;=80,E376&lt;50),"CONTRADICTION",IF(AND(D376&gt;=70,E376&lt;70),"DEPENDENCY GAP","NO TRIGGER")))</f>
        <v/>
      </c>
      <c r="K376" s="18">
        <f>IF(J376="CONTRADICTION","HIGH",IF(J376="DEPENDENCY GAP","MEDIUM","—"))</f>
        <v/>
      </c>
      <c r="L376" s="18">
        <f>IF(J376="CONTRADICTION","Strong upstream claim is not supported by linked downstream capability/evidence. Trigger: Programme adaptation review.",IF(J376="DEPENDENCY GAP","Downstream capability materially trails upstream expectation. Trigger: Programme adaptation review.",""))</f>
        <v/>
      </c>
    </row>
    <row r="377">
      <c r="A377" s="18" t="inlineStr">
        <is>
          <t>CD23</t>
        </is>
      </c>
      <c r="B377" s="18" t="inlineStr">
        <is>
          <t>D11-I02</t>
        </is>
      </c>
      <c r="C377" s="18" t="inlineStr">
        <is>
          <t>D04-I12</t>
        </is>
      </c>
      <c r="D377" s="18">
        <f>'P0-3_Scorecard'!L132</f>
        <v/>
      </c>
      <c r="E377" s="18">
        <f>'P0-3_Scorecard'!L54</f>
        <v/>
      </c>
      <c r="F377" s="18">
        <f>'P0-3_Scorecard'!M132</f>
        <v/>
      </c>
      <c r="G377" s="18">
        <f>'P0-3_Scorecard'!M54</f>
        <v/>
      </c>
      <c r="H377" s="18">
        <f>IF(OR(D377="",F377=""),"",D377-(F377*20))</f>
        <v/>
      </c>
      <c r="I377" s="18">
        <f>IF(OR(E377="",G377=""),"",E377-(G377*20))</f>
        <v/>
      </c>
      <c r="J377" s="18">
        <f>IF(OR(D377="",E377=""),"INCOMPLETE",IF(AND(D377&gt;=80,E377&lt;50),"CONTRADICTION",IF(AND(D377&gt;=70,E377&lt;70),"DEPENDENCY GAP","NO TRIGGER")))</f>
        <v/>
      </c>
      <c r="K377" s="18">
        <f>IF(J377="CONTRADICTION","HIGH",IF(J377="DEPENDENCY GAP","MEDIUM","—"))</f>
        <v/>
      </c>
      <c r="L377" s="18">
        <f>IF(J377="CONTRADICTION","Strong upstream claim is not supported by linked downstream capability/evidence. Trigger: Programme adaptation review.",IF(J377="DEPENDENCY GAP","Downstream capability materially trails upstream expectation. Trigger: Programme adaptation review.",""))</f>
        <v/>
      </c>
    </row>
    <row r="378">
      <c r="A378" s="18" t="inlineStr">
        <is>
          <t>CD23</t>
        </is>
      </c>
      <c r="B378" s="18" t="inlineStr">
        <is>
          <t>D11-I04</t>
        </is>
      </c>
      <c r="C378" s="18" t="inlineStr">
        <is>
          <t>D04-I03</t>
        </is>
      </c>
      <c r="D378" s="18">
        <f>'P0-3_Scorecard'!L134</f>
        <v/>
      </c>
      <c r="E378" s="18">
        <f>'P0-3_Scorecard'!L45</f>
        <v/>
      </c>
      <c r="F378" s="18">
        <f>'P0-3_Scorecard'!M134</f>
        <v/>
      </c>
      <c r="G378" s="18">
        <f>'P0-3_Scorecard'!M45</f>
        <v/>
      </c>
      <c r="H378" s="18">
        <f>IF(OR(D378="",F378=""),"",D378-(F378*20))</f>
        <v/>
      </c>
      <c r="I378" s="18">
        <f>IF(OR(E378="",G378=""),"",E378-(G378*20))</f>
        <v/>
      </c>
      <c r="J378" s="18">
        <f>IF(OR(D378="",E378=""),"INCOMPLETE",IF(AND(D378&gt;=80,E378&lt;50),"CONTRADICTION",IF(AND(D378&gt;=70,E378&lt;70),"DEPENDENCY GAP","NO TRIGGER")))</f>
        <v/>
      </c>
      <c r="K378" s="18">
        <f>IF(J378="CONTRADICTION","HIGH",IF(J378="DEPENDENCY GAP","MEDIUM","—"))</f>
        <v/>
      </c>
      <c r="L378" s="18">
        <f>IF(J378="CONTRADICTION","Strong upstream claim is not supported by linked downstream capability/evidence. Trigger: Programme adaptation review.",IF(J378="DEPENDENCY GAP","Downstream capability materially trails upstream expectation. Trigger: Programme adaptation review.",""))</f>
        <v/>
      </c>
    </row>
    <row r="379">
      <c r="A379" s="18" t="inlineStr">
        <is>
          <t>CD23</t>
        </is>
      </c>
      <c r="B379" s="18" t="inlineStr">
        <is>
          <t>D11-I04</t>
        </is>
      </c>
      <c r="C379" s="18" t="inlineStr">
        <is>
          <t>D04-I05</t>
        </is>
      </c>
      <c r="D379" s="18">
        <f>'P0-3_Scorecard'!L134</f>
        <v/>
      </c>
      <c r="E379" s="18">
        <f>'P0-3_Scorecard'!L47</f>
        <v/>
      </c>
      <c r="F379" s="18">
        <f>'P0-3_Scorecard'!M134</f>
        <v/>
      </c>
      <c r="G379" s="18">
        <f>'P0-3_Scorecard'!M47</f>
        <v/>
      </c>
      <c r="H379" s="18">
        <f>IF(OR(D379="",F379=""),"",D379-(F379*20))</f>
        <v/>
      </c>
      <c r="I379" s="18">
        <f>IF(OR(E379="",G379=""),"",E379-(G379*20))</f>
        <v/>
      </c>
      <c r="J379" s="18">
        <f>IF(OR(D379="",E379=""),"INCOMPLETE",IF(AND(D379&gt;=80,E379&lt;50),"CONTRADICTION",IF(AND(D379&gt;=70,E379&lt;70),"DEPENDENCY GAP","NO TRIGGER")))</f>
        <v/>
      </c>
      <c r="K379" s="18">
        <f>IF(J379="CONTRADICTION","HIGH",IF(J379="DEPENDENCY GAP","MEDIUM","—"))</f>
        <v/>
      </c>
      <c r="L379" s="18">
        <f>IF(J379="CONTRADICTION","Strong upstream claim is not supported by linked downstream capability/evidence. Trigger: Programme adaptation review.",IF(J379="DEPENDENCY GAP","Downstream capability materially trails upstream expectation. Trigger: Programme adaptation review.",""))</f>
        <v/>
      </c>
    </row>
    <row r="380">
      <c r="A380" s="18" t="inlineStr">
        <is>
          <t>CD23</t>
        </is>
      </c>
      <c r="B380" s="18" t="inlineStr">
        <is>
          <t>D11-I04</t>
        </is>
      </c>
      <c r="C380" s="18" t="inlineStr">
        <is>
          <t>D04-I08</t>
        </is>
      </c>
      <c r="D380" s="18">
        <f>'P0-3_Scorecard'!L134</f>
        <v/>
      </c>
      <c r="E380" s="18">
        <f>'P0-3_Scorecard'!L50</f>
        <v/>
      </c>
      <c r="F380" s="18">
        <f>'P0-3_Scorecard'!M134</f>
        <v/>
      </c>
      <c r="G380" s="18">
        <f>'P0-3_Scorecard'!M50</f>
        <v/>
      </c>
      <c r="H380" s="18">
        <f>IF(OR(D380="",F380=""),"",D380-(F380*20))</f>
        <v/>
      </c>
      <c r="I380" s="18">
        <f>IF(OR(E380="",G380=""),"",E380-(G380*20))</f>
        <v/>
      </c>
      <c r="J380" s="18">
        <f>IF(OR(D380="",E380=""),"INCOMPLETE",IF(AND(D380&gt;=80,E380&lt;50),"CONTRADICTION",IF(AND(D380&gt;=70,E380&lt;70),"DEPENDENCY GAP","NO TRIGGER")))</f>
        <v/>
      </c>
      <c r="K380" s="18">
        <f>IF(J380="CONTRADICTION","HIGH",IF(J380="DEPENDENCY GAP","MEDIUM","—"))</f>
        <v/>
      </c>
      <c r="L380" s="18">
        <f>IF(J380="CONTRADICTION","Strong upstream claim is not supported by linked downstream capability/evidence. Trigger: Programme adaptation review.",IF(J380="DEPENDENCY GAP","Downstream capability materially trails upstream expectation. Trigger: Programme adaptation review.",""))</f>
        <v/>
      </c>
    </row>
    <row r="381">
      <c r="A381" s="18" t="inlineStr">
        <is>
          <t>CD23</t>
        </is>
      </c>
      <c r="B381" s="18" t="inlineStr">
        <is>
          <t>D11-I04</t>
        </is>
      </c>
      <c r="C381" s="18" t="inlineStr">
        <is>
          <t>D04-I12</t>
        </is>
      </c>
      <c r="D381" s="18">
        <f>'P0-3_Scorecard'!L134</f>
        <v/>
      </c>
      <c r="E381" s="18">
        <f>'P0-3_Scorecard'!L54</f>
        <v/>
      </c>
      <c r="F381" s="18">
        <f>'P0-3_Scorecard'!M134</f>
        <v/>
      </c>
      <c r="G381" s="18">
        <f>'P0-3_Scorecard'!M54</f>
        <v/>
      </c>
      <c r="H381" s="18">
        <f>IF(OR(D381="",F381=""),"",D381-(F381*20))</f>
        <v/>
      </c>
      <c r="I381" s="18">
        <f>IF(OR(E381="",G381=""),"",E381-(G381*20))</f>
        <v/>
      </c>
      <c r="J381" s="18">
        <f>IF(OR(D381="",E381=""),"INCOMPLETE",IF(AND(D381&gt;=80,E381&lt;50),"CONTRADICTION",IF(AND(D381&gt;=70,E381&lt;70),"DEPENDENCY GAP","NO TRIGGER")))</f>
        <v/>
      </c>
      <c r="K381" s="18">
        <f>IF(J381="CONTRADICTION","HIGH",IF(J381="DEPENDENCY GAP","MEDIUM","—"))</f>
        <v/>
      </c>
      <c r="L381" s="18">
        <f>IF(J381="CONTRADICTION","Strong upstream claim is not supported by linked downstream capability/evidence. Trigger: Programme adaptation review.",IF(J381="DEPENDENCY GAP","Downstream capability materially trails upstream expectation. Trigger: Programme adaptation review.",""))</f>
        <v/>
      </c>
    </row>
    <row r="382">
      <c r="A382" s="18" t="inlineStr">
        <is>
          <t>CD23</t>
        </is>
      </c>
      <c r="B382" s="18" t="inlineStr">
        <is>
          <t>D11-I07</t>
        </is>
      </c>
      <c r="C382" s="18" t="inlineStr">
        <is>
          <t>D04-I03</t>
        </is>
      </c>
      <c r="D382" s="18">
        <f>'P0-3_Scorecard'!L137</f>
        <v/>
      </c>
      <c r="E382" s="18">
        <f>'P0-3_Scorecard'!L45</f>
        <v/>
      </c>
      <c r="F382" s="18">
        <f>'P0-3_Scorecard'!M137</f>
        <v/>
      </c>
      <c r="G382" s="18">
        <f>'P0-3_Scorecard'!M45</f>
        <v/>
      </c>
      <c r="H382" s="18">
        <f>IF(OR(D382="",F382=""),"",D382-(F382*20))</f>
        <v/>
      </c>
      <c r="I382" s="18">
        <f>IF(OR(E382="",G382=""),"",E382-(G382*20))</f>
        <v/>
      </c>
      <c r="J382" s="18">
        <f>IF(OR(D382="",E382=""),"INCOMPLETE",IF(AND(D382&gt;=80,E382&lt;50),"CONTRADICTION",IF(AND(D382&gt;=70,E382&lt;70),"DEPENDENCY GAP","NO TRIGGER")))</f>
        <v/>
      </c>
      <c r="K382" s="18">
        <f>IF(J382="CONTRADICTION","HIGH",IF(J382="DEPENDENCY GAP","MEDIUM","—"))</f>
        <v/>
      </c>
      <c r="L382" s="18">
        <f>IF(J382="CONTRADICTION","Strong upstream claim is not supported by linked downstream capability/evidence. Trigger: Programme adaptation review.",IF(J382="DEPENDENCY GAP","Downstream capability materially trails upstream expectation. Trigger: Programme adaptation review.",""))</f>
        <v/>
      </c>
    </row>
    <row r="383">
      <c r="A383" s="18" t="inlineStr">
        <is>
          <t>CD23</t>
        </is>
      </c>
      <c r="B383" s="18" t="inlineStr">
        <is>
          <t>D11-I07</t>
        </is>
      </c>
      <c r="C383" s="18" t="inlineStr">
        <is>
          <t>D04-I05</t>
        </is>
      </c>
      <c r="D383" s="18">
        <f>'P0-3_Scorecard'!L137</f>
        <v/>
      </c>
      <c r="E383" s="18">
        <f>'P0-3_Scorecard'!L47</f>
        <v/>
      </c>
      <c r="F383" s="18">
        <f>'P0-3_Scorecard'!M137</f>
        <v/>
      </c>
      <c r="G383" s="18">
        <f>'P0-3_Scorecard'!M47</f>
        <v/>
      </c>
      <c r="H383" s="18">
        <f>IF(OR(D383="",F383=""),"",D383-(F383*20))</f>
        <v/>
      </c>
      <c r="I383" s="18">
        <f>IF(OR(E383="",G383=""),"",E383-(G383*20))</f>
        <v/>
      </c>
      <c r="J383" s="18">
        <f>IF(OR(D383="",E383=""),"INCOMPLETE",IF(AND(D383&gt;=80,E383&lt;50),"CONTRADICTION",IF(AND(D383&gt;=70,E383&lt;70),"DEPENDENCY GAP","NO TRIGGER")))</f>
        <v/>
      </c>
      <c r="K383" s="18">
        <f>IF(J383="CONTRADICTION","HIGH",IF(J383="DEPENDENCY GAP","MEDIUM","—"))</f>
        <v/>
      </c>
      <c r="L383" s="18">
        <f>IF(J383="CONTRADICTION","Strong upstream claim is not supported by linked downstream capability/evidence. Trigger: Programme adaptation review.",IF(J383="DEPENDENCY GAP","Downstream capability materially trails upstream expectation. Trigger: Programme adaptation review.",""))</f>
        <v/>
      </c>
    </row>
    <row r="384">
      <c r="A384" s="18" t="inlineStr">
        <is>
          <t>CD23</t>
        </is>
      </c>
      <c r="B384" s="18" t="inlineStr">
        <is>
          <t>D11-I07</t>
        </is>
      </c>
      <c r="C384" s="18" t="inlineStr">
        <is>
          <t>D04-I08</t>
        </is>
      </c>
      <c r="D384" s="18">
        <f>'P0-3_Scorecard'!L137</f>
        <v/>
      </c>
      <c r="E384" s="18">
        <f>'P0-3_Scorecard'!L50</f>
        <v/>
      </c>
      <c r="F384" s="18">
        <f>'P0-3_Scorecard'!M137</f>
        <v/>
      </c>
      <c r="G384" s="18">
        <f>'P0-3_Scorecard'!M50</f>
        <v/>
      </c>
      <c r="H384" s="18">
        <f>IF(OR(D384="",F384=""),"",D384-(F384*20))</f>
        <v/>
      </c>
      <c r="I384" s="18">
        <f>IF(OR(E384="",G384=""),"",E384-(G384*20))</f>
        <v/>
      </c>
      <c r="J384" s="18">
        <f>IF(OR(D384="",E384=""),"INCOMPLETE",IF(AND(D384&gt;=80,E384&lt;50),"CONTRADICTION",IF(AND(D384&gt;=70,E384&lt;70),"DEPENDENCY GAP","NO TRIGGER")))</f>
        <v/>
      </c>
      <c r="K384" s="18">
        <f>IF(J384="CONTRADICTION","HIGH",IF(J384="DEPENDENCY GAP","MEDIUM","—"))</f>
        <v/>
      </c>
      <c r="L384" s="18">
        <f>IF(J384="CONTRADICTION","Strong upstream claim is not supported by linked downstream capability/evidence. Trigger: Programme adaptation review.",IF(J384="DEPENDENCY GAP","Downstream capability materially trails upstream expectation. Trigger: Programme adaptation review.",""))</f>
        <v/>
      </c>
    </row>
    <row r="385">
      <c r="A385" s="18" t="inlineStr">
        <is>
          <t>CD23</t>
        </is>
      </c>
      <c r="B385" s="18" t="inlineStr">
        <is>
          <t>D11-I07</t>
        </is>
      </c>
      <c r="C385" s="18" t="inlineStr">
        <is>
          <t>D04-I12</t>
        </is>
      </c>
      <c r="D385" s="18">
        <f>'P0-3_Scorecard'!L137</f>
        <v/>
      </c>
      <c r="E385" s="18">
        <f>'P0-3_Scorecard'!L54</f>
        <v/>
      </c>
      <c r="F385" s="18">
        <f>'P0-3_Scorecard'!M137</f>
        <v/>
      </c>
      <c r="G385" s="18">
        <f>'P0-3_Scorecard'!M54</f>
        <v/>
      </c>
      <c r="H385" s="18">
        <f>IF(OR(D385="",F385=""),"",D385-(F385*20))</f>
        <v/>
      </c>
      <c r="I385" s="18">
        <f>IF(OR(E385="",G385=""),"",E385-(G385*20))</f>
        <v/>
      </c>
      <c r="J385" s="18">
        <f>IF(OR(D385="",E385=""),"INCOMPLETE",IF(AND(D385&gt;=80,E385&lt;50),"CONTRADICTION",IF(AND(D385&gt;=70,E385&lt;70),"DEPENDENCY GAP","NO TRIGGER")))</f>
        <v/>
      </c>
      <c r="K385" s="18">
        <f>IF(J385="CONTRADICTION","HIGH",IF(J385="DEPENDENCY GAP","MEDIUM","—"))</f>
        <v/>
      </c>
      <c r="L385" s="18">
        <f>IF(J385="CONTRADICTION","Strong upstream claim is not supported by linked downstream capability/evidence. Trigger: Programme adaptation review.",IF(J385="DEPENDENCY GAP","Downstream capability materially trails upstream expectation. Trigger: Programme adaptation review.",""))</f>
        <v/>
      </c>
    </row>
    <row r="386">
      <c r="A386" s="18" t="inlineStr">
        <is>
          <t>CD23</t>
        </is>
      </c>
      <c r="B386" s="18" t="inlineStr">
        <is>
          <t>D11-I09</t>
        </is>
      </c>
      <c r="C386" s="18" t="inlineStr">
        <is>
          <t>D04-I03</t>
        </is>
      </c>
      <c r="D386" s="18">
        <f>'P0-3_Scorecard'!L139</f>
        <v/>
      </c>
      <c r="E386" s="18">
        <f>'P0-3_Scorecard'!L45</f>
        <v/>
      </c>
      <c r="F386" s="18">
        <f>'P0-3_Scorecard'!M139</f>
        <v/>
      </c>
      <c r="G386" s="18">
        <f>'P0-3_Scorecard'!M45</f>
        <v/>
      </c>
      <c r="H386" s="18">
        <f>IF(OR(D386="",F386=""),"",D386-(F386*20))</f>
        <v/>
      </c>
      <c r="I386" s="18">
        <f>IF(OR(E386="",G386=""),"",E386-(G386*20))</f>
        <v/>
      </c>
      <c r="J386" s="18">
        <f>IF(OR(D386="",E386=""),"INCOMPLETE",IF(AND(D386&gt;=80,E386&lt;50),"CONTRADICTION",IF(AND(D386&gt;=70,E386&lt;70),"DEPENDENCY GAP","NO TRIGGER")))</f>
        <v/>
      </c>
      <c r="K386" s="18">
        <f>IF(J386="CONTRADICTION","HIGH",IF(J386="DEPENDENCY GAP","MEDIUM","—"))</f>
        <v/>
      </c>
      <c r="L386" s="18">
        <f>IF(J386="CONTRADICTION","Strong upstream claim is not supported by linked downstream capability/evidence. Trigger: Programme adaptation review.",IF(J386="DEPENDENCY GAP","Downstream capability materially trails upstream expectation. Trigger: Programme adaptation review.",""))</f>
        <v/>
      </c>
    </row>
    <row r="387">
      <c r="A387" s="18" t="inlineStr">
        <is>
          <t>CD23</t>
        </is>
      </c>
      <c r="B387" s="18" t="inlineStr">
        <is>
          <t>D11-I09</t>
        </is>
      </c>
      <c r="C387" s="18" t="inlineStr">
        <is>
          <t>D04-I05</t>
        </is>
      </c>
      <c r="D387" s="18">
        <f>'P0-3_Scorecard'!L139</f>
        <v/>
      </c>
      <c r="E387" s="18">
        <f>'P0-3_Scorecard'!L47</f>
        <v/>
      </c>
      <c r="F387" s="18">
        <f>'P0-3_Scorecard'!M139</f>
        <v/>
      </c>
      <c r="G387" s="18">
        <f>'P0-3_Scorecard'!M47</f>
        <v/>
      </c>
      <c r="H387" s="18">
        <f>IF(OR(D387="",F387=""),"",D387-(F387*20))</f>
        <v/>
      </c>
      <c r="I387" s="18">
        <f>IF(OR(E387="",G387=""),"",E387-(G387*20))</f>
        <v/>
      </c>
      <c r="J387" s="18">
        <f>IF(OR(D387="",E387=""),"INCOMPLETE",IF(AND(D387&gt;=80,E387&lt;50),"CONTRADICTION",IF(AND(D387&gt;=70,E387&lt;70),"DEPENDENCY GAP","NO TRIGGER")))</f>
        <v/>
      </c>
      <c r="K387" s="18">
        <f>IF(J387="CONTRADICTION","HIGH",IF(J387="DEPENDENCY GAP","MEDIUM","—"))</f>
        <v/>
      </c>
      <c r="L387" s="18">
        <f>IF(J387="CONTRADICTION","Strong upstream claim is not supported by linked downstream capability/evidence. Trigger: Programme adaptation review.",IF(J387="DEPENDENCY GAP","Downstream capability materially trails upstream expectation. Trigger: Programme adaptation review.",""))</f>
        <v/>
      </c>
    </row>
    <row r="388">
      <c r="A388" s="18" t="inlineStr">
        <is>
          <t>CD23</t>
        </is>
      </c>
      <c r="B388" s="18" t="inlineStr">
        <is>
          <t>D11-I09</t>
        </is>
      </c>
      <c r="C388" s="18" t="inlineStr">
        <is>
          <t>D04-I08</t>
        </is>
      </c>
      <c r="D388" s="18">
        <f>'P0-3_Scorecard'!L139</f>
        <v/>
      </c>
      <c r="E388" s="18">
        <f>'P0-3_Scorecard'!L50</f>
        <v/>
      </c>
      <c r="F388" s="18">
        <f>'P0-3_Scorecard'!M139</f>
        <v/>
      </c>
      <c r="G388" s="18">
        <f>'P0-3_Scorecard'!M50</f>
        <v/>
      </c>
      <c r="H388" s="18">
        <f>IF(OR(D388="",F388=""),"",D388-(F388*20))</f>
        <v/>
      </c>
      <c r="I388" s="18">
        <f>IF(OR(E388="",G388=""),"",E388-(G388*20))</f>
        <v/>
      </c>
      <c r="J388" s="18">
        <f>IF(OR(D388="",E388=""),"INCOMPLETE",IF(AND(D388&gt;=80,E388&lt;50),"CONTRADICTION",IF(AND(D388&gt;=70,E388&lt;70),"DEPENDENCY GAP","NO TRIGGER")))</f>
        <v/>
      </c>
      <c r="K388" s="18">
        <f>IF(J388="CONTRADICTION","HIGH",IF(J388="DEPENDENCY GAP","MEDIUM","—"))</f>
        <v/>
      </c>
      <c r="L388" s="18">
        <f>IF(J388="CONTRADICTION","Strong upstream claim is not supported by linked downstream capability/evidence. Trigger: Programme adaptation review.",IF(J388="DEPENDENCY GAP","Downstream capability materially trails upstream expectation. Trigger: Programme adaptation review.",""))</f>
        <v/>
      </c>
    </row>
    <row r="389">
      <c r="A389" s="18" t="inlineStr">
        <is>
          <t>CD23</t>
        </is>
      </c>
      <c r="B389" s="18" t="inlineStr">
        <is>
          <t>D11-I09</t>
        </is>
      </c>
      <c r="C389" s="18" t="inlineStr">
        <is>
          <t>D04-I12</t>
        </is>
      </c>
      <c r="D389" s="18">
        <f>'P0-3_Scorecard'!L139</f>
        <v/>
      </c>
      <c r="E389" s="18">
        <f>'P0-3_Scorecard'!L54</f>
        <v/>
      </c>
      <c r="F389" s="18">
        <f>'P0-3_Scorecard'!M139</f>
        <v/>
      </c>
      <c r="G389" s="18">
        <f>'P0-3_Scorecard'!M54</f>
        <v/>
      </c>
      <c r="H389" s="18">
        <f>IF(OR(D389="",F389=""),"",D389-(F389*20))</f>
        <v/>
      </c>
      <c r="I389" s="18">
        <f>IF(OR(E389="",G389=""),"",E389-(G389*20))</f>
        <v/>
      </c>
      <c r="J389" s="18">
        <f>IF(OR(D389="",E389=""),"INCOMPLETE",IF(AND(D389&gt;=80,E389&lt;50),"CONTRADICTION",IF(AND(D389&gt;=70,E389&lt;70),"DEPENDENCY GAP","NO TRIGGER")))</f>
        <v/>
      </c>
      <c r="K389" s="18">
        <f>IF(J389="CONTRADICTION","HIGH",IF(J389="DEPENDENCY GAP","MEDIUM","—"))</f>
        <v/>
      </c>
      <c r="L389" s="18">
        <f>IF(J389="CONTRADICTION","Strong upstream claim is not supported by linked downstream capability/evidence. Trigger: Programme adaptation review.",IF(J389="DEPENDENCY GAP","Downstream capability materially trails upstream expectation. Trigger: Programme adaptation review.",""))</f>
        <v/>
      </c>
    </row>
    <row r="390">
      <c r="A390" s="18" t="inlineStr">
        <is>
          <t>CD23</t>
        </is>
      </c>
      <c r="B390" s="18" t="inlineStr">
        <is>
          <t>D11-I10</t>
        </is>
      </c>
      <c r="C390" s="18" t="inlineStr">
        <is>
          <t>D04-I03</t>
        </is>
      </c>
      <c r="D390" s="18">
        <f>'P0-3_Scorecard'!L140</f>
        <v/>
      </c>
      <c r="E390" s="18">
        <f>'P0-3_Scorecard'!L45</f>
        <v/>
      </c>
      <c r="F390" s="18">
        <f>'P0-3_Scorecard'!M140</f>
        <v/>
      </c>
      <c r="G390" s="18">
        <f>'P0-3_Scorecard'!M45</f>
        <v/>
      </c>
      <c r="H390" s="18">
        <f>IF(OR(D390="",F390=""),"",D390-(F390*20))</f>
        <v/>
      </c>
      <c r="I390" s="18">
        <f>IF(OR(E390="",G390=""),"",E390-(G390*20))</f>
        <v/>
      </c>
      <c r="J390" s="18">
        <f>IF(OR(D390="",E390=""),"INCOMPLETE",IF(AND(D390&gt;=80,E390&lt;50),"CONTRADICTION",IF(AND(D390&gt;=70,E390&lt;70),"DEPENDENCY GAP","NO TRIGGER")))</f>
        <v/>
      </c>
      <c r="K390" s="18">
        <f>IF(J390="CONTRADICTION","HIGH",IF(J390="DEPENDENCY GAP","MEDIUM","—"))</f>
        <v/>
      </c>
      <c r="L390" s="18">
        <f>IF(J390="CONTRADICTION","Strong upstream claim is not supported by linked downstream capability/evidence. Trigger: Programme adaptation review.",IF(J390="DEPENDENCY GAP","Downstream capability materially trails upstream expectation. Trigger: Programme adaptation review.",""))</f>
        <v/>
      </c>
    </row>
    <row r="391">
      <c r="A391" s="18" t="inlineStr">
        <is>
          <t>CD23</t>
        </is>
      </c>
      <c r="B391" s="18" t="inlineStr">
        <is>
          <t>D11-I10</t>
        </is>
      </c>
      <c r="C391" s="18" t="inlineStr">
        <is>
          <t>D04-I05</t>
        </is>
      </c>
      <c r="D391" s="18">
        <f>'P0-3_Scorecard'!L140</f>
        <v/>
      </c>
      <c r="E391" s="18">
        <f>'P0-3_Scorecard'!L47</f>
        <v/>
      </c>
      <c r="F391" s="18">
        <f>'P0-3_Scorecard'!M140</f>
        <v/>
      </c>
      <c r="G391" s="18">
        <f>'P0-3_Scorecard'!M47</f>
        <v/>
      </c>
      <c r="H391" s="18">
        <f>IF(OR(D391="",F391=""),"",D391-(F391*20))</f>
        <v/>
      </c>
      <c r="I391" s="18">
        <f>IF(OR(E391="",G391=""),"",E391-(G391*20))</f>
        <v/>
      </c>
      <c r="J391" s="18">
        <f>IF(OR(D391="",E391=""),"INCOMPLETE",IF(AND(D391&gt;=80,E391&lt;50),"CONTRADICTION",IF(AND(D391&gt;=70,E391&lt;70),"DEPENDENCY GAP","NO TRIGGER")))</f>
        <v/>
      </c>
      <c r="K391" s="18">
        <f>IF(J391="CONTRADICTION","HIGH",IF(J391="DEPENDENCY GAP","MEDIUM","—"))</f>
        <v/>
      </c>
      <c r="L391" s="18">
        <f>IF(J391="CONTRADICTION","Strong upstream claim is not supported by linked downstream capability/evidence. Trigger: Programme adaptation review.",IF(J391="DEPENDENCY GAP","Downstream capability materially trails upstream expectation. Trigger: Programme adaptation review.",""))</f>
        <v/>
      </c>
    </row>
    <row r="392">
      <c r="A392" s="18" t="inlineStr">
        <is>
          <t>CD23</t>
        </is>
      </c>
      <c r="B392" s="18" t="inlineStr">
        <is>
          <t>D11-I10</t>
        </is>
      </c>
      <c r="C392" s="18" t="inlineStr">
        <is>
          <t>D04-I08</t>
        </is>
      </c>
      <c r="D392" s="18">
        <f>'P0-3_Scorecard'!L140</f>
        <v/>
      </c>
      <c r="E392" s="18">
        <f>'P0-3_Scorecard'!L50</f>
        <v/>
      </c>
      <c r="F392" s="18">
        <f>'P0-3_Scorecard'!M140</f>
        <v/>
      </c>
      <c r="G392" s="18">
        <f>'P0-3_Scorecard'!M50</f>
        <v/>
      </c>
      <c r="H392" s="18">
        <f>IF(OR(D392="",F392=""),"",D392-(F392*20))</f>
        <v/>
      </c>
      <c r="I392" s="18">
        <f>IF(OR(E392="",G392=""),"",E392-(G392*20))</f>
        <v/>
      </c>
      <c r="J392" s="18">
        <f>IF(OR(D392="",E392=""),"INCOMPLETE",IF(AND(D392&gt;=80,E392&lt;50),"CONTRADICTION",IF(AND(D392&gt;=70,E392&lt;70),"DEPENDENCY GAP","NO TRIGGER")))</f>
        <v/>
      </c>
      <c r="K392" s="18">
        <f>IF(J392="CONTRADICTION","HIGH",IF(J392="DEPENDENCY GAP","MEDIUM","—"))</f>
        <v/>
      </c>
      <c r="L392" s="18">
        <f>IF(J392="CONTRADICTION","Strong upstream claim is not supported by linked downstream capability/evidence. Trigger: Programme adaptation review.",IF(J392="DEPENDENCY GAP","Downstream capability materially trails upstream expectation. Trigger: Programme adaptation review.",""))</f>
        <v/>
      </c>
    </row>
    <row r="393">
      <c r="A393" s="18" t="inlineStr">
        <is>
          <t>CD23</t>
        </is>
      </c>
      <c r="B393" s="18" t="inlineStr">
        <is>
          <t>D11-I10</t>
        </is>
      </c>
      <c r="C393" s="18" t="inlineStr">
        <is>
          <t>D04-I12</t>
        </is>
      </c>
      <c r="D393" s="18">
        <f>'P0-3_Scorecard'!L140</f>
        <v/>
      </c>
      <c r="E393" s="18">
        <f>'P0-3_Scorecard'!L54</f>
        <v/>
      </c>
      <c r="F393" s="18">
        <f>'P0-3_Scorecard'!M140</f>
        <v/>
      </c>
      <c r="G393" s="18">
        <f>'P0-3_Scorecard'!M54</f>
        <v/>
      </c>
      <c r="H393" s="18">
        <f>IF(OR(D393="",F393=""),"",D393-(F393*20))</f>
        <v/>
      </c>
      <c r="I393" s="18">
        <f>IF(OR(E393="",G393=""),"",E393-(G393*20))</f>
        <v/>
      </c>
      <c r="J393" s="18">
        <f>IF(OR(D393="",E393=""),"INCOMPLETE",IF(AND(D393&gt;=80,E393&lt;50),"CONTRADICTION",IF(AND(D393&gt;=70,E393&lt;70),"DEPENDENCY GAP","NO TRIGGER")))</f>
        <v/>
      </c>
      <c r="K393" s="18">
        <f>IF(J393="CONTRADICTION","HIGH",IF(J393="DEPENDENCY GAP","MEDIUM","—"))</f>
        <v/>
      </c>
      <c r="L393" s="18">
        <f>IF(J393="CONTRADICTION","Strong upstream claim is not supported by linked downstream capability/evidence. Trigger: Programme adaptation review.",IF(J393="DEPENDENCY GAP","Downstream capability materially trails upstream expectation. Trigger: Programme adaptation review.",""))</f>
        <v/>
      </c>
    </row>
    <row r="394">
      <c r="A394" s="18" t="inlineStr">
        <is>
          <t>CD24</t>
        </is>
      </c>
      <c r="B394" s="18" t="inlineStr">
        <is>
          <t>D11-I02</t>
        </is>
      </c>
      <c r="C394" s="18" t="inlineStr">
        <is>
          <t>D05-I08</t>
        </is>
      </c>
      <c r="D394" s="18">
        <f>'P0-3_Scorecard'!L132</f>
        <v/>
      </c>
      <c r="E394" s="18">
        <f>'P0-3_Scorecard'!L62</f>
        <v/>
      </c>
      <c r="F394" s="18">
        <f>'P0-3_Scorecard'!M132</f>
        <v/>
      </c>
      <c r="G394" s="18">
        <f>'P0-3_Scorecard'!M62</f>
        <v/>
      </c>
      <c r="H394" s="18">
        <f>IF(OR(D394="",F394=""),"",D394-(F394*20))</f>
        <v/>
      </c>
      <c r="I394" s="18">
        <f>IF(OR(E394="",G394=""),"",E394-(G394*20))</f>
        <v/>
      </c>
      <c r="J394" s="18">
        <f>IF(OR(D394="",E394=""),"INCOMPLETE",IF(AND(D394&gt;=80,E394&lt;50),"CONTRADICTION",IF(AND(D394&gt;=70,E394&lt;70),"DEPENDENCY GAP","NO TRIGGER")))</f>
        <v/>
      </c>
      <c r="K394" s="18">
        <f>IF(J394="CONTRADICTION","HIGH",IF(J394="DEPENDENCY GAP","MEDIUM","—"))</f>
        <v/>
      </c>
      <c r="L394" s="18">
        <f>IF(J394="CONTRADICTION","Strong upstream claim is not supported by linked downstream capability/evidence. Trigger: Academic workforce review.",IF(J394="DEPENDENCY GAP","Downstream capability materially trails upstream expectation. Trigger: Academic workforce review.",""))</f>
        <v/>
      </c>
    </row>
    <row r="395">
      <c r="A395" s="18" t="inlineStr">
        <is>
          <t>CD24</t>
        </is>
      </c>
      <c r="B395" s="18" t="inlineStr">
        <is>
          <t>D11-I02</t>
        </is>
      </c>
      <c r="C395" s="18" t="inlineStr">
        <is>
          <t>D05-I09</t>
        </is>
      </c>
      <c r="D395" s="18">
        <f>'P0-3_Scorecard'!L132</f>
        <v/>
      </c>
      <c r="E395" s="18">
        <f>'P0-3_Scorecard'!L63</f>
        <v/>
      </c>
      <c r="F395" s="18">
        <f>'P0-3_Scorecard'!M132</f>
        <v/>
      </c>
      <c r="G395" s="18">
        <f>'P0-3_Scorecard'!M63</f>
        <v/>
      </c>
      <c r="H395" s="18">
        <f>IF(OR(D395="",F395=""),"",D395-(F395*20))</f>
        <v/>
      </c>
      <c r="I395" s="18">
        <f>IF(OR(E395="",G395=""),"",E395-(G395*20))</f>
        <v/>
      </c>
      <c r="J395" s="18">
        <f>IF(OR(D395="",E395=""),"INCOMPLETE",IF(AND(D395&gt;=80,E395&lt;50),"CONTRADICTION",IF(AND(D395&gt;=70,E395&lt;70),"DEPENDENCY GAP","NO TRIGGER")))</f>
        <v/>
      </c>
      <c r="K395" s="18">
        <f>IF(J395="CONTRADICTION","HIGH",IF(J395="DEPENDENCY GAP","MEDIUM","—"))</f>
        <v/>
      </c>
      <c r="L395" s="18">
        <f>IF(J395="CONTRADICTION","Strong upstream claim is not supported by linked downstream capability/evidence. Trigger: Academic workforce review.",IF(J395="DEPENDENCY GAP","Downstream capability materially trails upstream expectation. Trigger: Academic workforce review.",""))</f>
        <v/>
      </c>
    </row>
    <row r="396">
      <c r="A396" s="18" t="inlineStr">
        <is>
          <t>CD24</t>
        </is>
      </c>
      <c r="B396" s="18" t="inlineStr">
        <is>
          <t>D11-I02</t>
        </is>
      </c>
      <c r="C396" s="18" t="inlineStr">
        <is>
          <t>D05-I10</t>
        </is>
      </c>
      <c r="D396" s="18">
        <f>'P0-3_Scorecard'!L132</f>
        <v/>
      </c>
      <c r="E396" s="18">
        <f>'P0-3_Scorecard'!L64</f>
        <v/>
      </c>
      <c r="F396" s="18">
        <f>'P0-3_Scorecard'!M132</f>
        <v/>
      </c>
      <c r="G396" s="18">
        <f>'P0-3_Scorecard'!M64</f>
        <v/>
      </c>
      <c r="H396" s="18">
        <f>IF(OR(D396="",F396=""),"",D396-(F396*20))</f>
        <v/>
      </c>
      <c r="I396" s="18">
        <f>IF(OR(E396="",G396=""),"",E396-(G396*20))</f>
        <v/>
      </c>
      <c r="J396" s="18">
        <f>IF(OR(D396="",E396=""),"INCOMPLETE",IF(AND(D396&gt;=80,E396&lt;50),"CONTRADICTION",IF(AND(D396&gt;=70,E396&lt;70),"DEPENDENCY GAP","NO TRIGGER")))</f>
        <v/>
      </c>
      <c r="K396" s="18">
        <f>IF(J396="CONTRADICTION","HIGH",IF(J396="DEPENDENCY GAP","MEDIUM","—"))</f>
        <v/>
      </c>
      <c r="L396" s="18">
        <f>IF(J396="CONTRADICTION","Strong upstream claim is not supported by linked downstream capability/evidence. Trigger: Academic workforce review.",IF(J396="DEPENDENCY GAP","Downstream capability materially trails upstream expectation. Trigger: Academic workforce review.",""))</f>
        <v/>
      </c>
    </row>
    <row r="397">
      <c r="A397" s="18" t="inlineStr">
        <is>
          <t>CD24</t>
        </is>
      </c>
      <c r="B397" s="18" t="inlineStr">
        <is>
          <t>D11-I02</t>
        </is>
      </c>
      <c r="C397" s="18" t="inlineStr">
        <is>
          <t>D05-I12</t>
        </is>
      </c>
      <c r="D397" s="18">
        <f>'P0-3_Scorecard'!L132</f>
        <v/>
      </c>
      <c r="E397" s="18">
        <f>'P0-3_Scorecard'!L66</f>
        <v/>
      </c>
      <c r="F397" s="18">
        <f>'P0-3_Scorecard'!M132</f>
        <v/>
      </c>
      <c r="G397" s="18">
        <f>'P0-3_Scorecard'!M66</f>
        <v/>
      </c>
      <c r="H397" s="18">
        <f>IF(OR(D397="",F397=""),"",D397-(F397*20))</f>
        <v/>
      </c>
      <c r="I397" s="18">
        <f>IF(OR(E397="",G397=""),"",E397-(G397*20))</f>
        <v/>
      </c>
      <c r="J397" s="18">
        <f>IF(OR(D397="",E397=""),"INCOMPLETE",IF(AND(D397&gt;=80,E397&lt;50),"CONTRADICTION",IF(AND(D397&gt;=70,E397&lt;70),"DEPENDENCY GAP","NO TRIGGER")))</f>
        <v/>
      </c>
      <c r="K397" s="18">
        <f>IF(J397="CONTRADICTION","HIGH",IF(J397="DEPENDENCY GAP","MEDIUM","—"))</f>
        <v/>
      </c>
      <c r="L397" s="18">
        <f>IF(J397="CONTRADICTION","Strong upstream claim is not supported by linked downstream capability/evidence. Trigger: Academic workforce review.",IF(J397="DEPENDENCY GAP","Downstream capability materially trails upstream expectation. Trigger: Academic workforce review.",""))</f>
        <v/>
      </c>
    </row>
    <row r="398">
      <c r="A398" s="18" t="inlineStr">
        <is>
          <t>CD24</t>
        </is>
      </c>
      <c r="B398" s="18" t="inlineStr">
        <is>
          <t>D11-I07</t>
        </is>
      </c>
      <c r="C398" s="18" t="inlineStr">
        <is>
          <t>D05-I08</t>
        </is>
      </c>
      <c r="D398" s="18">
        <f>'P0-3_Scorecard'!L137</f>
        <v/>
      </c>
      <c r="E398" s="18">
        <f>'P0-3_Scorecard'!L62</f>
        <v/>
      </c>
      <c r="F398" s="18">
        <f>'P0-3_Scorecard'!M137</f>
        <v/>
      </c>
      <c r="G398" s="18">
        <f>'P0-3_Scorecard'!M62</f>
        <v/>
      </c>
      <c r="H398" s="18">
        <f>IF(OR(D398="",F398=""),"",D398-(F398*20))</f>
        <v/>
      </c>
      <c r="I398" s="18">
        <f>IF(OR(E398="",G398=""),"",E398-(G398*20))</f>
        <v/>
      </c>
      <c r="J398" s="18">
        <f>IF(OR(D398="",E398=""),"INCOMPLETE",IF(AND(D398&gt;=80,E398&lt;50),"CONTRADICTION",IF(AND(D398&gt;=70,E398&lt;70),"DEPENDENCY GAP","NO TRIGGER")))</f>
        <v/>
      </c>
      <c r="K398" s="18">
        <f>IF(J398="CONTRADICTION","HIGH",IF(J398="DEPENDENCY GAP","MEDIUM","—"))</f>
        <v/>
      </c>
      <c r="L398" s="18">
        <f>IF(J398="CONTRADICTION","Strong upstream claim is not supported by linked downstream capability/evidence. Trigger: Academic workforce review.",IF(J398="DEPENDENCY GAP","Downstream capability materially trails upstream expectation. Trigger: Academic workforce review.",""))</f>
        <v/>
      </c>
    </row>
    <row r="399">
      <c r="A399" s="18" t="inlineStr">
        <is>
          <t>CD24</t>
        </is>
      </c>
      <c r="B399" s="18" t="inlineStr">
        <is>
          <t>D11-I07</t>
        </is>
      </c>
      <c r="C399" s="18" t="inlineStr">
        <is>
          <t>D05-I09</t>
        </is>
      </c>
      <c r="D399" s="18">
        <f>'P0-3_Scorecard'!L137</f>
        <v/>
      </c>
      <c r="E399" s="18">
        <f>'P0-3_Scorecard'!L63</f>
        <v/>
      </c>
      <c r="F399" s="18">
        <f>'P0-3_Scorecard'!M137</f>
        <v/>
      </c>
      <c r="G399" s="18">
        <f>'P0-3_Scorecard'!M63</f>
        <v/>
      </c>
      <c r="H399" s="18">
        <f>IF(OR(D399="",F399=""),"",D399-(F399*20))</f>
        <v/>
      </c>
      <c r="I399" s="18">
        <f>IF(OR(E399="",G399=""),"",E399-(G399*20))</f>
        <v/>
      </c>
      <c r="J399" s="18">
        <f>IF(OR(D399="",E399=""),"INCOMPLETE",IF(AND(D399&gt;=80,E399&lt;50),"CONTRADICTION",IF(AND(D399&gt;=70,E399&lt;70),"DEPENDENCY GAP","NO TRIGGER")))</f>
        <v/>
      </c>
      <c r="K399" s="18">
        <f>IF(J399="CONTRADICTION","HIGH",IF(J399="DEPENDENCY GAP","MEDIUM","—"))</f>
        <v/>
      </c>
      <c r="L399" s="18">
        <f>IF(J399="CONTRADICTION","Strong upstream claim is not supported by linked downstream capability/evidence. Trigger: Academic workforce review.",IF(J399="DEPENDENCY GAP","Downstream capability materially trails upstream expectation. Trigger: Academic workforce review.",""))</f>
        <v/>
      </c>
    </row>
    <row r="400">
      <c r="A400" s="18" t="inlineStr">
        <is>
          <t>CD24</t>
        </is>
      </c>
      <c r="B400" s="18" t="inlineStr">
        <is>
          <t>D11-I07</t>
        </is>
      </c>
      <c r="C400" s="18" t="inlineStr">
        <is>
          <t>D05-I10</t>
        </is>
      </c>
      <c r="D400" s="18">
        <f>'P0-3_Scorecard'!L137</f>
        <v/>
      </c>
      <c r="E400" s="18">
        <f>'P0-3_Scorecard'!L64</f>
        <v/>
      </c>
      <c r="F400" s="18">
        <f>'P0-3_Scorecard'!M137</f>
        <v/>
      </c>
      <c r="G400" s="18">
        <f>'P0-3_Scorecard'!M64</f>
        <v/>
      </c>
      <c r="H400" s="18">
        <f>IF(OR(D400="",F400=""),"",D400-(F400*20))</f>
        <v/>
      </c>
      <c r="I400" s="18">
        <f>IF(OR(E400="",G400=""),"",E400-(G400*20))</f>
        <v/>
      </c>
      <c r="J400" s="18">
        <f>IF(OR(D400="",E400=""),"INCOMPLETE",IF(AND(D400&gt;=80,E400&lt;50),"CONTRADICTION",IF(AND(D400&gt;=70,E400&lt;70),"DEPENDENCY GAP","NO TRIGGER")))</f>
        <v/>
      </c>
      <c r="K400" s="18">
        <f>IF(J400="CONTRADICTION","HIGH",IF(J400="DEPENDENCY GAP","MEDIUM","—"))</f>
        <v/>
      </c>
      <c r="L400" s="18">
        <f>IF(J400="CONTRADICTION","Strong upstream claim is not supported by linked downstream capability/evidence. Trigger: Academic workforce review.",IF(J400="DEPENDENCY GAP","Downstream capability materially trails upstream expectation. Trigger: Academic workforce review.",""))</f>
        <v/>
      </c>
    </row>
    <row r="401">
      <c r="A401" s="18" t="inlineStr">
        <is>
          <t>CD24</t>
        </is>
      </c>
      <c r="B401" s="18" t="inlineStr">
        <is>
          <t>D11-I07</t>
        </is>
      </c>
      <c r="C401" s="18" t="inlineStr">
        <is>
          <t>D05-I12</t>
        </is>
      </c>
      <c r="D401" s="18">
        <f>'P0-3_Scorecard'!L137</f>
        <v/>
      </c>
      <c r="E401" s="18">
        <f>'P0-3_Scorecard'!L66</f>
        <v/>
      </c>
      <c r="F401" s="18">
        <f>'P0-3_Scorecard'!M137</f>
        <v/>
      </c>
      <c r="G401" s="18">
        <f>'P0-3_Scorecard'!M66</f>
        <v/>
      </c>
      <c r="H401" s="18">
        <f>IF(OR(D401="",F401=""),"",D401-(F401*20))</f>
        <v/>
      </c>
      <c r="I401" s="18">
        <f>IF(OR(E401="",G401=""),"",E401-(G401*20))</f>
        <v/>
      </c>
      <c r="J401" s="18">
        <f>IF(OR(D401="",E401=""),"INCOMPLETE",IF(AND(D401&gt;=80,E401&lt;50),"CONTRADICTION",IF(AND(D401&gt;=70,E401&lt;70),"DEPENDENCY GAP","NO TRIGGER")))</f>
        <v/>
      </c>
      <c r="K401" s="18">
        <f>IF(J401="CONTRADICTION","HIGH",IF(J401="DEPENDENCY GAP","MEDIUM","—"))</f>
        <v/>
      </c>
      <c r="L401" s="18">
        <f>IF(J401="CONTRADICTION","Strong upstream claim is not supported by linked downstream capability/evidence. Trigger: Academic workforce review.",IF(J401="DEPENDENCY GAP","Downstream capability materially trails upstream expectation. Trigger: Academic workforce review.",""))</f>
        <v/>
      </c>
    </row>
    <row r="402">
      <c r="A402" s="18" t="inlineStr">
        <is>
          <t>CD24</t>
        </is>
      </c>
      <c r="B402" s="18" t="inlineStr">
        <is>
          <t>D11-I08</t>
        </is>
      </c>
      <c r="C402" s="18" t="inlineStr">
        <is>
          <t>D05-I08</t>
        </is>
      </c>
      <c r="D402" s="18">
        <f>'P0-3_Scorecard'!L138</f>
        <v/>
      </c>
      <c r="E402" s="18">
        <f>'P0-3_Scorecard'!L62</f>
        <v/>
      </c>
      <c r="F402" s="18">
        <f>'P0-3_Scorecard'!M138</f>
        <v/>
      </c>
      <c r="G402" s="18">
        <f>'P0-3_Scorecard'!M62</f>
        <v/>
      </c>
      <c r="H402" s="18">
        <f>IF(OR(D402="",F402=""),"",D402-(F402*20))</f>
        <v/>
      </c>
      <c r="I402" s="18">
        <f>IF(OR(E402="",G402=""),"",E402-(G402*20))</f>
        <v/>
      </c>
      <c r="J402" s="18">
        <f>IF(OR(D402="",E402=""),"INCOMPLETE",IF(AND(D402&gt;=80,E402&lt;50),"CONTRADICTION",IF(AND(D402&gt;=70,E402&lt;70),"DEPENDENCY GAP","NO TRIGGER")))</f>
        <v/>
      </c>
      <c r="K402" s="18">
        <f>IF(J402="CONTRADICTION","HIGH",IF(J402="DEPENDENCY GAP","MEDIUM","—"))</f>
        <v/>
      </c>
      <c r="L402" s="18">
        <f>IF(J402="CONTRADICTION","Strong upstream claim is not supported by linked downstream capability/evidence. Trigger: Academic workforce review.",IF(J402="DEPENDENCY GAP","Downstream capability materially trails upstream expectation. Trigger: Academic workforce review.",""))</f>
        <v/>
      </c>
    </row>
    <row r="403">
      <c r="A403" s="18" t="inlineStr">
        <is>
          <t>CD24</t>
        </is>
      </c>
      <c r="B403" s="18" t="inlineStr">
        <is>
          <t>D11-I08</t>
        </is>
      </c>
      <c r="C403" s="18" t="inlineStr">
        <is>
          <t>D05-I09</t>
        </is>
      </c>
      <c r="D403" s="18">
        <f>'P0-3_Scorecard'!L138</f>
        <v/>
      </c>
      <c r="E403" s="18">
        <f>'P0-3_Scorecard'!L63</f>
        <v/>
      </c>
      <c r="F403" s="18">
        <f>'P0-3_Scorecard'!M138</f>
        <v/>
      </c>
      <c r="G403" s="18">
        <f>'P0-3_Scorecard'!M63</f>
        <v/>
      </c>
      <c r="H403" s="18">
        <f>IF(OR(D403="",F403=""),"",D403-(F403*20))</f>
        <v/>
      </c>
      <c r="I403" s="18">
        <f>IF(OR(E403="",G403=""),"",E403-(G403*20))</f>
        <v/>
      </c>
      <c r="J403" s="18">
        <f>IF(OR(D403="",E403=""),"INCOMPLETE",IF(AND(D403&gt;=80,E403&lt;50),"CONTRADICTION",IF(AND(D403&gt;=70,E403&lt;70),"DEPENDENCY GAP","NO TRIGGER")))</f>
        <v/>
      </c>
      <c r="K403" s="18">
        <f>IF(J403="CONTRADICTION","HIGH",IF(J403="DEPENDENCY GAP","MEDIUM","—"))</f>
        <v/>
      </c>
      <c r="L403" s="18">
        <f>IF(J403="CONTRADICTION","Strong upstream claim is not supported by linked downstream capability/evidence. Trigger: Academic workforce review.",IF(J403="DEPENDENCY GAP","Downstream capability materially trails upstream expectation. Trigger: Academic workforce review.",""))</f>
        <v/>
      </c>
    </row>
    <row r="404">
      <c r="A404" s="18" t="inlineStr">
        <is>
          <t>CD24</t>
        </is>
      </c>
      <c r="B404" s="18" t="inlineStr">
        <is>
          <t>D11-I08</t>
        </is>
      </c>
      <c r="C404" s="18" t="inlineStr">
        <is>
          <t>D05-I10</t>
        </is>
      </c>
      <c r="D404" s="18">
        <f>'P0-3_Scorecard'!L138</f>
        <v/>
      </c>
      <c r="E404" s="18">
        <f>'P0-3_Scorecard'!L64</f>
        <v/>
      </c>
      <c r="F404" s="18">
        <f>'P0-3_Scorecard'!M138</f>
        <v/>
      </c>
      <c r="G404" s="18">
        <f>'P0-3_Scorecard'!M64</f>
        <v/>
      </c>
      <c r="H404" s="18">
        <f>IF(OR(D404="",F404=""),"",D404-(F404*20))</f>
        <v/>
      </c>
      <c r="I404" s="18">
        <f>IF(OR(E404="",G404=""),"",E404-(G404*20))</f>
        <v/>
      </c>
      <c r="J404" s="18">
        <f>IF(OR(D404="",E404=""),"INCOMPLETE",IF(AND(D404&gt;=80,E404&lt;50),"CONTRADICTION",IF(AND(D404&gt;=70,E404&lt;70),"DEPENDENCY GAP","NO TRIGGER")))</f>
        <v/>
      </c>
      <c r="K404" s="18">
        <f>IF(J404="CONTRADICTION","HIGH",IF(J404="DEPENDENCY GAP","MEDIUM","—"))</f>
        <v/>
      </c>
      <c r="L404" s="18">
        <f>IF(J404="CONTRADICTION","Strong upstream claim is not supported by linked downstream capability/evidence. Trigger: Academic workforce review.",IF(J404="DEPENDENCY GAP","Downstream capability materially trails upstream expectation. Trigger: Academic workforce review.",""))</f>
        <v/>
      </c>
    </row>
    <row r="405">
      <c r="A405" s="18" t="inlineStr">
        <is>
          <t>CD24</t>
        </is>
      </c>
      <c r="B405" s="18" t="inlineStr">
        <is>
          <t>D11-I08</t>
        </is>
      </c>
      <c r="C405" s="18" t="inlineStr">
        <is>
          <t>D05-I12</t>
        </is>
      </c>
      <c r="D405" s="18">
        <f>'P0-3_Scorecard'!L138</f>
        <v/>
      </c>
      <c r="E405" s="18">
        <f>'P0-3_Scorecard'!L66</f>
        <v/>
      </c>
      <c r="F405" s="18">
        <f>'P0-3_Scorecard'!M138</f>
        <v/>
      </c>
      <c r="G405" s="18">
        <f>'P0-3_Scorecard'!M66</f>
        <v/>
      </c>
      <c r="H405" s="18">
        <f>IF(OR(D405="",F405=""),"",D405-(F405*20))</f>
        <v/>
      </c>
      <c r="I405" s="18">
        <f>IF(OR(E405="",G405=""),"",E405-(G405*20))</f>
        <v/>
      </c>
      <c r="J405" s="18">
        <f>IF(OR(D405="",E405=""),"INCOMPLETE",IF(AND(D405&gt;=80,E405&lt;50),"CONTRADICTION",IF(AND(D405&gt;=70,E405&lt;70),"DEPENDENCY GAP","NO TRIGGER")))</f>
        <v/>
      </c>
      <c r="K405" s="18">
        <f>IF(J405="CONTRADICTION","HIGH",IF(J405="DEPENDENCY GAP","MEDIUM","—"))</f>
        <v/>
      </c>
      <c r="L405" s="18">
        <f>IF(J405="CONTRADICTION","Strong upstream claim is not supported by linked downstream capability/evidence. Trigger: Academic workforce review.",IF(J405="DEPENDENCY GAP","Downstream capability materially trails upstream expectation. Trigger: Academic workforce review.",""))</f>
        <v/>
      </c>
    </row>
    <row r="406">
      <c r="A406" s="18" t="inlineStr">
        <is>
          <t>CD25</t>
        </is>
      </c>
      <c r="B406" s="18" t="inlineStr">
        <is>
          <t>D11-I09</t>
        </is>
      </c>
      <c r="C406" s="18" t="inlineStr">
        <is>
          <t>D06-I08</t>
        </is>
      </c>
      <c r="D406" s="18">
        <f>'P0-3_Scorecard'!L139</f>
        <v/>
      </c>
      <c r="E406" s="18">
        <f>'P0-3_Scorecard'!L74</f>
        <v/>
      </c>
      <c r="F406" s="18">
        <f>'P0-3_Scorecard'!M139</f>
        <v/>
      </c>
      <c r="G406" s="18">
        <f>'P0-3_Scorecard'!M74</f>
        <v/>
      </c>
      <c r="H406" s="18">
        <f>IF(OR(D406="",F406=""),"",D406-(F406*20))</f>
        <v/>
      </c>
      <c r="I406" s="18">
        <f>IF(OR(E406="",G406=""),"",E406-(G406*20))</f>
        <v/>
      </c>
      <c r="J406" s="18">
        <f>IF(OR(D406="",E406=""),"INCOMPLETE",IF(AND(D406&gt;=80,E406&lt;50),"CONTRADICTION",IF(AND(D406&gt;=70,E406&lt;70),"DEPENDENCY GAP","NO TRIGGER")))</f>
        <v/>
      </c>
      <c r="K406" s="18">
        <f>IF(J406="CONTRADICTION","HIGH",IF(J406="DEPENDENCY GAP","MEDIUM","—"))</f>
        <v/>
      </c>
      <c r="L406" s="18">
        <f>IF(J406="CONTRADICTION","Strong upstream claim is not supported by linked downstream capability/evidence. Trigger: Learner response review.",IF(J406="DEPENDENCY GAP","Downstream capability materially trails upstream expectation. Trigger: Learner response review.",""))</f>
        <v/>
      </c>
    </row>
    <row r="407">
      <c r="A407" s="18" t="inlineStr">
        <is>
          <t>CD25</t>
        </is>
      </c>
      <c r="B407" s="18" t="inlineStr">
        <is>
          <t>D11-I09</t>
        </is>
      </c>
      <c r="C407" s="18" t="inlineStr">
        <is>
          <t>D06-I10</t>
        </is>
      </c>
      <c r="D407" s="18">
        <f>'P0-3_Scorecard'!L139</f>
        <v/>
      </c>
      <c r="E407" s="18">
        <f>'P0-3_Scorecard'!L76</f>
        <v/>
      </c>
      <c r="F407" s="18">
        <f>'P0-3_Scorecard'!M139</f>
        <v/>
      </c>
      <c r="G407" s="18">
        <f>'P0-3_Scorecard'!M76</f>
        <v/>
      </c>
      <c r="H407" s="18">
        <f>IF(OR(D407="",F407=""),"",D407-(F407*20))</f>
        <v/>
      </c>
      <c r="I407" s="18">
        <f>IF(OR(E407="",G407=""),"",E407-(G407*20))</f>
        <v/>
      </c>
      <c r="J407" s="18">
        <f>IF(OR(D407="",E407=""),"INCOMPLETE",IF(AND(D407&gt;=80,E407&lt;50),"CONTRADICTION",IF(AND(D407&gt;=70,E407&lt;70),"DEPENDENCY GAP","NO TRIGGER")))</f>
        <v/>
      </c>
      <c r="K407" s="18">
        <f>IF(J407="CONTRADICTION","HIGH",IF(J407="DEPENDENCY GAP","MEDIUM","—"))</f>
        <v/>
      </c>
      <c r="L407" s="18">
        <f>IF(J407="CONTRADICTION","Strong upstream claim is not supported by linked downstream capability/evidence. Trigger: Learner response review.",IF(J407="DEPENDENCY GAP","Downstream capability materially trails upstream expectation. Trigger: Learner response review.",""))</f>
        <v/>
      </c>
    </row>
    <row r="408">
      <c r="A408" s="18" t="inlineStr">
        <is>
          <t>CD25</t>
        </is>
      </c>
      <c r="B408" s="18" t="inlineStr">
        <is>
          <t>D11-I09</t>
        </is>
      </c>
      <c r="C408" s="18" t="inlineStr">
        <is>
          <t>D06-I14</t>
        </is>
      </c>
      <c r="D408" s="18">
        <f>'P0-3_Scorecard'!L139</f>
        <v/>
      </c>
      <c r="E408" s="18">
        <f>'P0-3_Scorecard'!L80</f>
        <v/>
      </c>
      <c r="F408" s="18">
        <f>'P0-3_Scorecard'!M139</f>
        <v/>
      </c>
      <c r="G408" s="18">
        <f>'P0-3_Scorecard'!M80</f>
        <v/>
      </c>
      <c r="H408" s="18">
        <f>IF(OR(D408="",F408=""),"",D408-(F408*20))</f>
        <v/>
      </c>
      <c r="I408" s="18">
        <f>IF(OR(E408="",G408=""),"",E408-(G408*20))</f>
        <v/>
      </c>
      <c r="J408" s="18">
        <f>IF(OR(D408="",E408=""),"INCOMPLETE",IF(AND(D408&gt;=80,E408&lt;50),"CONTRADICTION",IF(AND(D408&gt;=70,E408&lt;70),"DEPENDENCY GAP","NO TRIGGER")))</f>
        <v/>
      </c>
      <c r="K408" s="18">
        <f>IF(J408="CONTRADICTION","HIGH",IF(J408="DEPENDENCY GAP","MEDIUM","—"))</f>
        <v/>
      </c>
      <c r="L408" s="18">
        <f>IF(J408="CONTRADICTION","Strong upstream claim is not supported by linked downstream capability/evidence. Trigger: Learner response review.",IF(J408="DEPENDENCY GAP","Downstream capability materially trails upstream expectation. Trigger: Learner response review.",""))</f>
        <v/>
      </c>
    </row>
    <row r="409">
      <c r="A409" s="18" t="inlineStr">
        <is>
          <t>CD25</t>
        </is>
      </c>
      <c r="B409" s="18" t="inlineStr">
        <is>
          <t>D11-I10</t>
        </is>
      </c>
      <c r="C409" s="18" t="inlineStr">
        <is>
          <t>D06-I08</t>
        </is>
      </c>
      <c r="D409" s="18">
        <f>'P0-3_Scorecard'!L140</f>
        <v/>
      </c>
      <c r="E409" s="18">
        <f>'P0-3_Scorecard'!L74</f>
        <v/>
      </c>
      <c r="F409" s="18">
        <f>'P0-3_Scorecard'!M140</f>
        <v/>
      </c>
      <c r="G409" s="18">
        <f>'P0-3_Scorecard'!M74</f>
        <v/>
      </c>
      <c r="H409" s="18">
        <f>IF(OR(D409="",F409=""),"",D409-(F409*20))</f>
        <v/>
      </c>
      <c r="I409" s="18">
        <f>IF(OR(E409="",G409=""),"",E409-(G409*20))</f>
        <v/>
      </c>
      <c r="J409" s="18">
        <f>IF(OR(D409="",E409=""),"INCOMPLETE",IF(AND(D409&gt;=80,E409&lt;50),"CONTRADICTION",IF(AND(D409&gt;=70,E409&lt;70),"DEPENDENCY GAP","NO TRIGGER")))</f>
        <v/>
      </c>
      <c r="K409" s="18">
        <f>IF(J409="CONTRADICTION","HIGH",IF(J409="DEPENDENCY GAP","MEDIUM","—"))</f>
        <v/>
      </c>
      <c r="L409" s="18">
        <f>IF(J409="CONTRADICTION","Strong upstream claim is not supported by linked downstream capability/evidence. Trigger: Learner response review.",IF(J409="DEPENDENCY GAP","Downstream capability materially trails upstream expectation. Trigger: Learner response review.",""))</f>
        <v/>
      </c>
    </row>
    <row r="410">
      <c r="A410" s="18" t="inlineStr">
        <is>
          <t>CD25</t>
        </is>
      </c>
      <c r="B410" s="18" t="inlineStr">
        <is>
          <t>D11-I10</t>
        </is>
      </c>
      <c r="C410" s="18" t="inlineStr">
        <is>
          <t>D06-I10</t>
        </is>
      </c>
      <c r="D410" s="18">
        <f>'P0-3_Scorecard'!L140</f>
        <v/>
      </c>
      <c r="E410" s="18">
        <f>'P0-3_Scorecard'!L76</f>
        <v/>
      </c>
      <c r="F410" s="18">
        <f>'P0-3_Scorecard'!M140</f>
        <v/>
      </c>
      <c r="G410" s="18">
        <f>'P0-3_Scorecard'!M76</f>
        <v/>
      </c>
      <c r="H410" s="18">
        <f>IF(OR(D410="",F410=""),"",D410-(F410*20))</f>
        <v/>
      </c>
      <c r="I410" s="18">
        <f>IF(OR(E410="",G410=""),"",E410-(G410*20))</f>
        <v/>
      </c>
      <c r="J410" s="18">
        <f>IF(OR(D410="",E410=""),"INCOMPLETE",IF(AND(D410&gt;=80,E410&lt;50),"CONTRADICTION",IF(AND(D410&gt;=70,E410&lt;70),"DEPENDENCY GAP","NO TRIGGER")))</f>
        <v/>
      </c>
      <c r="K410" s="18">
        <f>IF(J410="CONTRADICTION","HIGH",IF(J410="DEPENDENCY GAP","MEDIUM","—"))</f>
        <v/>
      </c>
      <c r="L410" s="18">
        <f>IF(J410="CONTRADICTION","Strong upstream claim is not supported by linked downstream capability/evidence. Trigger: Learner response review.",IF(J410="DEPENDENCY GAP","Downstream capability materially trails upstream expectation. Trigger: Learner response review.",""))</f>
        <v/>
      </c>
    </row>
    <row r="411">
      <c r="A411" s="18" t="inlineStr">
        <is>
          <t>CD25</t>
        </is>
      </c>
      <c r="B411" s="18" t="inlineStr">
        <is>
          <t>D11-I10</t>
        </is>
      </c>
      <c r="C411" s="18" t="inlineStr">
        <is>
          <t>D06-I14</t>
        </is>
      </c>
      <c r="D411" s="18">
        <f>'P0-3_Scorecard'!L140</f>
        <v/>
      </c>
      <c r="E411" s="18">
        <f>'P0-3_Scorecard'!L80</f>
        <v/>
      </c>
      <c r="F411" s="18">
        <f>'P0-3_Scorecard'!M140</f>
        <v/>
      </c>
      <c r="G411" s="18">
        <f>'P0-3_Scorecard'!M80</f>
        <v/>
      </c>
      <c r="H411" s="18">
        <f>IF(OR(D411="",F411=""),"",D411-(F411*20))</f>
        <v/>
      </c>
      <c r="I411" s="18">
        <f>IF(OR(E411="",G411=""),"",E411-(G411*20))</f>
        <v/>
      </c>
      <c r="J411" s="18">
        <f>IF(OR(D411="",E411=""),"INCOMPLETE",IF(AND(D411&gt;=80,E411&lt;50),"CONTRADICTION",IF(AND(D411&gt;=70,E411&lt;70),"DEPENDENCY GAP","NO TRIGGER")))</f>
        <v/>
      </c>
      <c r="K411" s="18">
        <f>IF(J411="CONTRADICTION","HIGH",IF(J411="DEPENDENCY GAP","MEDIUM","—"))</f>
        <v/>
      </c>
      <c r="L411" s="18">
        <f>IF(J411="CONTRADICTION","Strong upstream claim is not supported by linked downstream capability/evidence. Trigger: Learner response review.",IF(J411="DEPENDENCY GAP","Downstream capability materially trails upstream expectation. Trigger: Learner response review.",""))</f>
        <v/>
      </c>
    </row>
    <row r="412">
      <c r="A412" s="18" t="inlineStr">
        <is>
          <t>CD25</t>
        </is>
      </c>
      <c r="B412" s="18" t="inlineStr">
        <is>
          <t>D11-I13</t>
        </is>
      </c>
      <c r="C412" s="18" t="inlineStr">
        <is>
          <t>D06-I08</t>
        </is>
      </c>
      <c r="D412" s="18">
        <f>'P0-3_Scorecard'!L143</f>
        <v/>
      </c>
      <c r="E412" s="18">
        <f>'P0-3_Scorecard'!L74</f>
        <v/>
      </c>
      <c r="F412" s="18">
        <f>'P0-3_Scorecard'!M143</f>
        <v/>
      </c>
      <c r="G412" s="18">
        <f>'P0-3_Scorecard'!M74</f>
        <v/>
      </c>
      <c r="H412" s="18">
        <f>IF(OR(D412="",F412=""),"",D412-(F412*20))</f>
        <v/>
      </c>
      <c r="I412" s="18">
        <f>IF(OR(E412="",G412=""),"",E412-(G412*20))</f>
        <v/>
      </c>
      <c r="J412" s="18">
        <f>IF(OR(D412="",E412=""),"INCOMPLETE",IF(AND(D412&gt;=80,E412&lt;50),"CONTRADICTION",IF(AND(D412&gt;=70,E412&lt;70),"DEPENDENCY GAP","NO TRIGGER")))</f>
        <v/>
      </c>
      <c r="K412" s="18">
        <f>IF(J412="CONTRADICTION","HIGH",IF(J412="DEPENDENCY GAP","MEDIUM","—"))</f>
        <v/>
      </c>
      <c r="L412" s="18">
        <f>IF(J412="CONTRADICTION","Strong upstream claim is not supported by linked downstream capability/evidence. Trigger: Learner response review.",IF(J412="DEPENDENCY GAP","Downstream capability materially trails upstream expectation. Trigger: Learner response review.",""))</f>
        <v/>
      </c>
    </row>
    <row r="413">
      <c r="A413" s="18" t="inlineStr">
        <is>
          <t>CD25</t>
        </is>
      </c>
      <c r="B413" s="18" t="inlineStr">
        <is>
          <t>D11-I13</t>
        </is>
      </c>
      <c r="C413" s="18" t="inlineStr">
        <is>
          <t>D06-I10</t>
        </is>
      </c>
      <c r="D413" s="18">
        <f>'P0-3_Scorecard'!L143</f>
        <v/>
      </c>
      <c r="E413" s="18">
        <f>'P0-3_Scorecard'!L76</f>
        <v/>
      </c>
      <c r="F413" s="18">
        <f>'P0-3_Scorecard'!M143</f>
        <v/>
      </c>
      <c r="G413" s="18">
        <f>'P0-3_Scorecard'!M76</f>
        <v/>
      </c>
      <c r="H413" s="18">
        <f>IF(OR(D413="",F413=""),"",D413-(F413*20))</f>
        <v/>
      </c>
      <c r="I413" s="18">
        <f>IF(OR(E413="",G413=""),"",E413-(G413*20))</f>
        <v/>
      </c>
      <c r="J413" s="18">
        <f>IF(OR(D413="",E413=""),"INCOMPLETE",IF(AND(D413&gt;=80,E413&lt;50),"CONTRADICTION",IF(AND(D413&gt;=70,E413&lt;70),"DEPENDENCY GAP","NO TRIGGER")))</f>
        <v/>
      </c>
      <c r="K413" s="18">
        <f>IF(J413="CONTRADICTION","HIGH",IF(J413="DEPENDENCY GAP","MEDIUM","—"))</f>
        <v/>
      </c>
      <c r="L413" s="18">
        <f>IF(J413="CONTRADICTION","Strong upstream claim is not supported by linked downstream capability/evidence. Trigger: Learner response review.",IF(J413="DEPENDENCY GAP","Downstream capability materially trails upstream expectation. Trigger: Learner response review.",""))</f>
        <v/>
      </c>
    </row>
    <row r="414">
      <c r="A414" s="18" t="inlineStr">
        <is>
          <t>CD25</t>
        </is>
      </c>
      <c r="B414" s="18" t="inlineStr">
        <is>
          <t>D11-I13</t>
        </is>
      </c>
      <c r="C414" s="18" t="inlineStr">
        <is>
          <t>D06-I14</t>
        </is>
      </c>
      <c r="D414" s="18">
        <f>'P0-3_Scorecard'!L143</f>
        <v/>
      </c>
      <c r="E414" s="18">
        <f>'P0-3_Scorecard'!L80</f>
        <v/>
      </c>
      <c r="F414" s="18">
        <f>'P0-3_Scorecard'!M143</f>
        <v/>
      </c>
      <c r="G414" s="18">
        <f>'P0-3_Scorecard'!M80</f>
        <v/>
      </c>
      <c r="H414" s="18">
        <f>IF(OR(D414="",F414=""),"",D414-(F414*20))</f>
        <v/>
      </c>
      <c r="I414" s="18">
        <f>IF(OR(E414="",G414=""),"",E414-(G414*20))</f>
        <v/>
      </c>
      <c r="J414" s="18">
        <f>IF(OR(D414="",E414=""),"INCOMPLETE",IF(AND(D414&gt;=80,E414&lt;50),"CONTRADICTION",IF(AND(D414&gt;=70,E414&lt;70),"DEPENDENCY GAP","NO TRIGGER")))</f>
        <v/>
      </c>
      <c r="K414" s="18">
        <f>IF(J414="CONTRADICTION","HIGH",IF(J414="DEPENDENCY GAP","MEDIUM","—"))</f>
        <v/>
      </c>
      <c r="L414" s="18">
        <f>IF(J414="CONTRADICTION","Strong upstream claim is not supported by linked downstream capability/evidence. Trigger: Learner response review.",IF(J414="DEPENDENCY GAP","Downstream capability materially trails upstream expectation. Trigger: Learner response review.",""))</f>
        <v/>
      </c>
    </row>
  </sheetData>
  <autoFilter ref="A1:L414"/>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J414"/>
  <sheetViews>
    <sheetView showGridLines="0" workbookViewId="0">
      <pane ySplit="1" topLeftCell="A2" activePane="bottomLeft" state="frozen"/>
      <selection pane="bottomLeft" activeCell="A1" sqref="A1"/>
    </sheetView>
  </sheetViews>
  <sheetFormatPr baseColWidth="8" defaultRowHeight="15"/>
  <cols>
    <col width="12" customWidth="1" min="1" max="1"/>
    <col width="36" customWidth="1" min="2" max="2"/>
    <col width="36" customWidth="1" min="3" max="3"/>
    <col width="15" customWidth="1" min="4" max="4"/>
    <col width="17" customWidth="1" min="5" max="5"/>
    <col width="20" customWidth="1" min="6" max="6"/>
    <col width="20" customWidth="1" min="7" max="7"/>
    <col width="14" customWidth="1" min="8" max="8"/>
    <col width="24" customWidth="1" min="9" max="9"/>
    <col width="35" customWidth="1" min="10" max="10"/>
  </cols>
  <sheetData>
    <row r="1">
      <c r="A1" s="28" t="inlineStr">
        <is>
          <t>Rule ID</t>
        </is>
      </c>
      <c r="B1" s="28" t="inlineStr">
        <is>
          <t>Upstream Metric</t>
        </is>
      </c>
      <c r="C1" s="28" t="inlineStr">
        <is>
          <t>Downstream Metric</t>
        </is>
      </c>
      <c r="D1" s="28" t="inlineStr">
        <is>
          <t>Upstream Score</t>
        </is>
      </c>
      <c r="E1" s="28" t="inlineStr">
        <is>
          <t>Downstream Score</t>
        </is>
      </c>
      <c r="F1" s="28" t="inlineStr">
        <is>
          <t>Downstream Required R</t>
        </is>
      </c>
      <c r="G1" s="28" t="inlineStr">
        <is>
          <t>Downstream Maturity M</t>
        </is>
      </c>
      <c r="H1" s="28" t="inlineStr">
        <is>
          <t>Evidence</t>
        </is>
      </c>
      <c r="I1" s="28" t="inlineStr">
        <is>
          <t>Dependency Status</t>
        </is>
      </c>
      <c r="J1" s="28" t="inlineStr">
        <is>
          <t>Action</t>
        </is>
      </c>
    </row>
    <row r="2">
      <c r="A2" s="18" t="inlineStr">
        <is>
          <t>CD01</t>
        </is>
      </c>
      <c r="B2" s="18" t="inlineStr">
        <is>
          <t>D01-I01</t>
        </is>
      </c>
      <c r="C2" s="18" t="inlineStr">
        <is>
          <t>D03-I01</t>
        </is>
      </c>
      <c r="D2" s="18">
        <f>'P0-3_Scorecard'!L2</f>
        <v/>
      </c>
      <c r="E2" s="18">
        <f>'P0-3_Scorecard'!L26</f>
        <v/>
      </c>
      <c r="F2" s="18">
        <f>'P0-3_Scorecard'!M26</f>
        <v/>
      </c>
      <c r="G2" s="18">
        <f>'P0-3_Scorecard'!E26</f>
        <v/>
      </c>
      <c r="H2" s="18">
        <f>'P0-3_Scorecard'!H26</f>
        <v/>
      </c>
      <c r="I2" s="18">
        <f>IF(OR(D2="",E2=""),"INCOMPLETE",IF(AND(D2&gt;=70,E2&lt;60),"DEPENDENCY GAP",IF(AND(D2&gt;=70,G2&lt;F2),"REQUIRED MATURITY GAP","OK")))</f>
        <v/>
      </c>
      <c r="J2" s="18" t="inlineStr">
        <is>
          <t>D03 deep-dive</t>
        </is>
      </c>
    </row>
    <row r="3">
      <c r="A3" s="18" t="inlineStr">
        <is>
          <t>CD01</t>
        </is>
      </c>
      <c r="B3" s="18" t="inlineStr">
        <is>
          <t>D01-I01</t>
        </is>
      </c>
      <c r="C3" s="18" t="inlineStr">
        <is>
          <t>D03-I02</t>
        </is>
      </c>
      <c r="D3" s="18">
        <f>'P0-3_Scorecard'!L2</f>
        <v/>
      </c>
      <c r="E3" s="18">
        <f>'P0-3_Scorecard'!L27</f>
        <v/>
      </c>
      <c r="F3" s="18">
        <f>'P0-3_Scorecard'!M27</f>
        <v/>
      </c>
      <c r="G3" s="18">
        <f>'P0-3_Scorecard'!E27</f>
        <v/>
      </c>
      <c r="H3" s="18">
        <f>'P0-3_Scorecard'!H27</f>
        <v/>
      </c>
      <c r="I3" s="18">
        <f>IF(OR(D3="",E3=""),"INCOMPLETE",IF(AND(D3&gt;=70,E3&lt;60),"DEPENDENCY GAP",IF(AND(D3&gt;=70,G3&lt;F3),"REQUIRED MATURITY GAP","OK")))</f>
        <v/>
      </c>
      <c r="J3" s="18" t="inlineStr">
        <is>
          <t>D03 deep-dive</t>
        </is>
      </c>
    </row>
    <row r="4">
      <c r="A4" s="18" t="inlineStr">
        <is>
          <t>CD01</t>
        </is>
      </c>
      <c r="B4" s="18" t="inlineStr">
        <is>
          <t>D01-I01</t>
        </is>
      </c>
      <c r="C4" s="18" t="inlineStr">
        <is>
          <t>D03-I05</t>
        </is>
      </c>
      <c r="D4" s="18">
        <f>'P0-3_Scorecard'!L2</f>
        <v/>
      </c>
      <c r="E4" s="18">
        <f>'P0-3_Scorecard'!L30</f>
        <v/>
      </c>
      <c r="F4" s="18">
        <f>'P0-3_Scorecard'!M30</f>
        <v/>
      </c>
      <c r="G4" s="18">
        <f>'P0-3_Scorecard'!E30</f>
        <v/>
      </c>
      <c r="H4" s="18">
        <f>'P0-3_Scorecard'!H30</f>
        <v/>
      </c>
      <c r="I4" s="18">
        <f>IF(OR(D4="",E4=""),"INCOMPLETE",IF(AND(D4&gt;=70,E4&lt;60),"DEPENDENCY GAP",IF(AND(D4&gt;=70,G4&lt;F4),"REQUIRED MATURITY GAP","OK")))</f>
        <v/>
      </c>
      <c r="J4" s="18" t="inlineStr">
        <is>
          <t>D03 deep-dive</t>
        </is>
      </c>
    </row>
    <row r="5">
      <c r="A5" s="18" t="inlineStr">
        <is>
          <t>CD01</t>
        </is>
      </c>
      <c r="B5" s="18" t="inlineStr">
        <is>
          <t>D01-I01</t>
        </is>
      </c>
      <c r="C5" s="18" t="inlineStr">
        <is>
          <t>D03-I07</t>
        </is>
      </c>
      <c r="D5" s="18">
        <f>'P0-3_Scorecard'!L2</f>
        <v/>
      </c>
      <c r="E5" s="18">
        <f>'P0-3_Scorecard'!L32</f>
        <v/>
      </c>
      <c r="F5" s="18">
        <f>'P0-3_Scorecard'!M32</f>
        <v/>
      </c>
      <c r="G5" s="18">
        <f>'P0-3_Scorecard'!E32</f>
        <v/>
      </c>
      <c r="H5" s="18">
        <f>'P0-3_Scorecard'!H32</f>
        <v/>
      </c>
      <c r="I5" s="18">
        <f>IF(OR(D5="",E5=""),"INCOMPLETE",IF(AND(D5&gt;=70,E5&lt;60),"DEPENDENCY GAP",IF(AND(D5&gt;=70,G5&lt;F5),"REQUIRED MATURITY GAP","OK")))</f>
        <v/>
      </c>
      <c r="J5" s="18" t="inlineStr">
        <is>
          <t>D03 deep-dive</t>
        </is>
      </c>
    </row>
    <row r="6">
      <c r="A6" s="18" t="inlineStr">
        <is>
          <t>CD01</t>
        </is>
      </c>
      <c r="B6" s="18" t="inlineStr">
        <is>
          <t>D01-I01</t>
        </is>
      </c>
      <c r="C6" s="18" t="inlineStr">
        <is>
          <t>D03-I15</t>
        </is>
      </c>
      <c r="D6" s="18">
        <f>'P0-3_Scorecard'!L2</f>
        <v/>
      </c>
      <c r="E6" s="18">
        <f>'P0-3_Scorecard'!L40</f>
        <v/>
      </c>
      <c r="F6" s="18">
        <f>'P0-3_Scorecard'!M40</f>
        <v/>
      </c>
      <c r="G6" s="18">
        <f>'P0-3_Scorecard'!E40</f>
        <v/>
      </c>
      <c r="H6" s="18">
        <f>'P0-3_Scorecard'!H40</f>
        <v/>
      </c>
      <c r="I6" s="18">
        <f>IF(OR(D6="",E6=""),"INCOMPLETE",IF(AND(D6&gt;=70,E6&lt;60),"DEPENDENCY GAP",IF(AND(D6&gt;=70,G6&lt;F6),"REQUIRED MATURITY GAP","OK")))</f>
        <v/>
      </c>
      <c r="J6" s="18" t="inlineStr">
        <is>
          <t>D03 deep-dive</t>
        </is>
      </c>
    </row>
    <row r="7">
      <c r="A7" s="18" t="inlineStr">
        <is>
          <t>CD01</t>
        </is>
      </c>
      <c r="B7" s="18" t="inlineStr">
        <is>
          <t>D01-I01</t>
        </is>
      </c>
      <c r="C7" s="18" t="inlineStr">
        <is>
          <t>D03-I16</t>
        </is>
      </c>
      <c r="D7" s="18">
        <f>'P0-3_Scorecard'!L2</f>
        <v/>
      </c>
      <c r="E7" s="18">
        <f>'P0-3_Scorecard'!L41</f>
        <v/>
      </c>
      <c r="F7" s="18">
        <f>'P0-3_Scorecard'!M41</f>
        <v/>
      </c>
      <c r="G7" s="18">
        <f>'P0-3_Scorecard'!E41</f>
        <v/>
      </c>
      <c r="H7" s="18">
        <f>'P0-3_Scorecard'!H41</f>
        <v/>
      </c>
      <c r="I7" s="18">
        <f>IF(OR(D7="",E7=""),"INCOMPLETE",IF(AND(D7&gt;=70,E7&lt;60),"DEPENDENCY GAP",IF(AND(D7&gt;=70,G7&lt;F7),"REQUIRED MATURITY GAP","OK")))</f>
        <v/>
      </c>
      <c r="J7" s="18" t="inlineStr">
        <is>
          <t>D03 deep-dive</t>
        </is>
      </c>
    </row>
    <row r="8">
      <c r="A8" s="18" t="inlineStr">
        <is>
          <t>CD01</t>
        </is>
      </c>
      <c r="B8" s="18" t="inlineStr">
        <is>
          <t>D01-I03</t>
        </is>
      </c>
      <c r="C8" s="18" t="inlineStr">
        <is>
          <t>D03-I01</t>
        </is>
      </c>
      <c r="D8" s="18">
        <f>'P0-3_Scorecard'!L4</f>
        <v/>
      </c>
      <c r="E8" s="18">
        <f>'P0-3_Scorecard'!L26</f>
        <v/>
      </c>
      <c r="F8" s="18">
        <f>'P0-3_Scorecard'!M26</f>
        <v/>
      </c>
      <c r="G8" s="18">
        <f>'P0-3_Scorecard'!E26</f>
        <v/>
      </c>
      <c r="H8" s="18">
        <f>'P0-3_Scorecard'!H26</f>
        <v/>
      </c>
      <c r="I8" s="18">
        <f>IF(OR(D8="",E8=""),"INCOMPLETE",IF(AND(D8&gt;=70,E8&lt;60),"DEPENDENCY GAP",IF(AND(D8&gt;=70,G8&lt;F8),"REQUIRED MATURITY GAP","OK")))</f>
        <v/>
      </c>
      <c r="J8" s="18" t="inlineStr">
        <is>
          <t>D03 deep-dive</t>
        </is>
      </c>
    </row>
    <row r="9">
      <c r="A9" s="18" t="inlineStr">
        <is>
          <t>CD01</t>
        </is>
      </c>
      <c r="B9" s="18" t="inlineStr">
        <is>
          <t>D01-I03</t>
        </is>
      </c>
      <c r="C9" s="18" t="inlineStr">
        <is>
          <t>D03-I02</t>
        </is>
      </c>
      <c r="D9" s="18">
        <f>'P0-3_Scorecard'!L4</f>
        <v/>
      </c>
      <c r="E9" s="18">
        <f>'P0-3_Scorecard'!L27</f>
        <v/>
      </c>
      <c r="F9" s="18">
        <f>'P0-3_Scorecard'!M27</f>
        <v/>
      </c>
      <c r="G9" s="18">
        <f>'P0-3_Scorecard'!E27</f>
        <v/>
      </c>
      <c r="H9" s="18">
        <f>'P0-3_Scorecard'!H27</f>
        <v/>
      </c>
      <c r="I9" s="18">
        <f>IF(OR(D9="",E9=""),"INCOMPLETE",IF(AND(D9&gt;=70,E9&lt;60),"DEPENDENCY GAP",IF(AND(D9&gt;=70,G9&lt;F9),"REQUIRED MATURITY GAP","OK")))</f>
        <v/>
      </c>
      <c r="J9" s="18" t="inlineStr">
        <is>
          <t>D03 deep-dive</t>
        </is>
      </c>
    </row>
    <row r="10">
      <c r="A10" s="18" t="inlineStr">
        <is>
          <t>CD01</t>
        </is>
      </c>
      <c r="B10" s="18" t="inlineStr">
        <is>
          <t>D01-I03</t>
        </is>
      </c>
      <c r="C10" s="18" t="inlineStr">
        <is>
          <t>D03-I05</t>
        </is>
      </c>
      <c r="D10" s="18">
        <f>'P0-3_Scorecard'!L4</f>
        <v/>
      </c>
      <c r="E10" s="18">
        <f>'P0-3_Scorecard'!L30</f>
        <v/>
      </c>
      <c r="F10" s="18">
        <f>'P0-3_Scorecard'!M30</f>
        <v/>
      </c>
      <c r="G10" s="18">
        <f>'P0-3_Scorecard'!E30</f>
        <v/>
      </c>
      <c r="H10" s="18">
        <f>'P0-3_Scorecard'!H30</f>
        <v/>
      </c>
      <c r="I10" s="18">
        <f>IF(OR(D10="",E10=""),"INCOMPLETE",IF(AND(D10&gt;=70,E10&lt;60),"DEPENDENCY GAP",IF(AND(D10&gt;=70,G10&lt;F10),"REQUIRED MATURITY GAP","OK")))</f>
        <v/>
      </c>
      <c r="J10" s="18" t="inlineStr">
        <is>
          <t>D03 deep-dive</t>
        </is>
      </c>
    </row>
    <row r="11">
      <c r="A11" s="18" t="inlineStr">
        <is>
          <t>CD01</t>
        </is>
      </c>
      <c r="B11" s="18" t="inlineStr">
        <is>
          <t>D01-I03</t>
        </is>
      </c>
      <c r="C11" s="18" t="inlineStr">
        <is>
          <t>D03-I07</t>
        </is>
      </c>
      <c r="D11" s="18">
        <f>'P0-3_Scorecard'!L4</f>
        <v/>
      </c>
      <c r="E11" s="18">
        <f>'P0-3_Scorecard'!L32</f>
        <v/>
      </c>
      <c r="F11" s="18">
        <f>'P0-3_Scorecard'!M32</f>
        <v/>
      </c>
      <c r="G11" s="18">
        <f>'P0-3_Scorecard'!E32</f>
        <v/>
      </c>
      <c r="H11" s="18">
        <f>'P0-3_Scorecard'!H32</f>
        <v/>
      </c>
      <c r="I11" s="18">
        <f>IF(OR(D11="",E11=""),"INCOMPLETE",IF(AND(D11&gt;=70,E11&lt;60),"DEPENDENCY GAP",IF(AND(D11&gt;=70,G11&lt;F11),"REQUIRED MATURITY GAP","OK")))</f>
        <v/>
      </c>
      <c r="J11" s="18" t="inlineStr">
        <is>
          <t>D03 deep-dive</t>
        </is>
      </c>
    </row>
    <row r="12">
      <c r="A12" s="18" t="inlineStr">
        <is>
          <t>CD01</t>
        </is>
      </c>
      <c r="B12" s="18" t="inlineStr">
        <is>
          <t>D01-I03</t>
        </is>
      </c>
      <c r="C12" s="18" t="inlineStr">
        <is>
          <t>D03-I15</t>
        </is>
      </c>
      <c r="D12" s="18">
        <f>'P0-3_Scorecard'!L4</f>
        <v/>
      </c>
      <c r="E12" s="18">
        <f>'P0-3_Scorecard'!L40</f>
        <v/>
      </c>
      <c r="F12" s="18">
        <f>'P0-3_Scorecard'!M40</f>
        <v/>
      </c>
      <c r="G12" s="18">
        <f>'P0-3_Scorecard'!E40</f>
        <v/>
      </c>
      <c r="H12" s="18">
        <f>'P0-3_Scorecard'!H40</f>
        <v/>
      </c>
      <c r="I12" s="18">
        <f>IF(OR(D12="",E12=""),"INCOMPLETE",IF(AND(D12&gt;=70,E12&lt;60),"DEPENDENCY GAP",IF(AND(D12&gt;=70,G12&lt;F12),"REQUIRED MATURITY GAP","OK")))</f>
        <v/>
      </c>
      <c r="J12" s="18" t="inlineStr">
        <is>
          <t>D03 deep-dive</t>
        </is>
      </c>
    </row>
    <row r="13">
      <c r="A13" s="18" t="inlineStr">
        <is>
          <t>CD01</t>
        </is>
      </c>
      <c r="B13" s="18" t="inlineStr">
        <is>
          <t>D01-I03</t>
        </is>
      </c>
      <c r="C13" s="18" t="inlineStr">
        <is>
          <t>D03-I16</t>
        </is>
      </c>
      <c r="D13" s="18">
        <f>'P0-3_Scorecard'!L4</f>
        <v/>
      </c>
      <c r="E13" s="18">
        <f>'P0-3_Scorecard'!L41</f>
        <v/>
      </c>
      <c r="F13" s="18">
        <f>'P0-3_Scorecard'!M41</f>
        <v/>
      </c>
      <c r="G13" s="18">
        <f>'P0-3_Scorecard'!E41</f>
        <v/>
      </c>
      <c r="H13" s="18">
        <f>'P0-3_Scorecard'!H41</f>
        <v/>
      </c>
      <c r="I13" s="18">
        <f>IF(OR(D13="",E13=""),"INCOMPLETE",IF(AND(D13&gt;=70,E13&lt;60),"DEPENDENCY GAP",IF(AND(D13&gt;=70,G13&lt;F13),"REQUIRED MATURITY GAP","OK")))</f>
        <v/>
      </c>
      <c r="J13" s="18" t="inlineStr">
        <is>
          <t>D03 deep-dive</t>
        </is>
      </c>
    </row>
    <row r="14">
      <c r="A14" s="18" t="inlineStr">
        <is>
          <t>CD02</t>
        </is>
      </c>
      <c r="B14" s="18" t="inlineStr">
        <is>
          <t>D01-I01</t>
        </is>
      </c>
      <c r="C14" s="18" t="inlineStr">
        <is>
          <t>D02-I01</t>
        </is>
      </c>
      <c r="D14" s="18">
        <f>'P0-3_Scorecard'!L2</f>
        <v/>
      </c>
      <c r="E14" s="18">
        <f>'P0-3_Scorecard'!L12</f>
        <v/>
      </c>
      <c r="F14" s="18">
        <f>'P0-3_Scorecard'!M12</f>
        <v/>
      </c>
      <c r="G14" s="18">
        <f>'P0-3_Scorecard'!E12</f>
        <v/>
      </c>
      <c r="H14" s="18">
        <f>'P0-3_Scorecard'!H12</f>
        <v/>
      </c>
      <c r="I14" s="18">
        <f>IF(OR(D14="",E14=""),"INCOMPLETE",IF(AND(D14&gt;=70,E14&lt;60),"DEPENDENCY GAP",IF(AND(D14&gt;=70,G14&lt;F14),"REQUIRED MATURITY GAP","OK")))</f>
        <v/>
      </c>
      <c r="J14" s="18" t="inlineStr">
        <is>
          <t>Governance review</t>
        </is>
      </c>
    </row>
    <row r="15">
      <c r="A15" s="18" t="inlineStr">
        <is>
          <t>CD02</t>
        </is>
      </c>
      <c r="B15" s="18" t="inlineStr">
        <is>
          <t>D01-I01</t>
        </is>
      </c>
      <c r="C15" s="18" t="inlineStr">
        <is>
          <t>D02-I03</t>
        </is>
      </c>
      <c r="D15" s="18">
        <f>'P0-3_Scorecard'!L2</f>
        <v/>
      </c>
      <c r="E15" s="18">
        <f>'P0-3_Scorecard'!L14</f>
        <v/>
      </c>
      <c r="F15" s="18">
        <f>'P0-3_Scorecard'!M14</f>
        <v/>
      </c>
      <c r="G15" s="18">
        <f>'P0-3_Scorecard'!E14</f>
        <v/>
      </c>
      <c r="H15" s="18">
        <f>'P0-3_Scorecard'!H14</f>
        <v/>
      </c>
      <c r="I15" s="18">
        <f>IF(OR(D15="",E15=""),"INCOMPLETE",IF(AND(D15&gt;=70,E15&lt;60),"DEPENDENCY GAP",IF(AND(D15&gt;=70,G15&lt;F15),"REQUIRED MATURITY GAP","OK")))</f>
        <v/>
      </c>
      <c r="J15" s="18" t="inlineStr">
        <is>
          <t>Governance review</t>
        </is>
      </c>
    </row>
    <row r="16">
      <c r="A16" s="18" t="inlineStr">
        <is>
          <t>CD02</t>
        </is>
      </c>
      <c r="B16" s="18" t="inlineStr">
        <is>
          <t>D01-I01</t>
        </is>
      </c>
      <c r="C16" s="18" t="inlineStr">
        <is>
          <t>D02-I07</t>
        </is>
      </c>
      <c r="D16" s="18">
        <f>'P0-3_Scorecard'!L2</f>
        <v/>
      </c>
      <c r="E16" s="18">
        <f>'P0-3_Scorecard'!L18</f>
        <v/>
      </c>
      <c r="F16" s="18">
        <f>'P0-3_Scorecard'!M18</f>
        <v/>
      </c>
      <c r="G16" s="18">
        <f>'P0-3_Scorecard'!E18</f>
        <v/>
      </c>
      <c r="H16" s="18">
        <f>'P0-3_Scorecard'!H18</f>
        <v/>
      </c>
      <c r="I16" s="18">
        <f>IF(OR(D16="",E16=""),"INCOMPLETE",IF(AND(D16&gt;=70,E16&lt;60),"DEPENDENCY GAP",IF(AND(D16&gt;=70,G16&lt;F16),"REQUIRED MATURITY GAP","OK")))</f>
        <v/>
      </c>
      <c r="J16" s="18" t="inlineStr">
        <is>
          <t>Governance review</t>
        </is>
      </c>
    </row>
    <row r="17">
      <c r="A17" s="18" t="inlineStr">
        <is>
          <t>CD02</t>
        </is>
      </c>
      <c r="B17" s="18" t="inlineStr">
        <is>
          <t>D01-I01</t>
        </is>
      </c>
      <c r="C17" s="18" t="inlineStr">
        <is>
          <t>D02-I13</t>
        </is>
      </c>
      <c r="D17" s="18">
        <f>'P0-3_Scorecard'!L2</f>
        <v/>
      </c>
      <c r="E17" s="18">
        <f>'P0-3_Scorecard'!L24</f>
        <v/>
      </c>
      <c r="F17" s="18">
        <f>'P0-3_Scorecard'!M24</f>
        <v/>
      </c>
      <c r="G17" s="18">
        <f>'P0-3_Scorecard'!E24</f>
        <v/>
      </c>
      <c r="H17" s="18">
        <f>'P0-3_Scorecard'!H24</f>
        <v/>
      </c>
      <c r="I17" s="18">
        <f>IF(OR(D17="",E17=""),"INCOMPLETE",IF(AND(D17&gt;=70,E17&lt;60),"DEPENDENCY GAP",IF(AND(D17&gt;=70,G17&lt;F17),"REQUIRED MATURITY GAP","OK")))</f>
        <v/>
      </c>
      <c r="J17" s="18" t="inlineStr">
        <is>
          <t>Governance review</t>
        </is>
      </c>
    </row>
    <row r="18">
      <c r="A18" s="18" t="inlineStr">
        <is>
          <t>CD02</t>
        </is>
      </c>
      <c r="B18" s="18" t="inlineStr">
        <is>
          <t>D01-I06</t>
        </is>
      </c>
      <c r="C18" s="18" t="inlineStr">
        <is>
          <t>D02-I01</t>
        </is>
      </c>
      <c r="D18" s="18">
        <f>'P0-3_Scorecard'!L7</f>
        <v/>
      </c>
      <c r="E18" s="18">
        <f>'P0-3_Scorecard'!L12</f>
        <v/>
      </c>
      <c r="F18" s="18">
        <f>'P0-3_Scorecard'!M12</f>
        <v/>
      </c>
      <c r="G18" s="18">
        <f>'P0-3_Scorecard'!E12</f>
        <v/>
      </c>
      <c r="H18" s="18">
        <f>'P0-3_Scorecard'!H12</f>
        <v/>
      </c>
      <c r="I18" s="18">
        <f>IF(OR(D18="",E18=""),"INCOMPLETE",IF(AND(D18&gt;=70,E18&lt;60),"DEPENDENCY GAP",IF(AND(D18&gt;=70,G18&lt;F18),"REQUIRED MATURITY GAP","OK")))</f>
        <v/>
      </c>
      <c r="J18" s="18" t="inlineStr">
        <is>
          <t>Governance review</t>
        </is>
      </c>
    </row>
    <row r="19">
      <c r="A19" s="18" t="inlineStr">
        <is>
          <t>CD02</t>
        </is>
      </c>
      <c r="B19" s="18" t="inlineStr">
        <is>
          <t>D01-I06</t>
        </is>
      </c>
      <c r="C19" s="18" t="inlineStr">
        <is>
          <t>D02-I03</t>
        </is>
      </c>
      <c r="D19" s="18">
        <f>'P0-3_Scorecard'!L7</f>
        <v/>
      </c>
      <c r="E19" s="18">
        <f>'P0-3_Scorecard'!L14</f>
        <v/>
      </c>
      <c r="F19" s="18">
        <f>'P0-3_Scorecard'!M14</f>
        <v/>
      </c>
      <c r="G19" s="18">
        <f>'P0-3_Scorecard'!E14</f>
        <v/>
      </c>
      <c r="H19" s="18">
        <f>'P0-3_Scorecard'!H14</f>
        <v/>
      </c>
      <c r="I19" s="18">
        <f>IF(OR(D19="",E19=""),"INCOMPLETE",IF(AND(D19&gt;=70,E19&lt;60),"DEPENDENCY GAP",IF(AND(D19&gt;=70,G19&lt;F19),"REQUIRED MATURITY GAP","OK")))</f>
        <v/>
      </c>
      <c r="J19" s="18" t="inlineStr">
        <is>
          <t>Governance review</t>
        </is>
      </c>
    </row>
    <row r="20">
      <c r="A20" s="18" t="inlineStr">
        <is>
          <t>CD02</t>
        </is>
      </c>
      <c r="B20" s="18" t="inlineStr">
        <is>
          <t>D01-I06</t>
        </is>
      </c>
      <c r="C20" s="18" t="inlineStr">
        <is>
          <t>D02-I07</t>
        </is>
      </c>
      <c r="D20" s="18">
        <f>'P0-3_Scorecard'!L7</f>
        <v/>
      </c>
      <c r="E20" s="18">
        <f>'P0-3_Scorecard'!L18</f>
        <v/>
      </c>
      <c r="F20" s="18">
        <f>'P0-3_Scorecard'!M18</f>
        <v/>
      </c>
      <c r="G20" s="18">
        <f>'P0-3_Scorecard'!E18</f>
        <v/>
      </c>
      <c r="H20" s="18">
        <f>'P0-3_Scorecard'!H18</f>
        <v/>
      </c>
      <c r="I20" s="18">
        <f>IF(OR(D20="",E20=""),"INCOMPLETE",IF(AND(D20&gt;=70,E20&lt;60),"DEPENDENCY GAP",IF(AND(D20&gt;=70,G20&lt;F20),"REQUIRED MATURITY GAP","OK")))</f>
        <v/>
      </c>
      <c r="J20" s="18" t="inlineStr">
        <is>
          <t>Governance review</t>
        </is>
      </c>
    </row>
    <row r="21">
      <c r="A21" s="18" t="inlineStr">
        <is>
          <t>CD02</t>
        </is>
      </c>
      <c r="B21" s="18" t="inlineStr">
        <is>
          <t>D01-I06</t>
        </is>
      </c>
      <c r="C21" s="18" t="inlineStr">
        <is>
          <t>D02-I13</t>
        </is>
      </c>
      <c r="D21" s="18">
        <f>'P0-3_Scorecard'!L7</f>
        <v/>
      </c>
      <c r="E21" s="18">
        <f>'P0-3_Scorecard'!L24</f>
        <v/>
      </c>
      <c r="F21" s="18">
        <f>'P0-3_Scorecard'!M24</f>
        <v/>
      </c>
      <c r="G21" s="18">
        <f>'P0-3_Scorecard'!E24</f>
        <v/>
      </c>
      <c r="H21" s="18">
        <f>'P0-3_Scorecard'!H24</f>
        <v/>
      </c>
      <c r="I21" s="18">
        <f>IF(OR(D21="",E21=""),"INCOMPLETE",IF(AND(D21&gt;=70,E21&lt;60),"DEPENDENCY GAP",IF(AND(D21&gt;=70,G21&lt;F21),"REQUIRED MATURITY GAP","OK")))</f>
        <v/>
      </c>
      <c r="J21" s="18" t="inlineStr">
        <is>
          <t>Governance review</t>
        </is>
      </c>
    </row>
    <row r="22">
      <c r="A22" s="18" t="inlineStr">
        <is>
          <t>CD02</t>
        </is>
      </c>
      <c r="B22" s="18" t="inlineStr">
        <is>
          <t>D01-I09</t>
        </is>
      </c>
      <c r="C22" s="18" t="inlineStr">
        <is>
          <t>D02-I01</t>
        </is>
      </c>
      <c r="D22" s="18">
        <f>'P0-3_Scorecard'!L10</f>
        <v/>
      </c>
      <c r="E22" s="18">
        <f>'P0-3_Scorecard'!L12</f>
        <v/>
      </c>
      <c r="F22" s="18">
        <f>'P0-3_Scorecard'!M12</f>
        <v/>
      </c>
      <c r="G22" s="18">
        <f>'P0-3_Scorecard'!E12</f>
        <v/>
      </c>
      <c r="H22" s="18">
        <f>'P0-3_Scorecard'!H12</f>
        <v/>
      </c>
      <c r="I22" s="18">
        <f>IF(OR(D22="",E22=""),"INCOMPLETE",IF(AND(D22&gt;=70,E22&lt;60),"DEPENDENCY GAP",IF(AND(D22&gt;=70,G22&lt;F22),"REQUIRED MATURITY GAP","OK")))</f>
        <v/>
      </c>
      <c r="J22" s="18" t="inlineStr">
        <is>
          <t>Governance review</t>
        </is>
      </c>
    </row>
    <row r="23">
      <c r="A23" s="18" t="inlineStr">
        <is>
          <t>CD02</t>
        </is>
      </c>
      <c r="B23" s="18" t="inlineStr">
        <is>
          <t>D01-I09</t>
        </is>
      </c>
      <c r="C23" s="18" t="inlineStr">
        <is>
          <t>D02-I03</t>
        </is>
      </c>
      <c r="D23" s="18">
        <f>'P0-3_Scorecard'!L10</f>
        <v/>
      </c>
      <c r="E23" s="18">
        <f>'P0-3_Scorecard'!L14</f>
        <v/>
      </c>
      <c r="F23" s="18">
        <f>'P0-3_Scorecard'!M14</f>
        <v/>
      </c>
      <c r="G23" s="18">
        <f>'P0-3_Scorecard'!E14</f>
        <v/>
      </c>
      <c r="H23" s="18">
        <f>'P0-3_Scorecard'!H14</f>
        <v/>
      </c>
      <c r="I23" s="18">
        <f>IF(OR(D23="",E23=""),"INCOMPLETE",IF(AND(D23&gt;=70,E23&lt;60),"DEPENDENCY GAP",IF(AND(D23&gt;=70,G23&lt;F23),"REQUIRED MATURITY GAP","OK")))</f>
        <v/>
      </c>
      <c r="J23" s="18" t="inlineStr">
        <is>
          <t>Governance review</t>
        </is>
      </c>
    </row>
    <row r="24">
      <c r="A24" s="18" t="inlineStr">
        <is>
          <t>CD02</t>
        </is>
      </c>
      <c r="B24" s="18" t="inlineStr">
        <is>
          <t>D01-I09</t>
        </is>
      </c>
      <c r="C24" s="18" t="inlineStr">
        <is>
          <t>D02-I07</t>
        </is>
      </c>
      <c r="D24" s="18">
        <f>'P0-3_Scorecard'!L10</f>
        <v/>
      </c>
      <c r="E24" s="18">
        <f>'P0-3_Scorecard'!L18</f>
        <v/>
      </c>
      <c r="F24" s="18">
        <f>'P0-3_Scorecard'!M18</f>
        <v/>
      </c>
      <c r="G24" s="18">
        <f>'P0-3_Scorecard'!E18</f>
        <v/>
      </c>
      <c r="H24" s="18">
        <f>'P0-3_Scorecard'!H18</f>
        <v/>
      </c>
      <c r="I24" s="18">
        <f>IF(OR(D24="",E24=""),"INCOMPLETE",IF(AND(D24&gt;=70,E24&lt;60),"DEPENDENCY GAP",IF(AND(D24&gt;=70,G24&lt;F24),"REQUIRED MATURITY GAP","OK")))</f>
        <v/>
      </c>
      <c r="J24" s="18" t="inlineStr">
        <is>
          <t>Governance review</t>
        </is>
      </c>
    </row>
    <row r="25">
      <c r="A25" s="18" t="inlineStr">
        <is>
          <t>CD02</t>
        </is>
      </c>
      <c r="B25" s="18" t="inlineStr">
        <is>
          <t>D01-I09</t>
        </is>
      </c>
      <c r="C25" s="18" t="inlineStr">
        <is>
          <t>D02-I13</t>
        </is>
      </c>
      <c r="D25" s="18">
        <f>'P0-3_Scorecard'!L10</f>
        <v/>
      </c>
      <c r="E25" s="18">
        <f>'P0-3_Scorecard'!L24</f>
        <v/>
      </c>
      <c r="F25" s="18">
        <f>'P0-3_Scorecard'!M24</f>
        <v/>
      </c>
      <c r="G25" s="18">
        <f>'P0-3_Scorecard'!E24</f>
        <v/>
      </c>
      <c r="H25" s="18">
        <f>'P0-3_Scorecard'!H24</f>
        <v/>
      </c>
      <c r="I25" s="18">
        <f>IF(OR(D25="",E25=""),"INCOMPLETE",IF(AND(D25&gt;=70,E25&lt;60),"DEPENDENCY GAP",IF(AND(D25&gt;=70,G25&lt;F25),"REQUIRED MATURITY GAP","OK")))</f>
        <v/>
      </c>
      <c r="J25" s="18" t="inlineStr">
        <is>
          <t>Governance review</t>
        </is>
      </c>
    </row>
    <row r="26">
      <c r="A26" s="18" t="inlineStr">
        <is>
          <t>CD03</t>
        </is>
      </c>
      <c r="B26" s="18" t="inlineStr">
        <is>
          <t>D01-I02</t>
        </is>
      </c>
      <c r="C26" s="18" t="inlineStr">
        <is>
          <t>D04-I01</t>
        </is>
      </c>
      <c r="D26" s="18">
        <f>'P0-3_Scorecard'!L3</f>
        <v/>
      </c>
      <c r="E26" s="18">
        <f>'P0-3_Scorecard'!L43</f>
        <v/>
      </c>
      <c r="F26" s="18">
        <f>'P0-3_Scorecard'!M43</f>
        <v/>
      </c>
      <c r="G26" s="18">
        <f>'P0-3_Scorecard'!E43</f>
        <v/>
      </c>
      <c r="H26" s="18">
        <f>'P0-3_Scorecard'!H43</f>
        <v/>
      </c>
      <c r="I26" s="18">
        <f>IF(OR(D26="",E26=""),"INCOMPLETE",IF(AND(D26&gt;=70,E26&lt;60),"DEPENDENCY GAP",IF(AND(D26&gt;=70,G26&lt;F26),"REQUIRED MATURITY GAP","OK")))</f>
        <v/>
      </c>
      <c r="J26" s="18" t="inlineStr">
        <is>
          <t>Programme portfolio review</t>
        </is>
      </c>
    </row>
    <row r="27">
      <c r="A27" s="18" t="inlineStr">
        <is>
          <t>CD03</t>
        </is>
      </c>
      <c r="B27" s="18" t="inlineStr">
        <is>
          <t>D01-I02</t>
        </is>
      </c>
      <c r="C27" s="18" t="inlineStr">
        <is>
          <t>D04-I03</t>
        </is>
      </c>
      <c r="D27" s="18">
        <f>'P0-3_Scorecard'!L3</f>
        <v/>
      </c>
      <c r="E27" s="18">
        <f>'P0-3_Scorecard'!L45</f>
        <v/>
      </c>
      <c r="F27" s="18">
        <f>'P0-3_Scorecard'!M45</f>
        <v/>
      </c>
      <c r="G27" s="18">
        <f>'P0-3_Scorecard'!E45</f>
        <v/>
      </c>
      <c r="H27" s="18">
        <f>'P0-3_Scorecard'!H45</f>
        <v/>
      </c>
      <c r="I27" s="18">
        <f>IF(OR(D27="",E27=""),"INCOMPLETE",IF(AND(D27&gt;=70,E27&lt;60),"DEPENDENCY GAP",IF(AND(D27&gt;=70,G27&lt;F27),"REQUIRED MATURITY GAP","OK")))</f>
        <v/>
      </c>
      <c r="J27" s="18" t="inlineStr">
        <is>
          <t>Programme portfolio review</t>
        </is>
      </c>
    </row>
    <row r="28">
      <c r="A28" s="18" t="inlineStr">
        <is>
          <t>CD03</t>
        </is>
      </c>
      <c r="B28" s="18" t="inlineStr">
        <is>
          <t>D01-I02</t>
        </is>
      </c>
      <c r="C28" s="18" t="inlineStr">
        <is>
          <t>D04-I05</t>
        </is>
      </c>
      <c r="D28" s="18">
        <f>'P0-3_Scorecard'!L3</f>
        <v/>
      </c>
      <c r="E28" s="18">
        <f>'P0-3_Scorecard'!L47</f>
        <v/>
      </c>
      <c r="F28" s="18">
        <f>'P0-3_Scorecard'!M47</f>
        <v/>
      </c>
      <c r="G28" s="18">
        <f>'P0-3_Scorecard'!E47</f>
        <v/>
      </c>
      <c r="H28" s="18">
        <f>'P0-3_Scorecard'!H47</f>
        <v/>
      </c>
      <c r="I28" s="18">
        <f>IF(OR(D28="",E28=""),"INCOMPLETE",IF(AND(D28&gt;=70,E28&lt;60),"DEPENDENCY GAP",IF(AND(D28&gt;=70,G28&lt;F28),"REQUIRED MATURITY GAP","OK")))</f>
        <v/>
      </c>
      <c r="J28" s="18" t="inlineStr">
        <is>
          <t>Programme portfolio review</t>
        </is>
      </c>
    </row>
    <row r="29">
      <c r="A29" s="18" t="inlineStr">
        <is>
          <t>CD03</t>
        </is>
      </c>
      <c r="B29" s="18" t="inlineStr">
        <is>
          <t>D01-I02</t>
        </is>
      </c>
      <c r="C29" s="18" t="inlineStr">
        <is>
          <t>D04-I08</t>
        </is>
      </c>
      <c r="D29" s="18">
        <f>'P0-3_Scorecard'!L3</f>
        <v/>
      </c>
      <c r="E29" s="18">
        <f>'P0-3_Scorecard'!L50</f>
        <v/>
      </c>
      <c r="F29" s="18">
        <f>'P0-3_Scorecard'!M50</f>
        <v/>
      </c>
      <c r="G29" s="18">
        <f>'P0-3_Scorecard'!E50</f>
        <v/>
      </c>
      <c r="H29" s="18">
        <f>'P0-3_Scorecard'!H50</f>
        <v/>
      </c>
      <c r="I29" s="18">
        <f>IF(OR(D29="",E29=""),"INCOMPLETE",IF(AND(D29&gt;=70,E29&lt;60),"DEPENDENCY GAP",IF(AND(D29&gt;=70,G29&lt;F29),"REQUIRED MATURITY GAP","OK")))</f>
        <v/>
      </c>
      <c r="J29" s="18" t="inlineStr">
        <is>
          <t>Programme portfolio review</t>
        </is>
      </c>
    </row>
    <row r="30">
      <c r="A30" s="18" t="inlineStr">
        <is>
          <t>CD03</t>
        </is>
      </c>
      <c r="B30" s="18" t="inlineStr">
        <is>
          <t>D01-I02</t>
        </is>
      </c>
      <c r="C30" s="18" t="inlineStr">
        <is>
          <t>D04-I12</t>
        </is>
      </c>
      <c r="D30" s="18">
        <f>'P0-3_Scorecard'!L3</f>
        <v/>
      </c>
      <c r="E30" s="18">
        <f>'P0-3_Scorecard'!L54</f>
        <v/>
      </c>
      <c r="F30" s="18">
        <f>'P0-3_Scorecard'!M54</f>
        <v/>
      </c>
      <c r="G30" s="18">
        <f>'P0-3_Scorecard'!E54</f>
        <v/>
      </c>
      <c r="H30" s="18">
        <f>'P0-3_Scorecard'!H54</f>
        <v/>
      </c>
      <c r="I30" s="18">
        <f>IF(OR(D30="",E30=""),"INCOMPLETE",IF(AND(D30&gt;=70,E30&lt;60),"DEPENDENCY GAP",IF(AND(D30&gt;=70,G30&lt;F30),"REQUIRED MATURITY GAP","OK")))</f>
        <v/>
      </c>
      <c r="J30" s="18" t="inlineStr">
        <is>
          <t>Programme portfolio review</t>
        </is>
      </c>
    </row>
    <row r="31">
      <c r="A31" s="18" t="inlineStr">
        <is>
          <t>CD03</t>
        </is>
      </c>
      <c r="B31" s="18" t="inlineStr">
        <is>
          <t>D01-I04</t>
        </is>
      </c>
      <c r="C31" s="18" t="inlineStr">
        <is>
          <t>D04-I01</t>
        </is>
      </c>
      <c r="D31" s="18">
        <f>'P0-3_Scorecard'!L5</f>
        <v/>
      </c>
      <c r="E31" s="18">
        <f>'P0-3_Scorecard'!L43</f>
        <v/>
      </c>
      <c r="F31" s="18">
        <f>'P0-3_Scorecard'!M43</f>
        <v/>
      </c>
      <c r="G31" s="18">
        <f>'P0-3_Scorecard'!E43</f>
        <v/>
      </c>
      <c r="H31" s="18">
        <f>'P0-3_Scorecard'!H43</f>
        <v/>
      </c>
      <c r="I31" s="18">
        <f>IF(OR(D31="",E31=""),"INCOMPLETE",IF(AND(D31&gt;=70,E31&lt;60),"DEPENDENCY GAP",IF(AND(D31&gt;=70,G31&lt;F31),"REQUIRED MATURITY GAP","OK")))</f>
        <v/>
      </c>
      <c r="J31" s="18" t="inlineStr">
        <is>
          <t>Programme portfolio review</t>
        </is>
      </c>
    </row>
    <row r="32">
      <c r="A32" s="18" t="inlineStr">
        <is>
          <t>CD03</t>
        </is>
      </c>
      <c r="B32" s="18" t="inlineStr">
        <is>
          <t>D01-I04</t>
        </is>
      </c>
      <c r="C32" s="18" t="inlineStr">
        <is>
          <t>D04-I03</t>
        </is>
      </c>
      <c r="D32" s="18">
        <f>'P0-3_Scorecard'!L5</f>
        <v/>
      </c>
      <c r="E32" s="18">
        <f>'P0-3_Scorecard'!L45</f>
        <v/>
      </c>
      <c r="F32" s="18">
        <f>'P0-3_Scorecard'!M45</f>
        <v/>
      </c>
      <c r="G32" s="18">
        <f>'P0-3_Scorecard'!E45</f>
        <v/>
      </c>
      <c r="H32" s="18">
        <f>'P0-3_Scorecard'!H45</f>
        <v/>
      </c>
      <c r="I32" s="18">
        <f>IF(OR(D32="",E32=""),"INCOMPLETE",IF(AND(D32&gt;=70,E32&lt;60),"DEPENDENCY GAP",IF(AND(D32&gt;=70,G32&lt;F32),"REQUIRED MATURITY GAP","OK")))</f>
        <v/>
      </c>
      <c r="J32" s="18" t="inlineStr">
        <is>
          <t>Programme portfolio review</t>
        </is>
      </c>
    </row>
    <row r="33">
      <c r="A33" s="18" t="inlineStr">
        <is>
          <t>CD03</t>
        </is>
      </c>
      <c r="B33" s="18" t="inlineStr">
        <is>
          <t>D01-I04</t>
        </is>
      </c>
      <c r="C33" s="18" t="inlineStr">
        <is>
          <t>D04-I05</t>
        </is>
      </c>
      <c r="D33" s="18">
        <f>'P0-3_Scorecard'!L5</f>
        <v/>
      </c>
      <c r="E33" s="18">
        <f>'P0-3_Scorecard'!L47</f>
        <v/>
      </c>
      <c r="F33" s="18">
        <f>'P0-3_Scorecard'!M47</f>
        <v/>
      </c>
      <c r="G33" s="18">
        <f>'P0-3_Scorecard'!E47</f>
        <v/>
      </c>
      <c r="H33" s="18">
        <f>'P0-3_Scorecard'!H47</f>
        <v/>
      </c>
      <c r="I33" s="18">
        <f>IF(OR(D33="",E33=""),"INCOMPLETE",IF(AND(D33&gt;=70,E33&lt;60),"DEPENDENCY GAP",IF(AND(D33&gt;=70,G33&lt;F33),"REQUIRED MATURITY GAP","OK")))</f>
        <v/>
      </c>
      <c r="J33" s="18" t="inlineStr">
        <is>
          <t>Programme portfolio review</t>
        </is>
      </c>
    </row>
    <row r="34">
      <c r="A34" s="18" t="inlineStr">
        <is>
          <t>CD03</t>
        </is>
      </c>
      <c r="B34" s="18" t="inlineStr">
        <is>
          <t>D01-I04</t>
        </is>
      </c>
      <c r="C34" s="18" t="inlineStr">
        <is>
          <t>D04-I08</t>
        </is>
      </c>
      <c r="D34" s="18">
        <f>'P0-3_Scorecard'!L5</f>
        <v/>
      </c>
      <c r="E34" s="18">
        <f>'P0-3_Scorecard'!L50</f>
        <v/>
      </c>
      <c r="F34" s="18">
        <f>'P0-3_Scorecard'!M50</f>
        <v/>
      </c>
      <c r="G34" s="18">
        <f>'P0-3_Scorecard'!E50</f>
        <v/>
      </c>
      <c r="H34" s="18">
        <f>'P0-3_Scorecard'!H50</f>
        <v/>
      </c>
      <c r="I34" s="18">
        <f>IF(OR(D34="",E34=""),"INCOMPLETE",IF(AND(D34&gt;=70,E34&lt;60),"DEPENDENCY GAP",IF(AND(D34&gt;=70,G34&lt;F34),"REQUIRED MATURITY GAP","OK")))</f>
        <v/>
      </c>
      <c r="J34" s="18" t="inlineStr">
        <is>
          <t>Programme portfolio review</t>
        </is>
      </c>
    </row>
    <row r="35">
      <c r="A35" s="18" t="inlineStr">
        <is>
          <t>CD03</t>
        </is>
      </c>
      <c r="B35" s="18" t="inlineStr">
        <is>
          <t>D01-I04</t>
        </is>
      </c>
      <c r="C35" s="18" t="inlineStr">
        <is>
          <t>D04-I12</t>
        </is>
      </c>
      <c r="D35" s="18">
        <f>'P0-3_Scorecard'!L5</f>
        <v/>
      </c>
      <c r="E35" s="18">
        <f>'P0-3_Scorecard'!L54</f>
        <v/>
      </c>
      <c r="F35" s="18">
        <f>'P0-3_Scorecard'!M54</f>
        <v/>
      </c>
      <c r="G35" s="18">
        <f>'P0-3_Scorecard'!E54</f>
        <v/>
      </c>
      <c r="H35" s="18">
        <f>'P0-3_Scorecard'!H54</f>
        <v/>
      </c>
      <c r="I35" s="18">
        <f>IF(OR(D35="",E35=""),"INCOMPLETE",IF(AND(D35&gt;=70,E35&lt;60),"DEPENDENCY GAP",IF(AND(D35&gt;=70,G35&lt;F35),"REQUIRED MATURITY GAP","OK")))</f>
        <v/>
      </c>
      <c r="J35" s="18" t="inlineStr">
        <is>
          <t>Programme portfolio review</t>
        </is>
      </c>
    </row>
    <row r="36">
      <c r="A36" s="18" t="inlineStr">
        <is>
          <t>CD03</t>
        </is>
      </c>
      <c r="B36" s="18" t="inlineStr">
        <is>
          <t>D01-I06</t>
        </is>
      </c>
      <c r="C36" s="18" t="inlineStr">
        <is>
          <t>D04-I01</t>
        </is>
      </c>
      <c r="D36" s="18">
        <f>'P0-3_Scorecard'!L7</f>
        <v/>
      </c>
      <c r="E36" s="18">
        <f>'P0-3_Scorecard'!L43</f>
        <v/>
      </c>
      <c r="F36" s="18">
        <f>'P0-3_Scorecard'!M43</f>
        <v/>
      </c>
      <c r="G36" s="18">
        <f>'P0-3_Scorecard'!E43</f>
        <v/>
      </c>
      <c r="H36" s="18">
        <f>'P0-3_Scorecard'!H43</f>
        <v/>
      </c>
      <c r="I36" s="18">
        <f>IF(OR(D36="",E36=""),"INCOMPLETE",IF(AND(D36&gt;=70,E36&lt;60),"DEPENDENCY GAP",IF(AND(D36&gt;=70,G36&lt;F36),"REQUIRED MATURITY GAP","OK")))</f>
        <v/>
      </c>
      <c r="J36" s="18" t="inlineStr">
        <is>
          <t>Programme portfolio review</t>
        </is>
      </c>
    </row>
    <row r="37">
      <c r="A37" s="18" t="inlineStr">
        <is>
          <t>CD03</t>
        </is>
      </c>
      <c r="B37" s="18" t="inlineStr">
        <is>
          <t>D01-I06</t>
        </is>
      </c>
      <c r="C37" s="18" t="inlineStr">
        <is>
          <t>D04-I03</t>
        </is>
      </c>
      <c r="D37" s="18">
        <f>'P0-3_Scorecard'!L7</f>
        <v/>
      </c>
      <c r="E37" s="18">
        <f>'P0-3_Scorecard'!L45</f>
        <v/>
      </c>
      <c r="F37" s="18">
        <f>'P0-3_Scorecard'!M45</f>
        <v/>
      </c>
      <c r="G37" s="18">
        <f>'P0-3_Scorecard'!E45</f>
        <v/>
      </c>
      <c r="H37" s="18">
        <f>'P0-3_Scorecard'!H45</f>
        <v/>
      </c>
      <c r="I37" s="18">
        <f>IF(OR(D37="",E37=""),"INCOMPLETE",IF(AND(D37&gt;=70,E37&lt;60),"DEPENDENCY GAP",IF(AND(D37&gt;=70,G37&lt;F37),"REQUIRED MATURITY GAP","OK")))</f>
        <v/>
      </c>
      <c r="J37" s="18" t="inlineStr">
        <is>
          <t>Programme portfolio review</t>
        </is>
      </c>
    </row>
    <row r="38">
      <c r="A38" s="18" t="inlineStr">
        <is>
          <t>CD03</t>
        </is>
      </c>
      <c r="B38" s="18" t="inlineStr">
        <is>
          <t>D01-I06</t>
        </is>
      </c>
      <c r="C38" s="18" t="inlineStr">
        <is>
          <t>D04-I05</t>
        </is>
      </c>
      <c r="D38" s="18">
        <f>'P0-3_Scorecard'!L7</f>
        <v/>
      </c>
      <c r="E38" s="18">
        <f>'P0-3_Scorecard'!L47</f>
        <v/>
      </c>
      <c r="F38" s="18">
        <f>'P0-3_Scorecard'!M47</f>
        <v/>
      </c>
      <c r="G38" s="18">
        <f>'P0-3_Scorecard'!E47</f>
        <v/>
      </c>
      <c r="H38" s="18">
        <f>'P0-3_Scorecard'!H47</f>
        <v/>
      </c>
      <c r="I38" s="18">
        <f>IF(OR(D38="",E38=""),"INCOMPLETE",IF(AND(D38&gt;=70,E38&lt;60),"DEPENDENCY GAP",IF(AND(D38&gt;=70,G38&lt;F38),"REQUIRED MATURITY GAP","OK")))</f>
        <v/>
      </c>
      <c r="J38" s="18" t="inlineStr">
        <is>
          <t>Programme portfolio review</t>
        </is>
      </c>
    </row>
    <row r="39">
      <c r="A39" s="18" t="inlineStr">
        <is>
          <t>CD03</t>
        </is>
      </c>
      <c r="B39" s="18" t="inlineStr">
        <is>
          <t>D01-I06</t>
        </is>
      </c>
      <c r="C39" s="18" t="inlineStr">
        <is>
          <t>D04-I08</t>
        </is>
      </c>
      <c r="D39" s="18">
        <f>'P0-3_Scorecard'!L7</f>
        <v/>
      </c>
      <c r="E39" s="18">
        <f>'P0-3_Scorecard'!L50</f>
        <v/>
      </c>
      <c r="F39" s="18">
        <f>'P0-3_Scorecard'!M50</f>
        <v/>
      </c>
      <c r="G39" s="18">
        <f>'P0-3_Scorecard'!E50</f>
        <v/>
      </c>
      <c r="H39" s="18">
        <f>'P0-3_Scorecard'!H50</f>
        <v/>
      </c>
      <c r="I39" s="18">
        <f>IF(OR(D39="",E39=""),"INCOMPLETE",IF(AND(D39&gt;=70,E39&lt;60),"DEPENDENCY GAP",IF(AND(D39&gt;=70,G39&lt;F39),"REQUIRED MATURITY GAP","OK")))</f>
        <v/>
      </c>
      <c r="J39" s="18" t="inlineStr">
        <is>
          <t>Programme portfolio review</t>
        </is>
      </c>
    </row>
    <row r="40">
      <c r="A40" s="18" t="inlineStr">
        <is>
          <t>CD03</t>
        </is>
      </c>
      <c r="B40" s="18" t="inlineStr">
        <is>
          <t>D01-I06</t>
        </is>
      </c>
      <c r="C40" s="18" t="inlineStr">
        <is>
          <t>D04-I12</t>
        </is>
      </c>
      <c r="D40" s="18">
        <f>'P0-3_Scorecard'!L7</f>
        <v/>
      </c>
      <c r="E40" s="18">
        <f>'P0-3_Scorecard'!L54</f>
        <v/>
      </c>
      <c r="F40" s="18">
        <f>'P0-3_Scorecard'!M54</f>
        <v/>
      </c>
      <c r="G40" s="18">
        <f>'P0-3_Scorecard'!E54</f>
        <v/>
      </c>
      <c r="H40" s="18">
        <f>'P0-3_Scorecard'!H54</f>
        <v/>
      </c>
      <c r="I40" s="18">
        <f>IF(OR(D40="",E40=""),"INCOMPLETE",IF(AND(D40&gt;=70,E40&lt;60),"DEPENDENCY GAP",IF(AND(D40&gt;=70,G40&lt;F40),"REQUIRED MATURITY GAP","OK")))</f>
        <v/>
      </c>
      <c r="J40" s="18" t="inlineStr">
        <is>
          <t>Programme portfolio review</t>
        </is>
      </c>
    </row>
    <row r="41">
      <c r="A41" s="18" t="inlineStr">
        <is>
          <t>CD03</t>
        </is>
      </c>
      <c r="B41" s="18" t="inlineStr">
        <is>
          <t>D01-I10</t>
        </is>
      </c>
      <c r="C41" s="18" t="inlineStr">
        <is>
          <t>D04-I01</t>
        </is>
      </c>
      <c r="D41" s="18">
        <f>'P0-3_Scorecard'!L11</f>
        <v/>
      </c>
      <c r="E41" s="18">
        <f>'P0-3_Scorecard'!L43</f>
        <v/>
      </c>
      <c r="F41" s="18">
        <f>'P0-3_Scorecard'!M43</f>
        <v/>
      </c>
      <c r="G41" s="18">
        <f>'P0-3_Scorecard'!E43</f>
        <v/>
      </c>
      <c r="H41" s="18">
        <f>'P0-3_Scorecard'!H43</f>
        <v/>
      </c>
      <c r="I41" s="18">
        <f>IF(OR(D41="",E41=""),"INCOMPLETE",IF(AND(D41&gt;=70,E41&lt;60),"DEPENDENCY GAP",IF(AND(D41&gt;=70,G41&lt;F41),"REQUIRED MATURITY GAP","OK")))</f>
        <v/>
      </c>
      <c r="J41" s="18" t="inlineStr">
        <is>
          <t>Programme portfolio review</t>
        </is>
      </c>
    </row>
    <row r="42">
      <c r="A42" s="18" t="inlineStr">
        <is>
          <t>CD03</t>
        </is>
      </c>
      <c r="B42" s="18" t="inlineStr">
        <is>
          <t>D01-I10</t>
        </is>
      </c>
      <c r="C42" s="18" t="inlineStr">
        <is>
          <t>D04-I03</t>
        </is>
      </c>
      <c r="D42" s="18">
        <f>'P0-3_Scorecard'!L11</f>
        <v/>
      </c>
      <c r="E42" s="18">
        <f>'P0-3_Scorecard'!L45</f>
        <v/>
      </c>
      <c r="F42" s="18">
        <f>'P0-3_Scorecard'!M45</f>
        <v/>
      </c>
      <c r="G42" s="18">
        <f>'P0-3_Scorecard'!E45</f>
        <v/>
      </c>
      <c r="H42" s="18">
        <f>'P0-3_Scorecard'!H45</f>
        <v/>
      </c>
      <c r="I42" s="18">
        <f>IF(OR(D42="",E42=""),"INCOMPLETE",IF(AND(D42&gt;=70,E42&lt;60),"DEPENDENCY GAP",IF(AND(D42&gt;=70,G42&lt;F42),"REQUIRED MATURITY GAP","OK")))</f>
        <v/>
      </c>
      <c r="J42" s="18" t="inlineStr">
        <is>
          <t>Programme portfolio review</t>
        </is>
      </c>
    </row>
    <row r="43">
      <c r="A43" s="18" t="inlineStr">
        <is>
          <t>CD03</t>
        </is>
      </c>
      <c r="B43" s="18" t="inlineStr">
        <is>
          <t>D01-I10</t>
        </is>
      </c>
      <c r="C43" s="18" t="inlineStr">
        <is>
          <t>D04-I05</t>
        </is>
      </c>
      <c r="D43" s="18">
        <f>'P0-3_Scorecard'!L11</f>
        <v/>
      </c>
      <c r="E43" s="18">
        <f>'P0-3_Scorecard'!L47</f>
        <v/>
      </c>
      <c r="F43" s="18">
        <f>'P0-3_Scorecard'!M47</f>
        <v/>
      </c>
      <c r="G43" s="18">
        <f>'P0-3_Scorecard'!E47</f>
        <v/>
      </c>
      <c r="H43" s="18">
        <f>'P0-3_Scorecard'!H47</f>
        <v/>
      </c>
      <c r="I43" s="18">
        <f>IF(OR(D43="",E43=""),"INCOMPLETE",IF(AND(D43&gt;=70,E43&lt;60),"DEPENDENCY GAP",IF(AND(D43&gt;=70,G43&lt;F43),"REQUIRED MATURITY GAP","OK")))</f>
        <v/>
      </c>
      <c r="J43" s="18" t="inlineStr">
        <is>
          <t>Programme portfolio review</t>
        </is>
      </c>
    </row>
    <row r="44">
      <c r="A44" s="18" t="inlineStr">
        <is>
          <t>CD03</t>
        </is>
      </c>
      <c r="B44" s="18" t="inlineStr">
        <is>
          <t>D01-I10</t>
        </is>
      </c>
      <c r="C44" s="18" t="inlineStr">
        <is>
          <t>D04-I08</t>
        </is>
      </c>
      <c r="D44" s="18">
        <f>'P0-3_Scorecard'!L11</f>
        <v/>
      </c>
      <c r="E44" s="18">
        <f>'P0-3_Scorecard'!L50</f>
        <v/>
      </c>
      <c r="F44" s="18">
        <f>'P0-3_Scorecard'!M50</f>
        <v/>
      </c>
      <c r="G44" s="18">
        <f>'P0-3_Scorecard'!E50</f>
        <v/>
      </c>
      <c r="H44" s="18">
        <f>'P0-3_Scorecard'!H50</f>
        <v/>
      </c>
      <c r="I44" s="18">
        <f>IF(OR(D44="",E44=""),"INCOMPLETE",IF(AND(D44&gt;=70,E44&lt;60),"DEPENDENCY GAP",IF(AND(D44&gt;=70,G44&lt;F44),"REQUIRED MATURITY GAP","OK")))</f>
        <v/>
      </c>
      <c r="J44" s="18" t="inlineStr">
        <is>
          <t>Programme portfolio review</t>
        </is>
      </c>
    </row>
    <row r="45">
      <c r="A45" s="18" t="inlineStr">
        <is>
          <t>CD03</t>
        </is>
      </c>
      <c r="B45" s="18" t="inlineStr">
        <is>
          <t>D01-I10</t>
        </is>
      </c>
      <c r="C45" s="18" t="inlineStr">
        <is>
          <t>D04-I12</t>
        </is>
      </c>
      <c r="D45" s="18">
        <f>'P0-3_Scorecard'!L11</f>
        <v/>
      </c>
      <c r="E45" s="18">
        <f>'P0-3_Scorecard'!L54</f>
        <v/>
      </c>
      <c r="F45" s="18">
        <f>'P0-3_Scorecard'!M54</f>
        <v/>
      </c>
      <c r="G45" s="18">
        <f>'P0-3_Scorecard'!E54</f>
        <v/>
      </c>
      <c r="H45" s="18">
        <f>'P0-3_Scorecard'!H54</f>
        <v/>
      </c>
      <c r="I45" s="18">
        <f>IF(OR(D45="",E45=""),"INCOMPLETE",IF(AND(D45&gt;=70,E45&lt;60),"DEPENDENCY GAP",IF(AND(D45&gt;=70,G45&lt;F45),"REQUIRED MATURITY GAP","OK")))</f>
        <v/>
      </c>
      <c r="J45" s="18" t="inlineStr">
        <is>
          <t>Programme portfolio review</t>
        </is>
      </c>
    </row>
    <row r="46">
      <c r="A46" s="18" t="inlineStr">
        <is>
          <t>CD04</t>
        </is>
      </c>
      <c r="B46" s="18" t="inlineStr">
        <is>
          <t>D01-I02</t>
        </is>
      </c>
      <c r="C46" s="18" t="inlineStr">
        <is>
          <t>D11-I01</t>
        </is>
      </c>
      <c r="D46" s="18">
        <f>'P0-3_Scorecard'!L3</f>
        <v/>
      </c>
      <c r="E46" s="18">
        <f>'P0-3_Scorecard'!L131</f>
        <v/>
      </c>
      <c r="F46" s="18">
        <f>'P0-3_Scorecard'!M131</f>
        <v/>
      </c>
      <c r="G46" s="18">
        <f>'P0-3_Scorecard'!E131</f>
        <v/>
      </c>
      <c r="H46" s="18">
        <f>'P0-3_Scorecard'!H131</f>
        <v/>
      </c>
      <c r="I46" s="18">
        <f>IF(OR(D46="",E46=""),"INCOMPLETE",IF(AND(D46&gt;=70,E46&lt;60),"DEPENDENCY GAP",IF(AND(D46&gt;=70,G46&lt;F46),"REQUIRED MATURITY GAP","OK")))</f>
        <v/>
      </c>
      <c r="J46" s="18" t="inlineStr">
        <is>
          <t>Adaptation review</t>
        </is>
      </c>
    </row>
    <row r="47">
      <c r="A47" s="18" t="inlineStr">
        <is>
          <t>CD04</t>
        </is>
      </c>
      <c r="B47" s="18" t="inlineStr">
        <is>
          <t>D01-I02</t>
        </is>
      </c>
      <c r="C47" s="18" t="inlineStr">
        <is>
          <t>D11-I02</t>
        </is>
      </c>
      <c r="D47" s="18">
        <f>'P0-3_Scorecard'!L3</f>
        <v/>
      </c>
      <c r="E47" s="18">
        <f>'P0-3_Scorecard'!L132</f>
        <v/>
      </c>
      <c r="F47" s="18">
        <f>'P0-3_Scorecard'!M132</f>
        <v/>
      </c>
      <c r="G47" s="18">
        <f>'P0-3_Scorecard'!E132</f>
        <v/>
      </c>
      <c r="H47" s="18">
        <f>'P0-3_Scorecard'!H132</f>
        <v/>
      </c>
      <c r="I47" s="18">
        <f>IF(OR(D47="",E47=""),"INCOMPLETE",IF(AND(D47&gt;=70,E47&lt;60),"DEPENDENCY GAP",IF(AND(D47&gt;=70,G47&lt;F47),"REQUIRED MATURITY GAP","OK")))</f>
        <v/>
      </c>
      <c r="J47" s="18" t="inlineStr">
        <is>
          <t>Adaptation review</t>
        </is>
      </c>
    </row>
    <row r="48">
      <c r="A48" s="18" t="inlineStr">
        <is>
          <t>CD04</t>
        </is>
      </c>
      <c r="B48" s="18" t="inlineStr">
        <is>
          <t>D01-I02</t>
        </is>
      </c>
      <c r="C48" s="18" t="inlineStr">
        <is>
          <t>D11-I06</t>
        </is>
      </c>
      <c r="D48" s="18">
        <f>'P0-3_Scorecard'!L3</f>
        <v/>
      </c>
      <c r="E48" s="18">
        <f>'P0-3_Scorecard'!L136</f>
        <v/>
      </c>
      <c r="F48" s="18">
        <f>'P0-3_Scorecard'!M136</f>
        <v/>
      </c>
      <c r="G48" s="18">
        <f>'P0-3_Scorecard'!E136</f>
        <v/>
      </c>
      <c r="H48" s="18">
        <f>'P0-3_Scorecard'!H136</f>
        <v/>
      </c>
      <c r="I48" s="18">
        <f>IF(OR(D48="",E48=""),"INCOMPLETE",IF(AND(D48&gt;=70,E48&lt;60),"DEPENDENCY GAP",IF(AND(D48&gt;=70,G48&lt;F48),"REQUIRED MATURITY GAP","OK")))</f>
        <v/>
      </c>
      <c r="J48" s="18" t="inlineStr">
        <is>
          <t>Adaptation review</t>
        </is>
      </c>
    </row>
    <row r="49">
      <c r="A49" s="18" t="inlineStr">
        <is>
          <t>CD04</t>
        </is>
      </c>
      <c r="B49" s="18" t="inlineStr">
        <is>
          <t>D01-I02</t>
        </is>
      </c>
      <c r="C49" s="18" t="inlineStr">
        <is>
          <t>D11-I13</t>
        </is>
      </c>
      <c r="D49" s="18">
        <f>'P0-3_Scorecard'!L3</f>
        <v/>
      </c>
      <c r="E49" s="18">
        <f>'P0-3_Scorecard'!L143</f>
        <v/>
      </c>
      <c r="F49" s="18">
        <f>'P0-3_Scorecard'!M143</f>
        <v/>
      </c>
      <c r="G49" s="18">
        <f>'P0-3_Scorecard'!E143</f>
        <v/>
      </c>
      <c r="H49" s="18">
        <f>'P0-3_Scorecard'!H143</f>
        <v/>
      </c>
      <c r="I49" s="18">
        <f>IF(OR(D49="",E49=""),"INCOMPLETE",IF(AND(D49&gt;=70,E49&lt;60),"DEPENDENCY GAP",IF(AND(D49&gt;=70,G49&lt;F49),"REQUIRED MATURITY GAP","OK")))</f>
        <v/>
      </c>
      <c r="J49" s="18" t="inlineStr">
        <is>
          <t>Adaptation review</t>
        </is>
      </c>
    </row>
    <row r="50">
      <c r="A50" s="18" t="inlineStr">
        <is>
          <t>CD04</t>
        </is>
      </c>
      <c r="B50" s="18" t="inlineStr">
        <is>
          <t>D01-I02</t>
        </is>
      </c>
      <c r="C50" s="18" t="inlineStr">
        <is>
          <t>D11-I14</t>
        </is>
      </c>
      <c r="D50" s="18">
        <f>'P0-3_Scorecard'!L3</f>
        <v/>
      </c>
      <c r="E50" s="18">
        <f>'P0-3_Scorecard'!L144</f>
        <v/>
      </c>
      <c r="F50" s="18">
        <f>'P0-3_Scorecard'!M144</f>
        <v/>
      </c>
      <c r="G50" s="18">
        <f>'P0-3_Scorecard'!E144</f>
        <v/>
      </c>
      <c r="H50" s="18">
        <f>'P0-3_Scorecard'!H144</f>
        <v/>
      </c>
      <c r="I50" s="18">
        <f>IF(OR(D50="",E50=""),"INCOMPLETE",IF(AND(D50&gt;=70,E50&lt;60),"DEPENDENCY GAP",IF(AND(D50&gt;=70,G50&lt;F50),"REQUIRED MATURITY GAP","OK")))</f>
        <v/>
      </c>
      <c r="J50" s="18" t="inlineStr">
        <is>
          <t>Adaptation review</t>
        </is>
      </c>
    </row>
    <row r="51">
      <c r="A51" s="18" t="inlineStr">
        <is>
          <t>CD04</t>
        </is>
      </c>
      <c r="B51" s="18" t="inlineStr">
        <is>
          <t>D01-I03</t>
        </is>
      </c>
      <c r="C51" s="18" t="inlineStr">
        <is>
          <t>D11-I01</t>
        </is>
      </c>
      <c r="D51" s="18">
        <f>'P0-3_Scorecard'!L4</f>
        <v/>
      </c>
      <c r="E51" s="18">
        <f>'P0-3_Scorecard'!L131</f>
        <v/>
      </c>
      <c r="F51" s="18">
        <f>'P0-3_Scorecard'!M131</f>
        <v/>
      </c>
      <c r="G51" s="18">
        <f>'P0-3_Scorecard'!E131</f>
        <v/>
      </c>
      <c r="H51" s="18">
        <f>'P0-3_Scorecard'!H131</f>
        <v/>
      </c>
      <c r="I51" s="18">
        <f>IF(OR(D51="",E51=""),"INCOMPLETE",IF(AND(D51&gt;=70,E51&lt;60),"DEPENDENCY GAP",IF(AND(D51&gt;=70,G51&lt;F51),"REQUIRED MATURITY GAP","OK")))</f>
        <v/>
      </c>
      <c r="J51" s="18" t="inlineStr">
        <is>
          <t>Adaptation review</t>
        </is>
      </c>
    </row>
    <row r="52">
      <c r="A52" s="18" t="inlineStr">
        <is>
          <t>CD04</t>
        </is>
      </c>
      <c r="B52" s="18" t="inlineStr">
        <is>
          <t>D01-I03</t>
        </is>
      </c>
      <c r="C52" s="18" t="inlineStr">
        <is>
          <t>D11-I02</t>
        </is>
      </c>
      <c r="D52" s="18">
        <f>'P0-3_Scorecard'!L4</f>
        <v/>
      </c>
      <c r="E52" s="18">
        <f>'P0-3_Scorecard'!L132</f>
        <v/>
      </c>
      <c r="F52" s="18">
        <f>'P0-3_Scorecard'!M132</f>
        <v/>
      </c>
      <c r="G52" s="18">
        <f>'P0-3_Scorecard'!E132</f>
        <v/>
      </c>
      <c r="H52" s="18">
        <f>'P0-3_Scorecard'!H132</f>
        <v/>
      </c>
      <c r="I52" s="18">
        <f>IF(OR(D52="",E52=""),"INCOMPLETE",IF(AND(D52&gt;=70,E52&lt;60),"DEPENDENCY GAP",IF(AND(D52&gt;=70,G52&lt;F52),"REQUIRED MATURITY GAP","OK")))</f>
        <v/>
      </c>
      <c r="J52" s="18" t="inlineStr">
        <is>
          <t>Adaptation review</t>
        </is>
      </c>
    </row>
    <row r="53">
      <c r="A53" s="18" t="inlineStr">
        <is>
          <t>CD04</t>
        </is>
      </c>
      <c r="B53" s="18" t="inlineStr">
        <is>
          <t>D01-I03</t>
        </is>
      </c>
      <c r="C53" s="18" t="inlineStr">
        <is>
          <t>D11-I06</t>
        </is>
      </c>
      <c r="D53" s="18">
        <f>'P0-3_Scorecard'!L4</f>
        <v/>
      </c>
      <c r="E53" s="18">
        <f>'P0-3_Scorecard'!L136</f>
        <v/>
      </c>
      <c r="F53" s="18">
        <f>'P0-3_Scorecard'!M136</f>
        <v/>
      </c>
      <c r="G53" s="18">
        <f>'P0-3_Scorecard'!E136</f>
        <v/>
      </c>
      <c r="H53" s="18">
        <f>'P0-3_Scorecard'!H136</f>
        <v/>
      </c>
      <c r="I53" s="18">
        <f>IF(OR(D53="",E53=""),"INCOMPLETE",IF(AND(D53&gt;=70,E53&lt;60),"DEPENDENCY GAP",IF(AND(D53&gt;=70,G53&lt;F53),"REQUIRED MATURITY GAP","OK")))</f>
        <v/>
      </c>
      <c r="J53" s="18" t="inlineStr">
        <is>
          <t>Adaptation review</t>
        </is>
      </c>
    </row>
    <row r="54">
      <c r="A54" s="18" t="inlineStr">
        <is>
          <t>CD04</t>
        </is>
      </c>
      <c r="B54" s="18" t="inlineStr">
        <is>
          <t>D01-I03</t>
        </is>
      </c>
      <c r="C54" s="18" t="inlineStr">
        <is>
          <t>D11-I13</t>
        </is>
      </c>
      <c r="D54" s="18">
        <f>'P0-3_Scorecard'!L4</f>
        <v/>
      </c>
      <c r="E54" s="18">
        <f>'P0-3_Scorecard'!L143</f>
        <v/>
      </c>
      <c r="F54" s="18">
        <f>'P0-3_Scorecard'!M143</f>
        <v/>
      </c>
      <c r="G54" s="18">
        <f>'P0-3_Scorecard'!E143</f>
        <v/>
      </c>
      <c r="H54" s="18">
        <f>'P0-3_Scorecard'!H143</f>
        <v/>
      </c>
      <c r="I54" s="18">
        <f>IF(OR(D54="",E54=""),"INCOMPLETE",IF(AND(D54&gt;=70,E54&lt;60),"DEPENDENCY GAP",IF(AND(D54&gt;=70,G54&lt;F54),"REQUIRED MATURITY GAP","OK")))</f>
        <v/>
      </c>
      <c r="J54" s="18" t="inlineStr">
        <is>
          <t>Adaptation review</t>
        </is>
      </c>
    </row>
    <row r="55">
      <c r="A55" s="18" t="inlineStr">
        <is>
          <t>CD04</t>
        </is>
      </c>
      <c r="B55" s="18" t="inlineStr">
        <is>
          <t>D01-I03</t>
        </is>
      </c>
      <c r="C55" s="18" t="inlineStr">
        <is>
          <t>D11-I14</t>
        </is>
      </c>
      <c r="D55" s="18">
        <f>'P0-3_Scorecard'!L4</f>
        <v/>
      </c>
      <c r="E55" s="18">
        <f>'P0-3_Scorecard'!L144</f>
        <v/>
      </c>
      <c r="F55" s="18">
        <f>'P0-3_Scorecard'!M144</f>
        <v/>
      </c>
      <c r="G55" s="18">
        <f>'P0-3_Scorecard'!E144</f>
        <v/>
      </c>
      <c r="H55" s="18">
        <f>'P0-3_Scorecard'!H144</f>
        <v/>
      </c>
      <c r="I55" s="18">
        <f>IF(OR(D55="",E55=""),"INCOMPLETE",IF(AND(D55&gt;=70,E55&lt;60),"DEPENDENCY GAP",IF(AND(D55&gt;=70,G55&lt;F55),"REQUIRED MATURITY GAP","OK")))</f>
        <v/>
      </c>
      <c r="J55" s="18" t="inlineStr">
        <is>
          <t>Adaptation review</t>
        </is>
      </c>
    </row>
    <row r="56">
      <c r="A56" s="18" t="inlineStr">
        <is>
          <t>CD04</t>
        </is>
      </c>
      <c r="B56" s="18" t="inlineStr">
        <is>
          <t>D01-I10</t>
        </is>
      </c>
      <c r="C56" s="18" t="inlineStr">
        <is>
          <t>D11-I01</t>
        </is>
      </c>
      <c r="D56" s="18">
        <f>'P0-3_Scorecard'!L11</f>
        <v/>
      </c>
      <c r="E56" s="18">
        <f>'P0-3_Scorecard'!L131</f>
        <v/>
      </c>
      <c r="F56" s="18">
        <f>'P0-3_Scorecard'!M131</f>
        <v/>
      </c>
      <c r="G56" s="18">
        <f>'P0-3_Scorecard'!E131</f>
        <v/>
      </c>
      <c r="H56" s="18">
        <f>'P0-3_Scorecard'!H131</f>
        <v/>
      </c>
      <c r="I56" s="18">
        <f>IF(OR(D56="",E56=""),"INCOMPLETE",IF(AND(D56&gt;=70,E56&lt;60),"DEPENDENCY GAP",IF(AND(D56&gt;=70,G56&lt;F56),"REQUIRED MATURITY GAP","OK")))</f>
        <v/>
      </c>
      <c r="J56" s="18" t="inlineStr">
        <is>
          <t>Adaptation review</t>
        </is>
      </c>
    </row>
    <row r="57">
      <c r="A57" s="18" t="inlineStr">
        <is>
          <t>CD04</t>
        </is>
      </c>
      <c r="B57" s="18" t="inlineStr">
        <is>
          <t>D01-I10</t>
        </is>
      </c>
      <c r="C57" s="18" t="inlineStr">
        <is>
          <t>D11-I02</t>
        </is>
      </c>
      <c r="D57" s="18">
        <f>'P0-3_Scorecard'!L11</f>
        <v/>
      </c>
      <c r="E57" s="18">
        <f>'P0-3_Scorecard'!L132</f>
        <v/>
      </c>
      <c r="F57" s="18">
        <f>'P0-3_Scorecard'!M132</f>
        <v/>
      </c>
      <c r="G57" s="18">
        <f>'P0-3_Scorecard'!E132</f>
        <v/>
      </c>
      <c r="H57" s="18">
        <f>'P0-3_Scorecard'!H132</f>
        <v/>
      </c>
      <c r="I57" s="18">
        <f>IF(OR(D57="",E57=""),"INCOMPLETE",IF(AND(D57&gt;=70,E57&lt;60),"DEPENDENCY GAP",IF(AND(D57&gt;=70,G57&lt;F57),"REQUIRED MATURITY GAP","OK")))</f>
        <v/>
      </c>
      <c r="J57" s="18" t="inlineStr">
        <is>
          <t>Adaptation review</t>
        </is>
      </c>
    </row>
    <row r="58">
      <c r="A58" s="18" t="inlineStr">
        <is>
          <t>CD04</t>
        </is>
      </c>
      <c r="B58" s="18" t="inlineStr">
        <is>
          <t>D01-I10</t>
        </is>
      </c>
      <c r="C58" s="18" t="inlineStr">
        <is>
          <t>D11-I06</t>
        </is>
      </c>
      <c r="D58" s="18">
        <f>'P0-3_Scorecard'!L11</f>
        <v/>
      </c>
      <c r="E58" s="18">
        <f>'P0-3_Scorecard'!L136</f>
        <v/>
      </c>
      <c r="F58" s="18">
        <f>'P0-3_Scorecard'!M136</f>
        <v/>
      </c>
      <c r="G58" s="18">
        <f>'P0-3_Scorecard'!E136</f>
        <v/>
      </c>
      <c r="H58" s="18">
        <f>'P0-3_Scorecard'!H136</f>
        <v/>
      </c>
      <c r="I58" s="18">
        <f>IF(OR(D58="",E58=""),"INCOMPLETE",IF(AND(D58&gt;=70,E58&lt;60),"DEPENDENCY GAP",IF(AND(D58&gt;=70,G58&lt;F58),"REQUIRED MATURITY GAP","OK")))</f>
        <v/>
      </c>
      <c r="J58" s="18" t="inlineStr">
        <is>
          <t>Adaptation review</t>
        </is>
      </c>
    </row>
    <row r="59">
      <c r="A59" s="18" t="inlineStr">
        <is>
          <t>CD04</t>
        </is>
      </c>
      <c r="B59" s="18" t="inlineStr">
        <is>
          <t>D01-I10</t>
        </is>
      </c>
      <c r="C59" s="18" t="inlineStr">
        <is>
          <t>D11-I13</t>
        </is>
      </c>
      <c r="D59" s="18">
        <f>'P0-3_Scorecard'!L11</f>
        <v/>
      </c>
      <c r="E59" s="18">
        <f>'P0-3_Scorecard'!L143</f>
        <v/>
      </c>
      <c r="F59" s="18">
        <f>'P0-3_Scorecard'!M143</f>
        <v/>
      </c>
      <c r="G59" s="18">
        <f>'P0-3_Scorecard'!E143</f>
        <v/>
      </c>
      <c r="H59" s="18">
        <f>'P0-3_Scorecard'!H143</f>
        <v/>
      </c>
      <c r="I59" s="18">
        <f>IF(OR(D59="",E59=""),"INCOMPLETE",IF(AND(D59&gt;=70,E59&lt;60),"DEPENDENCY GAP",IF(AND(D59&gt;=70,G59&lt;F59),"REQUIRED MATURITY GAP","OK")))</f>
        <v/>
      </c>
      <c r="J59" s="18" t="inlineStr">
        <is>
          <t>Adaptation review</t>
        </is>
      </c>
    </row>
    <row r="60">
      <c r="A60" s="18" t="inlineStr">
        <is>
          <t>CD04</t>
        </is>
      </c>
      <c r="B60" s="18" t="inlineStr">
        <is>
          <t>D01-I10</t>
        </is>
      </c>
      <c r="C60" s="18" t="inlineStr">
        <is>
          <t>D11-I14</t>
        </is>
      </c>
      <c r="D60" s="18">
        <f>'P0-3_Scorecard'!L11</f>
        <v/>
      </c>
      <c r="E60" s="18">
        <f>'P0-3_Scorecard'!L144</f>
        <v/>
      </c>
      <c r="F60" s="18">
        <f>'P0-3_Scorecard'!M144</f>
        <v/>
      </c>
      <c r="G60" s="18">
        <f>'P0-3_Scorecard'!E144</f>
        <v/>
      </c>
      <c r="H60" s="18">
        <f>'P0-3_Scorecard'!H144</f>
        <v/>
      </c>
      <c r="I60" s="18">
        <f>IF(OR(D60="",E60=""),"INCOMPLETE",IF(AND(D60&gt;=70,E60&lt;60),"DEPENDENCY GAP",IF(AND(D60&gt;=70,G60&lt;F60),"REQUIRED MATURITY GAP","OK")))</f>
        <v/>
      </c>
      <c r="J60" s="18" t="inlineStr">
        <is>
          <t>Adaptation review</t>
        </is>
      </c>
    </row>
    <row r="61">
      <c r="A61" s="18" t="inlineStr">
        <is>
          <t>CD05</t>
        </is>
      </c>
      <c r="B61" s="18" t="inlineStr">
        <is>
          <t>D02-I05</t>
        </is>
      </c>
      <c r="C61" s="18" t="inlineStr">
        <is>
          <t>D07-I01</t>
        </is>
      </c>
      <c r="D61" s="18">
        <f>'P0-3_Scorecard'!L16</f>
        <v/>
      </c>
      <c r="E61" s="18">
        <f>'P0-3_Scorecard'!L81</f>
        <v/>
      </c>
      <c r="F61" s="18">
        <f>'P0-3_Scorecard'!M81</f>
        <v/>
      </c>
      <c r="G61" s="18">
        <f>'P0-3_Scorecard'!E81</f>
        <v/>
      </c>
      <c r="H61" s="18">
        <f>'P0-3_Scorecard'!H81</f>
        <v/>
      </c>
      <c r="I61" s="18">
        <f>IF(OR(D61="",E61=""),"INCOMPLETE",IF(AND(D61&gt;=70,E61&lt;60),"DEPENDENCY GAP",IF(AND(D61&gt;=70,G61&lt;F61),"REQUIRED MATURITY GAP","OK")))</f>
        <v/>
      </c>
      <c r="J61" s="18" t="inlineStr">
        <is>
          <t>Assessment architecture review</t>
        </is>
      </c>
    </row>
    <row r="62">
      <c r="A62" s="18" t="inlineStr">
        <is>
          <t>CD05</t>
        </is>
      </c>
      <c r="B62" s="18" t="inlineStr">
        <is>
          <t>D02-I05</t>
        </is>
      </c>
      <c r="C62" s="18" t="inlineStr">
        <is>
          <t>D07-I04</t>
        </is>
      </c>
      <c r="D62" s="18">
        <f>'P0-3_Scorecard'!L16</f>
        <v/>
      </c>
      <c r="E62" s="18">
        <f>'P0-3_Scorecard'!L84</f>
        <v/>
      </c>
      <c r="F62" s="18">
        <f>'P0-3_Scorecard'!M84</f>
        <v/>
      </c>
      <c r="G62" s="18">
        <f>'P0-3_Scorecard'!E84</f>
        <v/>
      </c>
      <c r="H62" s="18">
        <f>'P0-3_Scorecard'!H84</f>
        <v/>
      </c>
      <c r="I62" s="18">
        <f>IF(OR(D62="",E62=""),"INCOMPLETE",IF(AND(D62&gt;=70,E62&lt;60),"DEPENDENCY GAP",IF(AND(D62&gt;=70,G62&lt;F62),"REQUIRED MATURITY GAP","OK")))</f>
        <v/>
      </c>
      <c r="J62" s="18" t="inlineStr">
        <is>
          <t>Assessment architecture review</t>
        </is>
      </c>
    </row>
    <row r="63">
      <c r="A63" s="18" t="inlineStr">
        <is>
          <t>CD05</t>
        </is>
      </c>
      <c r="B63" s="18" t="inlineStr">
        <is>
          <t>D02-I05</t>
        </is>
      </c>
      <c r="C63" s="18" t="inlineStr">
        <is>
          <t>D07-I05</t>
        </is>
      </c>
      <c r="D63" s="18">
        <f>'P0-3_Scorecard'!L16</f>
        <v/>
      </c>
      <c r="E63" s="18">
        <f>'P0-3_Scorecard'!L85</f>
        <v/>
      </c>
      <c r="F63" s="18">
        <f>'P0-3_Scorecard'!M85</f>
        <v/>
      </c>
      <c r="G63" s="18">
        <f>'P0-3_Scorecard'!E85</f>
        <v/>
      </c>
      <c r="H63" s="18">
        <f>'P0-3_Scorecard'!H85</f>
        <v/>
      </c>
      <c r="I63" s="18">
        <f>IF(OR(D63="",E63=""),"INCOMPLETE",IF(AND(D63&gt;=70,E63&lt;60),"DEPENDENCY GAP",IF(AND(D63&gt;=70,G63&lt;F63),"REQUIRED MATURITY GAP","OK")))</f>
        <v/>
      </c>
      <c r="J63" s="18" t="inlineStr">
        <is>
          <t>Assessment architecture review</t>
        </is>
      </c>
    </row>
    <row r="64">
      <c r="A64" s="18" t="inlineStr">
        <is>
          <t>CD05</t>
        </is>
      </c>
      <c r="B64" s="18" t="inlineStr">
        <is>
          <t>D02-I05</t>
        </is>
      </c>
      <c r="C64" s="18" t="inlineStr">
        <is>
          <t>D07-I10</t>
        </is>
      </c>
      <c r="D64" s="18">
        <f>'P0-3_Scorecard'!L16</f>
        <v/>
      </c>
      <c r="E64" s="18">
        <f>'P0-3_Scorecard'!L90</f>
        <v/>
      </c>
      <c r="F64" s="18">
        <f>'P0-3_Scorecard'!M90</f>
        <v/>
      </c>
      <c r="G64" s="18">
        <f>'P0-3_Scorecard'!E90</f>
        <v/>
      </c>
      <c r="H64" s="18">
        <f>'P0-3_Scorecard'!H90</f>
        <v/>
      </c>
      <c r="I64" s="18">
        <f>IF(OR(D64="",E64=""),"INCOMPLETE",IF(AND(D64&gt;=70,E64&lt;60),"DEPENDENCY GAP",IF(AND(D64&gt;=70,G64&lt;F64),"REQUIRED MATURITY GAP","OK")))</f>
        <v/>
      </c>
      <c r="J64" s="18" t="inlineStr">
        <is>
          <t>Assessment architecture review</t>
        </is>
      </c>
    </row>
    <row r="65">
      <c r="A65" s="18" t="inlineStr">
        <is>
          <t>CD05</t>
        </is>
      </c>
      <c r="B65" s="18" t="inlineStr">
        <is>
          <t>D02-I05</t>
        </is>
      </c>
      <c r="C65" s="18" t="inlineStr">
        <is>
          <t>D07-I12</t>
        </is>
      </c>
      <c r="D65" s="18">
        <f>'P0-3_Scorecard'!L16</f>
        <v/>
      </c>
      <c r="E65" s="18">
        <f>'P0-3_Scorecard'!L92</f>
        <v/>
      </c>
      <c r="F65" s="18">
        <f>'P0-3_Scorecard'!M92</f>
        <v/>
      </c>
      <c r="G65" s="18">
        <f>'P0-3_Scorecard'!E92</f>
        <v/>
      </c>
      <c r="H65" s="18">
        <f>'P0-3_Scorecard'!H92</f>
        <v/>
      </c>
      <c r="I65" s="18">
        <f>IF(OR(D65="",E65=""),"INCOMPLETE",IF(AND(D65&gt;=70,E65&lt;60),"DEPENDENCY GAP",IF(AND(D65&gt;=70,G65&lt;F65),"REQUIRED MATURITY GAP","OK")))</f>
        <v/>
      </c>
      <c r="J65" s="18" t="inlineStr">
        <is>
          <t>Assessment architecture review</t>
        </is>
      </c>
    </row>
    <row r="66">
      <c r="A66" s="18" t="inlineStr">
        <is>
          <t>CD05</t>
        </is>
      </c>
      <c r="B66" s="18" t="inlineStr">
        <is>
          <t>D02-I06</t>
        </is>
      </c>
      <c r="C66" s="18" t="inlineStr">
        <is>
          <t>D07-I01</t>
        </is>
      </c>
      <c r="D66" s="18">
        <f>'P0-3_Scorecard'!L17</f>
        <v/>
      </c>
      <c r="E66" s="18">
        <f>'P0-3_Scorecard'!L81</f>
        <v/>
      </c>
      <c r="F66" s="18">
        <f>'P0-3_Scorecard'!M81</f>
        <v/>
      </c>
      <c r="G66" s="18">
        <f>'P0-3_Scorecard'!E81</f>
        <v/>
      </c>
      <c r="H66" s="18">
        <f>'P0-3_Scorecard'!H81</f>
        <v/>
      </c>
      <c r="I66" s="18">
        <f>IF(OR(D66="",E66=""),"INCOMPLETE",IF(AND(D66&gt;=70,E66&lt;60),"DEPENDENCY GAP",IF(AND(D66&gt;=70,G66&lt;F66),"REQUIRED MATURITY GAP","OK")))</f>
        <v/>
      </c>
      <c r="J66" s="18" t="inlineStr">
        <is>
          <t>Assessment architecture review</t>
        </is>
      </c>
    </row>
    <row r="67">
      <c r="A67" s="18" t="inlineStr">
        <is>
          <t>CD05</t>
        </is>
      </c>
      <c r="B67" s="18" t="inlineStr">
        <is>
          <t>D02-I06</t>
        </is>
      </c>
      <c r="C67" s="18" t="inlineStr">
        <is>
          <t>D07-I04</t>
        </is>
      </c>
      <c r="D67" s="18">
        <f>'P0-3_Scorecard'!L17</f>
        <v/>
      </c>
      <c r="E67" s="18">
        <f>'P0-3_Scorecard'!L84</f>
        <v/>
      </c>
      <c r="F67" s="18">
        <f>'P0-3_Scorecard'!M84</f>
        <v/>
      </c>
      <c r="G67" s="18">
        <f>'P0-3_Scorecard'!E84</f>
        <v/>
      </c>
      <c r="H67" s="18">
        <f>'P0-3_Scorecard'!H84</f>
        <v/>
      </c>
      <c r="I67" s="18">
        <f>IF(OR(D67="",E67=""),"INCOMPLETE",IF(AND(D67&gt;=70,E67&lt;60),"DEPENDENCY GAP",IF(AND(D67&gt;=70,G67&lt;F67),"REQUIRED MATURITY GAP","OK")))</f>
        <v/>
      </c>
      <c r="J67" s="18" t="inlineStr">
        <is>
          <t>Assessment architecture review</t>
        </is>
      </c>
    </row>
    <row r="68">
      <c r="A68" s="18" t="inlineStr">
        <is>
          <t>CD05</t>
        </is>
      </c>
      <c r="B68" s="18" t="inlineStr">
        <is>
          <t>D02-I06</t>
        </is>
      </c>
      <c r="C68" s="18" t="inlineStr">
        <is>
          <t>D07-I05</t>
        </is>
      </c>
      <c r="D68" s="18">
        <f>'P0-3_Scorecard'!L17</f>
        <v/>
      </c>
      <c r="E68" s="18">
        <f>'P0-3_Scorecard'!L85</f>
        <v/>
      </c>
      <c r="F68" s="18">
        <f>'P0-3_Scorecard'!M85</f>
        <v/>
      </c>
      <c r="G68" s="18">
        <f>'P0-3_Scorecard'!E85</f>
        <v/>
      </c>
      <c r="H68" s="18">
        <f>'P0-3_Scorecard'!H85</f>
        <v/>
      </c>
      <c r="I68" s="18">
        <f>IF(OR(D68="",E68=""),"INCOMPLETE",IF(AND(D68&gt;=70,E68&lt;60),"DEPENDENCY GAP",IF(AND(D68&gt;=70,G68&lt;F68),"REQUIRED MATURITY GAP","OK")))</f>
        <v/>
      </c>
      <c r="J68" s="18" t="inlineStr">
        <is>
          <t>Assessment architecture review</t>
        </is>
      </c>
    </row>
    <row r="69">
      <c r="A69" s="18" t="inlineStr">
        <is>
          <t>CD05</t>
        </is>
      </c>
      <c r="B69" s="18" t="inlineStr">
        <is>
          <t>D02-I06</t>
        </is>
      </c>
      <c r="C69" s="18" t="inlineStr">
        <is>
          <t>D07-I10</t>
        </is>
      </c>
      <c r="D69" s="18">
        <f>'P0-3_Scorecard'!L17</f>
        <v/>
      </c>
      <c r="E69" s="18">
        <f>'P0-3_Scorecard'!L90</f>
        <v/>
      </c>
      <c r="F69" s="18">
        <f>'P0-3_Scorecard'!M90</f>
        <v/>
      </c>
      <c r="G69" s="18">
        <f>'P0-3_Scorecard'!E90</f>
        <v/>
      </c>
      <c r="H69" s="18">
        <f>'P0-3_Scorecard'!H90</f>
        <v/>
      </c>
      <c r="I69" s="18">
        <f>IF(OR(D69="",E69=""),"INCOMPLETE",IF(AND(D69&gt;=70,E69&lt;60),"DEPENDENCY GAP",IF(AND(D69&gt;=70,G69&lt;F69),"REQUIRED MATURITY GAP","OK")))</f>
        <v/>
      </c>
      <c r="J69" s="18" t="inlineStr">
        <is>
          <t>Assessment architecture review</t>
        </is>
      </c>
    </row>
    <row r="70">
      <c r="A70" s="18" t="inlineStr">
        <is>
          <t>CD05</t>
        </is>
      </c>
      <c r="B70" s="18" t="inlineStr">
        <is>
          <t>D02-I06</t>
        </is>
      </c>
      <c r="C70" s="18" t="inlineStr">
        <is>
          <t>D07-I12</t>
        </is>
      </c>
      <c r="D70" s="18">
        <f>'P0-3_Scorecard'!L17</f>
        <v/>
      </c>
      <c r="E70" s="18">
        <f>'P0-3_Scorecard'!L92</f>
        <v/>
      </c>
      <c r="F70" s="18">
        <f>'P0-3_Scorecard'!M92</f>
        <v/>
      </c>
      <c r="G70" s="18">
        <f>'P0-3_Scorecard'!E92</f>
        <v/>
      </c>
      <c r="H70" s="18">
        <f>'P0-3_Scorecard'!H92</f>
        <v/>
      </c>
      <c r="I70" s="18">
        <f>IF(OR(D70="",E70=""),"INCOMPLETE",IF(AND(D70&gt;=70,E70&lt;60),"DEPENDENCY GAP",IF(AND(D70&gt;=70,G70&lt;F70),"REQUIRED MATURITY GAP","OK")))</f>
        <v/>
      </c>
      <c r="J70" s="18" t="inlineStr">
        <is>
          <t>Assessment architecture review</t>
        </is>
      </c>
    </row>
    <row r="71">
      <c r="A71" s="18" t="inlineStr">
        <is>
          <t>CD05</t>
        </is>
      </c>
      <c r="B71" s="18" t="inlineStr">
        <is>
          <t>D02-I07</t>
        </is>
      </c>
      <c r="C71" s="18" t="inlineStr">
        <is>
          <t>D07-I01</t>
        </is>
      </c>
      <c r="D71" s="18">
        <f>'P0-3_Scorecard'!L18</f>
        <v/>
      </c>
      <c r="E71" s="18">
        <f>'P0-3_Scorecard'!L81</f>
        <v/>
      </c>
      <c r="F71" s="18">
        <f>'P0-3_Scorecard'!M81</f>
        <v/>
      </c>
      <c r="G71" s="18">
        <f>'P0-3_Scorecard'!E81</f>
        <v/>
      </c>
      <c r="H71" s="18">
        <f>'P0-3_Scorecard'!H81</f>
        <v/>
      </c>
      <c r="I71" s="18">
        <f>IF(OR(D71="",E71=""),"INCOMPLETE",IF(AND(D71&gt;=70,E71&lt;60),"DEPENDENCY GAP",IF(AND(D71&gt;=70,G71&lt;F71),"REQUIRED MATURITY GAP","OK")))</f>
        <v/>
      </c>
      <c r="J71" s="18" t="inlineStr">
        <is>
          <t>Assessment architecture review</t>
        </is>
      </c>
    </row>
    <row r="72">
      <c r="A72" s="18" t="inlineStr">
        <is>
          <t>CD05</t>
        </is>
      </c>
      <c r="B72" s="18" t="inlineStr">
        <is>
          <t>D02-I07</t>
        </is>
      </c>
      <c r="C72" s="18" t="inlineStr">
        <is>
          <t>D07-I04</t>
        </is>
      </c>
      <c r="D72" s="18">
        <f>'P0-3_Scorecard'!L18</f>
        <v/>
      </c>
      <c r="E72" s="18">
        <f>'P0-3_Scorecard'!L84</f>
        <v/>
      </c>
      <c r="F72" s="18">
        <f>'P0-3_Scorecard'!M84</f>
        <v/>
      </c>
      <c r="G72" s="18">
        <f>'P0-3_Scorecard'!E84</f>
        <v/>
      </c>
      <c r="H72" s="18">
        <f>'P0-3_Scorecard'!H84</f>
        <v/>
      </c>
      <c r="I72" s="18">
        <f>IF(OR(D72="",E72=""),"INCOMPLETE",IF(AND(D72&gt;=70,E72&lt;60),"DEPENDENCY GAP",IF(AND(D72&gt;=70,G72&lt;F72),"REQUIRED MATURITY GAP","OK")))</f>
        <v/>
      </c>
      <c r="J72" s="18" t="inlineStr">
        <is>
          <t>Assessment architecture review</t>
        </is>
      </c>
    </row>
    <row r="73">
      <c r="A73" s="18" t="inlineStr">
        <is>
          <t>CD05</t>
        </is>
      </c>
      <c r="B73" s="18" t="inlineStr">
        <is>
          <t>D02-I07</t>
        </is>
      </c>
      <c r="C73" s="18" t="inlineStr">
        <is>
          <t>D07-I05</t>
        </is>
      </c>
      <c r="D73" s="18">
        <f>'P0-3_Scorecard'!L18</f>
        <v/>
      </c>
      <c r="E73" s="18">
        <f>'P0-3_Scorecard'!L85</f>
        <v/>
      </c>
      <c r="F73" s="18">
        <f>'P0-3_Scorecard'!M85</f>
        <v/>
      </c>
      <c r="G73" s="18">
        <f>'P0-3_Scorecard'!E85</f>
        <v/>
      </c>
      <c r="H73" s="18">
        <f>'P0-3_Scorecard'!H85</f>
        <v/>
      </c>
      <c r="I73" s="18">
        <f>IF(OR(D73="",E73=""),"INCOMPLETE",IF(AND(D73&gt;=70,E73&lt;60),"DEPENDENCY GAP",IF(AND(D73&gt;=70,G73&lt;F73),"REQUIRED MATURITY GAP","OK")))</f>
        <v/>
      </c>
      <c r="J73" s="18" t="inlineStr">
        <is>
          <t>Assessment architecture review</t>
        </is>
      </c>
    </row>
    <row r="74">
      <c r="A74" s="18" t="inlineStr">
        <is>
          <t>CD05</t>
        </is>
      </c>
      <c r="B74" s="18" t="inlineStr">
        <is>
          <t>D02-I07</t>
        </is>
      </c>
      <c r="C74" s="18" t="inlineStr">
        <is>
          <t>D07-I10</t>
        </is>
      </c>
      <c r="D74" s="18">
        <f>'P0-3_Scorecard'!L18</f>
        <v/>
      </c>
      <c r="E74" s="18">
        <f>'P0-3_Scorecard'!L90</f>
        <v/>
      </c>
      <c r="F74" s="18">
        <f>'P0-3_Scorecard'!M90</f>
        <v/>
      </c>
      <c r="G74" s="18">
        <f>'P0-3_Scorecard'!E90</f>
        <v/>
      </c>
      <c r="H74" s="18">
        <f>'P0-3_Scorecard'!H90</f>
        <v/>
      </c>
      <c r="I74" s="18">
        <f>IF(OR(D74="",E74=""),"INCOMPLETE",IF(AND(D74&gt;=70,E74&lt;60),"DEPENDENCY GAP",IF(AND(D74&gt;=70,G74&lt;F74),"REQUIRED MATURITY GAP","OK")))</f>
        <v/>
      </c>
      <c r="J74" s="18" t="inlineStr">
        <is>
          <t>Assessment architecture review</t>
        </is>
      </c>
    </row>
    <row r="75">
      <c r="A75" s="18" t="inlineStr">
        <is>
          <t>CD05</t>
        </is>
      </c>
      <c r="B75" s="18" t="inlineStr">
        <is>
          <t>D02-I07</t>
        </is>
      </c>
      <c r="C75" s="18" t="inlineStr">
        <is>
          <t>D07-I12</t>
        </is>
      </c>
      <c r="D75" s="18">
        <f>'P0-3_Scorecard'!L18</f>
        <v/>
      </c>
      <c r="E75" s="18">
        <f>'P0-3_Scorecard'!L92</f>
        <v/>
      </c>
      <c r="F75" s="18">
        <f>'P0-3_Scorecard'!M92</f>
        <v/>
      </c>
      <c r="G75" s="18">
        <f>'P0-3_Scorecard'!E92</f>
        <v/>
      </c>
      <c r="H75" s="18">
        <f>'P0-3_Scorecard'!H92</f>
        <v/>
      </c>
      <c r="I75" s="18">
        <f>IF(OR(D75="",E75=""),"INCOMPLETE",IF(AND(D75&gt;=70,E75&lt;60),"DEPENDENCY GAP",IF(AND(D75&gt;=70,G75&lt;F75),"REQUIRED MATURITY GAP","OK")))</f>
        <v/>
      </c>
      <c r="J75" s="18" t="inlineStr">
        <is>
          <t>Assessment architecture review</t>
        </is>
      </c>
    </row>
    <row r="76">
      <c r="A76" s="18" t="inlineStr">
        <is>
          <t>CD05</t>
        </is>
      </c>
      <c r="B76" s="18" t="inlineStr">
        <is>
          <t>D02-I09</t>
        </is>
      </c>
      <c r="C76" s="18" t="inlineStr">
        <is>
          <t>D07-I01</t>
        </is>
      </c>
      <c r="D76" s="18">
        <f>'P0-3_Scorecard'!L20</f>
        <v/>
      </c>
      <c r="E76" s="18">
        <f>'P0-3_Scorecard'!L81</f>
        <v/>
      </c>
      <c r="F76" s="18">
        <f>'P0-3_Scorecard'!M81</f>
        <v/>
      </c>
      <c r="G76" s="18">
        <f>'P0-3_Scorecard'!E81</f>
        <v/>
      </c>
      <c r="H76" s="18">
        <f>'P0-3_Scorecard'!H81</f>
        <v/>
      </c>
      <c r="I76" s="18">
        <f>IF(OR(D76="",E76=""),"INCOMPLETE",IF(AND(D76&gt;=70,E76&lt;60),"DEPENDENCY GAP",IF(AND(D76&gt;=70,G76&lt;F76),"REQUIRED MATURITY GAP","OK")))</f>
        <v/>
      </c>
      <c r="J76" s="18" t="inlineStr">
        <is>
          <t>Assessment architecture review</t>
        </is>
      </c>
    </row>
    <row r="77">
      <c r="A77" s="18" t="inlineStr">
        <is>
          <t>CD05</t>
        </is>
      </c>
      <c r="B77" s="18" t="inlineStr">
        <is>
          <t>D02-I09</t>
        </is>
      </c>
      <c r="C77" s="18" t="inlineStr">
        <is>
          <t>D07-I04</t>
        </is>
      </c>
      <c r="D77" s="18">
        <f>'P0-3_Scorecard'!L20</f>
        <v/>
      </c>
      <c r="E77" s="18">
        <f>'P0-3_Scorecard'!L84</f>
        <v/>
      </c>
      <c r="F77" s="18">
        <f>'P0-3_Scorecard'!M84</f>
        <v/>
      </c>
      <c r="G77" s="18">
        <f>'P0-3_Scorecard'!E84</f>
        <v/>
      </c>
      <c r="H77" s="18">
        <f>'P0-3_Scorecard'!H84</f>
        <v/>
      </c>
      <c r="I77" s="18">
        <f>IF(OR(D77="",E77=""),"INCOMPLETE",IF(AND(D77&gt;=70,E77&lt;60),"DEPENDENCY GAP",IF(AND(D77&gt;=70,G77&lt;F77),"REQUIRED MATURITY GAP","OK")))</f>
        <v/>
      </c>
      <c r="J77" s="18" t="inlineStr">
        <is>
          <t>Assessment architecture review</t>
        </is>
      </c>
    </row>
    <row r="78">
      <c r="A78" s="18" t="inlineStr">
        <is>
          <t>CD05</t>
        </is>
      </c>
      <c r="B78" s="18" t="inlineStr">
        <is>
          <t>D02-I09</t>
        </is>
      </c>
      <c r="C78" s="18" t="inlineStr">
        <is>
          <t>D07-I05</t>
        </is>
      </c>
      <c r="D78" s="18">
        <f>'P0-3_Scorecard'!L20</f>
        <v/>
      </c>
      <c r="E78" s="18">
        <f>'P0-3_Scorecard'!L85</f>
        <v/>
      </c>
      <c r="F78" s="18">
        <f>'P0-3_Scorecard'!M85</f>
        <v/>
      </c>
      <c r="G78" s="18">
        <f>'P0-3_Scorecard'!E85</f>
        <v/>
      </c>
      <c r="H78" s="18">
        <f>'P0-3_Scorecard'!H85</f>
        <v/>
      </c>
      <c r="I78" s="18">
        <f>IF(OR(D78="",E78=""),"INCOMPLETE",IF(AND(D78&gt;=70,E78&lt;60),"DEPENDENCY GAP",IF(AND(D78&gt;=70,G78&lt;F78),"REQUIRED MATURITY GAP","OK")))</f>
        <v/>
      </c>
      <c r="J78" s="18" t="inlineStr">
        <is>
          <t>Assessment architecture review</t>
        </is>
      </c>
    </row>
    <row r="79">
      <c r="A79" s="18" t="inlineStr">
        <is>
          <t>CD05</t>
        </is>
      </c>
      <c r="B79" s="18" t="inlineStr">
        <is>
          <t>D02-I09</t>
        </is>
      </c>
      <c r="C79" s="18" t="inlineStr">
        <is>
          <t>D07-I10</t>
        </is>
      </c>
      <c r="D79" s="18">
        <f>'P0-3_Scorecard'!L20</f>
        <v/>
      </c>
      <c r="E79" s="18">
        <f>'P0-3_Scorecard'!L90</f>
        <v/>
      </c>
      <c r="F79" s="18">
        <f>'P0-3_Scorecard'!M90</f>
        <v/>
      </c>
      <c r="G79" s="18">
        <f>'P0-3_Scorecard'!E90</f>
        <v/>
      </c>
      <c r="H79" s="18">
        <f>'P0-3_Scorecard'!H90</f>
        <v/>
      </c>
      <c r="I79" s="18">
        <f>IF(OR(D79="",E79=""),"INCOMPLETE",IF(AND(D79&gt;=70,E79&lt;60),"DEPENDENCY GAP",IF(AND(D79&gt;=70,G79&lt;F79),"REQUIRED MATURITY GAP","OK")))</f>
        <v/>
      </c>
      <c r="J79" s="18" t="inlineStr">
        <is>
          <t>Assessment architecture review</t>
        </is>
      </c>
    </row>
    <row r="80">
      <c r="A80" s="18" t="inlineStr">
        <is>
          <t>CD05</t>
        </is>
      </c>
      <c r="B80" s="18" t="inlineStr">
        <is>
          <t>D02-I09</t>
        </is>
      </c>
      <c r="C80" s="18" t="inlineStr">
        <is>
          <t>D07-I12</t>
        </is>
      </c>
      <c r="D80" s="18">
        <f>'P0-3_Scorecard'!L20</f>
        <v/>
      </c>
      <c r="E80" s="18">
        <f>'P0-3_Scorecard'!L92</f>
        <v/>
      </c>
      <c r="F80" s="18">
        <f>'P0-3_Scorecard'!M92</f>
        <v/>
      </c>
      <c r="G80" s="18">
        <f>'P0-3_Scorecard'!E92</f>
        <v/>
      </c>
      <c r="H80" s="18">
        <f>'P0-3_Scorecard'!H92</f>
        <v/>
      </c>
      <c r="I80" s="18">
        <f>IF(OR(D80="",E80=""),"INCOMPLETE",IF(AND(D80&gt;=70,E80&lt;60),"DEPENDENCY GAP",IF(AND(D80&gt;=70,G80&lt;F80),"REQUIRED MATURITY GAP","OK")))</f>
        <v/>
      </c>
      <c r="J80" s="18" t="inlineStr">
        <is>
          <t>Assessment architecture review</t>
        </is>
      </c>
    </row>
    <row r="81">
      <c r="A81" s="18" t="inlineStr">
        <is>
          <t>CD06</t>
        </is>
      </c>
      <c r="B81" s="18" t="inlineStr">
        <is>
          <t>D02-I03</t>
        </is>
      </c>
      <c r="C81" s="18" t="inlineStr">
        <is>
          <t>D08-I02</t>
        </is>
      </c>
      <c r="D81" s="18">
        <f>'P0-3_Scorecard'!L14</f>
        <v/>
      </c>
      <c r="E81" s="18">
        <f>'P0-3_Scorecard'!L94</f>
        <v/>
      </c>
      <c r="F81" s="18">
        <f>'P0-3_Scorecard'!M94</f>
        <v/>
      </c>
      <c r="G81" s="18">
        <f>'P0-3_Scorecard'!E94</f>
        <v/>
      </c>
      <c r="H81" s="18">
        <f>'P0-3_Scorecard'!H94</f>
        <v/>
      </c>
      <c r="I81" s="18">
        <f>IF(OR(D81="",E81=""),"INCOMPLETE",IF(AND(D81&gt;=70,E81&lt;60),"DEPENDENCY GAP",IF(AND(D81&gt;=70,G81&lt;F81),"REQUIRED MATURITY GAP","OK")))</f>
        <v/>
      </c>
      <c r="J81" s="18" t="inlineStr">
        <is>
          <t>Digital control review</t>
        </is>
      </c>
    </row>
    <row r="82">
      <c r="A82" s="18" t="inlineStr">
        <is>
          <t>CD06</t>
        </is>
      </c>
      <c r="B82" s="18" t="inlineStr">
        <is>
          <t>D02-I03</t>
        </is>
      </c>
      <c r="C82" s="18" t="inlineStr">
        <is>
          <t>D08-I03</t>
        </is>
      </c>
      <c r="D82" s="18">
        <f>'P0-3_Scorecard'!L14</f>
        <v/>
      </c>
      <c r="E82" s="18">
        <f>'P0-3_Scorecard'!L95</f>
        <v/>
      </c>
      <c r="F82" s="18">
        <f>'P0-3_Scorecard'!M95</f>
        <v/>
      </c>
      <c r="G82" s="18">
        <f>'P0-3_Scorecard'!E95</f>
        <v/>
      </c>
      <c r="H82" s="18">
        <f>'P0-3_Scorecard'!H95</f>
        <v/>
      </c>
      <c r="I82" s="18">
        <f>IF(OR(D82="",E82=""),"INCOMPLETE",IF(AND(D82&gt;=70,E82&lt;60),"DEPENDENCY GAP",IF(AND(D82&gt;=70,G82&lt;F82),"REQUIRED MATURITY GAP","OK")))</f>
        <v/>
      </c>
      <c r="J82" s="18" t="inlineStr">
        <is>
          <t>Digital control review</t>
        </is>
      </c>
    </row>
    <row r="83">
      <c r="A83" s="18" t="inlineStr">
        <is>
          <t>CD06</t>
        </is>
      </c>
      <c r="B83" s="18" t="inlineStr">
        <is>
          <t>D02-I03</t>
        </is>
      </c>
      <c r="C83" s="18" t="inlineStr">
        <is>
          <t>D08-I07</t>
        </is>
      </c>
      <c r="D83" s="18">
        <f>'P0-3_Scorecard'!L14</f>
        <v/>
      </c>
      <c r="E83" s="18">
        <f>'P0-3_Scorecard'!L99</f>
        <v/>
      </c>
      <c r="F83" s="18">
        <f>'P0-3_Scorecard'!M99</f>
        <v/>
      </c>
      <c r="G83" s="18">
        <f>'P0-3_Scorecard'!E99</f>
        <v/>
      </c>
      <c r="H83" s="18">
        <f>'P0-3_Scorecard'!H99</f>
        <v/>
      </c>
      <c r="I83" s="18">
        <f>IF(OR(D83="",E83=""),"INCOMPLETE",IF(AND(D83&gt;=70,E83&lt;60),"DEPENDENCY GAP",IF(AND(D83&gt;=70,G83&lt;F83),"REQUIRED MATURITY GAP","OK")))</f>
        <v/>
      </c>
      <c r="J83" s="18" t="inlineStr">
        <is>
          <t>Digital control review</t>
        </is>
      </c>
    </row>
    <row r="84">
      <c r="A84" s="18" t="inlineStr">
        <is>
          <t>CD06</t>
        </is>
      </c>
      <c r="B84" s="18" t="inlineStr">
        <is>
          <t>D02-I03</t>
        </is>
      </c>
      <c r="C84" s="18" t="inlineStr">
        <is>
          <t>D08-I08</t>
        </is>
      </c>
      <c r="D84" s="18">
        <f>'P0-3_Scorecard'!L14</f>
        <v/>
      </c>
      <c r="E84" s="18">
        <f>'P0-3_Scorecard'!L100</f>
        <v/>
      </c>
      <c r="F84" s="18">
        <f>'P0-3_Scorecard'!M100</f>
        <v/>
      </c>
      <c r="G84" s="18">
        <f>'P0-3_Scorecard'!E100</f>
        <v/>
      </c>
      <c r="H84" s="18">
        <f>'P0-3_Scorecard'!H100</f>
        <v/>
      </c>
      <c r="I84" s="18">
        <f>IF(OR(D84="",E84=""),"INCOMPLETE",IF(AND(D84&gt;=70,E84&lt;60),"DEPENDENCY GAP",IF(AND(D84&gt;=70,G84&lt;F84),"REQUIRED MATURITY GAP","OK")))</f>
        <v/>
      </c>
      <c r="J84" s="18" t="inlineStr">
        <is>
          <t>Digital control review</t>
        </is>
      </c>
    </row>
    <row r="85">
      <c r="A85" s="18" t="inlineStr">
        <is>
          <t>CD06</t>
        </is>
      </c>
      <c r="B85" s="18" t="inlineStr">
        <is>
          <t>D02-I03</t>
        </is>
      </c>
      <c r="C85" s="18" t="inlineStr">
        <is>
          <t>D08-I10</t>
        </is>
      </c>
      <c r="D85" s="18">
        <f>'P0-3_Scorecard'!L14</f>
        <v/>
      </c>
      <c r="E85" s="18">
        <f>'P0-3_Scorecard'!L102</f>
        <v/>
      </c>
      <c r="F85" s="18">
        <f>'P0-3_Scorecard'!M102</f>
        <v/>
      </c>
      <c r="G85" s="18">
        <f>'P0-3_Scorecard'!E102</f>
        <v/>
      </c>
      <c r="H85" s="18">
        <f>'P0-3_Scorecard'!H102</f>
        <v/>
      </c>
      <c r="I85" s="18">
        <f>IF(OR(D85="",E85=""),"INCOMPLETE",IF(AND(D85&gt;=70,E85&lt;60),"DEPENDENCY GAP",IF(AND(D85&gt;=70,G85&lt;F85),"REQUIRED MATURITY GAP","OK")))</f>
        <v/>
      </c>
      <c r="J85" s="18" t="inlineStr">
        <is>
          <t>Digital control review</t>
        </is>
      </c>
    </row>
    <row r="86">
      <c r="A86" s="18" t="inlineStr">
        <is>
          <t>CD06</t>
        </is>
      </c>
      <c r="B86" s="18" t="inlineStr">
        <is>
          <t>D02-I04</t>
        </is>
      </c>
      <c r="C86" s="18" t="inlineStr">
        <is>
          <t>D08-I02</t>
        </is>
      </c>
      <c r="D86" s="18">
        <f>'P0-3_Scorecard'!L15</f>
        <v/>
      </c>
      <c r="E86" s="18">
        <f>'P0-3_Scorecard'!L94</f>
        <v/>
      </c>
      <c r="F86" s="18">
        <f>'P0-3_Scorecard'!M94</f>
        <v/>
      </c>
      <c r="G86" s="18">
        <f>'P0-3_Scorecard'!E94</f>
        <v/>
      </c>
      <c r="H86" s="18">
        <f>'P0-3_Scorecard'!H94</f>
        <v/>
      </c>
      <c r="I86" s="18">
        <f>IF(OR(D86="",E86=""),"INCOMPLETE",IF(AND(D86&gt;=70,E86&lt;60),"DEPENDENCY GAP",IF(AND(D86&gt;=70,G86&lt;F86),"REQUIRED MATURITY GAP","OK")))</f>
        <v/>
      </c>
      <c r="J86" s="18" t="inlineStr">
        <is>
          <t>Digital control review</t>
        </is>
      </c>
    </row>
    <row r="87">
      <c r="A87" s="18" t="inlineStr">
        <is>
          <t>CD06</t>
        </is>
      </c>
      <c r="B87" s="18" t="inlineStr">
        <is>
          <t>D02-I04</t>
        </is>
      </c>
      <c r="C87" s="18" t="inlineStr">
        <is>
          <t>D08-I03</t>
        </is>
      </c>
      <c r="D87" s="18">
        <f>'P0-3_Scorecard'!L15</f>
        <v/>
      </c>
      <c r="E87" s="18">
        <f>'P0-3_Scorecard'!L95</f>
        <v/>
      </c>
      <c r="F87" s="18">
        <f>'P0-3_Scorecard'!M95</f>
        <v/>
      </c>
      <c r="G87" s="18">
        <f>'P0-3_Scorecard'!E95</f>
        <v/>
      </c>
      <c r="H87" s="18">
        <f>'P0-3_Scorecard'!H95</f>
        <v/>
      </c>
      <c r="I87" s="18">
        <f>IF(OR(D87="",E87=""),"INCOMPLETE",IF(AND(D87&gt;=70,E87&lt;60),"DEPENDENCY GAP",IF(AND(D87&gt;=70,G87&lt;F87),"REQUIRED MATURITY GAP","OK")))</f>
        <v/>
      </c>
      <c r="J87" s="18" t="inlineStr">
        <is>
          <t>Digital control review</t>
        </is>
      </c>
    </row>
    <row r="88">
      <c r="A88" s="18" t="inlineStr">
        <is>
          <t>CD06</t>
        </is>
      </c>
      <c r="B88" s="18" t="inlineStr">
        <is>
          <t>D02-I04</t>
        </is>
      </c>
      <c r="C88" s="18" t="inlineStr">
        <is>
          <t>D08-I07</t>
        </is>
      </c>
      <c r="D88" s="18">
        <f>'P0-3_Scorecard'!L15</f>
        <v/>
      </c>
      <c r="E88" s="18">
        <f>'P0-3_Scorecard'!L99</f>
        <v/>
      </c>
      <c r="F88" s="18">
        <f>'P0-3_Scorecard'!M99</f>
        <v/>
      </c>
      <c r="G88" s="18">
        <f>'P0-3_Scorecard'!E99</f>
        <v/>
      </c>
      <c r="H88" s="18">
        <f>'P0-3_Scorecard'!H99</f>
        <v/>
      </c>
      <c r="I88" s="18">
        <f>IF(OR(D88="",E88=""),"INCOMPLETE",IF(AND(D88&gt;=70,E88&lt;60),"DEPENDENCY GAP",IF(AND(D88&gt;=70,G88&lt;F88),"REQUIRED MATURITY GAP","OK")))</f>
        <v/>
      </c>
      <c r="J88" s="18" t="inlineStr">
        <is>
          <t>Digital control review</t>
        </is>
      </c>
    </row>
    <row r="89">
      <c r="A89" s="18" t="inlineStr">
        <is>
          <t>CD06</t>
        </is>
      </c>
      <c r="B89" s="18" t="inlineStr">
        <is>
          <t>D02-I04</t>
        </is>
      </c>
      <c r="C89" s="18" t="inlineStr">
        <is>
          <t>D08-I08</t>
        </is>
      </c>
      <c r="D89" s="18">
        <f>'P0-3_Scorecard'!L15</f>
        <v/>
      </c>
      <c r="E89" s="18">
        <f>'P0-3_Scorecard'!L100</f>
        <v/>
      </c>
      <c r="F89" s="18">
        <f>'P0-3_Scorecard'!M100</f>
        <v/>
      </c>
      <c r="G89" s="18">
        <f>'P0-3_Scorecard'!E100</f>
        <v/>
      </c>
      <c r="H89" s="18">
        <f>'P0-3_Scorecard'!H100</f>
        <v/>
      </c>
      <c r="I89" s="18">
        <f>IF(OR(D89="",E89=""),"INCOMPLETE",IF(AND(D89&gt;=70,E89&lt;60),"DEPENDENCY GAP",IF(AND(D89&gt;=70,G89&lt;F89),"REQUIRED MATURITY GAP","OK")))</f>
        <v/>
      </c>
      <c r="J89" s="18" t="inlineStr">
        <is>
          <t>Digital control review</t>
        </is>
      </c>
    </row>
    <row r="90">
      <c r="A90" s="18" t="inlineStr">
        <is>
          <t>CD06</t>
        </is>
      </c>
      <c r="B90" s="18" t="inlineStr">
        <is>
          <t>D02-I04</t>
        </is>
      </c>
      <c r="C90" s="18" t="inlineStr">
        <is>
          <t>D08-I10</t>
        </is>
      </c>
      <c r="D90" s="18">
        <f>'P0-3_Scorecard'!L15</f>
        <v/>
      </c>
      <c r="E90" s="18">
        <f>'P0-3_Scorecard'!L102</f>
        <v/>
      </c>
      <c r="F90" s="18">
        <f>'P0-3_Scorecard'!M102</f>
        <v/>
      </c>
      <c r="G90" s="18">
        <f>'P0-3_Scorecard'!E102</f>
        <v/>
      </c>
      <c r="H90" s="18">
        <f>'P0-3_Scorecard'!H102</f>
        <v/>
      </c>
      <c r="I90" s="18">
        <f>IF(OR(D90="",E90=""),"INCOMPLETE",IF(AND(D90&gt;=70,E90&lt;60),"DEPENDENCY GAP",IF(AND(D90&gt;=70,G90&lt;F90),"REQUIRED MATURITY GAP","OK")))</f>
        <v/>
      </c>
      <c r="J90" s="18" t="inlineStr">
        <is>
          <t>Digital control review</t>
        </is>
      </c>
    </row>
    <row r="91">
      <c r="A91" s="18" t="inlineStr">
        <is>
          <t>CD06</t>
        </is>
      </c>
      <c r="B91" s="18" t="inlineStr">
        <is>
          <t>D02-I07</t>
        </is>
      </c>
      <c r="C91" s="18" t="inlineStr">
        <is>
          <t>D08-I02</t>
        </is>
      </c>
      <c r="D91" s="18">
        <f>'P0-3_Scorecard'!L18</f>
        <v/>
      </c>
      <c r="E91" s="18">
        <f>'P0-3_Scorecard'!L94</f>
        <v/>
      </c>
      <c r="F91" s="18">
        <f>'P0-3_Scorecard'!M94</f>
        <v/>
      </c>
      <c r="G91" s="18">
        <f>'P0-3_Scorecard'!E94</f>
        <v/>
      </c>
      <c r="H91" s="18">
        <f>'P0-3_Scorecard'!H94</f>
        <v/>
      </c>
      <c r="I91" s="18">
        <f>IF(OR(D91="",E91=""),"INCOMPLETE",IF(AND(D91&gt;=70,E91&lt;60),"DEPENDENCY GAP",IF(AND(D91&gt;=70,G91&lt;F91),"REQUIRED MATURITY GAP","OK")))</f>
        <v/>
      </c>
      <c r="J91" s="18" t="inlineStr">
        <is>
          <t>Digital control review</t>
        </is>
      </c>
    </row>
    <row r="92">
      <c r="A92" s="18" t="inlineStr">
        <is>
          <t>CD06</t>
        </is>
      </c>
      <c r="B92" s="18" t="inlineStr">
        <is>
          <t>D02-I07</t>
        </is>
      </c>
      <c r="C92" s="18" t="inlineStr">
        <is>
          <t>D08-I03</t>
        </is>
      </c>
      <c r="D92" s="18">
        <f>'P0-3_Scorecard'!L18</f>
        <v/>
      </c>
      <c r="E92" s="18">
        <f>'P0-3_Scorecard'!L95</f>
        <v/>
      </c>
      <c r="F92" s="18">
        <f>'P0-3_Scorecard'!M95</f>
        <v/>
      </c>
      <c r="G92" s="18">
        <f>'P0-3_Scorecard'!E95</f>
        <v/>
      </c>
      <c r="H92" s="18">
        <f>'P0-3_Scorecard'!H95</f>
        <v/>
      </c>
      <c r="I92" s="18">
        <f>IF(OR(D92="",E92=""),"INCOMPLETE",IF(AND(D92&gt;=70,E92&lt;60),"DEPENDENCY GAP",IF(AND(D92&gt;=70,G92&lt;F92),"REQUIRED MATURITY GAP","OK")))</f>
        <v/>
      </c>
      <c r="J92" s="18" t="inlineStr">
        <is>
          <t>Digital control review</t>
        </is>
      </c>
    </row>
    <row r="93">
      <c r="A93" s="18" t="inlineStr">
        <is>
          <t>CD06</t>
        </is>
      </c>
      <c r="B93" s="18" t="inlineStr">
        <is>
          <t>D02-I07</t>
        </is>
      </c>
      <c r="C93" s="18" t="inlineStr">
        <is>
          <t>D08-I07</t>
        </is>
      </c>
      <c r="D93" s="18">
        <f>'P0-3_Scorecard'!L18</f>
        <v/>
      </c>
      <c r="E93" s="18">
        <f>'P0-3_Scorecard'!L99</f>
        <v/>
      </c>
      <c r="F93" s="18">
        <f>'P0-3_Scorecard'!M99</f>
        <v/>
      </c>
      <c r="G93" s="18">
        <f>'P0-3_Scorecard'!E99</f>
        <v/>
      </c>
      <c r="H93" s="18">
        <f>'P0-3_Scorecard'!H99</f>
        <v/>
      </c>
      <c r="I93" s="18">
        <f>IF(OR(D93="",E93=""),"INCOMPLETE",IF(AND(D93&gt;=70,E93&lt;60),"DEPENDENCY GAP",IF(AND(D93&gt;=70,G93&lt;F93),"REQUIRED MATURITY GAP","OK")))</f>
        <v/>
      </c>
      <c r="J93" s="18" t="inlineStr">
        <is>
          <t>Digital control review</t>
        </is>
      </c>
    </row>
    <row r="94">
      <c r="A94" s="18" t="inlineStr">
        <is>
          <t>CD06</t>
        </is>
      </c>
      <c r="B94" s="18" t="inlineStr">
        <is>
          <t>D02-I07</t>
        </is>
      </c>
      <c r="C94" s="18" t="inlineStr">
        <is>
          <t>D08-I08</t>
        </is>
      </c>
      <c r="D94" s="18">
        <f>'P0-3_Scorecard'!L18</f>
        <v/>
      </c>
      <c r="E94" s="18">
        <f>'P0-3_Scorecard'!L100</f>
        <v/>
      </c>
      <c r="F94" s="18">
        <f>'P0-3_Scorecard'!M100</f>
        <v/>
      </c>
      <c r="G94" s="18">
        <f>'P0-3_Scorecard'!E100</f>
        <v/>
      </c>
      <c r="H94" s="18">
        <f>'P0-3_Scorecard'!H100</f>
        <v/>
      </c>
      <c r="I94" s="18">
        <f>IF(OR(D94="",E94=""),"INCOMPLETE",IF(AND(D94&gt;=70,E94&lt;60),"DEPENDENCY GAP",IF(AND(D94&gt;=70,G94&lt;F94),"REQUIRED MATURITY GAP","OK")))</f>
        <v/>
      </c>
      <c r="J94" s="18" t="inlineStr">
        <is>
          <t>Digital control review</t>
        </is>
      </c>
    </row>
    <row r="95">
      <c r="A95" s="18" t="inlineStr">
        <is>
          <t>CD06</t>
        </is>
      </c>
      <c r="B95" s="18" t="inlineStr">
        <is>
          <t>D02-I07</t>
        </is>
      </c>
      <c r="C95" s="18" t="inlineStr">
        <is>
          <t>D08-I10</t>
        </is>
      </c>
      <c r="D95" s="18">
        <f>'P0-3_Scorecard'!L18</f>
        <v/>
      </c>
      <c r="E95" s="18">
        <f>'P0-3_Scorecard'!L102</f>
        <v/>
      </c>
      <c r="F95" s="18">
        <f>'P0-3_Scorecard'!M102</f>
        <v/>
      </c>
      <c r="G95" s="18">
        <f>'P0-3_Scorecard'!E102</f>
        <v/>
      </c>
      <c r="H95" s="18">
        <f>'P0-3_Scorecard'!H102</f>
        <v/>
      </c>
      <c r="I95" s="18">
        <f>IF(OR(D95="",E95=""),"INCOMPLETE",IF(AND(D95&gt;=70,E95&lt;60),"DEPENDENCY GAP",IF(AND(D95&gt;=70,G95&lt;F95),"REQUIRED MATURITY GAP","OK")))</f>
        <v/>
      </c>
      <c r="J95" s="18" t="inlineStr">
        <is>
          <t>Digital control review</t>
        </is>
      </c>
    </row>
    <row r="96">
      <c r="A96" s="18" t="inlineStr">
        <is>
          <t>CD06</t>
        </is>
      </c>
      <c r="B96" s="18" t="inlineStr">
        <is>
          <t>D02-I10</t>
        </is>
      </c>
      <c r="C96" s="18" t="inlineStr">
        <is>
          <t>D08-I02</t>
        </is>
      </c>
      <c r="D96" s="18">
        <f>'P0-3_Scorecard'!L21</f>
        <v/>
      </c>
      <c r="E96" s="18">
        <f>'P0-3_Scorecard'!L94</f>
        <v/>
      </c>
      <c r="F96" s="18">
        <f>'P0-3_Scorecard'!M94</f>
        <v/>
      </c>
      <c r="G96" s="18">
        <f>'P0-3_Scorecard'!E94</f>
        <v/>
      </c>
      <c r="H96" s="18">
        <f>'P0-3_Scorecard'!H94</f>
        <v/>
      </c>
      <c r="I96" s="18">
        <f>IF(OR(D96="",E96=""),"INCOMPLETE",IF(AND(D96&gt;=70,E96&lt;60),"DEPENDENCY GAP",IF(AND(D96&gt;=70,G96&lt;F96),"REQUIRED MATURITY GAP","OK")))</f>
        <v/>
      </c>
      <c r="J96" s="18" t="inlineStr">
        <is>
          <t>Digital control review</t>
        </is>
      </c>
    </row>
    <row r="97">
      <c r="A97" s="18" t="inlineStr">
        <is>
          <t>CD06</t>
        </is>
      </c>
      <c r="B97" s="18" t="inlineStr">
        <is>
          <t>D02-I10</t>
        </is>
      </c>
      <c r="C97" s="18" t="inlineStr">
        <is>
          <t>D08-I03</t>
        </is>
      </c>
      <c r="D97" s="18">
        <f>'P0-3_Scorecard'!L21</f>
        <v/>
      </c>
      <c r="E97" s="18">
        <f>'P0-3_Scorecard'!L95</f>
        <v/>
      </c>
      <c r="F97" s="18">
        <f>'P0-3_Scorecard'!M95</f>
        <v/>
      </c>
      <c r="G97" s="18">
        <f>'P0-3_Scorecard'!E95</f>
        <v/>
      </c>
      <c r="H97" s="18">
        <f>'P0-3_Scorecard'!H95</f>
        <v/>
      </c>
      <c r="I97" s="18">
        <f>IF(OR(D97="",E97=""),"INCOMPLETE",IF(AND(D97&gt;=70,E97&lt;60),"DEPENDENCY GAP",IF(AND(D97&gt;=70,G97&lt;F97),"REQUIRED MATURITY GAP","OK")))</f>
        <v/>
      </c>
      <c r="J97" s="18" t="inlineStr">
        <is>
          <t>Digital control review</t>
        </is>
      </c>
    </row>
    <row r="98">
      <c r="A98" s="18" t="inlineStr">
        <is>
          <t>CD06</t>
        </is>
      </c>
      <c r="B98" s="18" t="inlineStr">
        <is>
          <t>D02-I10</t>
        </is>
      </c>
      <c r="C98" s="18" t="inlineStr">
        <is>
          <t>D08-I07</t>
        </is>
      </c>
      <c r="D98" s="18">
        <f>'P0-3_Scorecard'!L21</f>
        <v/>
      </c>
      <c r="E98" s="18">
        <f>'P0-3_Scorecard'!L99</f>
        <v/>
      </c>
      <c r="F98" s="18">
        <f>'P0-3_Scorecard'!M99</f>
        <v/>
      </c>
      <c r="G98" s="18">
        <f>'P0-3_Scorecard'!E99</f>
        <v/>
      </c>
      <c r="H98" s="18">
        <f>'P0-3_Scorecard'!H99</f>
        <v/>
      </c>
      <c r="I98" s="18">
        <f>IF(OR(D98="",E98=""),"INCOMPLETE",IF(AND(D98&gt;=70,E98&lt;60),"DEPENDENCY GAP",IF(AND(D98&gt;=70,G98&lt;F98),"REQUIRED MATURITY GAP","OK")))</f>
        <v/>
      </c>
      <c r="J98" s="18" t="inlineStr">
        <is>
          <t>Digital control review</t>
        </is>
      </c>
    </row>
    <row r="99">
      <c r="A99" s="18" t="inlineStr">
        <is>
          <t>CD06</t>
        </is>
      </c>
      <c r="B99" s="18" t="inlineStr">
        <is>
          <t>D02-I10</t>
        </is>
      </c>
      <c r="C99" s="18" t="inlineStr">
        <is>
          <t>D08-I08</t>
        </is>
      </c>
      <c r="D99" s="18">
        <f>'P0-3_Scorecard'!L21</f>
        <v/>
      </c>
      <c r="E99" s="18">
        <f>'P0-3_Scorecard'!L100</f>
        <v/>
      </c>
      <c r="F99" s="18">
        <f>'P0-3_Scorecard'!M100</f>
        <v/>
      </c>
      <c r="G99" s="18">
        <f>'P0-3_Scorecard'!E100</f>
        <v/>
      </c>
      <c r="H99" s="18">
        <f>'P0-3_Scorecard'!H100</f>
        <v/>
      </c>
      <c r="I99" s="18">
        <f>IF(OR(D99="",E99=""),"INCOMPLETE",IF(AND(D99&gt;=70,E99&lt;60),"DEPENDENCY GAP",IF(AND(D99&gt;=70,G99&lt;F99),"REQUIRED MATURITY GAP","OK")))</f>
        <v/>
      </c>
      <c r="J99" s="18" t="inlineStr">
        <is>
          <t>Digital control review</t>
        </is>
      </c>
    </row>
    <row r="100">
      <c r="A100" s="18" t="inlineStr">
        <is>
          <t>CD06</t>
        </is>
      </c>
      <c r="B100" s="18" t="inlineStr">
        <is>
          <t>D02-I10</t>
        </is>
      </c>
      <c r="C100" s="18" t="inlineStr">
        <is>
          <t>D08-I10</t>
        </is>
      </c>
      <c r="D100" s="18">
        <f>'P0-3_Scorecard'!L21</f>
        <v/>
      </c>
      <c r="E100" s="18">
        <f>'P0-3_Scorecard'!L102</f>
        <v/>
      </c>
      <c r="F100" s="18">
        <f>'P0-3_Scorecard'!M102</f>
        <v/>
      </c>
      <c r="G100" s="18">
        <f>'P0-3_Scorecard'!E102</f>
        <v/>
      </c>
      <c r="H100" s="18">
        <f>'P0-3_Scorecard'!H102</f>
        <v/>
      </c>
      <c r="I100" s="18">
        <f>IF(OR(D100="",E100=""),"INCOMPLETE",IF(AND(D100&gt;=70,E100&lt;60),"DEPENDENCY GAP",IF(AND(D100&gt;=70,G100&lt;F100),"REQUIRED MATURITY GAP","OK")))</f>
        <v/>
      </c>
      <c r="J100" s="18" t="inlineStr">
        <is>
          <t>Digital control review</t>
        </is>
      </c>
    </row>
    <row r="101">
      <c r="A101" s="18" t="inlineStr">
        <is>
          <t>CD07</t>
        </is>
      </c>
      <c r="B101" s="18" t="inlineStr">
        <is>
          <t>D02-I12</t>
        </is>
      </c>
      <c r="C101" s="18" t="inlineStr">
        <is>
          <t>D10-I04</t>
        </is>
      </c>
      <c r="D101" s="18">
        <f>'P0-3_Scorecard'!L23</f>
        <v/>
      </c>
      <c r="E101" s="18">
        <f>'P0-3_Scorecard'!L120</f>
        <v/>
      </c>
      <c r="F101" s="18">
        <f>'P0-3_Scorecard'!M120</f>
        <v/>
      </c>
      <c r="G101" s="18">
        <f>'P0-3_Scorecard'!E120</f>
        <v/>
      </c>
      <c r="H101" s="18">
        <f>'P0-3_Scorecard'!H120</f>
        <v/>
      </c>
      <c r="I101" s="18">
        <f>IF(OR(D101="",E101=""),"INCOMPLETE",IF(AND(D101&gt;=70,E101&lt;60),"DEPENDENCY GAP",IF(AND(D101&gt;=70,G101&lt;F101),"REQUIRED MATURITY GAP","OK")))</f>
        <v/>
      </c>
      <c r="J101" s="18" t="inlineStr">
        <is>
          <t>Research governance review</t>
        </is>
      </c>
    </row>
    <row r="102">
      <c r="A102" s="18" t="inlineStr">
        <is>
          <t>CD07</t>
        </is>
      </c>
      <c r="B102" s="18" t="inlineStr">
        <is>
          <t>D02-I12</t>
        </is>
      </c>
      <c r="C102" s="18" t="inlineStr">
        <is>
          <t>D10-I06</t>
        </is>
      </c>
      <c r="D102" s="18">
        <f>'P0-3_Scorecard'!L23</f>
        <v/>
      </c>
      <c r="E102" s="18">
        <f>'P0-3_Scorecard'!L122</f>
        <v/>
      </c>
      <c r="F102" s="18">
        <f>'P0-3_Scorecard'!M122</f>
        <v/>
      </c>
      <c r="G102" s="18">
        <f>'P0-3_Scorecard'!E122</f>
        <v/>
      </c>
      <c r="H102" s="18">
        <f>'P0-3_Scorecard'!H122</f>
        <v/>
      </c>
      <c r="I102" s="18">
        <f>IF(OR(D102="",E102=""),"INCOMPLETE",IF(AND(D102&gt;=70,E102&lt;60),"DEPENDENCY GAP",IF(AND(D102&gt;=70,G102&lt;F102),"REQUIRED MATURITY GAP","OK")))</f>
        <v/>
      </c>
      <c r="J102" s="18" t="inlineStr">
        <is>
          <t>Research governance review</t>
        </is>
      </c>
    </row>
    <row r="103">
      <c r="A103" s="18" t="inlineStr">
        <is>
          <t>CD07</t>
        </is>
      </c>
      <c r="B103" s="18" t="inlineStr">
        <is>
          <t>D02-I12</t>
        </is>
      </c>
      <c r="C103" s="18" t="inlineStr">
        <is>
          <t>D10-I12</t>
        </is>
      </c>
      <c r="D103" s="18">
        <f>'P0-3_Scorecard'!L23</f>
        <v/>
      </c>
      <c r="E103" s="18">
        <f>'P0-3_Scorecard'!L128</f>
        <v/>
      </c>
      <c r="F103" s="18">
        <f>'P0-3_Scorecard'!M128</f>
        <v/>
      </c>
      <c r="G103" s="18">
        <f>'P0-3_Scorecard'!E128</f>
        <v/>
      </c>
      <c r="H103" s="18">
        <f>'P0-3_Scorecard'!H128</f>
        <v/>
      </c>
      <c r="I103" s="18">
        <f>IF(OR(D103="",E103=""),"INCOMPLETE",IF(AND(D103&gt;=70,E103&lt;60),"DEPENDENCY GAP",IF(AND(D103&gt;=70,G103&lt;F103),"REQUIRED MATURITY GAP","OK")))</f>
        <v/>
      </c>
      <c r="J103" s="18" t="inlineStr">
        <is>
          <t>Research governance review</t>
        </is>
      </c>
    </row>
    <row r="104">
      <c r="A104" s="18" t="inlineStr">
        <is>
          <t>CD07</t>
        </is>
      </c>
      <c r="B104" s="18" t="inlineStr">
        <is>
          <t>D02-I12</t>
        </is>
      </c>
      <c r="C104" s="18" t="inlineStr">
        <is>
          <t>D10-I13</t>
        </is>
      </c>
      <c r="D104" s="18">
        <f>'P0-3_Scorecard'!L23</f>
        <v/>
      </c>
      <c r="E104" s="18">
        <f>'P0-3_Scorecard'!L129</f>
        <v/>
      </c>
      <c r="F104" s="18">
        <f>'P0-3_Scorecard'!M129</f>
        <v/>
      </c>
      <c r="G104" s="18">
        <f>'P0-3_Scorecard'!E129</f>
        <v/>
      </c>
      <c r="H104" s="18">
        <f>'P0-3_Scorecard'!H129</f>
        <v/>
      </c>
      <c r="I104" s="18">
        <f>IF(OR(D104="",E104=""),"INCOMPLETE",IF(AND(D104&gt;=70,E104&lt;60),"DEPENDENCY GAP",IF(AND(D104&gt;=70,G104&lt;F104),"REQUIRED MATURITY GAP","OK")))</f>
        <v/>
      </c>
      <c r="J104" s="18" t="inlineStr">
        <is>
          <t>Research governance review</t>
        </is>
      </c>
    </row>
    <row r="105">
      <c r="A105" s="18" t="inlineStr">
        <is>
          <t>CD07</t>
        </is>
      </c>
      <c r="B105" s="18" t="inlineStr">
        <is>
          <t>D02-I13</t>
        </is>
      </c>
      <c r="C105" s="18" t="inlineStr">
        <is>
          <t>D10-I04</t>
        </is>
      </c>
      <c r="D105" s="18">
        <f>'P0-3_Scorecard'!L24</f>
        <v/>
      </c>
      <c r="E105" s="18">
        <f>'P0-3_Scorecard'!L120</f>
        <v/>
      </c>
      <c r="F105" s="18">
        <f>'P0-3_Scorecard'!M120</f>
        <v/>
      </c>
      <c r="G105" s="18">
        <f>'P0-3_Scorecard'!E120</f>
        <v/>
      </c>
      <c r="H105" s="18">
        <f>'P0-3_Scorecard'!H120</f>
        <v/>
      </c>
      <c r="I105" s="18">
        <f>IF(OR(D105="",E105=""),"INCOMPLETE",IF(AND(D105&gt;=70,E105&lt;60),"DEPENDENCY GAP",IF(AND(D105&gt;=70,G105&lt;F105),"REQUIRED MATURITY GAP","OK")))</f>
        <v/>
      </c>
      <c r="J105" s="18" t="inlineStr">
        <is>
          <t>Research governance review</t>
        </is>
      </c>
    </row>
    <row r="106">
      <c r="A106" s="18" t="inlineStr">
        <is>
          <t>CD07</t>
        </is>
      </c>
      <c r="B106" s="18" t="inlineStr">
        <is>
          <t>D02-I13</t>
        </is>
      </c>
      <c r="C106" s="18" t="inlineStr">
        <is>
          <t>D10-I06</t>
        </is>
      </c>
      <c r="D106" s="18">
        <f>'P0-3_Scorecard'!L24</f>
        <v/>
      </c>
      <c r="E106" s="18">
        <f>'P0-3_Scorecard'!L122</f>
        <v/>
      </c>
      <c r="F106" s="18">
        <f>'P0-3_Scorecard'!M122</f>
        <v/>
      </c>
      <c r="G106" s="18">
        <f>'P0-3_Scorecard'!E122</f>
        <v/>
      </c>
      <c r="H106" s="18">
        <f>'P0-3_Scorecard'!H122</f>
        <v/>
      </c>
      <c r="I106" s="18">
        <f>IF(OR(D106="",E106=""),"INCOMPLETE",IF(AND(D106&gt;=70,E106&lt;60),"DEPENDENCY GAP",IF(AND(D106&gt;=70,G106&lt;F106),"REQUIRED MATURITY GAP","OK")))</f>
        <v/>
      </c>
      <c r="J106" s="18" t="inlineStr">
        <is>
          <t>Research governance review</t>
        </is>
      </c>
    </row>
    <row r="107">
      <c r="A107" s="18" t="inlineStr">
        <is>
          <t>CD07</t>
        </is>
      </c>
      <c r="B107" s="18" t="inlineStr">
        <is>
          <t>D02-I13</t>
        </is>
      </c>
      <c r="C107" s="18" t="inlineStr">
        <is>
          <t>D10-I12</t>
        </is>
      </c>
      <c r="D107" s="18">
        <f>'P0-3_Scorecard'!L24</f>
        <v/>
      </c>
      <c r="E107" s="18">
        <f>'P0-3_Scorecard'!L128</f>
        <v/>
      </c>
      <c r="F107" s="18">
        <f>'P0-3_Scorecard'!M128</f>
        <v/>
      </c>
      <c r="G107" s="18">
        <f>'P0-3_Scorecard'!E128</f>
        <v/>
      </c>
      <c r="H107" s="18">
        <f>'P0-3_Scorecard'!H128</f>
        <v/>
      </c>
      <c r="I107" s="18">
        <f>IF(OR(D107="",E107=""),"INCOMPLETE",IF(AND(D107&gt;=70,E107&lt;60),"DEPENDENCY GAP",IF(AND(D107&gt;=70,G107&lt;F107),"REQUIRED MATURITY GAP","OK")))</f>
        <v/>
      </c>
      <c r="J107" s="18" t="inlineStr">
        <is>
          <t>Research governance review</t>
        </is>
      </c>
    </row>
    <row r="108">
      <c r="A108" s="18" t="inlineStr">
        <is>
          <t>CD07</t>
        </is>
      </c>
      <c r="B108" s="18" t="inlineStr">
        <is>
          <t>D02-I13</t>
        </is>
      </c>
      <c r="C108" s="18" t="inlineStr">
        <is>
          <t>D10-I13</t>
        </is>
      </c>
      <c r="D108" s="18">
        <f>'P0-3_Scorecard'!L24</f>
        <v/>
      </c>
      <c r="E108" s="18">
        <f>'P0-3_Scorecard'!L129</f>
        <v/>
      </c>
      <c r="F108" s="18">
        <f>'P0-3_Scorecard'!M129</f>
        <v/>
      </c>
      <c r="G108" s="18">
        <f>'P0-3_Scorecard'!E129</f>
        <v/>
      </c>
      <c r="H108" s="18">
        <f>'P0-3_Scorecard'!H129</f>
        <v/>
      </c>
      <c r="I108" s="18">
        <f>IF(OR(D108="",E108=""),"INCOMPLETE",IF(AND(D108&gt;=70,E108&lt;60),"DEPENDENCY GAP",IF(AND(D108&gt;=70,G108&lt;F108),"REQUIRED MATURITY GAP","OK")))</f>
        <v/>
      </c>
      <c r="J108" s="18" t="inlineStr">
        <is>
          <t>Research governance review</t>
        </is>
      </c>
    </row>
    <row r="109">
      <c r="A109" s="18" t="inlineStr">
        <is>
          <t>CD07</t>
        </is>
      </c>
      <c r="B109" s="18" t="inlineStr">
        <is>
          <t>D02-I14</t>
        </is>
      </c>
      <c r="C109" s="18" t="inlineStr">
        <is>
          <t>D10-I04</t>
        </is>
      </c>
      <c r="D109" s="18">
        <f>'P0-3_Scorecard'!L25</f>
        <v/>
      </c>
      <c r="E109" s="18">
        <f>'P0-3_Scorecard'!L120</f>
        <v/>
      </c>
      <c r="F109" s="18">
        <f>'P0-3_Scorecard'!M120</f>
        <v/>
      </c>
      <c r="G109" s="18">
        <f>'P0-3_Scorecard'!E120</f>
        <v/>
      </c>
      <c r="H109" s="18">
        <f>'P0-3_Scorecard'!H120</f>
        <v/>
      </c>
      <c r="I109" s="18">
        <f>IF(OR(D109="",E109=""),"INCOMPLETE",IF(AND(D109&gt;=70,E109&lt;60),"DEPENDENCY GAP",IF(AND(D109&gt;=70,G109&lt;F109),"REQUIRED MATURITY GAP","OK")))</f>
        <v/>
      </c>
      <c r="J109" s="18" t="inlineStr">
        <is>
          <t>Research governance review</t>
        </is>
      </c>
    </row>
    <row r="110">
      <c r="A110" s="18" t="inlineStr">
        <is>
          <t>CD07</t>
        </is>
      </c>
      <c r="B110" s="18" t="inlineStr">
        <is>
          <t>D02-I14</t>
        </is>
      </c>
      <c r="C110" s="18" t="inlineStr">
        <is>
          <t>D10-I06</t>
        </is>
      </c>
      <c r="D110" s="18">
        <f>'P0-3_Scorecard'!L25</f>
        <v/>
      </c>
      <c r="E110" s="18">
        <f>'P0-3_Scorecard'!L122</f>
        <v/>
      </c>
      <c r="F110" s="18">
        <f>'P0-3_Scorecard'!M122</f>
        <v/>
      </c>
      <c r="G110" s="18">
        <f>'P0-3_Scorecard'!E122</f>
        <v/>
      </c>
      <c r="H110" s="18">
        <f>'P0-3_Scorecard'!H122</f>
        <v/>
      </c>
      <c r="I110" s="18">
        <f>IF(OR(D110="",E110=""),"INCOMPLETE",IF(AND(D110&gt;=70,E110&lt;60),"DEPENDENCY GAP",IF(AND(D110&gt;=70,G110&lt;F110),"REQUIRED MATURITY GAP","OK")))</f>
        <v/>
      </c>
      <c r="J110" s="18" t="inlineStr">
        <is>
          <t>Research governance review</t>
        </is>
      </c>
    </row>
    <row r="111">
      <c r="A111" s="18" t="inlineStr">
        <is>
          <t>CD07</t>
        </is>
      </c>
      <c r="B111" s="18" t="inlineStr">
        <is>
          <t>D02-I14</t>
        </is>
      </c>
      <c r="C111" s="18" t="inlineStr">
        <is>
          <t>D10-I12</t>
        </is>
      </c>
      <c r="D111" s="18">
        <f>'P0-3_Scorecard'!L25</f>
        <v/>
      </c>
      <c r="E111" s="18">
        <f>'P0-3_Scorecard'!L128</f>
        <v/>
      </c>
      <c r="F111" s="18">
        <f>'P0-3_Scorecard'!M128</f>
        <v/>
      </c>
      <c r="G111" s="18">
        <f>'P0-3_Scorecard'!E128</f>
        <v/>
      </c>
      <c r="H111" s="18">
        <f>'P0-3_Scorecard'!H128</f>
        <v/>
      </c>
      <c r="I111" s="18">
        <f>IF(OR(D111="",E111=""),"INCOMPLETE",IF(AND(D111&gt;=70,E111&lt;60),"DEPENDENCY GAP",IF(AND(D111&gt;=70,G111&lt;F111),"REQUIRED MATURITY GAP","OK")))</f>
        <v/>
      </c>
      <c r="J111" s="18" t="inlineStr">
        <is>
          <t>Research governance review</t>
        </is>
      </c>
    </row>
    <row r="112">
      <c r="A112" s="18" t="inlineStr">
        <is>
          <t>CD07</t>
        </is>
      </c>
      <c r="B112" s="18" t="inlineStr">
        <is>
          <t>D02-I14</t>
        </is>
      </c>
      <c r="C112" s="18" t="inlineStr">
        <is>
          <t>D10-I13</t>
        </is>
      </c>
      <c r="D112" s="18">
        <f>'P0-3_Scorecard'!L25</f>
        <v/>
      </c>
      <c r="E112" s="18">
        <f>'P0-3_Scorecard'!L129</f>
        <v/>
      </c>
      <c r="F112" s="18">
        <f>'P0-3_Scorecard'!M129</f>
        <v/>
      </c>
      <c r="G112" s="18">
        <f>'P0-3_Scorecard'!E129</f>
        <v/>
      </c>
      <c r="H112" s="18">
        <f>'P0-3_Scorecard'!H129</f>
        <v/>
      </c>
      <c r="I112" s="18">
        <f>IF(OR(D112="",E112=""),"INCOMPLETE",IF(AND(D112&gt;=70,E112&lt;60),"DEPENDENCY GAP",IF(AND(D112&gt;=70,G112&lt;F112),"REQUIRED MATURITY GAP","OK")))</f>
        <v/>
      </c>
      <c r="J112" s="18" t="inlineStr">
        <is>
          <t>Research governance review</t>
        </is>
      </c>
    </row>
    <row r="113">
      <c r="A113" s="18" t="inlineStr">
        <is>
          <t>CD08</t>
        </is>
      </c>
      <c r="B113" s="18" t="inlineStr">
        <is>
          <t>D03-I01</t>
        </is>
      </c>
      <c r="C113" s="18" t="inlineStr">
        <is>
          <t>D04-I02</t>
        </is>
      </c>
      <c r="D113" s="18">
        <f>'P0-3_Scorecard'!L26</f>
        <v/>
      </c>
      <c r="E113" s="18">
        <f>'P0-3_Scorecard'!L44</f>
        <v/>
      </c>
      <c r="F113" s="18">
        <f>'P0-3_Scorecard'!M44</f>
        <v/>
      </c>
      <c r="G113" s="18">
        <f>'P0-3_Scorecard'!E44</f>
        <v/>
      </c>
      <c r="H113" s="18">
        <f>'P0-3_Scorecard'!H44</f>
        <v/>
      </c>
      <c r="I113" s="18">
        <f>IF(OR(D113="",E113=""),"INCOMPLETE",IF(AND(D113&gt;=70,E113&lt;60),"DEPENDENCY GAP",IF(AND(D113&gt;=70,G113&lt;F113),"REQUIRED MATURITY GAP","OK")))</f>
        <v/>
      </c>
      <c r="J113" s="18" t="inlineStr">
        <is>
          <t>Curriculum mapping review</t>
        </is>
      </c>
    </row>
    <row r="114">
      <c r="A114" s="18" t="inlineStr">
        <is>
          <t>CD08</t>
        </is>
      </c>
      <c r="B114" s="18" t="inlineStr">
        <is>
          <t>D03-I01</t>
        </is>
      </c>
      <c r="C114" s="18" t="inlineStr">
        <is>
          <t>D04-I04</t>
        </is>
      </c>
      <c r="D114" s="18">
        <f>'P0-3_Scorecard'!L26</f>
        <v/>
      </c>
      <c r="E114" s="18">
        <f>'P0-3_Scorecard'!L46</f>
        <v/>
      </c>
      <c r="F114" s="18">
        <f>'P0-3_Scorecard'!M46</f>
        <v/>
      </c>
      <c r="G114" s="18">
        <f>'P0-3_Scorecard'!E46</f>
        <v/>
      </c>
      <c r="H114" s="18">
        <f>'P0-3_Scorecard'!H46</f>
        <v/>
      </c>
      <c r="I114" s="18">
        <f>IF(OR(D114="",E114=""),"INCOMPLETE",IF(AND(D114&gt;=70,E114&lt;60),"DEPENDENCY GAP",IF(AND(D114&gt;=70,G114&lt;F114),"REQUIRED MATURITY GAP","OK")))</f>
        <v/>
      </c>
      <c r="J114" s="18" t="inlineStr">
        <is>
          <t>Curriculum mapping review</t>
        </is>
      </c>
    </row>
    <row r="115">
      <c r="A115" s="18" t="inlineStr">
        <is>
          <t>CD08</t>
        </is>
      </c>
      <c r="B115" s="18" t="inlineStr">
        <is>
          <t>D03-I01</t>
        </is>
      </c>
      <c r="C115" s="18" t="inlineStr">
        <is>
          <t>D04-I07</t>
        </is>
      </c>
      <c r="D115" s="18">
        <f>'P0-3_Scorecard'!L26</f>
        <v/>
      </c>
      <c r="E115" s="18">
        <f>'P0-3_Scorecard'!L49</f>
        <v/>
      </c>
      <c r="F115" s="18">
        <f>'P0-3_Scorecard'!M49</f>
        <v/>
      </c>
      <c r="G115" s="18">
        <f>'P0-3_Scorecard'!E49</f>
        <v/>
      </c>
      <c r="H115" s="18">
        <f>'P0-3_Scorecard'!H49</f>
        <v/>
      </c>
      <c r="I115" s="18">
        <f>IF(OR(D115="",E115=""),"INCOMPLETE",IF(AND(D115&gt;=70,E115&lt;60),"DEPENDENCY GAP",IF(AND(D115&gt;=70,G115&lt;F115),"REQUIRED MATURITY GAP","OK")))</f>
        <v/>
      </c>
      <c r="J115" s="18" t="inlineStr">
        <is>
          <t>Curriculum mapping review</t>
        </is>
      </c>
    </row>
    <row r="116">
      <c r="A116" s="18" t="inlineStr">
        <is>
          <t>CD08</t>
        </is>
      </c>
      <c r="B116" s="18" t="inlineStr">
        <is>
          <t>D03-I01</t>
        </is>
      </c>
      <c r="C116" s="18" t="inlineStr">
        <is>
          <t>D04-I11</t>
        </is>
      </c>
      <c r="D116" s="18">
        <f>'P0-3_Scorecard'!L26</f>
        <v/>
      </c>
      <c r="E116" s="18">
        <f>'P0-3_Scorecard'!L53</f>
        <v/>
      </c>
      <c r="F116" s="18">
        <f>'P0-3_Scorecard'!M53</f>
        <v/>
      </c>
      <c r="G116" s="18">
        <f>'P0-3_Scorecard'!E53</f>
        <v/>
      </c>
      <c r="H116" s="18">
        <f>'P0-3_Scorecard'!H53</f>
        <v/>
      </c>
      <c r="I116" s="18">
        <f>IF(OR(D116="",E116=""),"INCOMPLETE",IF(AND(D116&gt;=70,E116&lt;60),"DEPENDENCY GAP",IF(AND(D116&gt;=70,G116&lt;F116),"REQUIRED MATURITY GAP","OK")))</f>
        <v/>
      </c>
      <c r="J116" s="18" t="inlineStr">
        <is>
          <t>Curriculum mapping review</t>
        </is>
      </c>
    </row>
    <row r="117">
      <c r="A117" s="18" t="inlineStr">
        <is>
          <t>CD08</t>
        </is>
      </c>
      <c r="B117" s="18" t="inlineStr">
        <is>
          <t>D03-I02</t>
        </is>
      </c>
      <c r="C117" s="18" t="inlineStr">
        <is>
          <t>D04-I02</t>
        </is>
      </c>
      <c r="D117" s="18">
        <f>'P0-3_Scorecard'!L27</f>
        <v/>
      </c>
      <c r="E117" s="18">
        <f>'P0-3_Scorecard'!L44</f>
        <v/>
      </c>
      <c r="F117" s="18">
        <f>'P0-3_Scorecard'!M44</f>
        <v/>
      </c>
      <c r="G117" s="18">
        <f>'P0-3_Scorecard'!E44</f>
        <v/>
      </c>
      <c r="H117" s="18">
        <f>'P0-3_Scorecard'!H44</f>
        <v/>
      </c>
      <c r="I117" s="18">
        <f>IF(OR(D117="",E117=""),"INCOMPLETE",IF(AND(D117&gt;=70,E117&lt;60),"DEPENDENCY GAP",IF(AND(D117&gt;=70,G117&lt;F117),"REQUIRED MATURITY GAP","OK")))</f>
        <v/>
      </c>
      <c r="J117" s="18" t="inlineStr">
        <is>
          <t>Curriculum mapping review</t>
        </is>
      </c>
    </row>
    <row r="118">
      <c r="A118" s="18" t="inlineStr">
        <is>
          <t>CD08</t>
        </is>
      </c>
      <c r="B118" s="18" t="inlineStr">
        <is>
          <t>D03-I02</t>
        </is>
      </c>
      <c r="C118" s="18" t="inlineStr">
        <is>
          <t>D04-I04</t>
        </is>
      </c>
      <c r="D118" s="18">
        <f>'P0-3_Scorecard'!L27</f>
        <v/>
      </c>
      <c r="E118" s="18">
        <f>'P0-3_Scorecard'!L46</f>
        <v/>
      </c>
      <c r="F118" s="18">
        <f>'P0-3_Scorecard'!M46</f>
        <v/>
      </c>
      <c r="G118" s="18">
        <f>'P0-3_Scorecard'!E46</f>
        <v/>
      </c>
      <c r="H118" s="18">
        <f>'P0-3_Scorecard'!H46</f>
        <v/>
      </c>
      <c r="I118" s="18">
        <f>IF(OR(D118="",E118=""),"INCOMPLETE",IF(AND(D118&gt;=70,E118&lt;60),"DEPENDENCY GAP",IF(AND(D118&gt;=70,G118&lt;F118),"REQUIRED MATURITY GAP","OK")))</f>
        <v/>
      </c>
      <c r="J118" s="18" t="inlineStr">
        <is>
          <t>Curriculum mapping review</t>
        </is>
      </c>
    </row>
    <row r="119">
      <c r="A119" s="18" t="inlineStr">
        <is>
          <t>CD08</t>
        </is>
      </c>
      <c r="B119" s="18" t="inlineStr">
        <is>
          <t>D03-I02</t>
        </is>
      </c>
      <c r="C119" s="18" t="inlineStr">
        <is>
          <t>D04-I07</t>
        </is>
      </c>
      <c r="D119" s="18">
        <f>'P0-3_Scorecard'!L27</f>
        <v/>
      </c>
      <c r="E119" s="18">
        <f>'P0-3_Scorecard'!L49</f>
        <v/>
      </c>
      <c r="F119" s="18">
        <f>'P0-3_Scorecard'!M49</f>
        <v/>
      </c>
      <c r="G119" s="18">
        <f>'P0-3_Scorecard'!E49</f>
        <v/>
      </c>
      <c r="H119" s="18">
        <f>'P0-3_Scorecard'!H49</f>
        <v/>
      </c>
      <c r="I119" s="18">
        <f>IF(OR(D119="",E119=""),"INCOMPLETE",IF(AND(D119&gt;=70,E119&lt;60),"DEPENDENCY GAP",IF(AND(D119&gt;=70,G119&lt;F119),"REQUIRED MATURITY GAP","OK")))</f>
        <v/>
      </c>
      <c r="J119" s="18" t="inlineStr">
        <is>
          <t>Curriculum mapping review</t>
        </is>
      </c>
    </row>
    <row r="120">
      <c r="A120" s="18" t="inlineStr">
        <is>
          <t>CD08</t>
        </is>
      </c>
      <c r="B120" s="18" t="inlineStr">
        <is>
          <t>D03-I02</t>
        </is>
      </c>
      <c r="C120" s="18" t="inlineStr">
        <is>
          <t>D04-I11</t>
        </is>
      </c>
      <c r="D120" s="18">
        <f>'P0-3_Scorecard'!L27</f>
        <v/>
      </c>
      <c r="E120" s="18">
        <f>'P0-3_Scorecard'!L53</f>
        <v/>
      </c>
      <c r="F120" s="18">
        <f>'P0-3_Scorecard'!M53</f>
        <v/>
      </c>
      <c r="G120" s="18">
        <f>'P0-3_Scorecard'!E53</f>
        <v/>
      </c>
      <c r="H120" s="18">
        <f>'P0-3_Scorecard'!H53</f>
        <v/>
      </c>
      <c r="I120" s="18">
        <f>IF(OR(D120="",E120=""),"INCOMPLETE",IF(AND(D120&gt;=70,E120&lt;60),"DEPENDENCY GAP",IF(AND(D120&gt;=70,G120&lt;F120),"REQUIRED MATURITY GAP","OK")))</f>
        <v/>
      </c>
      <c r="J120" s="18" t="inlineStr">
        <is>
          <t>Curriculum mapping review</t>
        </is>
      </c>
    </row>
    <row r="121">
      <c r="A121" s="18" t="inlineStr">
        <is>
          <t>CD08</t>
        </is>
      </c>
      <c r="B121" s="18" t="inlineStr">
        <is>
          <t>D03-I05</t>
        </is>
      </c>
      <c r="C121" s="18" t="inlineStr">
        <is>
          <t>D04-I02</t>
        </is>
      </c>
      <c r="D121" s="18">
        <f>'P0-3_Scorecard'!L30</f>
        <v/>
      </c>
      <c r="E121" s="18">
        <f>'P0-3_Scorecard'!L44</f>
        <v/>
      </c>
      <c r="F121" s="18">
        <f>'P0-3_Scorecard'!M44</f>
        <v/>
      </c>
      <c r="G121" s="18">
        <f>'P0-3_Scorecard'!E44</f>
        <v/>
      </c>
      <c r="H121" s="18">
        <f>'P0-3_Scorecard'!H44</f>
        <v/>
      </c>
      <c r="I121" s="18">
        <f>IF(OR(D121="",E121=""),"INCOMPLETE",IF(AND(D121&gt;=70,E121&lt;60),"DEPENDENCY GAP",IF(AND(D121&gt;=70,G121&lt;F121),"REQUIRED MATURITY GAP","OK")))</f>
        <v/>
      </c>
      <c r="J121" s="18" t="inlineStr">
        <is>
          <t>Curriculum mapping review</t>
        </is>
      </c>
    </row>
    <row r="122">
      <c r="A122" s="18" t="inlineStr">
        <is>
          <t>CD08</t>
        </is>
      </c>
      <c r="B122" s="18" t="inlineStr">
        <is>
          <t>D03-I05</t>
        </is>
      </c>
      <c r="C122" s="18" t="inlineStr">
        <is>
          <t>D04-I04</t>
        </is>
      </c>
      <c r="D122" s="18">
        <f>'P0-3_Scorecard'!L30</f>
        <v/>
      </c>
      <c r="E122" s="18">
        <f>'P0-3_Scorecard'!L46</f>
        <v/>
      </c>
      <c r="F122" s="18">
        <f>'P0-3_Scorecard'!M46</f>
        <v/>
      </c>
      <c r="G122" s="18">
        <f>'P0-3_Scorecard'!E46</f>
        <v/>
      </c>
      <c r="H122" s="18">
        <f>'P0-3_Scorecard'!H46</f>
        <v/>
      </c>
      <c r="I122" s="18">
        <f>IF(OR(D122="",E122=""),"INCOMPLETE",IF(AND(D122&gt;=70,E122&lt;60),"DEPENDENCY GAP",IF(AND(D122&gt;=70,G122&lt;F122),"REQUIRED MATURITY GAP","OK")))</f>
        <v/>
      </c>
      <c r="J122" s="18" t="inlineStr">
        <is>
          <t>Curriculum mapping review</t>
        </is>
      </c>
    </row>
    <row r="123">
      <c r="A123" s="18" t="inlineStr">
        <is>
          <t>CD08</t>
        </is>
      </c>
      <c r="B123" s="18" t="inlineStr">
        <is>
          <t>D03-I05</t>
        </is>
      </c>
      <c r="C123" s="18" t="inlineStr">
        <is>
          <t>D04-I07</t>
        </is>
      </c>
      <c r="D123" s="18">
        <f>'P0-3_Scorecard'!L30</f>
        <v/>
      </c>
      <c r="E123" s="18">
        <f>'P0-3_Scorecard'!L49</f>
        <v/>
      </c>
      <c r="F123" s="18">
        <f>'P0-3_Scorecard'!M49</f>
        <v/>
      </c>
      <c r="G123" s="18">
        <f>'P0-3_Scorecard'!E49</f>
        <v/>
      </c>
      <c r="H123" s="18">
        <f>'P0-3_Scorecard'!H49</f>
        <v/>
      </c>
      <c r="I123" s="18">
        <f>IF(OR(D123="",E123=""),"INCOMPLETE",IF(AND(D123&gt;=70,E123&lt;60),"DEPENDENCY GAP",IF(AND(D123&gt;=70,G123&lt;F123),"REQUIRED MATURITY GAP","OK")))</f>
        <v/>
      </c>
      <c r="J123" s="18" t="inlineStr">
        <is>
          <t>Curriculum mapping review</t>
        </is>
      </c>
    </row>
    <row r="124">
      <c r="A124" s="18" t="inlineStr">
        <is>
          <t>CD08</t>
        </is>
      </c>
      <c r="B124" s="18" t="inlineStr">
        <is>
          <t>D03-I05</t>
        </is>
      </c>
      <c r="C124" s="18" t="inlineStr">
        <is>
          <t>D04-I11</t>
        </is>
      </c>
      <c r="D124" s="18">
        <f>'P0-3_Scorecard'!L30</f>
        <v/>
      </c>
      <c r="E124" s="18">
        <f>'P0-3_Scorecard'!L53</f>
        <v/>
      </c>
      <c r="F124" s="18">
        <f>'P0-3_Scorecard'!M53</f>
        <v/>
      </c>
      <c r="G124" s="18">
        <f>'P0-3_Scorecard'!E53</f>
        <v/>
      </c>
      <c r="H124" s="18">
        <f>'P0-3_Scorecard'!H53</f>
        <v/>
      </c>
      <c r="I124" s="18">
        <f>IF(OR(D124="",E124=""),"INCOMPLETE",IF(AND(D124&gt;=70,E124&lt;60),"DEPENDENCY GAP",IF(AND(D124&gt;=70,G124&lt;F124),"REQUIRED MATURITY GAP","OK")))</f>
        <v/>
      </c>
      <c r="J124" s="18" t="inlineStr">
        <is>
          <t>Curriculum mapping review</t>
        </is>
      </c>
    </row>
    <row r="125">
      <c r="A125" s="18" t="inlineStr">
        <is>
          <t>CD08</t>
        </is>
      </c>
      <c r="B125" s="18" t="inlineStr">
        <is>
          <t>D03-I07</t>
        </is>
      </c>
      <c r="C125" s="18" t="inlineStr">
        <is>
          <t>D04-I02</t>
        </is>
      </c>
      <c r="D125" s="18">
        <f>'P0-3_Scorecard'!L32</f>
        <v/>
      </c>
      <c r="E125" s="18">
        <f>'P0-3_Scorecard'!L44</f>
        <v/>
      </c>
      <c r="F125" s="18">
        <f>'P0-3_Scorecard'!M44</f>
        <v/>
      </c>
      <c r="G125" s="18">
        <f>'P0-3_Scorecard'!E44</f>
        <v/>
      </c>
      <c r="H125" s="18">
        <f>'P0-3_Scorecard'!H44</f>
        <v/>
      </c>
      <c r="I125" s="18">
        <f>IF(OR(D125="",E125=""),"INCOMPLETE",IF(AND(D125&gt;=70,E125&lt;60),"DEPENDENCY GAP",IF(AND(D125&gt;=70,G125&lt;F125),"REQUIRED MATURITY GAP","OK")))</f>
        <v/>
      </c>
      <c r="J125" s="18" t="inlineStr">
        <is>
          <t>Curriculum mapping review</t>
        </is>
      </c>
    </row>
    <row r="126">
      <c r="A126" s="18" t="inlineStr">
        <is>
          <t>CD08</t>
        </is>
      </c>
      <c r="B126" s="18" t="inlineStr">
        <is>
          <t>D03-I07</t>
        </is>
      </c>
      <c r="C126" s="18" t="inlineStr">
        <is>
          <t>D04-I04</t>
        </is>
      </c>
      <c r="D126" s="18">
        <f>'P0-3_Scorecard'!L32</f>
        <v/>
      </c>
      <c r="E126" s="18">
        <f>'P0-3_Scorecard'!L46</f>
        <v/>
      </c>
      <c r="F126" s="18">
        <f>'P0-3_Scorecard'!M46</f>
        <v/>
      </c>
      <c r="G126" s="18">
        <f>'P0-3_Scorecard'!E46</f>
        <v/>
      </c>
      <c r="H126" s="18">
        <f>'P0-3_Scorecard'!H46</f>
        <v/>
      </c>
      <c r="I126" s="18">
        <f>IF(OR(D126="",E126=""),"INCOMPLETE",IF(AND(D126&gt;=70,E126&lt;60),"DEPENDENCY GAP",IF(AND(D126&gt;=70,G126&lt;F126),"REQUIRED MATURITY GAP","OK")))</f>
        <v/>
      </c>
      <c r="J126" s="18" t="inlineStr">
        <is>
          <t>Curriculum mapping review</t>
        </is>
      </c>
    </row>
    <row r="127">
      <c r="A127" s="18" t="inlineStr">
        <is>
          <t>CD08</t>
        </is>
      </c>
      <c r="B127" s="18" t="inlineStr">
        <is>
          <t>D03-I07</t>
        </is>
      </c>
      <c r="C127" s="18" t="inlineStr">
        <is>
          <t>D04-I07</t>
        </is>
      </c>
      <c r="D127" s="18">
        <f>'P0-3_Scorecard'!L32</f>
        <v/>
      </c>
      <c r="E127" s="18">
        <f>'P0-3_Scorecard'!L49</f>
        <v/>
      </c>
      <c r="F127" s="18">
        <f>'P0-3_Scorecard'!M49</f>
        <v/>
      </c>
      <c r="G127" s="18">
        <f>'P0-3_Scorecard'!E49</f>
        <v/>
      </c>
      <c r="H127" s="18">
        <f>'P0-3_Scorecard'!H49</f>
        <v/>
      </c>
      <c r="I127" s="18">
        <f>IF(OR(D127="",E127=""),"INCOMPLETE",IF(AND(D127&gt;=70,E127&lt;60),"DEPENDENCY GAP",IF(AND(D127&gt;=70,G127&lt;F127),"REQUIRED MATURITY GAP","OK")))</f>
        <v/>
      </c>
      <c r="J127" s="18" t="inlineStr">
        <is>
          <t>Curriculum mapping review</t>
        </is>
      </c>
    </row>
    <row r="128">
      <c r="A128" s="18" t="inlineStr">
        <is>
          <t>CD08</t>
        </is>
      </c>
      <c r="B128" s="18" t="inlineStr">
        <is>
          <t>D03-I07</t>
        </is>
      </c>
      <c r="C128" s="18" t="inlineStr">
        <is>
          <t>D04-I11</t>
        </is>
      </c>
      <c r="D128" s="18">
        <f>'P0-3_Scorecard'!L32</f>
        <v/>
      </c>
      <c r="E128" s="18">
        <f>'P0-3_Scorecard'!L53</f>
        <v/>
      </c>
      <c r="F128" s="18">
        <f>'P0-3_Scorecard'!M53</f>
        <v/>
      </c>
      <c r="G128" s="18">
        <f>'P0-3_Scorecard'!E53</f>
        <v/>
      </c>
      <c r="H128" s="18">
        <f>'P0-3_Scorecard'!H53</f>
        <v/>
      </c>
      <c r="I128" s="18">
        <f>IF(OR(D128="",E128=""),"INCOMPLETE",IF(AND(D128&gt;=70,E128&lt;60),"DEPENDENCY GAP",IF(AND(D128&gt;=70,G128&lt;F128),"REQUIRED MATURITY GAP","OK")))</f>
        <v/>
      </c>
      <c r="J128" s="18" t="inlineStr">
        <is>
          <t>Curriculum mapping review</t>
        </is>
      </c>
    </row>
    <row r="129">
      <c r="A129" s="18" t="inlineStr">
        <is>
          <t>CD08</t>
        </is>
      </c>
      <c r="B129" s="18" t="inlineStr">
        <is>
          <t>D03-I16</t>
        </is>
      </c>
      <c r="C129" s="18" t="inlineStr">
        <is>
          <t>D04-I02</t>
        </is>
      </c>
      <c r="D129" s="18">
        <f>'P0-3_Scorecard'!L41</f>
        <v/>
      </c>
      <c r="E129" s="18">
        <f>'P0-3_Scorecard'!L44</f>
        <v/>
      </c>
      <c r="F129" s="18">
        <f>'P0-3_Scorecard'!M44</f>
        <v/>
      </c>
      <c r="G129" s="18">
        <f>'P0-3_Scorecard'!E44</f>
        <v/>
      </c>
      <c r="H129" s="18">
        <f>'P0-3_Scorecard'!H44</f>
        <v/>
      </c>
      <c r="I129" s="18">
        <f>IF(OR(D129="",E129=""),"INCOMPLETE",IF(AND(D129&gt;=70,E129&lt;60),"DEPENDENCY GAP",IF(AND(D129&gt;=70,G129&lt;F129),"REQUIRED MATURITY GAP","OK")))</f>
        <v/>
      </c>
      <c r="J129" s="18" t="inlineStr">
        <is>
          <t>Curriculum mapping review</t>
        </is>
      </c>
    </row>
    <row r="130">
      <c r="A130" s="18" t="inlineStr">
        <is>
          <t>CD08</t>
        </is>
      </c>
      <c r="B130" s="18" t="inlineStr">
        <is>
          <t>D03-I16</t>
        </is>
      </c>
      <c r="C130" s="18" t="inlineStr">
        <is>
          <t>D04-I04</t>
        </is>
      </c>
      <c r="D130" s="18">
        <f>'P0-3_Scorecard'!L41</f>
        <v/>
      </c>
      <c r="E130" s="18">
        <f>'P0-3_Scorecard'!L46</f>
        <v/>
      </c>
      <c r="F130" s="18">
        <f>'P0-3_Scorecard'!M46</f>
        <v/>
      </c>
      <c r="G130" s="18">
        <f>'P0-3_Scorecard'!E46</f>
        <v/>
      </c>
      <c r="H130" s="18">
        <f>'P0-3_Scorecard'!H46</f>
        <v/>
      </c>
      <c r="I130" s="18">
        <f>IF(OR(D130="",E130=""),"INCOMPLETE",IF(AND(D130&gt;=70,E130&lt;60),"DEPENDENCY GAP",IF(AND(D130&gt;=70,G130&lt;F130),"REQUIRED MATURITY GAP","OK")))</f>
        <v/>
      </c>
      <c r="J130" s="18" t="inlineStr">
        <is>
          <t>Curriculum mapping review</t>
        </is>
      </c>
    </row>
    <row r="131">
      <c r="A131" s="18" t="inlineStr">
        <is>
          <t>CD08</t>
        </is>
      </c>
      <c r="B131" s="18" t="inlineStr">
        <is>
          <t>D03-I16</t>
        </is>
      </c>
      <c r="C131" s="18" t="inlineStr">
        <is>
          <t>D04-I07</t>
        </is>
      </c>
      <c r="D131" s="18">
        <f>'P0-3_Scorecard'!L41</f>
        <v/>
      </c>
      <c r="E131" s="18">
        <f>'P0-3_Scorecard'!L49</f>
        <v/>
      </c>
      <c r="F131" s="18">
        <f>'P0-3_Scorecard'!M49</f>
        <v/>
      </c>
      <c r="G131" s="18">
        <f>'P0-3_Scorecard'!E49</f>
        <v/>
      </c>
      <c r="H131" s="18">
        <f>'P0-3_Scorecard'!H49</f>
        <v/>
      </c>
      <c r="I131" s="18">
        <f>IF(OR(D131="",E131=""),"INCOMPLETE",IF(AND(D131&gt;=70,E131&lt;60),"DEPENDENCY GAP",IF(AND(D131&gt;=70,G131&lt;F131),"REQUIRED MATURITY GAP","OK")))</f>
        <v/>
      </c>
      <c r="J131" s="18" t="inlineStr">
        <is>
          <t>Curriculum mapping review</t>
        </is>
      </c>
    </row>
    <row r="132">
      <c r="A132" s="18" t="inlineStr">
        <is>
          <t>CD08</t>
        </is>
      </c>
      <c r="B132" s="18" t="inlineStr">
        <is>
          <t>D03-I16</t>
        </is>
      </c>
      <c r="C132" s="18" t="inlineStr">
        <is>
          <t>D04-I11</t>
        </is>
      </c>
      <c r="D132" s="18">
        <f>'P0-3_Scorecard'!L41</f>
        <v/>
      </c>
      <c r="E132" s="18">
        <f>'P0-3_Scorecard'!L53</f>
        <v/>
      </c>
      <c r="F132" s="18">
        <f>'P0-3_Scorecard'!M53</f>
        <v/>
      </c>
      <c r="G132" s="18">
        <f>'P0-3_Scorecard'!E53</f>
        <v/>
      </c>
      <c r="H132" s="18">
        <f>'P0-3_Scorecard'!H53</f>
        <v/>
      </c>
      <c r="I132" s="18">
        <f>IF(OR(D132="",E132=""),"INCOMPLETE",IF(AND(D132&gt;=70,E132&lt;60),"DEPENDENCY GAP",IF(AND(D132&gt;=70,G132&lt;F132),"REQUIRED MATURITY GAP","OK")))</f>
        <v/>
      </c>
      <c r="J132" s="18" t="inlineStr">
        <is>
          <t>Curriculum mapping review</t>
        </is>
      </c>
    </row>
    <row r="133">
      <c r="A133" s="18" t="inlineStr">
        <is>
          <t>CD08</t>
        </is>
      </c>
      <c r="B133" s="18" t="inlineStr">
        <is>
          <t>D03-I17</t>
        </is>
      </c>
      <c r="C133" s="18" t="inlineStr">
        <is>
          <t>D04-I02</t>
        </is>
      </c>
      <c r="D133" s="18">
        <f>'P0-3_Scorecard'!L42</f>
        <v/>
      </c>
      <c r="E133" s="18">
        <f>'P0-3_Scorecard'!L44</f>
        <v/>
      </c>
      <c r="F133" s="18">
        <f>'P0-3_Scorecard'!M44</f>
        <v/>
      </c>
      <c r="G133" s="18">
        <f>'P0-3_Scorecard'!E44</f>
        <v/>
      </c>
      <c r="H133" s="18">
        <f>'P0-3_Scorecard'!H44</f>
        <v/>
      </c>
      <c r="I133" s="18">
        <f>IF(OR(D133="",E133=""),"INCOMPLETE",IF(AND(D133&gt;=70,E133&lt;60),"DEPENDENCY GAP",IF(AND(D133&gt;=70,G133&lt;F133),"REQUIRED MATURITY GAP","OK")))</f>
        <v/>
      </c>
      <c r="J133" s="18" t="inlineStr">
        <is>
          <t>Curriculum mapping review</t>
        </is>
      </c>
    </row>
    <row r="134">
      <c r="A134" s="18" t="inlineStr">
        <is>
          <t>CD08</t>
        </is>
      </c>
      <c r="B134" s="18" t="inlineStr">
        <is>
          <t>D03-I17</t>
        </is>
      </c>
      <c r="C134" s="18" t="inlineStr">
        <is>
          <t>D04-I04</t>
        </is>
      </c>
      <c r="D134" s="18">
        <f>'P0-3_Scorecard'!L42</f>
        <v/>
      </c>
      <c r="E134" s="18">
        <f>'P0-3_Scorecard'!L46</f>
        <v/>
      </c>
      <c r="F134" s="18">
        <f>'P0-3_Scorecard'!M46</f>
        <v/>
      </c>
      <c r="G134" s="18">
        <f>'P0-3_Scorecard'!E46</f>
        <v/>
      </c>
      <c r="H134" s="18">
        <f>'P0-3_Scorecard'!H46</f>
        <v/>
      </c>
      <c r="I134" s="18">
        <f>IF(OR(D134="",E134=""),"INCOMPLETE",IF(AND(D134&gt;=70,E134&lt;60),"DEPENDENCY GAP",IF(AND(D134&gt;=70,G134&lt;F134),"REQUIRED MATURITY GAP","OK")))</f>
        <v/>
      </c>
      <c r="J134" s="18" t="inlineStr">
        <is>
          <t>Curriculum mapping review</t>
        </is>
      </c>
    </row>
    <row r="135">
      <c r="A135" s="18" t="inlineStr">
        <is>
          <t>CD08</t>
        </is>
      </c>
      <c r="B135" s="18" t="inlineStr">
        <is>
          <t>D03-I17</t>
        </is>
      </c>
      <c r="C135" s="18" t="inlineStr">
        <is>
          <t>D04-I07</t>
        </is>
      </c>
      <c r="D135" s="18">
        <f>'P0-3_Scorecard'!L42</f>
        <v/>
      </c>
      <c r="E135" s="18">
        <f>'P0-3_Scorecard'!L49</f>
        <v/>
      </c>
      <c r="F135" s="18">
        <f>'P0-3_Scorecard'!M49</f>
        <v/>
      </c>
      <c r="G135" s="18">
        <f>'P0-3_Scorecard'!E49</f>
        <v/>
      </c>
      <c r="H135" s="18">
        <f>'P0-3_Scorecard'!H49</f>
        <v/>
      </c>
      <c r="I135" s="18">
        <f>IF(OR(D135="",E135=""),"INCOMPLETE",IF(AND(D135&gt;=70,E135&lt;60),"DEPENDENCY GAP",IF(AND(D135&gt;=70,G135&lt;F135),"REQUIRED MATURITY GAP","OK")))</f>
        <v/>
      </c>
      <c r="J135" s="18" t="inlineStr">
        <is>
          <t>Curriculum mapping review</t>
        </is>
      </c>
    </row>
    <row r="136">
      <c r="A136" s="18" t="inlineStr">
        <is>
          <t>CD08</t>
        </is>
      </c>
      <c r="B136" s="18" t="inlineStr">
        <is>
          <t>D03-I17</t>
        </is>
      </c>
      <c r="C136" s="18" t="inlineStr">
        <is>
          <t>D04-I11</t>
        </is>
      </c>
      <c r="D136" s="18">
        <f>'P0-3_Scorecard'!L42</f>
        <v/>
      </c>
      <c r="E136" s="18">
        <f>'P0-3_Scorecard'!L53</f>
        <v/>
      </c>
      <c r="F136" s="18">
        <f>'P0-3_Scorecard'!M53</f>
        <v/>
      </c>
      <c r="G136" s="18">
        <f>'P0-3_Scorecard'!E53</f>
        <v/>
      </c>
      <c r="H136" s="18">
        <f>'P0-3_Scorecard'!H53</f>
        <v/>
      </c>
      <c r="I136" s="18">
        <f>IF(OR(D136="",E136=""),"INCOMPLETE",IF(AND(D136&gt;=70,E136&lt;60),"DEPENDENCY GAP",IF(AND(D136&gt;=70,G136&lt;F136),"REQUIRED MATURITY GAP","OK")))</f>
        <v/>
      </c>
      <c r="J136" s="18" t="inlineStr">
        <is>
          <t>Curriculum mapping review</t>
        </is>
      </c>
    </row>
    <row r="137">
      <c r="A137" s="18" t="inlineStr">
        <is>
          <t>CD09</t>
        </is>
      </c>
      <c r="B137" s="18" t="inlineStr">
        <is>
          <t>D03-I02</t>
        </is>
      </c>
      <c r="C137" s="18" t="inlineStr">
        <is>
          <t>D06-I02</t>
        </is>
      </c>
      <c r="D137" s="18">
        <f>'P0-3_Scorecard'!L27</f>
        <v/>
      </c>
      <c r="E137" s="18">
        <f>'P0-3_Scorecard'!L68</f>
        <v/>
      </c>
      <c r="F137" s="18">
        <f>'P0-3_Scorecard'!M68</f>
        <v/>
      </c>
      <c r="G137" s="18">
        <f>'P0-3_Scorecard'!E68</f>
        <v/>
      </c>
      <c r="H137" s="18">
        <f>'P0-3_Scorecard'!H68</f>
        <v/>
      </c>
      <c r="I137" s="18">
        <f>IF(OR(D137="",E137=""),"INCOMPLETE",IF(AND(D137&gt;=70,E137&lt;60),"DEPENDENCY GAP",IF(AND(D137&gt;=70,G137&lt;F137),"REQUIRED MATURITY GAP","OK")))</f>
        <v/>
      </c>
      <c r="J137" s="18" t="inlineStr">
        <is>
          <t>Student capability review</t>
        </is>
      </c>
    </row>
    <row r="138">
      <c r="A138" s="18" t="inlineStr">
        <is>
          <t>CD09</t>
        </is>
      </c>
      <c r="B138" s="18" t="inlineStr">
        <is>
          <t>D03-I02</t>
        </is>
      </c>
      <c r="C138" s="18" t="inlineStr">
        <is>
          <t>D06-I03</t>
        </is>
      </c>
      <c r="D138" s="18">
        <f>'P0-3_Scorecard'!L27</f>
        <v/>
      </c>
      <c r="E138" s="18">
        <f>'P0-3_Scorecard'!L69</f>
        <v/>
      </c>
      <c r="F138" s="18">
        <f>'P0-3_Scorecard'!M69</f>
        <v/>
      </c>
      <c r="G138" s="18">
        <f>'P0-3_Scorecard'!E69</f>
        <v/>
      </c>
      <c r="H138" s="18">
        <f>'P0-3_Scorecard'!H69</f>
        <v/>
      </c>
      <c r="I138" s="18">
        <f>IF(OR(D138="",E138=""),"INCOMPLETE",IF(AND(D138&gt;=70,E138&lt;60),"DEPENDENCY GAP",IF(AND(D138&gt;=70,G138&lt;F138),"REQUIRED MATURITY GAP","OK")))</f>
        <v/>
      </c>
      <c r="J138" s="18" t="inlineStr">
        <is>
          <t>Student capability review</t>
        </is>
      </c>
    </row>
    <row r="139">
      <c r="A139" s="18" t="inlineStr">
        <is>
          <t>CD09</t>
        </is>
      </c>
      <c r="B139" s="18" t="inlineStr">
        <is>
          <t>D03-I02</t>
        </is>
      </c>
      <c r="C139" s="18" t="inlineStr">
        <is>
          <t>D06-I04</t>
        </is>
      </c>
      <c r="D139" s="18">
        <f>'P0-3_Scorecard'!L27</f>
        <v/>
      </c>
      <c r="E139" s="18">
        <f>'P0-3_Scorecard'!L70</f>
        <v/>
      </c>
      <c r="F139" s="18">
        <f>'P0-3_Scorecard'!M70</f>
        <v/>
      </c>
      <c r="G139" s="18">
        <f>'P0-3_Scorecard'!E70</f>
        <v/>
      </c>
      <c r="H139" s="18">
        <f>'P0-3_Scorecard'!H70</f>
        <v/>
      </c>
      <c r="I139" s="18">
        <f>IF(OR(D139="",E139=""),"INCOMPLETE",IF(AND(D139&gt;=70,E139&lt;60),"DEPENDENCY GAP",IF(AND(D139&gt;=70,G139&lt;F139),"REQUIRED MATURITY GAP","OK")))</f>
        <v/>
      </c>
      <c r="J139" s="18" t="inlineStr">
        <is>
          <t>Student capability review</t>
        </is>
      </c>
    </row>
    <row r="140">
      <c r="A140" s="18" t="inlineStr">
        <is>
          <t>CD09</t>
        </is>
      </c>
      <c r="B140" s="18" t="inlineStr">
        <is>
          <t>D03-I02</t>
        </is>
      </c>
      <c r="C140" s="18" t="inlineStr">
        <is>
          <t>D06-I10</t>
        </is>
      </c>
      <c r="D140" s="18">
        <f>'P0-3_Scorecard'!L27</f>
        <v/>
      </c>
      <c r="E140" s="18">
        <f>'P0-3_Scorecard'!L76</f>
        <v/>
      </c>
      <c r="F140" s="18">
        <f>'P0-3_Scorecard'!M76</f>
        <v/>
      </c>
      <c r="G140" s="18">
        <f>'P0-3_Scorecard'!E76</f>
        <v/>
      </c>
      <c r="H140" s="18">
        <f>'P0-3_Scorecard'!H76</f>
        <v/>
      </c>
      <c r="I140" s="18">
        <f>IF(OR(D140="",E140=""),"INCOMPLETE",IF(AND(D140&gt;=70,E140&lt;60),"DEPENDENCY GAP",IF(AND(D140&gt;=70,G140&lt;F140),"REQUIRED MATURITY GAP","OK")))</f>
        <v/>
      </c>
      <c r="J140" s="18" t="inlineStr">
        <is>
          <t>Student capability review</t>
        </is>
      </c>
    </row>
    <row r="141">
      <c r="A141" s="18" t="inlineStr">
        <is>
          <t>CD09</t>
        </is>
      </c>
      <c r="B141" s="18" t="inlineStr">
        <is>
          <t>D03-I02</t>
        </is>
      </c>
      <c r="C141" s="18" t="inlineStr">
        <is>
          <t>D06-I14</t>
        </is>
      </c>
      <c r="D141" s="18">
        <f>'P0-3_Scorecard'!L27</f>
        <v/>
      </c>
      <c r="E141" s="18">
        <f>'P0-3_Scorecard'!L80</f>
        <v/>
      </c>
      <c r="F141" s="18">
        <f>'P0-3_Scorecard'!M80</f>
        <v/>
      </c>
      <c r="G141" s="18">
        <f>'P0-3_Scorecard'!E80</f>
        <v/>
      </c>
      <c r="H141" s="18">
        <f>'P0-3_Scorecard'!H80</f>
        <v/>
      </c>
      <c r="I141" s="18">
        <f>IF(OR(D141="",E141=""),"INCOMPLETE",IF(AND(D141&gt;=70,E141&lt;60),"DEPENDENCY GAP",IF(AND(D141&gt;=70,G141&lt;F141),"REQUIRED MATURITY GAP","OK")))</f>
        <v/>
      </c>
      <c r="J141" s="18" t="inlineStr">
        <is>
          <t>Student capability review</t>
        </is>
      </c>
    </row>
    <row r="142">
      <c r="A142" s="18" t="inlineStr">
        <is>
          <t>CD09</t>
        </is>
      </c>
      <c r="B142" s="18" t="inlineStr">
        <is>
          <t>D03-I05</t>
        </is>
      </c>
      <c r="C142" s="18" t="inlineStr">
        <is>
          <t>D06-I02</t>
        </is>
      </c>
      <c r="D142" s="18">
        <f>'P0-3_Scorecard'!L30</f>
        <v/>
      </c>
      <c r="E142" s="18">
        <f>'P0-3_Scorecard'!L68</f>
        <v/>
      </c>
      <c r="F142" s="18">
        <f>'P0-3_Scorecard'!M68</f>
        <v/>
      </c>
      <c r="G142" s="18">
        <f>'P0-3_Scorecard'!E68</f>
        <v/>
      </c>
      <c r="H142" s="18">
        <f>'P0-3_Scorecard'!H68</f>
        <v/>
      </c>
      <c r="I142" s="18">
        <f>IF(OR(D142="",E142=""),"INCOMPLETE",IF(AND(D142&gt;=70,E142&lt;60),"DEPENDENCY GAP",IF(AND(D142&gt;=70,G142&lt;F142),"REQUIRED MATURITY GAP","OK")))</f>
        <v/>
      </c>
      <c r="J142" s="18" t="inlineStr">
        <is>
          <t>Student capability review</t>
        </is>
      </c>
    </row>
    <row r="143">
      <c r="A143" s="18" t="inlineStr">
        <is>
          <t>CD09</t>
        </is>
      </c>
      <c r="B143" s="18" t="inlineStr">
        <is>
          <t>D03-I05</t>
        </is>
      </c>
      <c r="C143" s="18" t="inlineStr">
        <is>
          <t>D06-I03</t>
        </is>
      </c>
      <c r="D143" s="18">
        <f>'P0-3_Scorecard'!L30</f>
        <v/>
      </c>
      <c r="E143" s="18">
        <f>'P0-3_Scorecard'!L69</f>
        <v/>
      </c>
      <c r="F143" s="18">
        <f>'P0-3_Scorecard'!M69</f>
        <v/>
      </c>
      <c r="G143" s="18">
        <f>'P0-3_Scorecard'!E69</f>
        <v/>
      </c>
      <c r="H143" s="18">
        <f>'P0-3_Scorecard'!H69</f>
        <v/>
      </c>
      <c r="I143" s="18">
        <f>IF(OR(D143="",E143=""),"INCOMPLETE",IF(AND(D143&gt;=70,E143&lt;60),"DEPENDENCY GAP",IF(AND(D143&gt;=70,G143&lt;F143),"REQUIRED MATURITY GAP","OK")))</f>
        <v/>
      </c>
      <c r="J143" s="18" t="inlineStr">
        <is>
          <t>Student capability review</t>
        </is>
      </c>
    </row>
    <row r="144">
      <c r="A144" s="18" t="inlineStr">
        <is>
          <t>CD09</t>
        </is>
      </c>
      <c r="B144" s="18" t="inlineStr">
        <is>
          <t>D03-I05</t>
        </is>
      </c>
      <c r="C144" s="18" t="inlineStr">
        <is>
          <t>D06-I04</t>
        </is>
      </c>
      <c r="D144" s="18">
        <f>'P0-3_Scorecard'!L30</f>
        <v/>
      </c>
      <c r="E144" s="18">
        <f>'P0-3_Scorecard'!L70</f>
        <v/>
      </c>
      <c r="F144" s="18">
        <f>'P0-3_Scorecard'!M70</f>
        <v/>
      </c>
      <c r="G144" s="18">
        <f>'P0-3_Scorecard'!E70</f>
        <v/>
      </c>
      <c r="H144" s="18">
        <f>'P0-3_Scorecard'!H70</f>
        <v/>
      </c>
      <c r="I144" s="18">
        <f>IF(OR(D144="",E144=""),"INCOMPLETE",IF(AND(D144&gt;=70,E144&lt;60),"DEPENDENCY GAP",IF(AND(D144&gt;=70,G144&lt;F144),"REQUIRED MATURITY GAP","OK")))</f>
        <v/>
      </c>
      <c r="J144" s="18" t="inlineStr">
        <is>
          <t>Student capability review</t>
        </is>
      </c>
    </row>
    <row r="145">
      <c r="A145" s="18" t="inlineStr">
        <is>
          <t>CD09</t>
        </is>
      </c>
      <c r="B145" s="18" t="inlineStr">
        <is>
          <t>D03-I05</t>
        </is>
      </c>
      <c r="C145" s="18" t="inlineStr">
        <is>
          <t>D06-I10</t>
        </is>
      </c>
      <c r="D145" s="18">
        <f>'P0-3_Scorecard'!L30</f>
        <v/>
      </c>
      <c r="E145" s="18">
        <f>'P0-3_Scorecard'!L76</f>
        <v/>
      </c>
      <c r="F145" s="18">
        <f>'P0-3_Scorecard'!M76</f>
        <v/>
      </c>
      <c r="G145" s="18">
        <f>'P0-3_Scorecard'!E76</f>
        <v/>
      </c>
      <c r="H145" s="18">
        <f>'P0-3_Scorecard'!H76</f>
        <v/>
      </c>
      <c r="I145" s="18">
        <f>IF(OR(D145="",E145=""),"INCOMPLETE",IF(AND(D145&gt;=70,E145&lt;60),"DEPENDENCY GAP",IF(AND(D145&gt;=70,G145&lt;F145),"REQUIRED MATURITY GAP","OK")))</f>
        <v/>
      </c>
      <c r="J145" s="18" t="inlineStr">
        <is>
          <t>Student capability review</t>
        </is>
      </c>
    </row>
    <row r="146">
      <c r="A146" s="18" t="inlineStr">
        <is>
          <t>CD09</t>
        </is>
      </c>
      <c r="B146" s="18" t="inlineStr">
        <is>
          <t>D03-I05</t>
        </is>
      </c>
      <c r="C146" s="18" t="inlineStr">
        <is>
          <t>D06-I14</t>
        </is>
      </c>
      <c r="D146" s="18">
        <f>'P0-3_Scorecard'!L30</f>
        <v/>
      </c>
      <c r="E146" s="18">
        <f>'P0-3_Scorecard'!L80</f>
        <v/>
      </c>
      <c r="F146" s="18">
        <f>'P0-3_Scorecard'!M80</f>
        <v/>
      </c>
      <c r="G146" s="18">
        <f>'P0-3_Scorecard'!E80</f>
        <v/>
      </c>
      <c r="H146" s="18">
        <f>'P0-3_Scorecard'!H80</f>
        <v/>
      </c>
      <c r="I146" s="18">
        <f>IF(OR(D146="",E146=""),"INCOMPLETE",IF(AND(D146&gt;=70,E146&lt;60),"DEPENDENCY GAP",IF(AND(D146&gt;=70,G146&lt;F146),"REQUIRED MATURITY GAP","OK")))</f>
        <v/>
      </c>
      <c r="J146" s="18" t="inlineStr">
        <is>
          <t>Student capability review</t>
        </is>
      </c>
    </row>
    <row r="147">
      <c r="A147" s="18" t="inlineStr">
        <is>
          <t>CD09</t>
        </is>
      </c>
      <c r="B147" s="18" t="inlineStr">
        <is>
          <t>D03-I08</t>
        </is>
      </c>
      <c r="C147" s="18" t="inlineStr">
        <is>
          <t>D06-I02</t>
        </is>
      </c>
      <c r="D147" s="18">
        <f>'P0-3_Scorecard'!L33</f>
        <v/>
      </c>
      <c r="E147" s="18">
        <f>'P0-3_Scorecard'!L68</f>
        <v/>
      </c>
      <c r="F147" s="18">
        <f>'P0-3_Scorecard'!M68</f>
        <v/>
      </c>
      <c r="G147" s="18">
        <f>'P0-3_Scorecard'!E68</f>
        <v/>
      </c>
      <c r="H147" s="18">
        <f>'P0-3_Scorecard'!H68</f>
        <v/>
      </c>
      <c r="I147" s="18">
        <f>IF(OR(D147="",E147=""),"INCOMPLETE",IF(AND(D147&gt;=70,E147&lt;60),"DEPENDENCY GAP",IF(AND(D147&gt;=70,G147&lt;F147),"REQUIRED MATURITY GAP","OK")))</f>
        <v/>
      </c>
      <c r="J147" s="18" t="inlineStr">
        <is>
          <t>Student capability review</t>
        </is>
      </c>
    </row>
    <row r="148">
      <c r="A148" s="18" t="inlineStr">
        <is>
          <t>CD09</t>
        </is>
      </c>
      <c r="B148" s="18" t="inlineStr">
        <is>
          <t>D03-I08</t>
        </is>
      </c>
      <c r="C148" s="18" t="inlineStr">
        <is>
          <t>D06-I03</t>
        </is>
      </c>
      <c r="D148" s="18">
        <f>'P0-3_Scorecard'!L33</f>
        <v/>
      </c>
      <c r="E148" s="18">
        <f>'P0-3_Scorecard'!L69</f>
        <v/>
      </c>
      <c r="F148" s="18">
        <f>'P0-3_Scorecard'!M69</f>
        <v/>
      </c>
      <c r="G148" s="18">
        <f>'P0-3_Scorecard'!E69</f>
        <v/>
      </c>
      <c r="H148" s="18">
        <f>'P0-3_Scorecard'!H69</f>
        <v/>
      </c>
      <c r="I148" s="18">
        <f>IF(OR(D148="",E148=""),"INCOMPLETE",IF(AND(D148&gt;=70,E148&lt;60),"DEPENDENCY GAP",IF(AND(D148&gt;=70,G148&lt;F148),"REQUIRED MATURITY GAP","OK")))</f>
        <v/>
      </c>
      <c r="J148" s="18" t="inlineStr">
        <is>
          <t>Student capability review</t>
        </is>
      </c>
    </row>
    <row r="149">
      <c r="A149" s="18" t="inlineStr">
        <is>
          <t>CD09</t>
        </is>
      </c>
      <c r="B149" s="18" t="inlineStr">
        <is>
          <t>D03-I08</t>
        </is>
      </c>
      <c r="C149" s="18" t="inlineStr">
        <is>
          <t>D06-I04</t>
        </is>
      </c>
      <c r="D149" s="18">
        <f>'P0-3_Scorecard'!L33</f>
        <v/>
      </c>
      <c r="E149" s="18">
        <f>'P0-3_Scorecard'!L70</f>
        <v/>
      </c>
      <c r="F149" s="18">
        <f>'P0-3_Scorecard'!M70</f>
        <v/>
      </c>
      <c r="G149" s="18">
        <f>'P0-3_Scorecard'!E70</f>
        <v/>
      </c>
      <c r="H149" s="18">
        <f>'P0-3_Scorecard'!H70</f>
        <v/>
      </c>
      <c r="I149" s="18">
        <f>IF(OR(D149="",E149=""),"INCOMPLETE",IF(AND(D149&gt;=70,E149&lt;60),"DEPENDENCY GAP",IF(AND(D149&gt;=70,G149&lt;F149),"REQUIRED MATURITY GAP","OK")))</f>
        <v/>
      </c>
      <c r="J149" s="18" t="inlineStr">
        <is>
          <t>Student capability review</t>
        </is>
      </c>
    </row>
    <row r="150">
      <c r="A150" s="18" t="inlineStr">
        <is>
          <t>CD09</t>
        </is>
      </c>
      <c r="B150" s="18" t="inlineStr">
        <is>
          <t>D03-I08</t>
        </is>
      </c>
      <c r="C150" s="18" t="inlineStr">
        <is>
          <t>D06-I10</t>
        </is>
      </c>
      <c r="D150" s="18">
        <f>'P0-3_Scorecard'!L33</f>
        <v/>
      </c>
      <c r="E150" s="18">
        <f>'P0-3_Scorecard'!L76</f>
        <v/>
      </c>
      <c r="F150" s="18">
        <f>'P0-3_Scorecard'!M76</f>
        <v/>
      </c>
      <c r="G150" s="18">
        <f>'P0-3_Scorecard'!E76</f>
        <v/>
      </c>
      <c r="H150" s="18">
        <f>'P0-3_Scorecard'!H76</f>
        <v/>
      </c>
      <c r="I150" s="18">
        <f>IF(OR(D150="",E150=""),"INCOMPLETE",IF(AND(D150&gt;=70,E150&lt;60),"DEPENDENCY GAP",IF(AND(D150&gt;=70,G150&lt;F150),"REQUIRED MATURITY GAP","OK")))</f>
        <v/>
      </c>
      <c r="J150" s="18" t="inlineStr">
        <is>
          <t>Student capability review</t>
        </is>
      </c>
    </row>
    <row r="151">
      <c r="A151" s="18" t="inlineStr">
        <is>
          <t>CD09</t>
        </is>
      </c>
      <c r="B151" s="18" t="inlineStr">
        <is>
          <t>D03-I08</t>
        </is>
      </c>
      <c r="C151" s="18" t="inlineStr">
        <is>
          <t>D06-I14</t>
        </is>
      </c>
      <c r="D151" s="18">
        <f>'P0-3_Scorecard'!L33</f>
        <v/>
      </c>
      <c r="E151" s="18">
        <f>'P0-3_Scorecard'!L80</f>
        <v/>
      </c>
      <c r="F151" s="18">
        <f>'P0-3_Scorecard'!M80</f>
        <v/>
      </c>
      <c r="G151" s="18">
        <f>'P0-3_Scorecard'!E80</f>
        <v/>
      </c>
      <c r="H151" s="18">
        <f>'P0-3_Scorecard'!H80</f>
        <v/>
      </c>
      <c r="I151" s="18">
        <f>IF(OR(D151="",E151=""),"INCOMPLETE",IF(AND(D151&gt;=70,E151&lt;60),"DEPENDENCY GAP",IF(AND(D151&gt;=70,G151&lt;F151),"REQUIRED MATURITY GAP","OK")))</f>
        <v/>
      </c>
      <c r="J151" s="18" t="inlineStr">
        <is>
          <t>Student capability review</t>
        </is>
      </c>
    </row>
    <row r="152">
      <c r="A152" s="18" t="inlineStr">
        <is>
          <t>CD09</t>
        </is>
      </c>
      <c r="B152" s="18" t="inlineStr">
        <is>
          <t>D03-I15</t>
        </is>
      </c>
      <c r="C152" s="18" t="inlineStr">
        <is>
          <t>D06-I02</t>
        </is>
      </c>
      <c r="D152" s="18">
        <f>'P0-3_Scorecard'!L40</f>
        <v/>
      </c>
      <c r="E152" s="18">
        <f>'P0-3_Scorecard'!L68</f>
        <v/>
      </c>
      <c r="F152" s="18">
        <f>'P0-3_Scorecard'!M68</f>
        <v/>
      </c>
      <c r="G152" s="18">
        <f>'P0-3_Scorecard'!E68</f>
        <v/>
      </c>
      <c r="H152" s="18">
        <f>'P0-3_Scorecard'!H68</f>
        <v/>
      </c>
      <c r="I152" s="18">
        <f>IF(OR(D152="",E152=""),"INCOMPLETE",IF(AND(D152&gt;=70,E152&lt;60),"DEPENDENCY GAP",IF(AND(D152&gt;=70,G152&lt;F152),"REQUIRED MATURITY GAP","OK")))</f>
        <v/>
      </c>
      <c r="J152" s="18" t="inlineStr">
        <is>
          <t>Student capability review</t>
        </is>
      </c>
    </row>
    <row r="153">
      <c r="A153" s="18" t="inlineStr">
        <is>
          <t>CD09</t>
        </is>
      </c>
      <c r="B153" s="18" t="inlineStr">
        <is>
          <t>D03-I15</t>
        </is>
      </c>
      <c r="C153" s="18" t="inlineStr">
        <is>
          <t>D06-I03</t>
        </is>
      </c>
      <c r="D153" s="18">
        <f>'P0-3_Scorecard'!L40</f>
        <v/>
      </c>
      <c r="E153" s="18">
        <f>'P0-3_Scorecard'!L69</f>
        <v/>
      </c>
      <c r="F153" s="18">
        <f>'P0-3_Scorecard'!M69</f>
        <v/>
      </c>
      <c r="G153" s="18">
        <f>'P0-3_Scorecard'!E69</f>
        <v/>
      </c>
      <c r="H153" s="18">
        <f>'P0-3_Scorecard'!H69</f>
        <v/>
      </c>
      <c r="I153" s="18">
        <f>IF(OR(D153="",E153=""),"INCOMPLETE",IF(AND(D153&gt;=70,E153&lt;60),"DEPENDENCY GAP",IF(AND(D153&gt;=70,G153&lt;F153),"REQUIRED MATURITY GAP","OK")))</f>
        <v/>
      </c>
      <c r="J153" s="18" t="inlineStr">
        <is>
          <t>Student capability review</t>
        </is>
      </c>
    </row>
    <row r="154">
      <c r="A154" s="18" t="inlineStr">
        <is>
          <t>CD09</t>
        </is>
      </c>
      <c r="B154" s="18" t="inlineStr">
        <is>
          <t>D03-I15</t>
        </is>
      </c>
      <c r="C154" s="18" t="inlineStr">
        <is>
          <t>D06-I04</t>
        </is>
      </c>
      <c r="D154" s="18">
        <f>'P0-3_Scorecard'!L40</f>
        <v/>
      </c>
      <c r="E154" s="18">
        <f>'P0-3_Scorecard'!L70</f>
        <v/>
      </c>
      <c r="F154" s="18">
        <f>'P0-3_Scorecard'!M70</f>
        <v/>
      </c>
      <c r="G154" s="18">
        <f>'P0-3_Scorecard'!E70</f>
        <v/>
      </c>
      <c r="H154" s="18">
        <f>'P0-3_Scorecard'!H70</f>
        <v/>
      </c>
      <c r="I154" s="18">
        <f>IF(OR(D154="",E154=""),"INCOMPLETE",IF(AND(D154&gt;=70,E154&lt;60),"DEPENDENCY GAP",IF(AND(D154&gt;=70,G154&lt;F154),"REQUIRED MATURITY GAP","OK")))</f>
        <v/>
      </c>
      <c r="J154" s="18" t="inlineStr">
        <is>
          <t>Student capability review</t>
        </is>
      </c>
    </row>
    <row r="155">
      <c r="A155" s="18" t="inlineStr">
        <is>
          <t>CD09</t>
        </is>
      </c>
      <c r="B155" s="18" t="inlineStr">
        <is>
          <t>D03-I15</t>
        </is>
      </c>
      <c r="C155" s="18" t="inlineStr">
        <is>
          <t>D06-I10</t>
        </is>
      </c>
      <c r="D155" s="18">
        <f>'P0-3_Scorecard'!L40</f>
        <v/>
      </c>
      <c r="E155" s="18">
        <f>'P0-3_Scorecard'!L76</f>
        <v/>
      </c>
      <c r="F155" s="18">
        <f>'P0-3_Scorecard'!M76</f>
        <v/>
      </c>
      <c r="G155" s="18">
        <f>'P0-3_Scorecard'!E76</f>
        <v/>
      </c>
      <c r="H155" s="18">
        <f>'P0-3_Scorecard'!H76</f>
        <v/>
      </c>
      <c r="I155" s="18">
        <f>IF(OR(D155="",E155=""),"INCOMPLETE",IF(AND(D155&gt;=70,E155&lt;60),"DEPENDENCY GAP",IF(AND(D155&gt;=70,G155&lt;F155),"REQUIRED MATURITY GAP","OK")))</f>
        <v/>
      </c>
      <c r="J155" s="18" t="inlineStr">
        <is>
          <t>Student capability review</t>
        </is>
      </c>
    </row>
    <row r="156">
      <c r="A156" s="18" t="inlineStr">
        <is>
          <t>CD09</t>
        </is>
      </c>
      <c r="B156" s="18" t="inlineStr">
        <is>
          <t>D03-I15</t>
        </is>
      </c>
      <c r="C156" s="18" t="inlineStr">
        <is>
          <t>D06-I14</t>
        </is>
      </c>
      <c r="D156" s="18">
        <f>'P0-3_Scorecard'!L40</f>
        <v/>
      </c>
      <c r="E156" s="18">
        <f>'P0-3_Scorecard'!L80</f>
        <v/>
      </c>
      <c r="F156" s="18">
        <f>'P0-3_Scorecard'!M80</f>
        <v/>
      </c>
      <c r="G156" s="18">
        <f>'P0-3_Scorecard'!E80</f>
        <v/>
      </c>
      <c r="H156" s="18">
        <f>'P0-3_Scorecard'!H80</f>
        <v/>
      </c>
      <c r="I156" s="18">
        <f>IF(OR(D156="",E156=""),"INCOMPLETE",IF(AND(D156&gt;=70,E156&lt;60),"DEPENDENCY GAP",IF(AND(D156&gt;=70,G156&lt;F156),"REQUIRED MATURITY GAP","OK")))</f>
        <v/>
      </c>
      <c r="J156" s="18" t="inlineStr">
        <is>
          <t>Student capability review</t>
        </is>
      </c>
    </row>
    <row r="157">
      <c r="A157" s="18" t="inlineStr">
        <is>
          <t>CD09</t>
        </is>
      </c>
      <c r="B157" s="18" t="inlineStr">
        <is>
          <t>D03-I16</t>
        </is>
      </c>
      <c r="C157" s="18" t="inlineStr">
        <is>
          <t>D06-I02</t>
        </is>
      </c>
      <c r="D157" s="18">
        <f>'P0-3_Scorecard'!L41</f>
        <v/>
      </c>
      <c r="E157" s="18">
        <f>'P0-3_Scorecard'!L68</f>
        <v/>
      </c>
      <c r="F157" s="18">
        <f>'P0-3_Scorecard'!M68</f>
        <v/>
      </c>
      <c r="G157" s="18">
        <f>'P0-3_Scorecard'!E68</f>
        <v/>
      </c>
      <c r="H157" s="18">
        <f>'P0-3_Scorecard'!H68</f>
        <v/>
      </c>
      <c r="I157" s="18">
        <f>IF(OR(D157="",E157=""),"INCOMPLETE",IF(AND(D157&gt;=70,E157&lt;60),"DEPENDENCY GAP",IF(AND(D157&gt;=70,G157&lt;F157),"REQUIRED MATURITY GAP","OK")))</f>
        <v/>
      </c>
      <c r="J157" s="18" t="inlineStr">
        <is>
          <t>Student capability review</t>
        </is>
      </c>
    </row>
    <row r="158">
      <c r="A158" s="18" t="inlineStr">
        <is>
          <t>CD09</t>
        </is>
      </c>
      <c r="B158" s="18" t="inlineStr">
        <is>
          <t>D03-I16</t>
        </is>
      </c>
      <c r="C158" s="18" t="inlineStr">
        <is>
          <t>D06-I03</t>
        </is>
      </c>
      <c r="D158" s="18">
        <f>'P0-3_Scorecard'!L41</f>
        <v/>
      </c>
      <c r="E158" s="18">
        <f>'P0-3_Scorecard'!L69</f>
        <v/>
      </c>
      <c r="F158" s="18">
        <f>'P0-3_Scorecard'!M69</f>
        <v/>
      </c>
      <c r="G158" s="18">
        <f>'P0-3_Scorecard'!E69</f>
        <v/>
      </c>
      <c r="H158" s="18">
        <f>'P0-3_Scorecard'!H69</f>
        <v/>
      </c>
      <c r="I158" s="18">
        <f>IF(OR(D158="",E158=""),"INCOMPLETE",IF(AND(D158&gt;=70,E158&lt;60),"DEPENDENCY GAP",IF(AND(D158&gt;=70,G158&lt;F158),"REQUIRED MATURITY GAP","OK")))</f>
        <v/>
      </c>
      <c r="J158" s="18" t="inlineStr">
        <is>
          <t>Student capability review</t>
        </is>
      </c>
    </row>
    <row r="159">
      <c r="A159" s="18" t="inlineStr">
        <is>
          <t>CD09</t>
        </is>
      </c>
      <c r="B159" s="18" t="inlineStr">
        <is>
          <t>D03-I16</t>
        </is>
      </c>
      <c r="C159" s="18" t="inlineStr">
        <is>
          <t>D06-I04</t>
        </is>
      </c>
      <c r="D159" s="18">
        <f>'P0-3_Scorecard'!L41</f>
        <v/>
      </c>
      <c r="E159" s="18">
        <f>'P0-3_Scorecard'!L70</f>
        <v/>
      </c>
      <c r="F159" s="18">
        <f>'P0-3_Scorecard'!M70</f>
        <v/>
      </c>
      <c r="G159" s="18">
        <f>'P0-3_Scorecard'!E70</f>
        <v/>
      </c>
      <c r="H159" s="18">
        <f>'P0-3_Scorecard'!H70</f>
        <v/>
      </c>
      <c r="I159" s="18">
        <f>IF(OR(D159="",E159=""),"INCOMPLETE",IF(AND(D159&gt;=70,E159&lt;60),"DEPENDENCY GAP",IF(AND(D159&gt;=70,G159&lt;F159),"REQUIRED MATURITY GAP","OK")))</f>
        <v/>
      </c>
      <c r="J159" s="18" t="inlineStr">
        <is>
          <t>Student capability review</t>
        </is>
      </c>
    </row>
    <row r="160">
      <c r="A160" s="18" t="inlineStr">
        <is>
          <t>CD09</t>
        </is>
      </c>
      <c r="B160" s="18" t="inlineStr">
        <is>
          <t>D03-I16</t>
        </is>
      </c>
      <c r="C160" s="18" t="inlineStr">
        <is>
          <t>D06-I10</t>
        </is>
      </c>
      <c r="D160" s="18">
        <f>'P0-3_Scorecard'!L41</f>
        <v/>
      </c>
      <c r="E160" s="18">
        <f>'P0-3_Scorecard'!L76</f>
        <v/>
      </c>
      <c r="F160" s="18">
        <f>'P0-3_Scorecard'!M76</f>
        <v/>
      </c>
      <c r="G160" s="18">
        <f>'P0-3_Scorecard'!E76</f>
        <v/>
      </c>
      <c r="H160" s="18">
        <f>'P0-3_Scorecard'!H76</f>
        <v/>
      </c>
      <c r="I160" s="18">
        <f>IF(OR(D160="",E160=""),"INCOMPLETE",IF(AND(D160&gt;=70,E160&lt;60),"DEPENDENCY GAP",IF(AND(D160&gt;=70,G160&lt;F160),"REQUIRED MATURITY GAP","OK")))</f>
        <v/>
      </c>
      <c r="J160" s="18" t="inlineStr">
        <is>
          <t>Student capability review</t>
        </is>
      </c>
    </row>
    <row r="161">
      <c r="A161" s="18" t="inlineStr">
        <is>
          <t>CD09</t>
        </is>
      </c>
      <c r="B161" s="18" t="inlineStr">
        <is>
          <t>D03-I16</t>
        </is>
      </c>
      <c r="C161" s="18" t="inlineStr">
        <is>
          <t>D06-I14</t>
        </is>
      </c>
      <c r="D161" s="18">
        <f>'P0-3_Scorecard'!L41</f>
        <v/>
      </c>
      <c r="E161" s="18">
        <f>'P0-3_Scorecard'!L80</f>
        <v/>
      </c>
      <c r="F161" s="18">
        <f>'P0-3_Scorecard'!M80</f>
        <v/>
      </c>
      <c r="G161" s="18">
        <f>'P0-3_Scorecard'!E80</f>
        <v/>
      </c>
      <c r="H161" s="18">
        <f>'P0-3_Scorecard'!H80</f>
        <v/>
      </c>
      <c r="I161" s="18">
        <f>IF(OR(D161="",E161=""),"INCOMPLETE",IF(AND(D161&gt;=70,E161&lt;60),"DEPENDENCY GAP",IF(AND(D161&gt;=70,G161&lt;F161),"REQUIRED MATURITY GAP","OK")))</f>
        <v/>
      </c>
      <c r="J161" s="18" t="inlineStr">
        <is>
          <t>Student capability review</t>
        </is>
      </c>
    </row>
    <row r="162">
      <c r="A162" s="18" t="inlineStr">
        <is>
          <t>CD10</t>
        </is>
      </c>
      <c r="B162" s="18" t="inlineStr">
        <is>
          <t>D03-I02</t>
        </is>
      </c>
      <c r="C162" s="18" t="inlineStr">
        <is>
          <t>D07-I02</t>
        </is>
      </c>
      <c r="D162" s="18">
        <f>'P0-3_Scorecard'!L27</f>
        <v/>
      </c>
      <c r="E162" s="18">
        <f>'P0-3_Scorecard'!L82</f>
        <v/>
      </c>
      <c r="F162" s="18">
        <f>'P0-3_Scorecard'!M82</f>
        <v/>
      </c>
      <c r="G162" s="18">
        <f>'P0-3_Scorecard'!E82</f>
        <v/>
      </c>
      <c r="H162" s="18">
        <f>'P0-3_Scorecard'!H82</f>
        <v/>
      </c>
      <c r="I162" s="18">
        <f>IF(OR(D162="",E162=""),"INCOMPLETE",IF(AND(D162&gt;=70,E162&lt;60),"DEPENDENCY GAP",IF(AND(D162&gt;=70,G162&lt;F162),"REQUIRED MATURITY GAP","OK")))</f>
        <v/>
      </c>
      <c r="J162" s="18" t="inlineStr">
        <is>
          <t>Assessment alignment review</t>
        </is>
      </c>
    </row>
    <row r="163">
      <c r="A163" s="18" t="inlineStr">
        <is>
          <t>CD10</t>
        </is>
      </c>
      <c r="B163" s="18" t="inlineStr">
        <is>
          <t>D03-I02</t>
        </is>
      </c>
      <c r="C163" s="18" t="inlineStr">
        <is>
          <t>D07-I03</t>
        </is>
      </c>
      <c r="D163" s="18">
        <f>'P0-3_Scorecard'!L27</f>
        <v/>
      </c>
      <c r="E163" s="18">
        <f>'P0-3_Scorecard'!L83</f>
        <v/>
      </c>
      <c r="F163" s="18">
        <f>'P0-3_Scorecard'!M83</f>
        <v/>
      </c>
      <c r="G163" s="18">
        <f>'P0-3_Scorecard'!E83</f>
        <v/>
      </c>
      <c r="H163" s="18">
        <f>'P0-3_Scorecard'!H83</f>
        <v/>
      </c>
      <c r="I163" s="18">
        <f>IF(OR(D163="",E163=""),"INCOMPLETE",IF(AND(D163&gt;=70,E163&lt;60),"DEPENDENCY GAP",IF(AND(D163&gt;=70,G163&lt;F163),"REQUIRED MATURITY GAP","OK")))</f>
        <v/>
      </c>
      <c r="J163" s="18" t="inlineStr">
        <is>
          <t>Assessment alignment review</t>
        </is>
      </c>
    </row>
    <row r="164">
      <c r="A164" s="18" t="inlineStr">
        <is>
          <t>CD10</t>
        </is>
      </c>
      <c r="B164" s="18" t="inlineStr">
        <is>
          <t>D03-I02</t>
        </is>
      </c>
      <c r="C164" s="18" t="inlineStr">
        <is>
          <t>D07-I05</t>
        </is>
      </c>
      <c r="D164" s="18">
        <f>'P0-3_Scorecard'!L27</f>
        <v/>
      </c>
      <c r="E164" s="18">
        <f>'P0-3_Scorecard'!L85</f>
        <v/>
      </c>
      <c r="F164" s="18">
        <f>'P0-3_Scorecard'!M85</f>
        <v/>
      </c>
      <c r="G164" s="18">
        <f>'P0-3_Scorecard'!E85</f>
        <v/>
      </c>
      <c r="H164" s="18">
        <f>'P0-3_Scorecard'!H85</f>
        <v/>
      </c>
      <c r="I164" s="18">
        <f>IF(OR(D164="",E164=""),"INCOMPLETE",IF(AND(D164&gt;=70,E164&lt;60),"DEPENDENCY GAP",IF(AND(D164&gt;=70,G164&lt;F164),"REQUIRED MATURITY GAP","OK")))</f>
        <v/>
      </c>
      <c r="J164" s="18" t="inlineStr">
        <is>
          <t>Assessment alignment review</t>
        </is>
      </c>
    </row>
    <row r="165">
      <c r="A165" s="18" t="inlineStr">
        <is>
          <t>CD10</t>
        </is>
      </c>
      <c r="B165" s="18" t="inlineStr">
        <is>
          <t>D03-I02</t>
        </is>
      </c>
      <c r="C165" s="18" t="inlineStr">
        <is>
          <t>D07-I07</t>
        </is>
      </c>
      <c r="D165" s="18">
        <f>'P0-3_Scorecard'!L27</f>
        <v/>
      </c>
      <c r="E165" s="18">
        <f>'P0-3_Scorecard'!L87</f>
        <v/>
      </c>
      <c r="F165" s="18">
        <f>'P0-3_Scorecard'!M87</f>
        <v/>
      </c>
      <c r="G165" s="18">
        <f>'P0-3_Scorecard'!E87</f>
        <v/>
      </c>
      <c r="H165" s="18">
        <f>'P0-3_Scorecard'!H87</f>
        <v/>
      </c>
      <c r="I165" s="18">
        <f>IF(OR(D165="",E165=""),"INCOMPLETE",IF(AND(D165&gt;=70,E165&lt;60),"DEPENDENCY GAP",IF(AND(D165&gt;=70,G165&lt;F165),"REQUIRED MATURITY GAP","OK")))</f>
        <v/>
      </c>
      <c r="J165" s="18" t="inlineStr">
        <is>
          <t>Assessment alignment review</t>
        </is>
      </c>
    </row>
    <row r="166">
      <c r="A166" s="18" t="inlineStr">
        <is>
          <t>CD10</t>
        </is>
      </c>
      <c r="B166" s="18" t="inlineStr">
        <is>
          <t>D03-I02</t>
        </is>
      </c>
      <c r="C166" s="18" t="inlineStr">
        <is>
          <t>D07-I08</t>
        </is>
      </c>
      <c r="D166" s="18">
        <f>'P0-3_Scorecard'!L27</f>
        <v/>
      </c>
      <c r="E166" s="18">
        <f>'P0-3_Scorecard'!L88</f>
        <v/>
      </c>
      <c r="F166" s="18">
        <f>'P0-3_Scorecard'!M88</f>
        <v/>
      </c>
      <c r="G166" s="18">
        <f>'P0-3_Scorecard'!E88</f>
        <v/>
      </c>
      <c r="H166" s="18">
        <f>'P0-3_Scorecard'!H88</f>
        <v/>
      </c>
      <c r="I166" s="18">
        <f>IF(OR(D166="",E166=""),"INCOMPLETE",IF(AND(D166&gt;=70,E166&lt;60),"DEPENDENCY GAP",IF(AND(D166&gt;=70,G166&lt;F166),"REQUIRED MATURITY GAP","OK")))</f>
        <v/>
      </c>
      <c r="J166" s="18" t="inlineStr">
        <is>
          <t>Assessment alignment review</t>
        </is>
      </c>
    </row>
    <row r="167">
      <c r="A167" s="18" t="inlineStr">
        <is>
          <t>CD10</t>
        </is>
      </c>
      <c r="B167" s="18" t="inlineStr">
        <is>
          <t>D03-I05</t>
        </is>
      </c>
      <c r="C167" s="18" t="inlineStr">
        <is>
          <t>D07-I02</t>
        </is>
      </c>
      <c r="D167" s="18">
        <f>'P0-3_Scorecard'!L30</f>
        <v/>
      </c>
      <c r="E167" s="18">
        <f>'P0-3_Scorecard'!L82</f>
        <v/>
      </c>
      <c r="F167" s="18">
        <f>'P0-3_Scorecard'!M82</f>
        <v/>
      </c>
      <c r="G167" s="18">
        <f>'P0-3_Scorecard'!E82</f>
        <v/>
      </c>
      <c r="H167" s="18">
        <f>'P0-3_Scorecard'!H82</f>
        <v/>
      </c>
      <c r="I167" s="18">
        <f>IF(OR(D167="",E167=""),"INCOMPLETE",IF(AND(D167&gt;=70,E167&lt;60),"DEPENDENCY GAP",IF(AND(D167&gt;=70,G167&lt;F167),"REQUIRED MATURITY GAP","OK")))</f>
        <v/>
      </c>
      <c r="J167" s="18" t="inlineStr">
        <is>
          <t>Assessment alignment review</t>
        </is>
      </c>
    </row>
    <row r="168">
      <c r="A168" s="18" t="inlineStr">
        <is>
          <t>CD10</t>
        </is>
      </c>
      <c r="B168" s="18" t="inlineStr">
        <is>
          <t>D03-I05</t>
        </is>
      </c>
      <c r="C168" s="18" t="inlineStr">
        <is>
          <t>D07-I03</t>
        </is>
      </c>
      <c r="D168" s="18">
        <f>'P0-3_Scorecard'!L30</f>
        <v/>
      </c>
      <c r="E168" s="18">
        <f>'P0-3_Scorecard'!L83</f>
        <v/>
      </c>
      <c r="F168" s="18">
        <f>'P0-3_Scorecard'!M83</f>
        <v/>
      </c>
      <c r="G168" s="18">
        <f>'P0-3_Scorecard'!E83</f>
        <v/>
      </c>
      <c r="H168" s="18">
        <f>'P0-3_Scorecard'!H83</f>
        <v/>
      </c>
      <c r="I168" s="18">
        <f>IF(OR(D168="",E168=""),"INCOMPLETE",IF(AND(D168&gt;=70,E168&lt;60),"DEPENDENCY GAP",IF(AND(D168&gt;=70,G168&lt;F168),"REQUIRED MATURITY GAP","OK")))</f>
        <v/>
      </c>
      <c r="J168" s="18" t="inlineStr">
        <is>
          <t>Assessment alignment review</t>
        </is>
      </c>
    </row>
    <row r="169">
      <c r="A169" s="18" t="inlineStr">
        <is>
          <t>CD10</t>
        </is>
      </c>
      <c r="B169" s="18" t="inlineStr">
        <is>
          <t>D03-I05</t>
        </is>
      </c>
      <c r="C169" s="18" t="inlineStr">
        <is>
          <t>D07-I05</t>
        </is>
      </c>
      <c r="D169" s="18">
        <f>'P0-3_Scorecard'!L30</f>
        <v/>
      </c>
      <c r="E169" s="18">
        <f>'P0-3_Scorecard'!L85</f>
        <v/>
      </c>
      <c r="F169" s="18">
        <f>'P0-3_Scorecard'!M85</f>
        <v/>
      </c>
      <c r="G169" s="18">
        <f>'P0-3_Scorecard'!E85</f>
        <v/>
      </c>
      <c r="H169" s="18">
        <f>'P0-3_Scorecard'!H85</f>
        <v/>
      </c>
      <c r="I169" s="18">
        <f>IF(OR(D169="",E169=""),"INCOMPLETE",IF(AND(D169&gt;=70,E169&lt;60),"DEPENDENCY GAP",IF(AND(D169&gt;=70,G169&lt;F169),"REQUIRED MATURITY GAP","OK")))</f>
        <v/>
      </c>
      <c r="J169" s="18" t="inlineStr">
        <is>
          <t>Assessment alignment review</t>
        </is>
      </c>
    </row>
    <row r="170">
      <c r="A170" s="18" t="inlineStr">
        <is>
          <t>CD10</t>
        </is>
      </c>
      <c r="B170" s="18" t="inlineStr">
        <is>
          <t>D03-I05</t>
        </is>
      </c>
      <c r="C170" s="18" t="inlineStr">
        <is>
          <t>D07-I07</t>
        </is>
      </c>
      <c r="D170" s="18">
        <f>'P0-3_Scorecard'!L30</f>
        <v/>
      </c>
      <c r="E170" s="18">
        <f>'P0-3_Scorecard'!L87</f>
        <v/>
      </c>
      <c r="F170" s="18">
        <f>'P0-3_Scorecard'!M87</f>
        <v/>
      </c>
      <c r="G170" s="18">
        <f>'P0-3_Scorecard'!E87</f>
        <v/>
      </c>
      <c r="H170" s="18">
        <f>'P0-3_Scorecard'!H87</f>
        <v/>
      </c>
      <c r="I170" s="18">
        <f>IF(OR(D170="",E170=""),"INCOMPLETE",IF(AND(D170&gt;=70,E170&lt;60),"DEPENDENCY GAP",IF(AND(D170&gt;=70,G170&lt;F170),"REQUIRED MATURITY GAP","OK")))</f>
        <v/>
      </c>
      <c r="J170" s="18" t="inlineStr">
        <is>
          <t>Assessment alignment review</t>
        </is>
      </c>
    </row>
    <row r="171">
      <c r="A171" s="18" t="inlineStr">
        <is>
          <t>CD10</t>
        </is>
      </c>
      <c r="B171" s="18" t="inlineStr">
        <is>
          <t>D03-I05</t>
        </is>
      </c>
      <c r="C171" s="18" t="inlineStr">
        <is>
          <t>D07-I08</t>
        </is>
      </c>
      <c r="D171" s="18">
        <f>'P0-3_Scorecard'!L30</f>
        <v/>
      </c>
      <c r="E171" s="18">
        <f>'P0-3_Scorecard'!L88</f>
        <v/>
      </c>
      <c r="F171" s="18">
        <f>'P0-3_Scorecard'!M88</f>
        <v/>
      </c>
      <c r="G171" s="18">
        <f>'P0-3_Scorecard'!E88</f>
        <v/>
      </c>
      <c r="H171" s="18">
        <f>'P0-3_Scorecard'!H88</f>
        <v/>
      </c>
      <c r="I171" s="18">
        <f>IF(OR(D171="",E171=""),"INCOMPLETE",IF(AND(D171&gt;=70,E171&lt;60),"DEPENDENCY GAP",IF(AND(D171&gt;=70,G171&lt;F171),"REQUIRED MATURITY GAP","OK")))</f>
        <v/>
      </c>
      <c r="J171" s="18" t="inlineStr">
        <is>
          <t>Assessment alignment review</t>
        </is>
      </c>
    </row>
    <row r="172">
      <c r="A172" s="18" t="inlineStr">
        <is>
          <t>CD10</t>
        </is>
      </c>
      <c r="B172" s="18" t="inlineStr">
        <is>
          <t>D03-I07</t>
        </is>
      </c>
      <c r="C172" s="18" t="inlineStr">
        <is>
          <t>D07-I02</t>
        </is>
      </c>
      <c r="D172" s="18">
        <f>'P0-3_Scorecard'!L32</f>
        <v/>
      </c>
      <c r="E172" s="18">
        <f>'P0-3_Scorecard'!L82</f>
        <v/>
      </c>
      <c r="F172" s="18">
        <f>'P0-3_Scorecard'!M82</f>
        <v/>
      </c>
      <c r="G172" s="18">
        <f>'P0-3_Scorecard'!E82</f>
        <v/>
      </c>
      <c r="H172" s="18">
        <f>'P0-3_Scorecard'!H82</f>
        <v/>
      </c>
      <c r="I172" s="18">
        <f>IF(OR(D172="",E172=""),"INCOMPLETE",IF(AND(D172&gt;=70,E172&lt;60),"DEPENDENCY GAP",IF(AND(D172&gt;=70,G172&lt;F172),"REQUIRED MATURITY GAP","OK")))</f>
        <v/>
      </c>
      <c r="J172" s="18" t="inlineStr">
        <is>
          <t>Assessment alignment review</t>
        </is>
      </c>
    </row>
    <row r="173">
      <c r="A173" s="18" t="inlineStr">
        <is>
          <t>CD10</t>
        </is>
      </c>
      <c r="B173" s="18" t="inlineStr">
        <is>
          <t>D03-I07</t>
        </is>
      </c>
      <c r="C173" s="18" t="inlineStr">
        <is>
          <t>D07-I03</t>
        </is>
      </c>
      <c r="D173" s="18">
        <f>'P0-3_Scorecard'!L32</f>
        <v/>
      </c>
      <c r="E173" s="18">
        <f>'P0-3_Scorecard'!L83</f>
        <v/>
      </c>
      <c r="F173" s="18">
        <f>'P0-3_Scorecard'!M83</f>
        <v/>
      </c>
      <c r="G173" s="18">
        <f>'P0-3_Scorecard'!E83</f>
        <v/>
      </c>
      <c r="H173" s="18">
        <f>'P0-3_Scorecard'!H83</f>
        <v/>
      </c>
      <c r="I173" s="18">
        <f>IF(OR(D173="",E173=""),"INCOMPLETE",IF(AND(D173&gt;=70,E173&lt;60),"DEPENDENCY GAP",IF(AND(D173&gt;=70,G173&lt;F173),"REQUIRED MATURITY GAP","OK")))</f>
        <v/>
      </c>
      <c r="J173" s="18" t="inlineStr">
        <is>
          <t>Assessment alignment review</t>
        </is>
      </c>
    </row>
    <row r="174">
      <c r="A174" s="18" t="inlineStr">
        <is>
          <t>CD10</t>
        </is>
      </c>
      <c r="B174" s="18" t="inlineStr">
        <is>
          <t>D03-I07</t>
        </is>
      </c>
      <c r="C174" s="18" t="inlineStr">
        <is>
          <t>D07-I05</t>
        </is>
      </c>
      <c r="D174" s="18">
        <f>'P0-3_Scorecard'!L32</f>
        <v/>
      </c>
      <c r="E174" s="18">
        <f>'P0-3_Scorecard'!L85</f>
        <v/>
      </c>
      <c r="F174" s="18">
        <f>'P0-3_Scorecard'!M85</f>
        <v/>
      </c>
      <c r="G174" s="18">
        <f>'P0-3_Scorecard'!E85</f>
        <v/>
      </c>
      <c r="H174" s="18">
        <f>'P0-3_Scorecard'!H85</f>
        <v/>
      </c>
      <c r="I174" s="18">
        <f>IF(OR(D174="",E174=""),"INCOMPLETE",IF(AND(D174&gt;=70,E174&lt;60),"DEPENDENCY GAP",IF(AND(D174&gt;=70,G174&lt;F174),"REQUIRED MATURITY GAP","OK")))</f>
        <v/>
      </c>
      <c r="J174" s="18" t="inlineStr">
        <is>
          <t>Assessment alignment review</t>
        </is>
      </c>
    </row>
    <row r="175">
      <c r="A175" s="18" t="inlineStr">
        <is>
          <t>CD10</t>
        </is>
      </c>
      <c r="B175" s="18" t="inlineStr">
        <is>
          <t>D03-I07</t>
        </is>
      </c>
      <c r="C175" s="18" t="inlineStr">
        <is>
          <t>D07-I07</t>
        </is>
      </c>
      <c r="D175" s="18">
        <f>'P0-3_Scorecard'!L32</f>
        <v/>
      </c>
      <c r="E175" s="18">
        <f>'P0-3_Scorecard'!L87</f>
        <v/>
      </c>
      <c r="F175" s="18">
        <f>'P0-3_Scorecard'!M87</f>
        <v/>
      </c>
      <c r="G175" s="18">
        <f>'P0-3_Scorecard'!E87</f>
        <v/>
      </c>
      <c r="H175" s="18">
        <f>'P0-3_Scorecard'!H87</f>
        <v/>
      </c>
      <c r="I175" s="18">
        <f>IF(OR(D175="",E175=""),"INCOMPLETE",IF(AND(D175&gt;=70,E175&lt;60),"DEPENDENCY GAP",IF(AND(D175&gt;=70,G175&lt;F175),"REQUIRED MATURITY GAP","OK")))</f>
        <v/>
      </c>
      <c r="J175" s="18" t="inlineStr">
        <is>
          <t>Assessment alignment review</t>
        </is>
      </c>
    </row>
    <row r="176">
      <c r="A176" s="18" t="inlineStr">
        <is>
          <t>CD10</t>
        </is>
      </c>
      <c r="B176" s="18" t="inlineStr">
        <is>
          <t>D03-I07</t>
        </is>
      </c>
      <c r="C176" s="18" t="inlineStr">
        <is>
          <t>D07-I08</t>
        </is>
      </c>
      <c r="D176" s="18">
        <f>'P0-3_Scorecard'!L32</f>
        <v/>
      </c>
      <c r="E176" s="18">
        <f>'P0-3_Scorecard'!L88</f>
        <v/>
      </c>
      <c r="F176" s="18">
        <f>'P0-3_Scorecard'!M88</f>
        <v/>
      </c>
      <c r="G176" s="18">
        <f>'P0-3_Scorecard'!E88</f>
        <v/>
      </c>
      <c r="H176" s="18">
        <f>'P0-3_Scorecard'!H88</f>
        <v/>
      </c>
      <c r="I176" s="18">
        <f>IF(OR(D176="",E176=""),"INCOMPLETE",IF(AND(D176&gt;=70,E176&lt;60),"DEPENDENCY GAP",IF(AND(D176&gt;=70,G176&lt;F176),"REQUIRED MATURITY GAP","OK")))</f>
        <v/>
      </c>
      <c r="J176" s="18" t="inlineStr">
        <is>
          <t>Assessment alignment review</t>
        </is>
      </c>
    </row>
    <row r="177">
      <c r="A177" s="18" t="inlineStr">
        <is>
          <t>CD10</t>
        </is>
      </c>
      <c r="B177" s="18" t="inlineStr">
        <is>
          <t>D03-I16</t>
        </is>
      </c>
      <c r="C177" s="18" t="inlineStr">
        <is>
          <t>D07-I02</t>
        </is>
      </c>
      <c r="D177" s="18">
        <f>'P0-3_Scorecard'!L41</f>
        <v/>
      </c>
      <c r="E177" s="18">
        <f>'P0-3_Scorecard'!L82</f>
        <v/>
      </c>
      <c r="F177" s="18">
        <f>'P0-3_Scorecard'!M82</f>
        <v/>
      </c>
      <c r="G177" s="18">
        <f>'P0-3_Scorecard'!E82</f>
        <v/>
      </c>
      <c r="H177" s="18">
        <f>'P0-3_Scorecard'!H82</f>
        <v/>
      </c>
      <c r="I177" s="18">
        <f>IF(OR(D177="",E177=""),"INCOMPLETE",IF(AND(D177&gt;=70,E177&lt;60),"DEPENDENCY GAP",IF(AND(D177&gt;=70,G177&lt;F177),"REQUIRED MATURITY GAP","OK")))</f>
        <v/>
      </c>
      <c r="J177" s="18" t="inlineStr">
        <is>
          <t>Assessment alignment review</t>
        </is>
      </c>
    </row>
    <row r="178">
      <c r="A178" s="18" t="inlineStr">
        <is>
          <t>CD10</t>
        </is>
      </c>
      <c r="B178" s="18" t="inlineStr">
        <is>
          <t>D03-I16</t>
        </is>
      </c>
      <c r="C178" s="18" t="inlineStr">
        <is>
          <t>D07-I03</t>
        </is>
      </c>
      <c r="D178" s="18">
        <f>'P0-3_Scorecard'!L41</f>
        <v/>
      </c>
      <c r="E178" s="18">
        <f>'P0-3_Scorecard'!L83</f>
        <v/>
      </c>
      <c r="F178" s="18">
        <f>'P0-3_Scorecard'!M83</f>
        <v/>
      </c>
      <c r="G178" s="18">
        <f>'P0-3_Scorecard'!E83</f>
        <v/>
      </c>
      <c r="H178" s="18">
        <f>'P0-3_Scorecard'!H83</f>
        <v/>
      </c>
      <c r="I178" s="18">
        <f>IF(OR(D178="",E178=""),"INCOMPLETE",IF(AND(D178&gt;=70,E178&lt;60),"DEPENDENCY GAP",IF(AND(D178&gt;=70,G178&lt;F178),"REQUIRED MATURITY GAP","OK")))</f>
        <v/>
      </c>
      <c r="J178" s="18" t="inlineStr">
        <is>
          <t>Assessment alignment review</t>
        </is>
      </c>
    </row>
    <row r="179">
      <c r="A179" s="18" t="inlineStr">
        <is>
          <t>CD10</t>
        </is>
      </c>
      <c r="B179" s="18" t="inlineStr">
        <is>
          <t>D03-I16</t>
        </is>
      </c>
      <c r="C179" s="18" t="inlineStr">
        <is>
          <t>D07-I05</t>
        </is>
      </c>
      <c r="D179" s="18">
        <f>'P0-3_Scorecard'!L41</f>
        <v/>
      </c>
      <c r="E179" s="18">
        <f>'P0-3_Scorecard'!L85</f>
        <v/>
      </c>
      <c r="F179" s="18">
        <f>'P0-3_Scorecard'!M85</f>
        <v/>
      </c>
      <c r="G179" s="18">
        <f>'P0-3_Scorecard'!E85</f>
        <v/>
      </c>
      <c r="H179" s="18">
        <f>'P0-3_Scorecard'!H85</f>
        <v/>
      </c>
      <c r="I179" s="18">
        <f>IF(OR(D179="",E179=""),"INCOMPLETE",IF(AND(D179&gt;=70,E179&lt;60),"DEPENDENCY GAP",IF(AND(D179&gt;=70,G179&lt;F179),"REQUIRED MATURITY GAP","OK")))</f>
        <v/>
      </c>
      <c r="J179" s="18" t="inlineStr">
        <is>
          <t>Assessment alignment review</t>
        </is>
      </c>
    </row>
    <row r="180">
      <c r="A180" s="18" t="inlineStr">
        <is>
          <t>CD10</t>
        </is>
      </c>
      <c r="B180" s="18" t="inlineStr">
        <is>
          <t>D03-I16</t>
        </is>
      </c>
      <c r="C180" s="18" t="inlineStr">
        <is>
          <t>D07-I07</t>
        </is>
      </c>
      <c r="D180" s="18">
        <f>'P0-3_Scorecard'!L41</f>
        <v/>
      </c>
      <c r="E180" s="18">
        <f>'P0-3_Scorecard'!L87</f>
        <v/>
      </c>
      <c r="F180" s="18">
        <f>'P0-3_Scorecard'!M87</f>
        <v/>
      </c>
      <c r="G180" s="18">
        <f>'P0-3_Scorecard'!E87</f>
        <v/>
      </c>
      <c r="H180" s="18">
        <f>'P0-3_Scorecard'!H87</f>
        <v/>
      </c>
      <c r="I180" s="18">
        <f>IF(OR(D180="",E180=""),"INCOMPLETE",IF(AND(D180&gt;=70,E180&lt;60),"DEPENDENCY GAP",IF(AND(D180&gt;=70,G180&lt;F180),"REQUIRED MATURITY GAP","OK")))</f>
        <v/>
      </c>
      <c r="J180" s="18" t="inlineStr">
        <is>
          <t>Assessment alignment review</t>
        </is>
      </c>
    </row>
    <row r="181">
      <c r="A181" s="18" t="inlineStr">
        <is>
          <t>CD10</t>
        </is>
      </c>
      <c r="B181" s="18" t="inlineStr">
        <is>
          <t>D03-I16</t>
        </is>
      </c>
      <c r="C181" s="18" t="inlineStr">
        <is>
          <t>D07-I08</t>
        </is>
      </c>
      <c r="D181" s="18">
        <f>'P0-3_Scorecard'!L41</f>
        <v/>
      </c>
      <c r="E181" s="18">
        <f>'P0-3_Scorecard'!L88</f>
        <v/>
      </c>
      <c r="F181" s="18">
        <f>'P0-3_Scorecard'!M88</f>
        <v/>
      </c>
      <c r="G181" s="18">
        <f>'P0-3_Scorecard'!E88</f>
        <v/>
      </c>
      <c r="H181" s="18">
        <f>'P0-3_Scorecard'!H88</f>
        <v/>
      </c>
      <c r="I181" s="18">
        <f>IF(OR(D181="",E181=""),"INCOMPLETE",IF(AND(D181&gt;=70,E181&lt;60),"DEPENDENCY GAP",IF(AND(D181&gt;=70,G181&lt;F181),"REQUIRED MATURITY GAP","OK")))</f>
        <v/>
      </c>
      <c r="J181" s="18" t="inlineStr">
        <is>
          <t>Assessment alignment review</t>
        </is>
      </c>
    </row>
    <row r="182">
      <c r="A182" s="18" t="inlineStr">
        <is>
          <t>CD11</t>
        </is>
      </c>
      <c r="B182" s="18" t="inlineStr">
        <is>
          <t>D04-I02</t>
        </is>
      </c>
      <c r="C182" s="18" t="inlineStr">
        <is>
          <t>D07-I01</t>
        </is>
      </c>
      <c r="D182" s="18">
        <f>'P0-3_Scorecard'!L44</f>
        <v/>
      </c>
      <c r="E182" s="18">
        <f>'P0-3_Scorecard'!L81</f>
        <v/>
      </c>
      <c r="F182" s="18">
        <f>'P0-3_Scorecard'!M81</f>
        <v/>
      </c>
      <c r="G182" s="18">
        <f>'P0-3_Scorecard'!E81</f>
        <v/>
      </c>
      <c r="H182" s="18">
        <f>'P0-3_Scorecard'!H81</f>
        <v/>
      </c>
      <c r="I182" s="18">
        <f>IF(OR(D182="",E182=""),"INCOMPLETE",IF(AND(D182&gt;=70,E182&lt;60),"DEPENDENCY GAP",IF(AND(D182&gt;=70,G182&lt;F182),"REQUIRED MATURITY GAP","OK")))</f>
        <v/>
      </c>
      <c r="J182" s="18" t="inlineStr">
        <is>
          <t>Assessment redesign</t>
        </is>
      </c>
    </row>
    <row r="183">
      <c r="A183" s="18" t="inlineStr">
        <is>
          <t>CD11</t>
        </is>
      </c>
      <c r="B183" s="18" t="inlineStr">
        <is>
          <t>D04-I02</t>
        </is>
      </c>
      <c r="C183" s="18" t="inlineStr">
        <is>
          <t>D07-I02</t>
        </is>
      </c>
      <c r="D183" s="18">
        <f>'P0-3_Scorecard'!L44</f>
        <v/>
      </c>
      <c r="E183" s="18">
        <f>'P0-3_Scorecard'!L82</f>
        <v/>
      </c>
      <c r="F183" s="18">
        <f>'P0-3_Scorecard'!M82</f>
        <v/>
      </c>
      <c r="G183" s="18">
        <f>'P0-3_Scorecard'!E82</f>
        <v/>
      </c>
      <c r="H183" s="18">
        <f>'P0-3_Scorecard'!H82</f>
        <v/>
      </c>
      <c r="I183" s="18">
        <f>IF(OR(D183="",E183=""),"INCOMPLETE",IF(AND(D183&gt;=70,E183&lt;60),"DEPENDENCY GAP",IF(AND(D183&gt;=70,G183&lt;F183),"REQUIRED MATURITY GAP","OK")))</f>
        <v/>
      </c>
      <c r="J183" s="18" t="inlineStr">
        <is>
          <t>Assessment redesign</t>
        </is>
      </c>
    </row>
    <row r="184">
      <c r="A184" s="18" t="inlineStr">
        <is>
          <t>CD11</t>
        </is>
      </c>
      <c r="B184" s="18" t="inlineStr">
        <is>
          <t>D04-I02</t>
        </is>
      </c>
      <c r="C184" s="18" t="inlineStr">
        <is>
          <t>D07-I04</t>
        </is>
      </c>
      <c r="D184" s="18">
        <f>'P0-3_Scorecard'!L44</f>
        <v/>
      </c>
      <c r="E184" s="18">
        <f>'P0-3_Scorecard'!L84</f>
        <v/>
      </c>
      <c r="F184" s="18">
        <f>'P0-3_Scorecard'!M84</f>
        <v/>
      </c>
      <c r="G184" s="18">
        <f>'P0-3_Scorecard'!E84</f>
        <v/>
      </c>
      <c r="H184" s="18">
        <f>'P0-3_Scorecard'!H84</f>
        <v/>
      </c>
      <c r="I184" s="18">
        <f>IF(OR(D184="",E184=""),"INCOMPLETE",IF(AND(D184&gt;=70,E184&lt;60),"DEPENDENCY GAP",IF(AND(D184&gt;=70,G184&lt;F184),"REQUIRED MATURITY GAP","OK")))</f>
        <v/>
      </c>
      <c r="J184" s="18" t="inlineStr">
        <is>
          <t>Assessment redesign</t>
        </is>
      </c>
    </row>
    <row r="185">
      <c r="A185" s="18" t="inlineStr">
        <is>
          <t>CD11</t>
        </is>
      </c>
      <c r="B185" s="18" t="inlineStr">
        <is>
          <t>D04-I02</t>
        </is>
      </c>
      <c r="C185" s="18" t="inlineStr">
        <is>
          <t>D07-I07</t>
        </is>
      </c>
      <c r="D185" s="18">
        <f>'P0-3_Scorecard'!L44</f>
        <v/>
      </c>
      <c r="E185" s="18">
        <f>'P0-3_Scorecard'!L87</f>
        <v/>
      </c>
      <c r="F185" s="18">
        <f>'P0-3_Scorecard'!M87</f>
        <v/>
      </c>
      <c r="G185" s="18">
        <f>'P0-3_Scorecard'!E87</f>
        <v/>
      </c>
      <c r="H185" s="18">
        <f>'P0-3_Scorecard'!H87</f>
        <v/>
      </c>
      <c r="I185" s="18">
        <f>IF(OR(D185="",E185=""),"INCOMPLETE",IF(AND(D185&gt;=70,E185&lt;60),"DEPENDENCY GAP",IF(AND(D185&gt;=70,G185&lt;F185),"REQUIRED MATURITY GAP","OK")))</f>
        <v/>
      </c>
      <c r="J185" s="18" t="inlineStr">
        <is>
          <t>Assessment redesign</t>
        </is>
      </c>
    </row>
    <row r="186">
      <c r="A186" s="18" t="inlineStr">
        <is>
          <t>CD11</t>
        </is>
      </c>
      <c r="B186" s="18" t="inlineStr">
        <is>
          <t>D04-I02</t>
        </is>
      </c>
      <c r="C186" s="18" t="inlineStr">
        <is>
          <t>D07-I08</t>
        </is>
      </c>
      <c r="D186" s="18">
        <f>'P0-3_Scorecard'!L44</f>
        <v/>
      </c>
      <c r="E186" s="18">
        <f>'P0-3_Scorecard'!L88</f>
        <v/>
      </c>
      <c r="F186" s="18">
        <f>'P0-3_Scorecard'!M88</f>
        <v/>
      </c>
      <c r="G186" s="18">
        <f>'P0-3_Scorecard'!E88</f>
        <v/>
      </c>
      <c r="H186" s="18">
        <f>'P0-3_Scorecard'!H88</f>
        <v/>
      </c>
      <c r="I186" s="18">
        <f>IF(OR(D186="",E186=""),"INCOMPLETE",IF(AND(D186&gt;=70,E186&lt;60),"DEPENDENCY GAP",IF(AND(D186&gt;=70,G186&lt;F186),"REQUIRED MATURITY GAP","OK")))</f>
        <v/>
      </c>
      <c r="J186" s="18" t="inlineStr">
        <is>
          <t>Assessment redesign</t>
        </is>
      </c>
    </row>
    <row r="187">
      <c r="A187" s="18" t="inlineStr">
        <is>
          <t>CD11</t>
        </is>
      </c>
      <c r="B187" s="18" t="inlineStr">
        <is>
          <t>D04-I04</t>
        </is>
      </c>
      <c r="C187" s="18" t="inlineStr">
        <is>
          <t>D07-I01</t>
        </is>
      </c>
      <c r="D187" s="18">
        <f>'P0-3_Scorecard'!L46</f>
        <v/>
      </c>
      <c r="E187" s="18">
        <f>'P0-3_Scorecard'!L81</f>
        <v/>
      </c>
      <c r="F187" s="18">
        <f>'P0-3_Scorecard'!M81</f>
        <v/>
      </c>
      <c r="G187" s="18">
        <f>'P0-3_Scorecard'!E81</f>
        <v/>
      </c>
      <c r="H187" s="18">
        <f>'P0-3_Scorecard'!H81</f>
        <v/>
      </c>
      <c r="I187" s="18">
        <f>IF(OR(D187="",E187=""),"INCOMPLETE",IF(AND(D187&gt;=70,E187&lt;60),"DEPENDENCY GAP",IF(AND(D187&gt;=70,G187&lt;F187),"REQUIRED MATURITY GAP","OK")))</f>
        <v/>
      </c>
      <c r="J187" s="18" t="inlineStr">
        <is>
          <t>Assessment redesign</t>
        </is>
      </c>
    </row>
    <row r="188">
      <c r="A188" s="18" t="inlineStr">
        <is>
          <t>CD11</t>
        </is>
      </c>
      <c r="B188" s="18" t="inlineStr">
        <is>
          <t>D04-I04</t>
        </is>
      </c>
      <c r="C188" s="18" t="inlineStr">
        <is>
          <t>D07-I02</t>
        </is>
      </c>
      <c r="D188" s="18">
        <f>'P0-3_Scorecard'!L46</f>
        <v/>
      </c>
      <c r="E188" s="18">
        <f>'P0-3_Scorecard'!L82</f>
        <v/>
      </c>
      <c r="F188" s="18">
        <f>'P0-3_Scorecard'!M82</f>
        <v/>
      </c>
      <c r="G188" s="18">
        <f>'P0-3_Scorecard'!E82</f>
        <v/>
      </c>
      <c r="H188" s="18">
        <f>'P0-3_Scorecard'!H82</f>
        <v/>
      </c>
      <c r="I188" s="18">
        <f>IF(OR(D188="",E188=""),"INCOMPLETE",IF(AND(D188&gt;=70,E188&lt;60),"DEPENDENCY GAP",IF(AND(D188&gt;=70,G188&lt;F188),"REQUIRED MATURITY GAP","OK")))</f>
        <v/>
      </c>
      <c r="J188" s="18" t="inlineStr">
        <is>
          <t>Assessment redesign</t>
        </is>
      </c>
    </row>
    <row r="189">
      <c r="A189" s="18" t="inlineStr">
        <is>
          <t>CD11</t>
        </is>
      </c>
      <c r="B189" s="18" t="inlineStr">
        <is>
          <t>D04-I04</t>
        </is>
      </c>
      <c r="C189" s="18" t="inlineStr">
        <is>
          <t>D07-I04</t>
        </is>
      </c>
      <c r="D189" s="18">
        <f>'P0-3_Scorecard'!L46</f>
        <v/>
      </c>
      <c r="E189" s="18">
        <f>'P0-3_Scorecard'!L84</f>
        <v/>
      </c>
      <c r="F189" s="18">
        <f>'P0-3_Scorecard'!M84</f>
        <v/>
      </c>
      <c r="G189" s="18">
        <f>'P0-3_Scorecard'!E84</f>
        <v/>
      </c>
      <c r="H189" s="18">
        <f>'P0-3_Scorecard'!H84</f>
        <v/>
      </c>
      <c r="I189" s="18">
        <f>IF(OR(D189="",E189=""),"INCOMPLETE",IF(AND(D189&gt;=70,E189&lt;60),"DEPENDENCY GAP",IF(AND(D189&gt;=70,G189&lt;F189),"REQUIRED MATURITY GAP","OK")))</f>
        <v/>
      </c>
      <c r="J189" s="18" t="inlineStr">
        <is>
          <t>Assessment redesign</t>
        </is>
      </c>
    </row>
    <row r="190">
      <c r="A190" s="18" t="inlineStr">
        <is>
          <t>CD11</t>
        </is>
      </c>
      <c r="B190" s="18" t="inlineStr">
        <is>
          <t>D04-I04</t>
        </is>
      </c>
      <c r="C190" s="18" t="inlineStr">
        <is>
          <t>D07-I07</t>
        </is>
      </c>
      <c r="D190" s="18">
        <f>'P0-3_Scorecard'!L46</f>
        <v/>
      </c>
      <c r="E190" s="18">
        <f>'P0-3_Scorecard'!L87</f>
        <v/>
      </c>
      <c r="F190" s="18">
        <f>'P0-3_Scorecard'!M87</f>
        <v/>
      </c>
      <c r="G190" s="18">
        <f>'P0-3_Scorecard'!E87</f>
        <v/>
      </c>
      <c r="H190" s="18">
        <f>'P0-3_Scorecard'!H87</f>
        <v/>
      </c>
      <c r="I190" s="18">
        <f>IF(OR(D190="",E190=""),"INCOMPLETE",IF(AND(D190&gt;=70,E190&lt;60),"DEPENDENCY GAP",IF(AND(D190&gt;=70,G190&lt;F190),"REQUIRED MATURITY GAP","OK")))</f>
        <v/>
      </c>
      <c r="J190" s="18" t="inlineStr">
        <is>
          <t>Assessment redesign</t>
        </is>
      </c>
    </row>
    <row r="191">
      <c r="A191" s="18" t="inlineStr">
        <is>
          <t>CD11</t>
        </is>
      </c>
      <c r="B191" s="18" t="inlineStr">
        <is>
          <t>D04-I04</t>
        </is>
      </c>
      <c r="C191" s="18" t="inlineStr">
        <is>
          <t>D07-I08</t>
        </is>
      </c>
      <c r="D191" s="18">
        <f>'P0-3_Scorecard'!L46</f>
        <v/>
      </c>
      <c r="E191" s="18">
        <f>'P0-3_Scorecard'!L88</f>
        <v/>
      </c>
      <c r="F191" s="18">
        <f>'P0-3_Scorecard'!M88</f>
        <v/>
      </c>
      <c r="G191" s="18">
        <f>'P0-3_Scorecard'!E88</f>
        <v/>
      </c>
      <c r="H191" s="18">
        <f>'P0-3_Scorecard'!H88</f>
        <v/>
      </c>
      <c r="I191" s="18">
        <f>IF(OR(D191="",E191=""),"INCOMPLETE",IF(AND(D191&gt;=70,E191&lt;60),"DEPENDENCY GAP",IF(AND(D191&gt;=70,G191&lt;F191),"REQUIRED MATURITY GAP","OK")))</f>
        <v/>
      </c>
      <c r="J191" s="18" t="inlineStr">
        <is>
          <t>Assessment redesign</t>
        </is>
      </c>
    </row>
    <row r="192">
      <c r="A192" s="18" t="inlineStr">
        <is>
          <t>CD11</t>
        </is>
      </c>
      <c r="B192" s="18" t="inlineStr">
        <is>
          <t>D04-I05</t>
        </is>
      </c>
      <c r="C192" s="18" t="inlineStr">
        <is>
          <t>D07-I01</t>
        </is>
      </c>
      <c r="D192" s="18">
        <f>'P0-3_Scorecard'!L47</f>
        <v/>
      </c>
      <c r="E192" s="18">
        <f>'P0-3_Scorecard'!L81</f>
        <v/>
      </c>
      <c r="F192" s="18">
        <f>'P0-3_Scorecard'!M81</f>
        <v/>
      </c>
      <c r="G192" s="18">
        <f>'P0-3_Scorecard'!E81</f>
        <v/>
      </c>
      <c r="H192" s="18">
        <f>'P0-3_Scorecard'!H81</f>
        <v/>
      </c>
      <c r="I192" s="18">
        <f>IF(OR(D192="",E192=""),"INCOMPLETE",IF(AND(D192&gt;=70,E192&lt;60),"DEPENDENCY GAP",IF(AND(D192&gt;=70,G192&lt;F192),"REQUIRED MATURITY GAP","OK")))</f>
        <v/>
      </c>
      <c r="J192" s="18" t="inlineStr">
        <is>
          <t>Assessment redesign</t>
        </is>
      </c>
    </row>
    <row r="193">
      <c r="A193" s="18" t="inlineStr">
        <is>
          <t>CD11</t>
        </is>
      </c>
      <c r="B193" s="18" t="inlineStr">
        <is>
          <t>D04-I05</t>
        </is>
      </c>
      <c r="C193" s="18" t="inlineStr">
        <is>
          <t>D07-I02</t>
        </is>
      </c>
      <c r="D193" s="18">
        <f>'P0-3_Scorecard'!L47</f>
        <v/>
      </c>
      <c r="E193" s="18">
        <f>'P0-3_Scorecard'!L82</f>
        <v/>
      </c>
      <c r="F193" s="18">
        <f>'P0-3_Scorecard'!M82</f>
        <v/>
      </c>
      <c r="G193" s="18">
        <f>'P0-3_Scorecard'!E82</f>
        <v/>
      </c>
      <c r="H193" s="18">
        <f>'P0-3_Scorecard'!H82</f>
        <v/>
      </c>
      <c r="I193" s="18">
        <f>IF(OR(D193="",E193=""),"INCOMPLETE",IF(AND(D193&gt;=70,E193&lt;60),"DEPENDENCY GAP",IF(AND(D193&gt;=70,G193&lt;F193),"REQUIRED MATURITY GAP","OK")))</f>
        <v/>
      </c>
      <c r="J193" s="18" t="inlineStr">
        <is>
          <t>Assessment redesign</t>
        </is>
      </c>
    </row>
    <row r="194">
      <c r="A194" s="18" t="inlineStr">
        <is>
          <t>CD11</t>
        </is>
      </c>
      <c r="B194" s="18" t="inlineStr">
        <is>
          <t>D04-I05</t>
        </is>
      </c>
      <c r="C194" s="18" t="inlineStr">
        <is>
          <t>D07-I04</t>
        </is>
      </c>
      <c r="D194" s="18">
        <f>'P0-3_Scorecard'!L47</f>
        <v/>
      </c>
      <c r="E194" s="18">
        <f>'P0-3_Scorecard'!L84</f>
        <v/>
      </c>
      <c r="F194" s="18">
        <f>'P0-3_Scorecard'!M84</f>
        <v/>
      </c>
      <c r="G194" s="18">
        <f>'P0-3_Scorecard'!E84</f>
        <v/>
      </c>
      <c r="H194" s="18">
        <f>'P0-3_Scorecard'!H84</f>
        <v/>
      </c>
      <c r="I194" s="18">
        <f>IF(OR(D194="",E194=""),"INCOMPLETE",IF(AND(D194&gt;=70,E194&lt;60),"DEPENDENCY GAP",IF(AND(D194&gt;=70,G194&lt;F194),"REQUIRED MATURITY GAP","OK")))</f>
        <v/>
      </c>
      <c r="J194" s="18" t="inlineStr">
        <is>
          <t>Assessment redesign</t>
        </is>
      </c>
    </row>
    <row r="195">
      <c r="A195" s="18" t="inlineStr">
        <is>
          <t>CD11</t>
        </is>
      </c>
      <c r="B195" s="18" t="inlineStr">
        <is>
          <t>D04-I05</t>
        </is>
      </c>
      <c r="C195" s="18" t="inlineStr">
        <is>
          <t>D07-I07</t>
        </is>
      </c>
      <c r="D195" s="18">
        <f>'P0-3_Scorecard'!L47</f>
        <v/>
      </c>
      <c r="E195" s="18">
        <f>'P0-3_Scorecard'!L87</f>
        <v/>
      </c>
      <c r="F195" s="18">
        <f>'P0-3_Scorecard'!M87</f>
        <v/>
      </c>
      <c r="G195" s="18">
        <f>'P0-3_Scorecard'!E87</f>
        <v/>
      </c>
      <c r="H195" s="18">
        <f>'P0-3_Scorecard'!H87</f>
        <v/>
      </c>
      <c r="I195" s="18">
        <f>IF(OR(D195="",E195=""),"INCOMPLETE",IF(AND(D195&gt;=70,E195&lt;60),"DEPENDENCY GAP",IF(AND(D195&gt;=70,G195&lt;F195),"REQUIRED MATURITY GAP","OK")))</f>
        <v/>
      </c>
      <c r="J195" s="18" t="inlineStr">
        <is>
          <t>Assessment redesign</t>
        </is>
      </c>
    </row>
    <row r="196">
      <c r="A196" s="18" t="inlineStr">
        <is>
          <t>CD11</t>
        </is>
      </c>
      <c r="B196" s="18" t="inlineStr">
        <is>
          <t>D04-I05</t>
        </is>
      </c>
      <c r="C196" s="18" t="inlineStr">
        <is>
          <t>D07-I08</t>
        </is>
      </c>
      <c r="D196" s="18">
        <f>'P0-3_Scorecard'!L47</f>
        <v/>
      </c>
      <c r="E196" s="18">
        <f>'P0-3_Scorecard'!L88</f>
        <v/>
      </c>
      <c r="F196" s="18">
        <f>'P0-3_Scorecard'!M88</f>
        <v/>
      </c>
      <c r="G196" s="18">
        <f>'P0-3_Scorecard'!E88</f>
        <v/>
      </c>
      <c r="H196" s="18">
        <f>'P0-3_Scorecard'!H88</f>
        <v/>
      </c>
      <c r="I196" s="18">
        <f>IF(OR(D196="",E196=""),"INCOMPLETE",IF(AND(D196&gt;=70,E196&lt;60),"DEPENDENCY GAP",IF(AND(D196&gt;=70,G196&lt;F196),"REQUIRED MATURITY GAP","OK")))</f>
        <v/>
      </c>
      <c r="J196" s="18" t="inlineStr">
        <is>
          <t>Assessment redesign</t>
        </is>
      </c>
    </row>
    <row r="197">
      <c r="A197" s="18" t="inlineStr">
        <is>
          <t>CD11</t>
        </is>
      </c>
      <c r="B197" s="18" t="inlineStr">
        <is>
          <t>D04-I08</t>
        </is>
      </c>
      <c r="C197" s="18" t="inlineStr">
        <is>
          <t>D07-I01</t>
        </is>
      </c>
      <c r="D197" s="18">
        <f>'P0-3_Scorecard'!L50</f>
        <v/>
      </c>
      <c r="E197" s="18">
        <f>'P0-3_Scorecard'!L81</f>
        <v/>
      </c>
      <c r="F197" s="18">
        <f>'P0-3_Scorecard'!M81</f>
        <v/>
      </c>
      <c r="G197" s="18">
        <f>'P0-3_Scorecard'!E81</f>
        <v/>
      </c>
      <c r="H197" s="18">
        <f>'P0-3_Scorecard'!H81</f>
        <v/>
      </c>
      <c r="I197" s="18">
        <f>IF(OR(D197="",E197=""),"INCOMPLETE",IF(AND(D197&gt;=70,E197&lt;60),"DEPENDENCY GAP",IF(AND(D197&gt;=70,G197&lt;F197),"REQUIRED MATURITY GAP","OK")))</f>
        <v/>
      </c>
      <c r="J197" s="18" t="inlineStr">
        <is>
          <t>Assessment redesign</t>
        </is>
      </c>
    </row>
    <row r="198">
      <c r="A198" s="18" t="inlineStr">
        <is>
          <t>CD11</t>
        </is>
      </c>
      <c r="B198" s="18" t="inlineStr">
        <is>
          <t>D04-I08</t>
        </is>
      </c>
      <c r="C198" s="18" t="inlineStr">
        <is>
          <t>D07-I02</t>
        </is>
      </c>
      <c r="D198" s="18">
        <f>'P0-3_Scorecard'!L50</f>
        <v/>
      </c>
      <c r="E198" s="18">
        <f>'P0-3_Scorecard'!L82</f>
        <v/>
      </c>
      <c r="F198" s="18">
        <f>'P0-3_Scorecard'!M82</f>
        <v/>
      </c>
      <c r="G198" s="18">
        <f>'P0-3_Scorecard'!E82</f>
        <v/>
      </c>
      <c r="H198" s="18">
        <f>'P0-3_Scorecard'!H82</f>
        <v/>
      </c>
      <c r="I198" s="18">
        <f>IF(OR(D198="",E198=""),"INCOMPLETE",IF(AND(D198&gt;=70,E198&lt;60),"DEPENDENCY GAP",IF(AND(D198&gt;=70,G198&lt;F198),"REQUIRED MATURITY GAP","OK")))</f>
        <v/>
      </c>
      <c r="J198" s="18" t="inlineStr">
        <is>
          <t>Assessment redesign</t>
        </is>
      </c>
    </row>
    <row r="199">
      <c r="A199" s="18" t="inlineStr">
        <is>
          <t>CD11</t>
        </is>
      </c>
      <c r="B199" s="18" t="inlineStr">
        <is>
          <t>D04-I08</t>
        </is>
      </c>
      <c r="C199" s="18" t="inlineStr">
        <is>
          <t>D07-I04</t>
        </is>
      </c>
      <c r="D199" s="18">
        <f>'P0-3_Scorecard'!L50</f>
        <v/>
      </c>
      <c r="E199" s="18">
        <f>'P0-3_Scorecard'!L84</f>
        <v/>
      </c>
      <c r="F199" s="18">
        <f>'P0-3_Scorecard'!M84</f>
        <v/>
      </c>
      <c r="G199" s="18">
        <f>'P0-3_Scorecard'!E84</f>
        <v/>
      </c>
      <c r="H199" s="18">
        <f>'P0-3_Scorecard'!H84</f>
        <v/>
      </c>
      <c r="I199" s="18">
        <f>IF(OR(D199="",E199=""),"INCOMPLETE",IF(AND(D199&gt;=70,E199&lt;60),"DEPENDENCY GAP",IF(AND(D199&gt;=70,G199&lt;F199),"REQUIRED MATURITY GAP","OK")))</f>
        <v/>
      </c>
      <c r="J199" s="18" t="inlineStr">
        <is>
          <t>Assessment redesign</t>
        </is>
      </c>
    </row>
    <row r="200">
      <c r="A200" s="18" t="inlineStr">
        <is>
          <t>CD11</t>
        </is>
      </c>
      <c r="B200" s="18" t="inlineStr">
        <is>
          <t>D04-I08</t>
        </is>
      </c>
      <c r="C200" s="18" t="inlineStr">
        <is>
          <t>D07-I07</t>
        </is>
      </c>
      <c r="D200" s="18">
        <f>'P0-3_Scorecard'!L50</f>
        <v/>
      </c>
      <c r="E200" s="18">
        <f>'P0-3_Scorecard'!L87</f>
        <v/>
      </c>
      <c r="F200" s="18">
        <f>'P0-3_Scorecard'!M87</f>
        <v/>
      </c>
      <c r="G200" s="18">
        <f>'P0-3_Scorecard'!E87</f>
        <v/>
      </c>
      <c r="H200" s="18">
        <f>'P0-3_Scorecard'!H87</f>
        <v/>
      </c>
      <c r="I200" s="18">
        <f>IF(OR(D200="",E200=""),"INCOMPLETE",IF(AND(D200&gt;=70,E200&lt;60),"DEPENDENCY GAP",IF(AND(D200&gt;=70,G200&lt;F200),"REQUIRED MATURITY GAP","OK")))</f>
        <v/>
      </c>
      <c r="J200" s="18" t="inlineStr">
        <is>
          <t>Assessment redesign</t>
        </is>
      </c>
    </row>
    <row r="201">
      <c r="A201" s="18" t="inlineStr">
        <is>
          <t>CD11</t>
        </is>
      </c>
      <c r="B201" s="18" t="inlineStr">
        <is>
          <t>D04-I08</t>
        </is>
      </c>
      <c r="C201" s="18" t="inlineStr">
        <is>
          <t>D07-I08</t>
        </is>
      </c>
      <c r="D201" s="18">
        <f>'P0-3_Scorecard'!L50</f>
        <v/>
      </c>
      <c r="E201" s="18">
        <f>'P0-3_Scorecard'!L88</f>
        <v/>
      </c>
      <c r="F201" s="18">
        <f>'P0-3_Scorecard'!M88</f>
        <v/>
      </c>
      <c r="G201" s="18">
        <f>'P0-3_Scorecard'!E88</f>
        <v/>
      </c>
      <c r="H201" s="18">
        <f>'P0-3_Scorecard'!H88</f>
        <v/>
      </c>
      <c r="I201" s="18">
        <f>IF(OR(D201="",E201=""),"INCOMPLETE",IF(AND(D201&gt;=70,E201&lt;60),"DEPENDENCY GAP",IF(AND(D201&gt;=70,G201&lt;F201),"REQUIRED MATURITY GAP","OK")))</f>
        <v/>
      </c>
      <c r="J201" s="18" t="inlineStr">
        <is>
          <t>Assessment redesign</t>
        </is>
      </c>
    </row>
    <row r="202">
      <c r="A202" s="18" t="inlineStr">
        <is>
          <t>CD11</t>
        </is>
      </c>
      <c r="B202" s="18" t="inlineStr">
        <is>
          <t>D04-I12</t>
        </is>
      </c>
      <c r="C202" s="18" t="inlineStr">
        <is>
          <t>D07-I01</t>
        </is>
      </c>
      <c r="D202" s="18">
        <f>'P0-3_Scorecard'!L54</f>
        <v/>
      </c>
      <c r="E202" s="18">
        <f>'P0-3_Scorecard'!L81</f>
        <v/>
      </c>
      <c r="F202" s="18">
        <f>'P0-3_Scorecard'!M81</f>
        <v/>
      </c>
      <c r="G202" s="18">
        <f>'P0-3_Scorecard'!E81</f>
        <v/>
      </c>
      <c r="H202" s="18">
        <f>'P0-3_Scorecard'!H81</f>
        <v/>
      </c>
      <c r="I202" s="18">
        <f>IF(OR(D202="",E202=""),"INCOMPLETE",IF(AND(D202&gt;=70,E202&lt;60),"DEPENDENCY GAP",IF(AND(D202&gt;=70,G202&lt;F202),"REQUIRED MATURITY GAP","OK")))</f>
        <v/>
      </c>
      <c r="J202" s="18" t="inlineStr">
        <is>
          <t>Assessment redesign</t>
        </is>
      </c>
    </row>
    <row r="203">
      <c r="A203" s="18" t="inlineStr">
        <is>
          <t>CD11</t>
        </is>
      </c>
      <c r="B203" s="18" t="inlineStr">
        <is>
          <t>D04-I12</t>
        </is>
      </c>
      <c r="C203" s="18" t="inlineStr">
        <is>
          <t>D07-I02</t>
        </is>
      </c>
      <c r="D203" s="18">
        <f>'P0-3_Scorecard'!L54</f>
        <v/>
      </c>
      <c r="E203" s="18">
        <f>'P0-3_Scorecard'!L82</f>
        <v/>
      </c>
      <c r="F203" s="18">
        <f>'P0-3_Scorecard'!M82</f>
        <v/>
      </c>
      <c r="G203" s="18">
        <f>'P0-3_Scorecard'!E82</f>
        <v/>
      </c>
      <c r="H203" s="18">
        <f>'P0-3_Scorecard'!H82</f>
        <v/>
      </c>
      <c r="I203" s="18">
        <f>IF(OR(D203="",E203=""),"INCOMPLETE",IF(AND(D203&gt;=70,E203&lt;60),"DEPENDENCY GAP",IF(AND(D203&gt;=70,G203&lt;F203),"REQUIRED MATURITY GAP","OK")))</f>
        <v/>
      </c>
      <c r="J203" s="18" t="inlineStr">
        <is>
          <t>Assessment redesign</t>
        </is>
      </c>
    </row>
    <row r="204">
      <c r="A204" s="18" t="inlineStr">
        <is>
          <t>CD11</t>
        </is>
      </c>
      <c r="B204" s="18" t="inlineStr">
        <is>
          <t>D04-I12</t>
        </is>
      </c>
      <c r="C204" s="18" t="inlineStr">
        <is>
          <t>D07-I04</t>
        </is>
      </c>
      <c r="D204" s="18">
        <f>'P0-3_Scorecard'!L54</f>
        <v/>
      </c>
      <c r="E204" s="18">
        <f>'P0-3_Scorecard'!L84</f>
        <v/>
      </c>
      <c r="F204" s="18">
        <f>'P0-3_Scorecard'!M84</f>
        <v/>
      </c>
      <c r="G204" s="18">
        <f>'P0-3_Scorecard'!E84</f>
        <v/>
      </c>
      <c r="H204" s="18">
        <f>'P0-3_Scorecard'!H84</f>
        <v/>
      </c>
      <c r="I204" s="18">
        <f>IF(OR(D204="",E204=""),"INCOMPLETE",IF(AND(D204&gt;=70,E204&lt;60),"DEPENDENCY GAP",IF(AND(D204&gt;=70,G204&lt;F204),"REQUIRED MATURITY GAP","OK")))</f>
        <v/>
      </c>
      <c r="J204" s="18" t="inlineStr">
        <is>
          <t>Assessment redesign</t>
        </is>
      </c>
    </row>
    <row r="205">
      <c r="A205" s="18" t="inlineStr">
        <is>
          <t>CD11</t>
        </is>
      </c>
      <c r="B205" s="18" t="inlineStr">
        <is>
          <t>D04-I12</t>
        </is>
      </c>
      <c r="C205" s="18" t="inlineStr">
        <is>
          <t>D07-I07</t>
        </is>
      </c>
      <c r="D205" s="18">
        <f>'P0-3_Scorecard'!L54</f>
        <v/>
      </c>
      <c r="E205" s="18">
        <f>'P0-3_Scorecard'!L87</f>
        <v/>
      </c>
      <c r="F205" s="18">
        <f>'P0-3_Scorecard'!M87</f>
        <v/>
      </c>
      <c r="G205" s="18">
        <f>'P0-3_Scorecard'!E87</f>
        <v/>
      </c>
      <c r="H205" s="18">
        <f>'P0-3_Scorecard'!H87</f>
        <v/>
      </c>
      <c r="I205" s="18">
        <f>IF(OR(D205="",E205=""),"INCOMPLETE",IF(AND(D205&gt;=70,E205&lt;60),"DEPENDENCY GAP",IF(AND(D205&gt;=70,G205&lt;F205),"REQUIRED MATURITY GAP","OK")))</f>
        <v/>
      </c>
      <c r="J205" s="18" t="inlineStr">
        <is>
          <t>Assessment redesign</t>
        </is>
      </c>
    </row>
    <row r="206">
      <c r="A206" s="18" t="inlineStr">
        <is>
          <t>CD11</t>
        </is>
      </c>
      <c r="B206" s="18" t="inlineStr">
        <is>
          <t>D04-I12</t>
        </is>
      </c>
      <c r="C206" s="18" t="inlineStr">
        <is>
          <t>D07-I08</t>
        </is>
      </c>
      <c r="D206" s="18">
        <f>'P0-3_Scorecard'!L54</f>
        <v/>
      </c>
      <c r="E206" s="18">
        <f>'P0-3_Scorecard'!L88</f>
        <v/>
      </c>
      <c r="F206" s="18">
        <f>'P0-3_Scorecard'!M88</f>
        <v/>
      </c>
      <c r="G206" s="18">
        <f>'P0-3_Scorecard'!E88</f>
        <v/>
      </c>
      <c r="H206" s="18">
        <f>'P0-3_Scorecard'!H88</f>
        <v/>
      </c>
      <c r="I206" s="18">
        <f>IF(OR(D206="",E206=""),"INCOMPLETE",IF(AND(D206&gt;=70,E206&lt;60),"DEPENDENCY GAP",IF(AND(D206&gt;=70,G206&lt;F206),"REQUIRED MATURITY GAP","OK")))</f>
        <v/>
      </c>
      <c r="J206" s="18" t="inlineStr">
        <is>
          <t>Assessment redesign</t>
        </is>
      </c>
    </row>
    <row r="207">
      <c r="A207" s="18" t="inlineStr">
        <is>
          <t>CD12</t>
        </is>
      </c>
      <c r="B207" s="18" t="inlineStr">
        <is>
          <t>D05-I03</t>
        </is>
      </c>
      <c r="C207" s="18" t="inlineStr">
        <is>
          <t>D07-I01</t>
        </is>
      </c>
      <c r="D207" s="18">
        <f>'P0-3_Scorecard'!L57</f>
        <v/>
      </c>
      <c r="E207" s="18">
        <f>'P0-3_Scorecard'!L81</f>
        <v/>
      </c>
      <c r="F207" s="18">
        <f>'P0-3_Scorecard'!M81</f>
        <v/>
      </c>
      <c r="G207" s="18">
        <f>'P0-3_Scorecard'!E81</f>
        <v/>
      </c>
      <c r="H207" s="18">
        <f>'P0-3_Scorecard'!H81</f>
        <v/>
      </c>
      <c r="I207" s="18">
        <f>IF(OR(D207="",E207=""),"INCOMPLETE",IF(AND(D207&gt;=70,E207&lt;60),"DEPENDENCY GAP",IF(AND(D207&gt;=70,G207&lt;F207),"REQUIRED MATURITY GAP","OK")))</f>
        <v/>
      </c>
      <c r="J207" s="18" t="inlineStr">
        <is>
          <t>Faculty practice review</t>
        </is>
      </c>
    </row>
    <row r="208">
      <c r="A208" s="18" t="inlineStr">
        <is>
          <t>CD12</t>
        </is>
      </c>
      <c r="B208" s="18" t="inlineStr">
        <is>
          <t>D05-I03</t>
        </is>
      </c>
      <c r="C208" s="18" t="inlineStr">
        <is>
          <t>D07-I04</t>
        </is>
      </c>
      <c r="D208" s="18">
        <f>'P0-3_Scorecard'!L57</f>
        <v/>
      </c>
      <c r="E208" s="18">
        <f>'P0-3_Scorecard'!L84</f>
        <v/>
      </c>
      <c r="F208" s="18">
        <f>'P0-3_Scorecard'!M84</f>
        <v/>
      </c>
      <c r="G208" s="18">
        <f>'P0-3_Scorecard'!E84</f>
        <v/>
      </c>
      <c r="H208" s="18">
        <f>'P0-3_Scorecard'!H84</f>
        <v/>
      </c>
      <c r="I208" s="18">
        <f>IF(OR(D208="",E208=""),"INCOMPLETE",IF(AND(D208&gt;=70,E208&lt;60),"DEPENDENCY GAP",IF(AND(D208&gt;=70,G208&lt;F208),"REQUIRED MATURITY GAP","OK")))</f>
        <v/>
      </c>
      <c r="J208" s="18" t="inlineStr">
        <is>
          <t>Faculty practice review</t>
        </is>
      </c>
    </row>
    <row r="209">
      <c r="A209" s="18" t="inlineStr">
        <is>
          <t>CD12</t>
        </is>
      </c>
      <c r="B209" s="18" t="inlineStr">
        <is>
          <t>D05-I03</t>
        </is>
      </c>
      <c r="C209" s="18" t="inlineStr">
        <is>
          <t>D07-I05</t>
        </is>
      </c>
      <c r="D209" s="18">
        <f>'P0-3_Scorecard'!L57</f>
        <v/>
      </c>
      <c r="E209" s="18">
        <f>'P0-3_Scorecard'!L85</f>
        <v/>
      </c>
      <c r="F209" s="18">
        <f>'P0-3_Scorecard'!M85</f>
        <v/>
      </c>
      <c r="G209" s="18">
        <f>'P0-3_Scorecard'!E85</f>
        <v/>
      </c>
      <c r="H209" s="18">
        <f>'P0-3_Scorecard'!H85</f>
        <v/>
      </c>
      <c r="I209" s="18">
        <f>IF(OR(D209="",E209=""),"INCOMPLETE",IF(AND(D209&gt;=70,E209&lt;60),"DEPENDENCY GAP",IF(AND(D209&gt;=70,G209&lt;F209),"REQUIRED MATURITY GAP","OK")))</f>
        <v/>
      </c>
      <c r="J209" s="18" t="inlineStr">
        <is>
          <t>Faculty practice review</t>
        </is>
      </c>
    </row>
    <row r="210">
      <c r="A210" s="18" t="inlineStr">
        <is>
          <t>CD12</t>
        </is>
      </c>
      <c r="B210" s="18" t="inlineStr">
        <is>
          <t>D05-I03</t>
        </is>
      </c>
      <c r="C210" s="18" t="inlineStr">
        <is>
          <t>D07-I11</t>
        </is>
      </c>
      <c r="D210" s="18">
        <f>'P0-3_Scorecard'!L57</f>
        <v/>
      </c>
      <c r="E210" s="18">
        <f>'P0-3_Scorecard'!L91</f>
        <v/>
      </c>
      <c r="F210" s="18">
        <f>'P0-3_Scorecard'!M91</f>
        <v/>
      </c>
      <c r="G210" s="18">
        <f>'P0-3_Scorecard'!E91</f>
        <v/>
      </c>
      <c r="H210" s="18">
        <f>'P0-3_Scorecard'!H91</f>
        <v/>
      </c>
      <c r="I210" s="18">
        <f>IF(OR(D210="",E210=""),"INCOMPLETE",IF(AND(D210&gt;=70,E210&lt;60),"DEPENDENCY GAP",IF(AND(D210&gt;=70,G210&lt;F210),"REQUIRED MATURITY GAP","OK")))</f>
        <v/>
      </c>
      <c r="J210" s="18" t="inlineStr">
        <is>
          <t>Faculty practice review</t>
        </is>
      </c>
    </row>
    <row r="211">
      <c r="A211" s="18" t="inlineStr">
        <is>
          <t>CD12</t>
        </is>
      </c>
      <c r="B211" s="18" t="inlineStr">
        <is>
          <t>D05-I04</t>
        </is>
      </c>
      <c r="C211" s="18" t="inlineStr">
        <is>
          <t>D07-I01</t>
        </is>
      </c>
      <c r="D211" s="18">
        <f>'P0-3_Scorecard'!L58</f>
        <v/>
      </c>
      <c r="E211" s="18">
        <f>'P0-3_Scorecard'!L81</f>
        <v/>
      </c>
      <c r="F211" s="18">
        <f>'P0-3_Scorecard'!M81</f>
        <v/>
      </c>
      <c r="G211" s="18">
        <f>'P0-3_Scorecard'!E81</f>
        <v/>
      </c>
      <c r="H211" s="18">
        <f>'P0-3_Scorecard'!H81</f>
        <v/>
      </c>
      <c r="I211" s="18">
        <f>IF(OR(D211="",E211=""),"INCOMPLETE",IF(AND(D211&gt;=70,E211&lt;60),"DEPENDENCY GAP",IF(AND(D211&gt;=70,G211&lt;F211),"REQUIRED MATURITY GAP","OK")))</f>
        <v/>
      </c>
      <c r="J211" s="18" t="inlineStr">
        <is>
          <t>Faculty practice review</t>
        </is>
      </c>
    </row>
    <row r="212">
      <c r="A212" s="18" t="inlineStr">
        <is>
          <t>CD12</t>
        </is>
      </c>
      <c r="B212" s="18" t="inlineStr">
        <is>
          <t>D05-I04</t>
        </is>
      </c>
      <c r="C212" s="18" t="inlineStr">
        <is>
          <t>D07-I04</t>
        </is>
      </c>
      <c r="D212" s="18">
        <f>'P0-3_Scorecard'!L58</f>
        <v/>
      </c>
      <c r="E212" s="18">
        <f>'P0-3_Scorecard'!L84</f>
        <v/>
      </c>
      <c r="F212" s="18">
        <f>'P0-3_Scorecard'!M84</f>
        <v/>
      </c>
      <c r="G212" s="18">
        <f>'P0-3_Scorecard'!E84</f>
        <v/>
      </c>
      <c r="H212" s="18">
        <f>'P0-3_Scorecard'!H84</f>
        <v/>
      </c>
      <c r="I212" s="18">
        <f>IF(OR(D212="",E212=""),"INCOMPLETE",IF(AND(D212&gt;=70,E212&lt;60),"DEPENDENCY GAP",IF(AND(D212&gt;=70,G212&lt;F212),"REQUIRED MATURITY GAP","OK")))</f>
        <v/>
      </c>
      <c r="J212" s="18" t="inlineStr">
        <is>
          <t>Faculty practice review</t>
        </is>
      </c>
    </row>
    <row r="213">
      <c r="A213" s="18" t="inlineStr">
        <is>
          <t>CD12</t>
        </is>
      </c>
      <c r="B213" s="18" t="inlineStr">
        <is>
          <t>D05-I04</t>
        </is>
      </c>
      <c r="C213" s="18" t="inlineStr">
        <is>
          <t>D07-I05</t>
        </is>
      </c>
      <c r="D213" s="18">
        <f>'P0-3_Scorecard'!L58</f>
        <v/>
      </c>
      <c r="E213" s="18">
        <f>'P0-3_Scorecard'!L85</f>
        <v/>
      </c>
      <c r="F213" s="18">
        <f>'P0-3_Scorecard'!M85</f>
        <v/>
      </c>
      <c r="G213" s="18">
        <f>'P0-3_Scorecard'!E85</f>
        <v/>
      </c>
      <c r="H213" s="18">
        <f>'P0-3_Scorecard'!H85</f>
        <v/>
      </c>
      <c r="I213" s="18">
        <f>IF(OR(D213="",E213=""),"INCOMPLETE",IF(AND(D213&gt;=70,E213&lt;60),"DEPENDENCY GAP",IF(AND(D213&gt;=70,G213&lt;F213),"REQUIRED MATURITY GAP","OK")))</f>
        <v/>
      </c>
      <c r="J213" s="18" t="inlineStr">
        <is>
          <t>Faculty practice review</t>
        </is>
      </c>
    </row>
    <row r="214">
      <c r="A214" s="18" t="inlineStr">
        <is>
          <t>CD12</t>
        </is>
      </c>
      <c r="B214" s="18" t="inlineStr">
        <is>
          <t>D05-I04</t>
        </is>
      </c>
      <c r="C214" s="18" t="inlineStr">
        <is>
          <t>D07-I11</t>
        </is>
      </c>
      <c r="D214" s="18">
        <f>'P0-3_Scorecard'!L58</f>
        <v/>
      </c>
      <c r="E214" s="18">
        <f>'P0-3_Scorecard'!L91</f>
        <v/>
      </c>
      <c r="F214" s="18">
        <f>'P0-3_Scorecard'!M91</f>
        <v/>
      </c>
      <c r="G214" s="18">
        <f>'P0-3_Scorecard'!E91</f>
        <v/>
      </c>
      <c r="H214" s="18">
        <f>'P0-3_Scorecard'!H91</f>
        <v/>
      </c>
      <c r="I214" s="18">
        <f>IF(OR(D214="",E214=""),"INCOMPLETE",IF(AND(D214&gt;=70,E214&lt;60),"DEPENDENCY GAP",IF(AND(D214&gt;=70,G214&lt;F214),"REQUIRED MATURITY GAP","OK")))</f>
        <v/>
      </c>
      <c r="J214" s="18" t="inlineStr">
        <is>
          <t>Faculty practice review</t>
        </is>
      </c>
    </row>
    <row r="215">
      <c r="A215" s="18" t="inlineStr">
        <is>
          <t>CD12</t>
        </is>
      </c>
      <c r="B215" s="18" t="inlineStr">
        <is>
          <t>D05-I05</t>
        </is>
      </c>
      <c r="C215" s="18" t="inlineStr">
        <is>
          <t>D07-I01</t>
        </is>
      </c>
      <c r="D215" s="18">
        <f>'P0-3_Scorecard'!L59</f>
        <v/>
      </c>
      <c r="E215" s="18">
        <f>'P0-3_Scorecard'!L81</f>
        <v/>
      </c>
      <c r="F215" s="18">
        <f>'P0-3_Scorecard'!M81</f>
        <v/>
      </c>
      <c r="G215" s="18">
        <f>'P0-3_Scorecard'!E81</f>
        <v/>
      </c>
      <c r="H215" s="18">
        <f>'P0-3_Scorecard'!H81</f>
        <v/>
      </c>
      <c r="I215" s="18">
        <f>IF(OR(D215="",E215=""),"INCOMPLETE",IF(AND(D215&gt;=70,E215&lt;60),"DEPENDENCY GAP",IF(AND(D215&gt;=70,G215&lt;F215),"REQUIRED MATURITY GAP","OK")))</f>
        <v/>
      </c>
      <c r="J215" s="18" t="inlineStr">
        <is>
          <t>Faculty practice review</t>
        </is>
      </c>
    </row>
    <row r="216">
      <c r="A216" s="18" t="inlineStr">
        <is>
          <t>CD12</t>
        </is>
      </c>
      <c r="B216" s="18" t="inlineStr">
        <is>
          <t>D05-I05</t>
        </is>
      </c>
      <c r="C216" s="18" t="inlineStr">
        <is>
          <t>D07-I04</t>
        </is>
      </c>
      <c r="D216" s="18">
        <f>'P0-3_Scorecard'!L59</f>
        <v/>
      </c>
      <c r="E216" s="18">
        <f>'P0-3_Scorecard'!L84</f>
        <v/>
      </c>
      <c r="F216" s="18">
        <f>'P0-3_Scorecard'!M84</f>
        <v/>
      </c>
      <c r="G216" s="18">
        <f>'P0-3_Scorecard'!E84</f>
        <v/>
      </c>
      <c r="H216" s="18">
        <f>'P0-3_Scorecard'!H84</f>
        <v/>
      </c>
      <c r="I216" s="18">
        <f>IF(OR(D216="",E216=""),"INCOMPLETE",IF(AND(D216&gt;=70,E216&lt;60),"DEPENDENCY GAP",IF(AND(D216&gt;=70,G216&lt;F216),"REQUIRED MATURITY GAP","OK")))</f>
        <v/>
      </c>
      <c r="J216" s="18" t="inlineStr">
        <is>
          <t>Faculty practice review</t>
        </is>
      </c>
    </row>
    <row r="217">
      <c r="A217" s="18" t="inlineStr">
        <is>
          <t>CD12</t>
        </is>
      </c>
      <c r="B217" s="18" t="inlineStr">
        <is>
          <t>D05-I05</t>
        </is>
      </c>
      <c r="C217" s="18" t="inlineStr">
        <is>
          <t>D07-I05</t>
        </is>
      </c>
      <c r="D217" s="18">
        <f>'P0-3_Scorecard'!L59</f>
        <v/>
      </c>
      <c r="E217" s="18">
        <f>'P0-3_Scorecard'!L85</f>
        <v/>
      </c>
      <c r="F217" s="18">
        <f>'P0-3_Scorecard'!M85</f>
        <v/>
      </c>
      <c r="G217" s="18">
        <f>'P0-3_Scorecard'!E85</f>
        <v/>
      </c>
      <c r="H217" s="18">
        <f>'P0-3_Scorecard'!H85</f>
        <v/>
      </c>
      <c r="I217" s="18">
        <f>IF(OR(D217="",E217=""),"INCOMPLETE",IF(AND(D217&gt;=70,E217&lt;60),"DEPENDENCY GAP",IF(AND(D217&gt;=70,G217&lt;F217),"REQUIRED MATURITY GAP","OK")))</f>
        <v/>
      </c>
      <c r="J217" s="18" t="inlineStr">
        <is>
          <t>Faculty practice review</t>
        </is>
      </c>
    </row>
    <row r="218">
      <c r="A218" s="18" t="inlineStr">
        <is>
          <t>CD12</t>
        </is>
      </c>
      <c r="B218" s="18" t="inlineStr">
        <is>
          <t>D05-I05</t>
        </is>
      </c>
      <c r="C218" s="18" t="inlineStr">
        <is>
          <t>D07-I11</t>
        </is>
      </c>
      <c r="D218" s="18">
        <f>'P0-3_Scorecard'!L59</f>
        <v/>
      </c>
      <c r="E218" s="18">
        <f>'P0-3_Scorecard'!L91</f>
        <v/>
      </c>
      <c r="F218" s="18">
        <f>'P0-3_Scorecard'!M91</f>
        <v/>
      </c>
      <c r="G218" s="18">
        <f>'P0-3_Scorecard'!E91</f>
        <v/>
      </c>
      <c r="H218" s="18">
        <f>'P0-3_Scorecard'!H91</f>
        <v/>
      </c>
      <c r="I218" s="18">
        <f>IF(OR(D218="",E218=""),"INCOMPLETE",IF(AND(D218&gt;=70,E218&lt;60),"DEPENDENCY GAP",IF(AND(D218&gt;=70,G218&lt;F218),"REQUIRED MATURITY GAP","OK")))</f>
        <v/>
      </c>
      <c r="J218" s="18" t="inlineStr">
        <is>
          <t>Faculty practice review</t>
        </is>
      </c>
    </row>
    <row r="219">
      <c r="A219" s="18" t="inlineStr">
        <is>
          <t>CD12</t>
        </is>
      </c>
      <c r="B219" s="18" t="inlineStr">
        <is>
          <t>D05-I12</t>
        </is>
      </c>
      <c r="C219" s="18" t="inlineStr">
        <is>
          <t>D07-I01</t>
        </is>
      </c>
      <c r="D219" s="18">
        <f>'P0-3_Scorecard'!L66</f>
        <v/>
      </c>
      <c r="E219" s="18">
        <f>'P0-3_Scorecard'!L81</f>
        <v/>
      </c>
      <c r="F219" s="18">
        <f>'P0-3_Scorecard'!M81</f>
        <v/>
      </c>
      <c r="G219" s="18">
        <f>'P0-3_Scorecard'!E81</f>
        <v/>
      </c>
      <c r="H219" s="18">
        <f>'P0-3_Scorecard'!H81</f>
        <v/>
      </c>
      <c r="I219" s="18">
        <f>IF(OR(D219="",E219=""),"INCOMPLETE",IF(AND(D219&gt;=70,E219&lt;60),"DEPENDENCY GAP",IF(AND(D219&gt;=70,G219&lt;F219),"REQUIRED MATURITY GAP","OK")))</f>
        <v/>
      </c>
      <c r="J219" s="18" t="inlineStr">
        <is>
          <t>Faculty practice review</t>
        </is>
      </c>
    </row>
    <row r="220">
      <c r="A220" s="18" t="inlineStr">
        <is>
          <t>CD12</t>
        </is>
      </c>
      <c r="B220" s="18" t="inlineStr">
        <is>
          <t>D05-I12</t>
        </is>
      </c>
      <c r="C220" s="18" t="inlineStr">
        <is>
          <t>D07-I04</t>
        </is>
      </c>
      <c r="D220" s="18">
        <f>'P0-3_Scorecard'!L66</f>
        <v/>
      </c>
      <c r="E220" s="18">
        <f>'P0-3_Scorecard'!L84</f>
        <v/>
      </c>
      <c r="F220" s="18">
        <f>'P0-3_Scorecard'!M84</f>
        <v/>
      </c>
      <c r="G220" s="18">
        <f>'P0-3_Scorecard'!E84</f>
        <v/>
      </c>
      <c r="H220" s="18">
        <f>'P0-3_Scorecard'!H84</f>
        <v/>
      </c>
      <c r="I220" s="18">
        <f>IF(OR(D220="",E220=""),"INCOMPLETE",IF(AND(D220&gt;=70,E220&lt;60),"DEPENDENCY GAP",IF(AND(D220&gt;=70,G220&lt;F220),"REQUIRED MATURITY GAP","OK")))</f>
        <v/>
      </c>
      <c r="J220" s="18" t="inlineStr">
        <is>
          <t>Faculty practice review</t>
        </is>
      </c>
    </row>
    <row r="221">
      <c r="A221" s="18" t="inlineStr">
        <is>
          <t>CD12</t>
        </is>
      </c>
      <c r="B221" s="18" t="inlineStr">
        <is>
          <t>D05-I12</t>
        </is>
      </c>
      <c r="C221" s="18" t="inlineStr">
        <is>
          <t>D07-I05</t>
        </is>
      </c>
      <c r="D221" s="18">
        <f>'P0-3_Scorecard'!L66</f>
        <v/>
      </c>
      <c r="E221" s="18">
        <f>'P0-3_Scorecard'!L85</f>
        <v/>
      </c>
      <c r="F221" s="18">
        <f>'P0-3_Scorecard'!M85</f>
        <v/>
      </c>
      <c r="G221" s="18">
        <f>'P0-3_Scorecard'!E85</f>
        <v/>
      </c>
      <c r="H221" s="18">
        <f>'P0-3_Scorecard'!H85</f>
        <v/>
      </c>
      <c r="I221" s="18">
        <f>IF(OR(D221="",E221=""),"INCOMPLETE",IF(AND(D221&gt;=70,E221&lt;60),"DEPENDENCY GAP",IF(AND(D221&gt;=70,G221&lt;F221),"REQUIRED MATURITY GAP","OK")))</f>
        <v/>
      </c>
      <c r="J221" s="18" t="inlineStr">
        <is>
          <t>Faculty practice review</t>
        </is>
      </c>
    </row>
    <row r="222">
      <c r="A222" s="18" t="inlineStr">
        <is>
          <t>CD12</t>
        </is>
      </c>
      <c r="B222" s="18" t="inlineStr">
        <is>
          <t>D05-I12</t>
        </is>
      </c>
      <c r="C222" s="18" t="inlineStr">
        <is>
          <t>D07-I11</t>
        </is>
      </c>
      <c r="D222" s="18">
        <f>'P0-3_Scorecard'!L66</f>
        <v/>
      </c>
      <c r="E222" s="18">
        <f>'P0-3_Scorecard'!L91</f>
        <v/>
      </c>
      <c r="F222" s="18">
        <f>'P0-3_Scorecard'!M91</f>
        <v/>
      </c>
      <c r="G222" s="18">
        <f>'P0-3_Scorecard'!E91</f>
        <v/>
      </c>
      <c r="H222" s="18">
        <f>'P0-3_Scorecard'!H91</f>
        <v/>
      </c>
      <c r="I222" s="18">
        <f>IF(OR(D222="",E222=""),"INCOMPLETE",IF(AND(D222&gt;=70,E222&lt;60),"DEPENDENCY GAP",IF(AND(D222&gt;=70,G222&lt;F222),"REQUIRED MATURITY GAP","OK")))</f>
        <v/>
      </c>
      <c r="J222" s="18" t="inlineStr">
        <is>
          <t>Faculty practice review</t>
        </is>
      </c>
    </row>
    <row r="223">
      <c r="A223" s="18" t="inlineStr">
        <is>
          <t>CD13</t>
        </is>
      </c>
      <c r="B223" s="18" t="inlineStr">
        <is>
          <t>D06-I04</t>
        </is>
      </c>
      <c r="C223" s="18" t="inlineStr">
        <is>
          <t>D09-I05</t>
        </is>
      </c>
      <c r="D223" s="18">
        <f>'P0-3_Scorecard'!L70</f>
        <v/>
      </c>
      <c r="E223" s="18">
        <f>'P0-3_Scorecard'!L109</f>
        <v/>
      </c>
      <c r="F223" s="18">
        <f>'P0-3_Scorecard'!M109</f>
        <v/>
      </c>
      <c r="G223" s="18">
        <f>'P0-3_Scorecard'!E109</f>
        <v/>
      </c>
      <c r="H223" s="18">
        <f>'P0-3_Scorecard'!H109</f>
        <v/>
      </c>
      <c r="I223" s="18">
        <f>IF(OR(D223="",E223=""),"INCOMPLETE",IF(AND(D223&gt;=70,E223&lt;60),"DEPENDENCY GAP",IF(AND(D223&gt;=70,G223&lt;F223),"REQUIRED MATURITY GAP","OK")))</f>
        <v/>
      </c>
      <c r="J223" s="18" t="inlineStr">
        <is>
          <t>Employability evidence review</t>
        </is>
      </c>
    </row>
    <row r="224">
      <c r="A224" s="18" t="inlineStr">
        <is>
          <t>CD13</t>
        </is>
      </c>
      <c r="B224" s="18" t="inlineStr">
        <is>
          <t>D06-I04</t>
        </is>
      </c>
      <c r="C224" s="18" t="inlineStr">
        <is>
          <t>D09-I06</t>
        </is>
      </c>
      <c r="D224" s="18">
        <f>'P0-3_Scorecard'!L70</f>
        <v/>
      </c>
      <c r="E224" s="18">
        <f>'P0-3_Scorecard'!L110</f>
        <v/>
      </c>
      <c r="F224" s="18">
        <f>'P0-3_Scorecard'!M110</f>
        <v/>
      </c>
      <c r="G224" s="18">
        <f>'P0-3_Scorecard'!E110</f>
        <v/>
      </c>
      <c r="H224" s="18">
        <f>'P0-3_Scorecard'!H110</f>
        <v/>
      </c>
      <c r="I224" s="18">
        <f>IF(OR(D224="",E224=""),"INCOMPLETE",IF(AND(D224&gt;=70,E224&lt;60),"DEPENDENCY GAP",IF(AND(D224&gt;=70,G224&lt;F224),"REQUIRED MATURITY GAP","OK")))</f>
        <v/>
      </c>
      <c r="J224" s="18" t="inlineStr">
        <is>
          <t>Employability evidence review</t>
        </is>
      </c>
    </row>
    <row r="225">
      <c r="A225" s="18" t="inlineStr">
        <is>
          <t>CD13</t>
        </is>
      </c>
      <c r="B225" s="18" t="inlineStr">
        <is>
          <t>D06-I04</t>
        </is>
      </c>
      <c r="C225" s="18" t="inlineStr">
        <is>
          <t>D09-I07</t>
        </is>
      </c>
      <c r="D225" s="18">
        <f>'P0-3_Scorecard'!L70</f>
        <v/>
      </c>
      <c r="E225" s="18">
        <f>'P0-3_Scorecard'!L111</f>
        <v/>
      </c>
      <c r="F225" s="18">
        <f>'P0-3_Scorecard'!M111</f>
        <v/>
      </c>
      <c r="G225" s="18">
        <f>'P0-3_Scorecard'!E111</f>
        <v/>
      </c>
      <c r="H225" s="18">
        <f>'P0-3_Scorecard'!H111</f>
        <v/>
      </c>
      <c r="I225" s="18">
        <f>IF(OR(D225="",E225=""),"INCOMPLETE",IF(AND(D225&gt;=70,E225&lt;60),"DEPENDENCY GAP",IF(AND(D225&gt;=70,G225&lt;F225),"REQUIRED MATURITY GAP","OK")))</f>
        <v/>
      </c>
      <c r="J225" s="18" t="inlineStr">
        <is>
          <t>Employability evidence review</t>
        </is>
      </c>
    </row>
    <row r="226">
      <c r="A226" s="18" t="inlineStr">
        <is>
          <t>CD13</t>
        </is>
      </c>
      <c r="B226" s="18" t="inlineStr">
        <is>
          <t>D06-I04</t>
        </is>
      </c>
      <c r="C226" s="18" t="inlineStr">
        <is>
          <t>D09-I08</t>
        </is>
      </c>
      <c r="D226" s="18">
        <f>'P0-3_Scorecard'!L70</f>
        <v/>
      </c>
      <c r="E226" s="18">
        <f>'P0-3_Scorecard'!L112</f>
        <v/>
      </c>
      <c r="F226" s="18">
        <f>'P0-3_Scorecard'!M112</f>
        <v/>
      </c>
      <c r="G226" s="18">
        <f>'P0-3_Scorecard'!E112</f>
        <v/>
      </c>
      <c r="H226" s="18">
        <f>'P0-3_Scorecard'!H112</f>
        <v/>
      </c>
      <c r="I226" s="18">
        <f>IF(OR(D226="",E226=""),"INCOMPLETE",IF(AND(D226&gt;=70,E226&lt;60),"DEPENDENCY GAP",IF(AND(D226&gt;=70,G226&lt;F226),"REQUIRED MATURITY GAP","OK")))</f>
        <v/>
      </c>
      <c r="J226" s="18" t="inlineStr">
        <is>
          <t>Employability evidence review</t>
        </is>
      </c>
    </row>
    <row r="227">
      <c r="A227" s="18" t="inlineStr">
        <is>
          <t>CD13</t>
        </is>
      </c>
      <c r="B227" s="18" t="inlineStr">
        <is>
          <t>D06-I04</t>
        </is>
      </c>
      <c r="C227" s="18" t="inlineStr">
        <is>
          <t>D09-I09</t>
        </is>
      </c>
      <c r="D227" s="18">
        <f>'P0-3_Scorecard'!L70</f>
        <v/>
      </c>
      <c r="E227" s="18">
        <f>'P0-3_Scorecard'!L113</f>
        <v/>
      </c>
      <c r="F227" s="18">
        <f>'P0-3_Scorecard'!M113</f>
        <v/>
      </c>
      <c r="G227" s="18">
        <f>'P0-3_Scorecard'!E113</f>
        <v/>
      </c>
      <c r="H227" s="18">
        <f>'P0-3_Scorecard'!H113</f>
        <v/>
      </c>
      <c r="I227" s="18">
        <f>IF(OR(D227="",E227=""),"INCOMPLETE",IF(AND(D227&gt;=70,E227&lt;60),"DEPENDENCY GAP",IF(AND(D227&gt;=70,G227&lt;F227),"REQUIRED MATURITY GAP","OK")))</f>
        <v/>
      </c>
      <c r="J227" s="18" t="inlineStr">
        <is>
          <t>Employability evidence review</t>
        </is>
      </c>
    </row>
    <row r="228">
      <c r="A228" s="18" t="inlineStr">
        <is>
          <t>CD13</t>
        </is>
      </c>
      <c r="B228" s="18" t="inlineStr">
        <is>
          <t>D06-I07</t>
        </is>
      </c>
      <c r="C228" s="18" t="inlineStr">
        <is>
          <t>D09-I05</t>
        </is>
      </c>
      <c r="D228" s="18">
        <f>'P0-3_Scorecard'!L73</f>
        <v/>
      </c>
      <c r="E228" s="18">
        <f>'P0-3_Scorecard'!L109</f>
        <v/>
      </c>
      <c r="F228" s="18">
        <f>'P0-3_Scorecard'!M109</f>
        <v/>
      </c>
      <c r="G228" s="18">
        <f>'P0-3_Scorecard'!E109</f>
        <v/>
      </c>
      <c r="H228" s="18">
        <f>'P0-3_Scorecard'!H109</f>
        <v/>
      </c>
      <c r="I228" s="18">
        <f>IF(OR(D228="",E228=""),"INCOMPLETE",IF(AND(D228&gt;=70,E228&lt;60),"DEPENDENCY GAP",IF(AND(D228&gt;=70,G228&lt;F228),"REQUIRED MATURITY GAP","OK")))</f>
        <v/>
      </c>
      <c r="J228" s="18" t="inlineStr">
        <is>
          <t>Employability evidence review</t>
        </is>
      </c>
    </row>
    <row r="229">
      <c r="A229" s="18" t="inlineStr">
        <is>
          <t>CD13</t>
        </is>
      </c>
      <c r="B229" s="18" t="inlineStr">
        <is>
          <t>D06-I07</t>
        </is>
      </c>
      <c r="C229" s="18" t="inlineStr">
        <is>
          <t>D09-I06</t>
        </is>
      </c>
      <c r="D229" s="18">
        <f>'P0-3_Scorecard'!L73</f>
        <v/>
      </c>
      <c r="E229" s="18">
        <f>'P0-3_Scorecard'!L110</f>
        <v/>
      </c>
      <c r="F229" s="18">
        <f>'P0-3_Scorecard'!M110</f>
        <v/>
      </c>
      <c r="G229" s="18">
        <f>'P0-3_Scorecard'!E110</f>
        <v/>
      </c>
      <c r="H229" s="18">
        <f>'P0-3_Scorecard'!H110</f>
        <v/>
      </c>
      <c r="I229" s="18">
        <f>IF(OR(D229="",E229=""),"INCOMPLETE",IF(AND(D229&gt;=70,E229&lt;60),"DEPENDENCY GAP",IF(AND(D229&gt;=70,G229&lt;F229),"REQUIRED MATURITY GAP","OK")))</f>
        <v/>
      </c>
      <c r="J229" s="18" t="inlineStr">
        <is>
          <t>Employability evidence review</t>
        </is>
      </c>
    </row>
    <row r="230">
      <c r="A230" s="18" t="inlineStr">
        <is>
          <t>CD13</t>
        </is>
      </c>
      <c r="B230" s="18" t="inlineStr">
        <is>
          <t>D06-I07</t>
        </is>
      </c>
      <c r="C230" s="18" t="inlineStr">
        <is>
          <t>D09-I07</t>
        </is>
      </c>
      <c r="D230" s="18">
        <f>'P0-3_Scorecard'!L73</f>
        <v/>
      </c>
      <c r="E230" s="18">
        <f>'P0-3_Scorecard'!L111</f>
        <v/>
      </c>
      <c r="F230" s="18">
        <f>'P0-3_Scorecard'!M111</f>
        <v/>
      </c>
      <c r="G230" s="18">
        <f>'P0-3_Scorecard'!E111</f>
        <v/>
      </c>
      <c r="H230" s="18">
        <f>'P0-3_Scorecard'!H111</f>
        <v/>
      </c>
      <c r="I230" s="18">
        <f>IF(OR(D230="",E230=""),"INCOMPLETE",IF(AND(D230&gt;=70,E230&lt;60),"DEPENDENCY GAP",IF(AND(D230&gt;=70,G230&lt;F230),"REQUIRED MATURITY GAP","OK")))</f>
        <v/>
      </c>
      <c r="J230" s="18" t="inlineStr">
        <is>
          <t>Employability evidence review</t>
        </is>
      </c>
    </row>
    <row r="231">
      <c r="A231" s="18" t="inlineStr">
        <is>
          <t>CD13</t>
        </is>
      </c>
      <c r="B231" s="18" t="inlineStr">
        <is>
          <t>D06-I07</t>
        </is>
      </c>
      <c r="C231" s="18" t="inlineStr">
        <is>
          <t>D09-I08</t>
        </is>
      </c>
      <c r="D231" s="18">
        <f>'P0-3_Scorecard'!L73</f>
        <v/>
      </c>
      <c r="E231" s="18">
        <f>'P0-3_Scorecard'!L112</f>
        <v/>
      </c>
      <c r="F231" s="18">
        <f>'P0-3_Scorecard'!M112</f>
        <v/>
      </c>
      <c r="G231" s="18">
        <f>'P0-3_Scorecard'!E112</f>
        <v/>
      </c>
      <c r="H231" s="18">
        <f>'P0-3_Scorecard'!H112</f>
        <v/>
      </c>
      <c r="I231" s="18">
        <f>IF(OR(D231="",E231=""),"INCOMPLETE",IF(AND(D231&gt;=70,E231&lt;60),"DEPENDENCY GAP",IF(AND(D231&gt;=70,G231&lt;F231),"REQUIRED MATURITY GAP","OK")))</f>
        <v/>
      </c>
      <c r="J231" s="18" t="inlineStr">
        <is>
          <t>Employability evidence review</t>
        </is>
      </c>
    </row>
    <row r="232">
      <c r="A232" s="18" t="inlineStr">
        <is>
          <t>CD13</t>
        </is>
      </c>
      <c r="B232" s="18" t="inlineStr">
        <is>
          <t>D06-I07</t>
        </is>
      </c>
      <c r="C232" s="18" t="inlineStr">
        <is>
          <t>D09-I09</t>
        </is>
      </c>
      <c r="D232" s="18">
        <f>'P0-3_Scorecard'!L73</f>
        <v/>
      </c>
      <c r="E232" s="18">
        <f>'P0-3_Scorecard'!L113</f>
        <v/>
      </c>
      <c r="F232" s="18">
        <f>'P0-3_Scorecard'!M113</f>
        <v/>
      </c>
      <c r="G232" s="18">
        <f>'P0-3_Scorecard'!E113</f>
        <v/>
      </c>
      <c r="H232" s="18">
        <f>'P0-3_Scorecard'!H113</f>
        <v/>
      </c>
      <c r="I232" s="18">
        <f>IF(OR(D232="",E232=""),"INCOMPLETE",IF(AND(D232&gt;=70,E232&lt;60),"DEPENDENCY GAP",IF(AND(D232&gt;=70,G232&lt;F232),"REQUIRED MATURITY GAP","OK")))</f>
        <v/>
      </c>
      <c r="J232" s="18" t="inlineStr">
        <is>
          <t>Employability evidence review</t>
        </is>
      </c>
    </row>
    <row r="233">
      <c r="A233" s="18" t="inlineStr">
        <is>
          <t>CD13</t>
        </is>
      </c>
      <c r="B233" s="18" t="inlineStr">
        <is>
          <t>D06-I08</t>
        </is>
      </c>
      <c r="C233" s="18" t="inlineStr">
        <is>
          <t>D09-I05</t>
        </is>
      </c>
      <c r="D233" s="18">
        <f>'P0-3_Scorecard'!L74</f>
        <v/>
      </c>
      <c r="E233" s="18">
        <f>'P0-3_Scorecard'!L109</f>
        <v/>
      </c>
      <c r="F233" s="18">
        <f>'P0-3_Scorecard'!M109</f>
        <v/>
      </c>
      <c r="G233" s="18">
        <f>'P0-3_Scorecard'!E109</f>
        <v/>
      </c>
      <c r="H233" s="18">
        <f>'P0-3_Scorecard'!H109</f>
        <v/>
      </c>
      <c r="I233" s="18">
        <f>IF(OR(D233="",E233=""),"INCOMPLETE",IF(AND(D233&gt;=70,E233&lt;60),"DEPENDENCY GAP",IF(AND(D233&gt;=70,G233&lt;F233),"REQUIRED MATURITY GAP","OK")))</f>
        <v/>
      </c>
      <c r="J233" s="18" t="inlineStr">
        <is>
          <t>Employability evidence review</t>
        </is>
      </c>
    </row>
    <row r="234">
      <c r="A234" s="18" t="inlineStr">
        <is>
          <t>CD13</t>
        </is>
      </c>
      <c r="B234" s="18" t="inlineStr">
        <is>
          <t>D06-I08</t>
        </is>
      </c>
      <c r="C234" s="18" t="inlineStr">
        <is>
          <t>D09-I06</t>
        </is>
      </c>
      <c r="D234" s="18">
        <f>'P0-3_Scorecard'!L74</f>
        <v/>
      </c>
      <c r="E234" s="18">
        <f>'P0-3_Scorecard'!L110</f>
        <v/>
      </c>
      <c r="F234" s="18">
        <f>'P0-3_Scorecard'!M110</f>
        <v/>
      </c>
      <c r="G234" s="18">
        <f>'P0-3_Scorecard'!E110</f>
        <v/>
      </c>
      <c r="H234" s="18">
        <f>'P0-3_Scorecard'!H110</f>
        <v/>
      </c>
      <c r="I234" s="18">
        <f>IF(OR(D234="",E234=""),"INCOMPLETE",IF(AND(D234&gt;=70,E234&lt;60),"DEPENDENCY GAP",IF(AND(D234&gt;=70,G234&lt;F234),"REQUIRED MATURITY GAP","OK")))</f>
        <v/>
      </c>
      <c r="J234" s="18" t="inlineStr">
        <is>
          <t>Employability evidence review</t>
        </is>
      </c>
    </row>
    <row r="235">
      <c r="A235" s="18" t="inlineStr">
        <is>
          <t>CD13</t>
        </is>
      </c>
      <c r="B235" s="18" t="inlineStr">
        <is>
          <t>D06-I08</t>
        </is>
      </c>
      <c r="C235" s="18" t="inlineStr">
        <is>
          <t>D09-I07</t>
        </is>
      </c>
      <c r="D235" s="18">
        <f>'P0-3_Scorecard'!L74</f>
        <v/>
      </c>
      <c r="E235" s="18">
        <f>'P0-3_Scorecard'!L111</f>
        <v/>
      </c>
      <c r="F235" s="18">
        <f>'P0-3_Scorecard'!M111</f>
        <v/>
      </c>
      <c r="G235" s="18">
        <f>'P0-3_Scorecard'!E111</f>
        <v/>
      </c>
      <c r="H235" s="18">
        <f>'P0-3_Scorecard'!H111</f>
        <v/>
      </c>
      <c r="I235" s="18">
        <f>IF(OR(D235="",E235=""),"INCOMPLETE",IF(AND(D235&gt;=70,E235&lt;60),"DEPENDENCY GAP",IF(AND(D235&gt;=70,G235&lt;F235),"REQUIRED MATURITY GAP","OK")))</f>
        <v/>
      </c>
      <c r="J235" s="18" t="inlineStr">
        <is>
          <t>Employability evidence review</t>
        </is>
      </c>
    </row>
    <row r="236">
      <c r="A236" s="18" t="inlineStr">
        <is>
          <t>CD13</t>
        </is>
      </c>
      <c r="B236" s="18" t="inlineStr">
        <is>
          <t>D06-I08</t>
        </is>
      </c>
      <c r="C236" s="18" t="inlineStr">
        <is>
          <t>D09-I08</t>
        </is>
      </c>
      <c r="D236" s="18">
        <f>'P0-3_Scorecard'!L74</f>
        <v/>
      </c>
      <c r="E236" s="18">
        <f>'P0-3_Scorecard'!L112</f>
        <v/>
      </c>
      <c r="F236" s="18">
        <f>'P0-3_Scorecard'!M112</f>
        <v/>
      </c>
      <c r="G236" s="18">
        <f>'P0-3_Scorecard'!E112</f>
        <v/>
      </c>
      <c r="H236" s="18">
        <f>'P0-3_Scorecard'!H112</f>
        <v/>
      </c>
      <c r="I236" s="18">
        <f>IF(OR(D236="",E236=""),"INCOMPLETE",IF(AND(D236&gt;=70,E236&lt;60),"DEPENDENCY GAP",IF(AND(D236&gt;=70,G236&lt;F236),"REQUIRED MATURITY GAP","OK")))</f>
        <v/>
      </c>
      <c r="J236" s="18" t="inlineStr">
        <is>
          <t>Employability evidence review</t>
        </is>
      </c>
    </row>
    <row r="237">
      <c r="A237" s="18" t="inlineStr">
        <is>
          <t>CD13</t>
        </is>
      </c>
      <c r="B237" s="18" t="inlineStr">
        <is>
          <t>D06-I08</t>
        </is>
      </c>
      <c r="C237" s="18" t="inlineStr">
        <is>
          <t>D09-I09</t>
        </is>
      </c>
      <c r="D237" s="18">
        <f>'P0-3_Scorecard'!L74</f>
        <v/>
      </c>
      <c r="E237" s="18">
        <f>'P0-3_Scorecard'!L113</f>
        <v/>
      </c>
      <c r="F237" s="18">
        <f>'P0-3_Scorecard'!M113</f>
        <v/>
      </c>
      <c r="G237" s="18">
        <f>'P0-3_Scorecard'!E113</f>
        <v/>
      </c>
      <c r="H237" s="18">
        <f>'P0-3_Scorecard'!H113</f>
        <v/>
      </c>
      <c r="I237" s="18">
        <f>IF(OR(D237="",E237=""),"INCOMPLETE",IF(AND(D237&gt;=70,E237&lt;60),"DEPENDENCY GAP",IF(AND(D237&gt;=70,G237&lt;F237),"REQUIRED MATURITY GAP","OK")))</f>
        <v/>
      </c>
      <c r="J237" s="18" t="inlineStr">
        <is>
          <t>Employability evidence review</t>
        </is>
      </c>
    </row>
    <row r="238">
      <c r="A238" s="18" t="inlineStr">
        <is>
          <t>CD13</t>
        </is>
      </c>
      <c r="B238" s="18" t="inlineStr">
        <is>
          <t>D06-I09</t>
        </is>
      </c>
      <c r="C238" s="18" t="inlineStr">
        <is>
          <t>D09-I05</t>
        </is>
      </c>
      <c r="D238" s="18">
        <f>'P0-3_Scorecard'!L75</f>
        <v/>
      </c>
      <c r="E238" s="18">
        <f>'P0-3_Scorecard'!L109</f>
        <v/>
      </c>
      <c r="F238" s="18">
        <f>'P0-3_Scorecard'!M109</f>
        <v/>
      </c>
      <c r="G238" s="18">
        <f>'P0-3_Scorecard'!E109</f>
        <v/>
      </c>
      <c r="H238" s="18">
        <f>'P0-3_Scorecard'!H109</f>
        <v/>
      </c>
      <c r="I238" s="18">
        <f>IF(OR(D238="",E238=""),"INCOMPLETE",IF(AND(D238&gt;=70,E238&lt;60),"DEPENDENCY GAP",IF(AND(D238&gt;=70,G238&lt;F238),"REQUIRED MATURITY GAP","OK")))</f>
        <v/>
      </c>
      <c r="J238" s="18" t="inlineStr">
        <is>
          <t>Employability evidence review</t>
        </is>
      </c>
    </row>
    <row r="239">
      <c r="A239" s="18" t="inlineStr">
        <is>
          <t>CD13</t>
        </is>
      </c>
      <c r="B239" s="18" t="inlineStr">
        <is>
          <t>D06-I09</t>
        </is>
      </c>
      <c r="C239" s="18" t="inlineStr">
        <is>
          <t>D09-I06</t>
        </is>
      </c>
      <c r="D239" s="18">
        <f>'P0-3_Scorecard'!L75</f>
        <v/>
      </c>
      <c r="E239" s="18">
        <f>'P0-3_Scorecard'!L110</f>
        <v/>
      </c>
      <c r="F239" s="18">
        <f>'P0-3_Scorecard'!M110</f>
        <v/>
      </c>
      <c r="G239" s="18">
        <f>'P0-3_Scorecard'!E110</f>
        <v/>
      </c>
      <c r="H239" s="18">
        <f>'P0-3_Scorecard'!H110</f>
        <v/>
      </c>
      <c r="I239" s="18">
        <f>IF(OR(D239="",E239=""),"INCOMPLETE",IF(AND(D239&gt;=70,E239&lt;60),"DEPENDENCY GAP",IF(AND(D239&gt;=70,G239&lt;F239),"REQUIRED MATURITY GAP","OK")))</f>
        <v/>
      </c>
      <c r="J239" s="18" t="inlineStr">
        <is>
          <t>Employability evidence review</t>
        </is>
      </c>
    </row>
    <row r="240">
      <c r="A240" s="18" t="inlineStr">
        <is>
          <t>CD13</t>
        </is>
      </c>
      <c r="B240" s="18" t="inlineStr">
        <is>
          <t>D06-I09</t>
        </is>
      </c>
      <c r="C240" s="18" t="inlineStr">
        <is>
          <t>D09-I07</t>
        </is>
      </c>
      <c r="D240" s="18">
        <f>'P0-3_Scorecard'!L75</f>
        <v/>
      </c>
      <c r="E240" s="18">
        <f>'P0-3_Scorecard'!L111</f>
        <v/>
      </c>
      <c r="F240" s="18">
        <f>'P0-3_Scorecard'!M111</f>
        <v/>
      </c>
      <c r="G240" s="18">
        <f>'P0-3_Scorecard'!E111</f>
        <v/>
      </c>
      <c r="H240" s="18">
        <f>'P0-3_Scorecard'!H111</f>
        <v/>
      </c>
      <c r="I240" s="18">
        <f>IF(OR(D240="",E240=""),"INCOMPLETE",IF(AND(D240&gt;=70,E240&lt;60),"DEPENDENCY GAP",IF(AND(D240&gt;=70,G240&lt;F240),"REQUIRED MATURITY GAP","OK")))</f>
        <v/>
      </c>
      <c r="J240" s="18" t="inlineStr">
        <is>
          <t>Employability evidence review</t>
        </is>
      </c>
    </row>
    <row r="241">
      <c r="A241" s="18" t="inlineStr">
        <is>
          <t>CD13</t>
        </is>
      </c>
      <c r="B241" s="18" t="inlineStr">
        <is>
          <t>D06-I09</t>
        </is>
      </c>
      <c r="C241" s="18" t="inlineStr">
        <is>
          <t>D09-I08</t>
        </is>
      </c>
      <c r="D241" s="18">
        <f>'P0-3_Scorecard'!L75</f>
        <v/>
      </c>
      <c r="E241" s="18">
        <f>'P0-3_Scorecard'!L112</f>
        <v/>
      </c>
      <c r="F241" s="18">
        <f>'P0-3_Scorecard'!M112</f>
        <v/>
      </c>
      <c r="G241" s="18">
        <f>'P0-3_Scorecard'!E112</f>
        <v/>
      </c>
      <c r="H241" s="18">
        <f>'P0-3_Scorecard'!H112</f>
        <v/>
      </c>
      <c r="I241" s="18">
        <f>IF(OR(D241="",E241=""),"INCOMPLETE",IF(AND(D241&gt;=70,E241&lt;60),"DEPENDENCY GAP",IF(AND(D241&gt;=70,G241&lt;F241),"REQUIRED MATURITY GAP","OK")))</f>
        <v/>
      </c>
      <c r="J241" s="18" t="inlineStr">
        <is>
          <t>Employability evidence review</t>
        </is>
      </c>
    </row>
    <row r="242">
      <c r="A242" s="18" t="inlineStr">
        <is>
          <t>CD13</t>
        </is>
      </c>
      <c r="B242" s="18" t="inlineStr">
        <is>
          <t>D06-I09</t>
        </is>
      </c>
      <c r="C242" s="18" t="inlineStr">
        <is>
          <t>D09-I09</t>
        </is>
      </c>
      <c r="D242" s="18">
        <f>'P0-3_Scorecard'!L75</f>
        <v/>
      </c>
      <c r="E242" s="18">
        <f>'P0-3_Scorecard'!L113</f>
        <v/>
      </c>
      <c r="F242" s="18">
        <f>'P0-3_Scorecard'!M113</f>
        <v/>
      </c>
      <c r="G242" s="18">
        <f>'P0-3_Scorecard'!E113</f>
        <v/>
      </c>
      <c r="H242" s="18">
        <f>'P0-3_Scorecard'!H113</f>
        <v/>
      </c>
      <c r="I242" s="18">
        <f>IF(OR(D242="",E242=""),"INCOMPLETE",IF(AND(D242&gt;=70,E242&lt;60),"DEPENDENCY GAP",IF(AND(D242&gt;=70,G242&lt;F242),"REQUIRED MATURITY GAP","OK")))</f>
        <v/>
      </c>
      <c r="J242" s="18" t="inlineStr">
        <is>
          <t>Employability evidence review</t>
        </is>
      </c>
    </row>
    <row r="243">
      <c r="A243" s="18" t="inlineStr">
        <is>
          <t>CD13</t>
        </is>
      </c>
      <c r="B243" s="18" t="inlineStr">
        <is>
          <t>D06-I10</t>
        </is>
      </c>
      <c r="C243" s="18" t="inlineStr">
        <is>
          <t>D09-I05</t>
        </is>
      </c>
      <c r="D243" s="18">
        <f>'P0-3_Scorecard'!L76</f>
        <v/>
      </c>
      <c r="E243" s="18">
        <f>'P0-3_Scorecard'!L109</f>
        <v/>
      </c>
      <c r="F243" s="18">
        <f>'P0-3_Scorecard'!M109</f>
        <v/>
      </c>
      <c r="G243" s="18">
        <f>'P0-3_Scorecard'!E109</f>
        <v/>
      </c>
      <c r="H243" s="18">
        <f>'P0-3_Scorecard'!H109</f>
        <v/>
      </c>
      <c r="I243" s="18">
        <f>IF(OR(D243="",E243=""),"INCOMPLETE",IF(AND(D243&gt;=70,E243&lt;60),"DEPENDENCY GAP",IF(AND(D243&gt;=70,G243&lt;F243),"REQUIRED MATURITY GAP","OK")))</f>
        <v/>
      </c>
      <c r="J243" s="18" t="inlineStr">
        <is>
          <t>Employability evidence review</t>
        </is>
      </c>
    </row>
    <row r="244">
      <c r="A244" s="18" t="inlineStr">
        <is>
          <t>CD13</t>
        </is>
      </c>
      <c r="B244" s="18" t="inlineStr">
        <is>
          <t>D06-I10</t>
        </is>
      </c>
      <c r="C244" s="18" t="inlineStr">
        <is>
          <t>D09-I06</t>
        </is>
      </c>
      <c r="D244" s="18">
        <f>'P0-3_Scorecard'!L76</f>
        <v/>
      </c>
      <c r="E244" s="18">
        <f>'P0-3_Scorecard'!L110</f>
        <v/>
      </c>
      <c r="F244" s="18">
        <f>'P0-3_Scorecard'!M110</f>
        <v/>
      </c>
      <c r="G244" s="18">
        <f>'P0-3_Scorecard'!E110</f>
        <v/>
      </c>
      <c r="H244" s="18">
        <f>'P0-3_Scorecard'!H110</f>
        <v/>
      </c>
      <c r="I244" s="18">
        <f>IF(OR(D244="",E244=""),"INCOMPLETE",IF(AND(D244&gt;=70,E244&lt;60),"DEPENDENCY GAP",IF(AND(D244&gt;=70,G244&lt;F244),"REQUIRED MATURITY GAP","OK")))</f>
        <v/>
      </c>
      <c r="J244" s="18" t="inlineStr">
        <is>
          <t>Employability evidence review</t>
        </is>
      </c>
    </row>
    <row r="245">
      <c r="A245" s="18" t="inlineStr">
        <is>
          <t>CD13</t>
        </is>
      </c>
      <c r="B245" s="18" t="inlineStr">
        <is>
          <t>D06-I10</t>
        </is>
      </c>
      <c r="C245" s="18" t="inlineStr">
        <is>
          <t>D09-I07</t>
        </is>
      </c>
      <c r="D245" s="18">
        <f>'P0-3_Scorecard'!L76</f>
        <v/>
      </c>
      <c r="E245" s="18">
        <f>'P0-3_Scorecard'!L111</f>
        <v/>
      </c>
      <c r="F245" s="18">
        <f>'P0-3_Scorecard'!M111</f>
        <v/>
      </c>
      <c r="G245" s="18">
        <f>'P0-3_Scorecard'!E111</f>
        <v/>
      </c>
      <c r="H245" s="18">
        <f>'P0-3_Scorecard'!H111</f>
        <v/>
      </c>
      <c r="I245" s="18">
        <f>IF(OR(D245="",E245=""),"INCOMPLETE",IF(AND(D245&gt;=70,E245&lt;60),"DEPENDENCY GAP",IF(AND(D245&gt;=70,G245&lt;F245),"REQUIRED MATURITY GAP","OK")))</f>
        <v/>
      </c>
      <c r="J245" s="18" t="inlineStr">
        <is>
          <t>Employability evidence review</t>
        </is>
      </c>
    </row>
    <row r="246">
      <c r="A246" s="18" t="inlineStr">
        <is>
          <t>CD13</t>
        </is>
      </c>
      <c r="B246" s="18" t="inlineStr">
        <is>
          <t>D06-I10</t>
        </is>
      </c>
      <c r="C246" s="18" t="inlineStr">
        <is>
          <t>D09-I08</t>
        </is>
      </c>
      <c r="D246" s="18">
        <f>'P0-3_Scorecard'!L76</f>
        <v/>
      </c>
      <c r="E246" s="18">
        <f>'P0-3_Scorecard'!L112</f>
        <v/>
      </c>
      <c r="F246" s="18">
        <f>'P0-3_Scorecard'!M112</f>
        <v/>
      </c>
      <c r="G246" s="18">
        <f>'P0-3_Scorecard'!E112</f>
        <v/>
      </c>
      <c r="H246" s="18">
        <f>'P0-3_Scorecard'!H112</f>
        <v/>
      </c>
      <c r="I246" s="18">
        <f>IF(OR(D246="",E246=""),"INCOMPLETE",IF(AND(D246&gt;=70,E246&lt;60),"DEPENDENCY GAP",IF(AND(D246&gt;=70,G246&lt;F246),"REQUIRED MATURITY GAP","OK")))</f>
        <v/>
      </c>
      <c r="J246" s="18" t="inlineStr">
        <is>
          <t>Employability evidence review</t>
        </is>
      </c>
    </row>
    <row r="247">
      <c r="A247" s="18" t="inlineStr">
        <is>
          <t>CD13</t>
        </is>
      </c>
      <c r="B247" s="18" t="inlineStr">
        <is>
          <t>D06-I10</t>
        </is>
      </c>
      <c r="C247" s="18" t="inlineStr">
        <is>
          <t>D09-I09</t>
        </is>
      </c>
      <c r="D247" s="18">
        <f>'P0-3_Scorecard'!L76</f>
        <v/>
      </c>
      <c r="E247" s="18">
        <f>'P0-3_Scorecard'!L113</f>
        <v/>
      </c>
      <c r="F247" s="18">
        <f>'P0-3_Scorecard'!M113</f>
        <v/>
      </c>
      <c r="G247" s="18">
        <f>'P0-3_Scorecard'!E113</f>
        <v/>
      </c>
      <c r="H247" s="18">
        <f>'P0-3_Scorecard'!H113</f>
        <v/>
      </c>
      <c r="I247" s="18">
        <f>IF(OR(D247="",E247=""),"INCOMPLETE",IF(AND(D247&gt;=70,E247&lt;60),"DEPENDENCY GAP",IF(AND(D247&gt;=70,G247&lt;F247),"REQUIRED MATURITY GAP","OK")))</f>
        <v/>
      </c>
      <c r="J247" s="18" t="inlineStr">
        <is>
          <t>Employability evidence review</t>
        </is>
      </c>
    </row>
    <row r="248">
      <c r="A248" s="18" t="inlineStr">
        <is>
          <t>CD13</t>
        </is>
      </c>
      <c r="B248" s="18" t="inlineStr">
        <is>
          <t>D06-I11</t>
        </is>
      </c>
      <c r="C248" s="18" t="inlineStr">
        <is>
          <t>D09-I05</t>
        </is>
      </c>
      <c r="D248" s="18">
        <f>'P0-3_Scorecard'!L77</f>
        <v/>
      </c>
      <c r="E248" s="18">
        <f>'P0-3_Scorecard'!L109</f>
        <v/>
      </c>
      <c r="F248" s="18">
        <f>'P0-3_Scorecard'!M109</f>
        <v/>
      </c>
      <c r="G248" s="18">
        <f>'P0-3_Scorecard'!E109</f>
        <v/>
      </c>
      <c r="H248" s="18">
        <f>'P0-3_Scorecard'!H109</f>
        <v/>
      </c>
      <c r="I248" s="18">
        <f>IF(OR(D248="",E248=""),"INCOMPLETE",IF(AND(D248&gt;=70,E248&lt;60),"DEPENDENCY GAP",IF(AND(D248&gt;=70,G248&lt;F248),"REQUIRED MATURITY GAP","OK")))</f>
        <v/>
      </c>
      <c r="J248" s="18" t="inlineStr">
        <is>
          <t>Employability evidence review</t>
        </is>
      </c>
    </row>
    <row r="249">
      <c r="A249" s="18" t="inlineStr">
        <is>
          <t>CD13</t>
        </is>
      </c>
      <c r="B249" s="18" t="inlineStr">
        <is>
          <t>D06-I11</t>
        </is>
      </c>
      <c r="C249" s="18" t="inlineStr">
        <is>
          <t>D09-I06</t>
        </is>
      </c>
      <c r="D249" s="18">
        <f>'P0-3_Scorecard'!L77</f>
        <v/>
      </c>
      <c r="E249" s="18">
        <f>'P0-3_Scorecard'!L110</f>
        <v/>
      </c>
      <c r="F249" s="18">
        <f>'P0-3_Scorecard'!M110</f>
        <v/>
      </c>
      <c r="G249" s="18">
        <f>'P0-3_Scorecard'!E110</f>
        <v/>
      </c>
      <c r="H249" s="18">
        <f>'P0-3_Scorecard'!H110</f>
        <v/>
      </c>
      <c r="I249" s="18">
        <f>IF(OR(D249="",E249=""),"INCOMPLETE",IF(AND(D249&gt;=70,E249&lt;60),"DEPENDENCY GAP",IF(AND(D249&gt;=70,G249&lt;F249),"REQUIRED MATURITY GAP","OK")))</f>
        <v/>
      </c>
      <c r="J249" s="18" t="inlineStr">
        <is>
          <t>Employability evidence review</t>
        </is>
      </c>
    </row>
    <row r="250">
      <c r="A250" s="18" t="inlineStr">
        <is>
          <t>CD13</t>
        </is>
      </c>
      <c r="B250" s="18" t="inlineStr">
        <is>
          <t>D06-I11</t>
        </is>
      </c>
      <c r="C250" s="18" t="inlineStr">
        <is>
          <t>D09-I07</t>
        </is>
      </c>
      <c r="D250" s="18">
        <f>'P0-3_Scorecard'!L77</f>
        <v/>
      </c>
      <c r="E250" s="18">
        <f>'P0-3_Scorecard'!L111</f>
        <v/>
      </c>
      <c r="F250" s="18">
        <f>'P0-3_Scorecard'!M111</f>
        <v/>
      </c>
      <c r="G250" s="18">
        <f>'P0-3_Scorecard'!E111</f>
        <v/>
      </c>
      <c r="H250" s="18">
        <f>'P0-3_Scorecard'!H111</f>
        <v/>
      </c>
      <c r="I250" s="18">
        <f>IF(OR(D250="",E250=""),"INCOMPLETE",IF(AND(D250&gt;=70,E250&lt;60),"DEPENDENCY GAP",IF(AND(D250&gt;=70,G250&lt;F250),"REQUIRED MATURITY GAP","OK")))</f>
        <v/>
      </c>
      <c r="J250" s="18" t="inlineStr">
        <is>
          <t>Employability evidence review</t>
        </is>
      </c>
    </row>
    <row r="251">
      <c r="A251" s="18" t="inlineStr">
        <is>
          <t>CD13</t>
        </is>
      </c>
      <c r="B251" s="18" t="inlineStr">
        <is>
          <t>D06-I11</t>
        </is>
      </c>
      <c r="C251" s="18" t="inlineStr">
        <is>
          <t>D09-I08</t>
        </is>
      </c>
      <c r="D251" s="18">
        <f>'P0-3_Scorecard'!L77</f>
        <v/>
      </c>
      <c r="E251" s="18">
        <f>'P0-3_Scorecard'!L112</f>
        <v/>
      </c>
      <c r="F251" s="18">
        <f>'P0-3_Scorecard'!M112</f>
        <v/>
      </c>
      <c r="G251" s="18">
        <f>'P0-3_Scorecard'!E112</f>
        <v/>
      </c>
      <c r="H251" s="18">
        <f>'P0-3_Scorecard'!H112</f>
        <v/>
      </c>
      <c r="I251" s="18">
        <f>IF(OR(D251="",E251=""),"INCOMPLETE",IF(AND(D251&gt;=70,E251&lt;60),"DEPENDENCY GAP",IF(AND(D251&gt;=70,G251&lt;F251),"REQUIRED MATURITY GAP","OK")))</f>
        <v/>
      </c>
      <c r="J251" s="18" t="inlineStr">
        <is>
          <t>Employability evidence review</t>
        </is>
      </c>
    </row>
    <row r="252">
      <c r="A252" s="18" t="inlineStr">
        <is>
          <t>CD13</t>
        </is>
      </c>
      <c r="B252" s="18" t="inlineStr">
        <is>
          <t>D06-I11</t>
        </is>
      </c>
      <c r="C252" s="18" t="inlineStr">
        <is>
          <t>D09-I09</t>
        </is>
      </c>
      <c r="D252" s="18">
        <f>'P0-3_Scorecard'!L77</f>
        <v/>
      </c>
      <c r="E252" s="18">
        <f>'P0-3_Scorecard'!L113</f>
        <v/>
      </c>
      <c r="F252" s="18">
        <f>'P0-3_Scorecard'!M113</f>
        <v/>
      </c>
      <c r="G252" s="18">
        <f>'P0-3_Scorecard'!E113</f>
        <v/>
      </c>
      <c r="H252" s="18">
        <f>'P0-3_Scorecard'!H113</f>
        <v/>
      </c>
      <c r="I252" s="18">
        <f>IF(OR(D252="",E252=""),"INCOMPLETE",IF(AND(D252&gt;=70,E252&lt;60),"DEPENDENCY GAP",IF(AND(D252&gt;=70,G252&lt;F252),"REQUIRED MATURITY GAP","OK")))</f>
        <v/>
      </c>
      <c r="J252" s="18" t="inlineStr">
        <is>
          <t>Employability evidence review</t>
        </is>
      </c>
    </row>
    <row r="253">
      <c r="A253" s="18" t="inlineStr">
        <is>
          <t>CD14</t>
        </is>
      </c>
      <c r="B253" s="18" t="inlineStr">
        <is>
          <t>D07-I07</t>
        </is>
      </c>
      <c r="C253" s="18" t="inlineStr">
        <is>
          <t>D08-I02</t>
        </is>
      </c>
      <c r="D253" s="18">
        <f>'P0-3_Scorecard'!L87</f>
        <v/>
      </c>
      <c r="E253" s="18">
        <f>'P0-3_Scorecard'!L94</f>
        <v/>
      </c>
      <c r="F253" s="18">
        <f>'P0-3_Scorecard'!M94</f>
        <v/>
      </c>
      <c r="G253" s="18">
        <f>'P0-3_Scorecard'!E94</f>
        <v/>
      </c>
      <c r="H253" s="18">
        <f>'P0-3_Scorecard'!H94</f>
        <v/>
      </c>
      <c r="I253" s="18">
        <f>IF(OR(D253="",E253=""),"INCOMPLETE",IF(AND(D253&gt;=70,E253&lt;60),"DEPENDENCY GAP",IF(AND(D253&gt;=70,G253&lt;F253),"REQUIRED MATURITY GAP","OK")))</f>
        <v/>
      </c>
      <c r="J253" s="18" t="inlineStr">
        <is>
          <t>Data/evidence architecture review</t>
        </is>
      </c>
    </row>
    <row r="254">
      <c r="A254" s="18" t="inlineStr">
        <is>
          <t>CD14</t>
        </is>
      </c>
      <c r="B254" s="18" t="inlineStr">
        <is>
          <t>D07-I07</t>
        </is>
      </c>
      <c r="C254" s="18" t="inlineStr">
        <is>
          <t>D08-I03</t>
        </is>
      </c>
      <c r="D254" s="18">
        <f>'P0-3_Scorecard'!L87</f>
        <v/>
      </c>
      <c r="E254" s="18">
        <f>'P0-3_Scorecard'!L95</f>
        <v/>
      </c>
      <c r="F254" s="18">
        <f>'P0-3_Scorecard'!M95</f>
        <v/>
      </c>
      <c r="G254" s="18">
        <f>'P0-3_Scorecard'!E95</f>
        <v/>
      </c>
      <c r="H254" s="18">
        <f>'P0-3_Scorecard'!H95</f>
        <v/>
      </c>
      <c r="I254" s="18">
        <f>IF(OR(D254="",E254=""),"INCOMPLETE",IF(AND(D254&gt;=70,E254&lt;60),"DEPENDENCY GAP",IF(AND(D254&gt;=70,G254&lt;F254),"REQUIRED MATURITY GAP","OK")))</f>
        <v/>
      </c>
      <c r="J254" s="18" t="inlineStr">
        <is>
          <t>Data/evidence architecture review</t>
        </is>
      </c>
    </row>
    <row r="255">
      <c r="A255" s="18" t="inlineStr">
        <is>
          <t>CD14</t>
        </is>
      </c>
      <c r="B255" s="18" t="inlineStr">
        <is>
          <t>D07-I07</t>
        </is>
      </c>
      <c r="C255" s="18" t="inlineStr">
        <is>
          <t>D08-I04</t>
        </is>
      </c>
      <c r="D255" s="18">
        <f>'P0-3_Scorecard'!L87</f>
        <v/>
      </c>
      <c r="E255" s="18">
        <f>'P0-3_Scorecard'!L96</f>
        <v/>
      </c>
      <c r="F255" s="18">
        <f>'P0-3_Scorecard'!M96</f>
        <v/>
      </c>
      <c r="G255" s="18">
        <f>'P0-3_Scorecard'!E96</f>
        <v/>
      </c>
      <c r="H255" s="18">
        <f>'P0-3_Scorecard'!H96</f>
        <v/>
      </c>
      <c r="I255" s="18">
        <f>IF(OR(D255="",E255=""),"INCOMPLETE",IF(AND(D255&gt;=70,E255&lt;60),"DEPENDENCY GAP",IF(AND(D255&gt;=70,G255&lt;F255),"REQUIRED MATURITY GAP","OK")))</f>
        <v/>
      </c>
      <c r="J255" s="18" t="inlineStr">
        <is>
          <t>Data/evidence architecture review</t>
        </is>
      </c>
    </row>
    <row r="256">
      <c r="A256" s="18" t="inlineStr">
        <is>
          <t>CD14</t>
        </is>
      </c>
      <c r="B256" s="18" t="inlineStr">
        <is>
          <t>D07-I07</t>
        </is>
      </c>
      <c r="C256" s="18" t="inlineStr">
        <is>
          <t>D08-I05</t>
        </is>
      </c>
      <c r="D256" s="18">
        <f>'P0-3_Scorecard'!L87</f>
        <v/>
      </c>
      <c r="E256" s="18">
        <f>'P0-3_Scorecard'!L97</f>
        <v/>
      </c>
      <c r="F256" s="18">
        <f>'P0-3_Scorecard'!M97</f>
        <v/>
      </c>
      <c r="G256" s="18">
        <f>'P0-3_Scorecard'!E97</f>
        <v/>
      </c>
      <c r="H256" s="18">
        <f>'P0-3_Scorecard'!H97</f>
        <v/>
      </c>
      <c r="I256" s="18">
        <f>IF(OR(D256="",E256=""),"INCOMPLETE",IF(AND(D256&gt;=70,E256&lt;60),"DEPENDENCY GAP",IF(AND(D256&gt;=70,G256&lt;F256),"REQUIRED MATURITY GAP","OK")))</f>
        <v/>
      </c>
      <c r="J256" s="18" t="inlineStr">
        <is>
          <t>Data/evidence architecture review</t>
        </is>
      </c>
    </row>
    <row r="257">
      <c r="A257" s="18" t="inlineStr">
        <is>
          <t>CD14</t>
        </is>
      </c>
      <c r="B257" s="18" t="inlineStr">
        <is>
          <t>D07-I07</t>
        </is>
      </c>
      <c r="C257" s="18" t="inlineStr">
        <is>
          <t>D08-I12</t>
        </is>
      </c>
      <c r="D257" s="18">
        <f>'P0-3_Scorecard'!L87</f>
        <v/>
      </c>
      <c r="E257" s="18">
        <f>'P0-3_Scorecard'!L104</f>
        <v/>
      </c>
      <c r="F257" s="18">
        <f>'P0-3_Scorecard'!M104</f>
        <v/>
      </c>
      <c r="G257" s="18">
        <f>'P0-3_Scorecard'!E104</f>
        <v/>
      </c>
      <c r="H257" s="18">
        <f>'P0-3_Scorecard'!H104</f>
        <v/>
      </c>
      <c r="I257" s="18">
        <f>IF(OR(D257="",E257=""),"INCOMPLETE",IF(AND(D257&gt;=70,E257&lt;60),"DEPENDENCY GAP",IF(AND(D257&gt;=70,G257&lt;F257),"REQUIRED MATURITY GAP","OK")))</f>
        <v/>
      </c>
      <c r="J257" s="18" t="inlineStr">
        <is>
          <t>Data/evidence architecture review</t>
        </is>
      </c>
    </row>
    <row r="258">
      <c r="A258" s="18" t="inlineStr">
        <is>
          <t>CD14</t>
        </is>
      </c>
      <c r="B258" s="18" t="inlineStr">
        <is>
          <t>D07-I08</t>
        </is>
      </c>
      <c r="C258" s="18" t="inlineStr">
        <is>
          <t>D08-I02</t>
        </is>
      </c>
      <c r="D258" s="18">
        <f>'P0-3_Scorecard'!L88</f>
        <v/>
      </c>
      <c r="E258" s="18">
        <f>'P0-3_Scorecard'!L94</f>
        <v/>
      </c>
      <c r="F258" s="18">
        <f>'P0-3_Scorecard'!M94</f>
        <v/>
      </c>
      <c r="G258" s="18">
        <f>'P0-3_Scorecard'!E94</f>
        <v/>
      </c>
      <c r="H258" s="18">
        <f>'P0-3_Scorecard'!H94</f>
        <v/>
      </c>
      <c r="I258" s="18">
        <f>IF(OR(D258="",E258=""),"INCOMPLETE",IF(AND(D258&gt;=70,E258&lt;60),"DEPENDENCY GAP",IF(AND(D258&gt;=70,G258&lt;F258),"REQUIRED MATURITY GAP","OK")))</f>
        <v/>
      </c>
      <c r="J258" s="18" t="inlineStr">
        <is>
          <t>Data/evidence architecture review</t>
        </is>
      </c>
    </row>
    <row r="259">
      <c r="A259" s="18" t="inlineStr">
        <is>
          <t>CD14</t>
        </is>
      </c>
      <c r="B259" s="18" t="inlineStr">
        <is>
          <t>D07-I08</t>
        </is>
      </c>
      <c r="C259" s="18" t="inlineStr">
        <is>
          <t>D08-I03</t>
        </is>
      </c>
      <c r="D259" s="18">
        <f>'P0-3_Scorecard'!L88</f>
        <v/>
      </c>
      <c r="E259" s="18">
        <f>'P0-3_Scorecard'!L95</f>
        <v/>
      </c>
      <c r="F259" s="18">
        <f>'P0-3_Scorecard'!M95</f>
        <v/>
      </c>
      <c r="G259" s="18">
        <f>'P0-3_Scorecard'!E95</f>
        <v/>
      </c>
      <c r="H259" s="18">
        <f>'P0-3_Scorecard'!H95</f>
        <v/>
      </c>
      <c r="I259" s="18">
        <f>IF(OR(D259="",E259=""),"INCOMPLETE",IF(AND(D259&gt;=70,E259&lt;60),"DEPENDENCY GAP",IF(AND(D259&gt;=70,G259&lt;F259),"REQUIRED MATURITY GAP","OK")))</f>
        <v/>
      </c>
      <c r="J259" s="18" t="inlineStr">
        <is>
          <t>Data/evidence architecture review</t>
        </is>
      </c>
    </row>
    <row r="260">
      <c r="A260" s="18" t="inlineStr">
        <is>
          <t>CD14</t>
        </is>
      </c>
      <c r="B260" s="18" t="inlineStr">
        <is>
          <t>D07-I08</t>
        </is>
      </c>
      <c r="C260" s="18" t="inlineStr">
        <is>
          <t>D08-I04</t>
        </is>
      </c>
      <c r="D260" s="18">
        <f>'P0-3_Scorecard'!L88</f>
        <v/>
      </c>
      <c r="E260" s="18">
        <f>'P0-3_Scorecard'!L96</f>
        <v/>
      </c>
      <c r="F260" s="18">
        <f>'P0-3_Scorecard'!M96</f>
        <v/>
      </c>
      <c r="G260" s="18">
        <f>'P0-3_Scorecard'!E96</f>
        <v/>
      </c>
      <c r="H260" s="18">
        <f>'P0-3_Scorecard'!H96</f>
        <v/>
      </c>
      <c r="I260" s="18">
        <f>IF(OR(D260="",E260=""),"INCOMPLETE",IF(AND(D260&gt;=70,E260&lt;60),"DEPENDENCY GAP",IF(AND(D260&gt;=70,G260&lt;F260),"REQUIRED MATURITY GAP","OK")))</f>
        <v/>
      </c>
      <c r="J260" s="18" t="inlineStr">
        <is>
          <t>Data/evidence architecture review</t>
        </is>
      </c>
    </row>
    <row r="261">
      <c r="A261" s="18" t="inlineStr">
        <is>
          <t>CD14</t>
        </is>
      </c>
      <c r="B261" s="18" t="inlineStr">
        <is>
          <t>D07-I08</t>
        </is>
      </c>
      <c r="C261" s="18" t="inlineStr">
        <is>
          <t>D08-I05</t>
        </is>
      </c>
      <c r="D261" s="18">
        <f>'P0-3_Scorecard'!L88</f>
        <v/>
      </c>
      <c r="E261" s="18">
        <f>'P0-3_Scorecard'!L97</f>
        <v/>
      </c>
      <c r="F261" s="18">
        <f>'P0-3_Scorecard'!M97</f>
        <v/>
      </c>
      <c r="G261" s="18">
        <f>'P0-3_Scorecard'!E97</f>
        <v/>
      </c>
      <c r="H261" s="18">
        <f>'P0-3_Scorecard'!H97</f>
        <v/>
      </c>
      <c r="I261" s="18">
        <f>IF(OR(D261="",E261=""),"INCOMPLETE",IF(AND(D261&gt;=70,E261&lt;60),"DEPENDENCY GAP",IF(AND(D261&gt;=70,G261&lt;F261),"REQUIRED MATURITY GAP","OK")))</f>
        <v/>
      </c>
      <c r="J261" s="18" t="inlineStr">
        <is>
          <t>Data/evidence architecture review</t>
        </is>
      </c>
    </row>
    <row r="262">
      <c r="A262" s="18" t="inlineStr">
        <is>
          <t>CD14</t>
        </is>
      </c>
      <c r="B262" s="18" t="inlineStr">
        <is>
          <t>D07-I08</t>
        </is>
      </c>
      <c r="C262" s="18" t="inlineStr">
        <is>
          <t>D08-I12</t>
        </is>
      </c>
      <c r="D262" s="18">
        <f>'P0-3_Scorecard'!L88</f>
        <v/>
      </c>
      <c r="E262" s="18">
        <f>'P0-3_Scorecard'!L104</f>
        <v/>
      </c>
      <c r="F262" s="18">
        <f>'P0-3_Scorecard'!M104</f>
        <v/>
      </c>
      <c r="G262" s="18">
        <f>'P0-3_Scorecard'!E104</f>
        <v/>
      </c>
      <c r="H262" s="18">
        <f>'P0-3_Scorecard'!H104</f>
        <v/>
      </c>
      <c r="I262" s="18">
        <f>IF(OR(D262="",E262=""),"INCOMPLETE",IF(AND(D262&gt;=70,E262&lt;60),"DEPENDENCY GAP",IF(AND(D262&gt;=70,G262&lt;F262),"REQUIRED MATURITY GAP","OK")))</f>
        <v/>
      </c>
      <c r="J262" s="18" t="inlineStr">
        <is>
          <t>Data/evidence architecture review</t>
        </is>
      </c>
    </row>
    <row r="263">
      <c r="A263" s="18" t="inlineStr">
        <is>
          <t>CD14</t>
        </is>
      </c>
      <c r="B263" s="18" t="inlineStr">
        <is>
          <t>D07-I12</t>
        </is>
      </c>
      <c r="C263" s="18" t="inlineStr">
        <is>
          <t>D08-I02</t>
        </is>
      </c>
      <c r="D263" s="18">
        <f>'P0-3_Scorecard'!L92</f>
        <v/>
      </c>
      <c r="E263" s="18">
        <f>'P0-3_Scorecard'!L94</f>
        <v/>
      </c>
      <c r="F263" s="18">
        <f>'P0-3_Scorecard'!M94</f>
        <v/>
      </c>
      <c r="G263" s="18">
        <f>'P0-3_Scorecard'!E94</f>
        <v/>
      </c>
      <c r="H263" s="18">
        <f>'P0-3_Scorecard'!H94</f>
        <v/>
      </c>
      <c r="I263" s="18">
        <f>IF(OR(D263="",E263=""),"INCOMPLETE",IF(AND(D263&gt;=70,E263&lt;60),"DEPENDENCY GAP",IF(AND(D263&gt;=70,G263&lt;F263),"REQUIRED MATURITY GAP","OK")))</f>
        <v/>
      </c>
      <c r="J263" s="18" t="inlineStr">
        <is>
          <t>Data/evidence architecture review</t>
        </is>
      </c>
    </row>
    <row r="264">
      <c r="A264" s="18" t="inlineStr">
        <is>
          <t>CD14</t>
        </is>
      </c>
      <c r="B264" s="18" t="inlineStr">
        <is>
          <t>D07-I12</t>
        </is>
      </c>
      <c r="C264" s="18" t="inlineStr">
        <is>
          <t>D08-I03</t>
        </is>
      </c>
      <c r="D264" s="18">
        <f>'P0-3_Scorecard'!L92</f>
        <v/>
      </c>
      <c r="E264" s="18">
        <f>'P0-3_Scorecard'!L95</f>
        <v/>
      </c>
      <c r="F264" s="18">
        <f>'P0-3_Scorecard'!M95</f>
        <v/>
      </c>
      <c r="G264" s="18">
        <f>'P0-3_Scorecard'!E95</f>
        <v/>
      </c>
      <c r="H264" s="18">
        <f>'P0-3_Scorecard'!H95</f>
        <v/>
      </c>
      <c r="I264" s="18">
        <f>IF(OR(D264="",E264=""),"INCOMPLETE",IF(AND(D264&gt;=70,E264&lt;60),"DEPENDENCY GAP",IF(AND(D264&gt;=70,G264&lt;F264),"REQUIRED MATURITY GAP","OK")))</f>
        <v/>
      </c>
      <c r="J264" s="18" t="inlineStr">
        <is>
          <t>Data/evidence architecture review</t>
        </is>
      </c>
    </row>
    <row r="265">
      <c r="A265" s="18" t="inlineStr">
        <is>
          <t>CD14</t>
        </is>
      </c>
      <c r="B265" s="18" t="inlineStr">
        <is>
          <t>D07-I12</t>
        </is>
      </c>
      <c r="C265" s="18" t="inlineStr">
        <is>
          <t>D08-I04</t>
        </is>
      </c>
      <c r="D265" s="18">
        <f>'P0-3_Scorecard'!L92</f>
        <v/>
      </c>
      <c r="E265" s="18">
        <f>'P0-3_Scorecard'!L96</f>
        <v/>
      </c>
      <c r="F265" s="18">
        <f>'P0-3_Scorecard'!M96</f>
        <v/>
      </c>
      <c r="G265" s="18">
        <f>'P0-3_Scorecard'!E96</f>
        <v/>
      </c>
      <c r="H265" s="18">
        <f>'P0-3_Scorecard'!H96</f>
        <v/>
      </c>
      <c r="I265" s="18">
        <f>IF(OR(D265="",E265=""),"INCOMPLETE",IF(AND(D265&gt;=70,E265&lt;60),"DEPENDENCY GAP",IF(AND(D265&gt;=70,G265&lt;F265),"REQUIRED MATURITY GAP","OK")))</f>
        <v/>
      </c>
      <c r="J265" s="18" t="inlineStr">
        <is>
          <t>Data/evidence architecture review</t>
        </is>
      </c>
    </row>
    <row r="266">
      <c r="A266" s="18" t="inlineStr">
        <is>
          <t>CD14</t>
        </is>
      </c>
      <c r="B266" s="18" t="inlineStr">
        <is>
          <t>D07-I12</t>
        </is>
      </c>
      <c r="C266" s="18" t="inlineStr">
        <is>
          <t>D08-I05</t>
        </is>
      </c>
      <c r="D266" s="18">
        <f>'P0-3_Scorecard'!L92</f>
        <v/>
      </c>
      <c r="E266" s="18">
        <f>'P0-3_Scorecard'!L97</f>
        <v/>
      </c>
      <c r="F266" s="18">
        <f>'P0-3_Scorecard'!M97</f>
        <v/>
      </c>
      <c r="G266" s="18">
        <f>'P0-3_Scorecard'!E97</f>
        <v/>
      </c>
      <c r="H266" s="18">
        <f>'P0-3_Scorecard'!H97</f>
        <v/>
      </c>
      <c r="I266" s="18">
        <f>IF(OR(D266="",E266=""),"INCOMPLETE",IF(AND(D266&gt;=70,E266&lt;60),"DEPENDENCY GAP",IF(AND(D266&gt;=70,G266&lt;F266),"REQUIRED MATURITY GAP","OK")))</f>
        <v/>
      </c>
      <c r="J266" s="18" t="inlineStr">
        <is>
          <t>Data/evidence architecture review</t>
        </is>
      </c>
    </row>
    <row r="267">
      <c r="A267" s="18" t="inlineStr">
        <is>
          <t>CD14</t>
        </is>
      </c>
      <c r="B267" s="18" t="inlineStr">
        <is>
          <t>D07-I12</t>
        </is>
      </c>
      <c r="C267" s="18" t="inlineStr">
        <is>
          <t>D08-I12</t>
        </is>
      </c>
      <c r="D267" s="18">
        <f>'P0-3_Scorecard'!L92</f>
        <v/>
      </c>
      <c r="E267" s="18">
        <f>'P0-3_Scorecard'!L104</f>
        <v/>
      </c>
      <c r="F267" s="18">
        <f>'P0-3_Scorecard'!M104</f>
        <v/>
      </c>
      <c r="G267" s="18">
        <f>'P0-3_Scorecard'!E104</f>
        <v/>
      </c>
      <c r="H267" s="18">
        <f>'P0-3_Scorecard'!H104</f>
        <v/>
      </c>
      <c r="I267" s="18">
        <f>IF(OR(D267="",E267=""),"INCOMPLETE",IF(AND(D267&gt;=70,E267&lt;60),"DEPENDENCY GAP",IF(AND(D267&gt;=70,G267&lt;F267),"REQUIRED MATURITY GAP","OK")))</f>
        <v/>
      </c>
      <c r="J267" s="18" t="inlineStr">
        <is>
          <t>Data/evidence architecture review</t>
        </is>
      </c>
    </row>
    <row r="268">
      <c r="A268" s="18" t="inlineStr">
        <is>
          <t>CD15</t>
        </is>
      </c>
      <c r="B268" s="18" t="inlineStr">
        <is>
          <t>D08-I05</t>
        </is>
      </c>
      <c r="C268" s="18" t="inlineStr">
        <is>
          <t>D09-I01</t>
        </is>
      </c>
      <c r="D268" s="18">
        <f>'P0-3_Scorecard'!L97</f>
        <v/>
      </c>
      <c r="E268" s="18">
        <f>'P0-3_Scorecard'!L105</f>
        <v/>
      </c>
      <c r="F268" s="18">
        <f>'P0-3_Scorecard'!M105</f>
        <v/>
      </c>
      <c r="G268" s="18">
        <f>'P0-3_Scorecard'!E105</f>
        <v/>
      </c>
      <c r="H268" s="18">
        <f>'P0-3_Scorecard'!H105</f>
        <v/>
      </c>
      <c r="I268" s="18">
        <f>IF(OR(D268="",E268=""),"INCOMPLETE",IF(AND(D268&gt;=70,E268&lt;60),"DEPENDENCY GAP",IF(AND(D268&gt;=70,G268&lt;F268),"REQUIRED MATURITY GAP","OK")))</f>
        <v/>
      </c>
      <c r="J268" s="18" t="inlineStr">
        <is>
          <t>Labour-market intelligence review</t>
        </is>
      </c>
    </row>
    <row r="269">
      <c r="A269" s="18" t="inlineStr">
        <is>
          <t>CD15</t>
        </is>
      </c>
      <c r="B269" s="18" t="inlineStr">
        <is>
          <t>D08-I05</t>
        </is>
      </c>
      <c r="C269" s="18" t="inlineStr">
        <is>
          <t>D09-I02</t>
        </is>
      </c>
      <c r="D269" s="18">
        <f>'P0-3_Scorecard'!L97</f>
        <v/>
      </c>
      <c r="E269" s="18">
        <f>'P0-3_Scorecard'!L106</f>
        <v/>
      </c>
      <c r="F269" s="18">
        <f>'P0-3_Scorecard'!M106</f>
        <v/>
      </c>
      <c r="G269" s="18">
        <f>'P0-3_Scorecard'!E106</f>
        <v/>
      </c>
      <c r="H269" s="18">
        <f>'P0-3_Scorecard'!H106</f>
        <v/>
      </c>
      <c r="I269" s="18">
        <f>IF(OR(D269="",E269=""),"INCOMPLETE",IF(AND(D269&gt;=70,E269&lt;60),"DEPENDENCY GAP",IF(AND(D269&gt;=70,G269&lt;F269),"REQUIRED MATURITY GAP","OK")))</f>
        <v/>
      </c>
      <c r="J269" s="18" t="inlineStr">
        <is>
          <t>Labour-market intelligence review</t>
        </is>
      </c>
    </row>
    <row r="270">
      <c r="A270" s="18" t="inlineStr">
        <is>
          <t>CD15</t>
        </is>
      </c>
      <c r="B270" s="18" t="inlineStr">
        <is>
          <t>D08-I05</t>
        </is>
      </c>
      <c r="C270" s="18" t="inlineStr">
        <is>
          <t>D09-I03</t>
        </is>
      </c>
      <c r="D270" s="18">
        <f>'P0-3_Scorecard'!L97</f>
        <v/>
      </c>
      <c r="E270" s="18">
        <f>'P0-3_Scorecard'!L107</f>
        <v/>
      </c>
      <c r="F270" s="18">
        <f>'P0-3_Scorecard'!M107</f>
        <v/>
      </c>
      <c r="G270" s="18">
        <f>'P0-3_Scorecard'!E107</f>
        <v/>
      </c>
      <c r="H270" s="18">
        <f>'P0-3_Scorecard'!H107</f>
        <v/>
      </c>
      <c r="I270" s="18">
        <f>IF(OR(D270="",E270=""),"INCOMPLETE",IF(AND(D270&gt;=70,E270&lt;60),"DEPENDENCY GAP",IF(AND(D270&gt;=70,G270&lt;F270),"REQUIRED MATURITY GAP","OK")))</f>
        <v/>
      </c>
      <c r="J270" s="18" t="inlineStr">
        <is>
          <t>Labour-market intelligence review</t>
        </is>
      </c>
    </row>
    <row r="271">
      <c r="A271" s="18" t="inlineStr">
        <is>
          <t>CD15</t>
        </is>
      </c>
      <c r="B271" s="18" t="inlineStr">
        <is>
          <t>D08-I05</t>
        </is>
      </c>
      <c r="C271" s="18" t="inlineStr">
        <is>
          <t>D09-I12</t>
        </is>
      </c>
      <c r="D271" s="18">
        <f>'P0-3_Scorecard'!L97</f>
        <v/>
      </c>
      <c r="E271" s="18">
        <f>'P0-3_Scorecard'!L116</f>
        <v/>
      </c>
      <c r="F271" s="18">
        <f>'P0-3_Scorecard'!M116</f>
        <v/>
      </c>
      <c r="G271" s="18">
        <f>'P0-3_Scorecard'!E116</f>
        <v/>
      </c>
      <c r="H271" s="18">
        <f>'P0-3_Scorecard'!H116</f>
        <v/>
      </c>
      <c r="I271" s="18">
        <f>IF(OR(D271="",E271=""),"INCOMPLETE",IF(AND(D271&gt;=70,E271&lt;60),"DEPENDENCY GAP",IF(AND(D271&gt;=70,G271&lt;F271),"REQUIRED MATURITY GAP","OK")))</f>
        <v/>
      </c>
      <c r="J271" s="18" t="inlineStr">
        <is>
          <t>Labour-market intelligence review</t>
        </is>
      </c>
    </row>
    <row r="272">
      <c r="A272" s="18" t="inlineStr">
        <is>
          <t>CD15</t>
        </is>
      </c>
      <c r="B272" s="18" t="inlineStr">
        <is>
          <t>D08-I12</t>
        </is>
      </c>
      <c r="C272" s="18" t="inlineStr">
        <is>
          <t>D09-I01</t>
        </is>
      </c>
      <c r="D272" s="18">
        <f>'P0-3_Scorecard'!L104</f>
        <v/>
      </c>
      <c r="E272" s="18">
        <f>'P0-3_Scorecard'!L105</f>
        <v/>
      </c>
      <c r="F272" s="18">
        <f>'P0-3_Scorecard'!M105</f>
        <v/>
      </c>
      <c r="G272" s="18">
        <f>'P0-3_Scorecard'!E105</f>
        <v/>
      </c>
      <c r="H272" s="18">
        <f>'P0-3_Scorecard'!H105</f>
        <v/>
      </c>
      <c r="I272" s="18">
        <f>IF(OR(D272="",E272=""),"INCOMPLETE",IF(AND(D272&gt;=70,E272&lt;60),"DEPENDENCY GAP",IF(AND(D272&gt;=70,G272&lt;F272),"REQUIRED MATURITY GAP","OK")))</f>
        <v/>
      </c>
      <c r="J272" s="18" t="inlineStr">
        <is>
          <t>Labour-market intelligence review</t>
        </is>
      </c>
    </row>
    <row r="273">
      <c r="A273" s="18" t="inlineStr">
        <is>
          <t>CD15</t>
        </is>
      </c>
      <c r="B273" s="18" t="inlineStr">
        <is>
          <t>D08-I12</t>
        </is>
      </c>
      <c r="C273" s="18" t="inlineStr">
        <is>
          <t>D09-I02</t>
        </is>
      </c>
      <c r="D273" s="18">
        <f>'P0-3_Scorecard'!L104</f>
        <v/>
      </c>
      <c r="E273" s="18">
        <f>'P0-3_Scorecard'!L106</f>
        <v/>
      </c>
      <c r="F273" s="18">
        <f>'P0-3_Scorecard'!M106</f>
        <v/>
      </c>
      <c r="G273" s="18">
        <f>'P0-3_Scorecard'!E106</f>
        <v/>
      </c>
      <c r="H273" s="18">
        <f>'P0-3_Scorecard'!H106</f>
        <v/>
      </c>
      <c r="I273" s="18">
        <f>IF(OR(D273="",E273=""),"INCOMPLETE",IF(AND(D273&gt;=70,E273&lt;60),"DEPENDENCY GAP",IF(AND(D273&gt;=70,G273&lt;F273),"REQUIRED MATURITY GAP","OK")))</f>
        <v/>
      </c>
      <c r="J273" s="18" t="inlineStr">
        <is>
          <t>Labour-market intelligence review</t>
        </is>
      </c>
    </row>
    <row r="274">
      <c r="A274" s="18" t="inlineStr">
        <is>
          <t>CD15</t>
        </is>
      </c>
      <c r="B274" s="18" t="inlineStr">
        <is>
          <t>D08-I12</t>
        </is>
      </c>
      <c r="C274" s="18" t="inlineStr">
        <is>
          <t>D09-I03</t>
        </is>
      </c>
      <c r="D274" s="18">
        <f>'P0-3_Scorecard'!L104</f>
        <v/>
      </c>
      <c r="E274" s="18">
        <f>'P0-3_Scorecard'!L107</f>
        <v/>
      </c>
      <c r="F274" s="18">
        <f>'P0-3_Scorecard'!M107</f>
        <v/>
      </c>
      <c r="G274" s="18">
        <f>'P0-3_Scorecard'!E107</f>
        <v/>
      </c>
      <c r="H274" s="18">
        <f>'P0-3_Scorecard'!H107</f>
        <v/>
      </c>
      <c r="I274" s="18">
        <f>IF(OR(D274="",E274=""),"INCOMPLETE",IF(AND(D274&gt;=70,E274&lt;60),"DEPENDENCY GAP",IF(AND(D274&gt;=70,G274&lt;F274),"REQUIRED MATURITY GAP","OK")))</f>
        <v/>
      </c>
      <c r="J274" s="18" t="inlineStr">
        <is>
          <t>Labour-market intelligence review</t>
        </is>
      </c>
    </row>
    <row r="275">
      <c r="A275" s="18" t="inlineStr">
        <is>
          <t>CD15</t>
        </is>
      </c>
      <c r="B275" s="18" t="inlineStr">
        <is>
          <t>D08-I12</t>
        </is>
      </c>
      <c r="C275" s="18" t="inlineStr">
        <is>
          <t>D09-I12</t>
        </is>
      </c>
      <c r="D275" s="18">
        <f>'P0-3_Scorecard'!L104</f>
        <v/>
      </c>
      <c r="E275" s="18">
        <f>'P0-3_Scorecard'!L116</f>
        <v/>
      </c>
      <c r="F275" s="18">
        <f>'P0-3_Scorecard'!M116</f>
        <v/>
      </c>
      <c r="G275" s="18">
        <f>'P0-3_Scorecard'!E116</f>
        <v/>
      </c>
      <c r="H275" s="18">
        <f>'P0-3_Scorecard'!H116</f>
        <v/>
      </c>
      <c r="I275" s="18">
        <f>IF(OR(D275="",E275=""),"INCOMPLETE",IF(AND(D275&gt;=70,E275&lt;60),"DEPENDENCY GAP",IF(AND(D275&gt;=70,G275&lt;F275),"REQUIRED MATURITY GAP","OK")))</f>
        <v/>
      </c>
      <c r="J275" s="18" t="inlineStr">
        <is>
          <t>Labour-market intelligence review</t>
        </is>
      </c>
    </row>
    <row r="276">
      <c r="A276" s="18" t="inlineStr">
        <is>
          <t>CD16</t>
        </is>
      </c>
      <c r="B276" s="18" t="inlineStr">
        <is>
          <t>D09-I01</t>
        </is>
      </c>
      <c r="C276" s="18" t="inlineStr">
        <is>
          <t>D04-I01</t>
        </is>
      </c>
      <c r="D276" s="18">
        <f>'P0-3_Scorecard'!L105</f>
        <v/>
      </c>
      <c r="E276" s="18">
        <f>'P0-3_Scorecard'!L43</f>
        <v/>
      </c>
      <c r="F276" s="18">
        <f>'P0-3_Scorecard'!M43</f>
        <v/>
      </c>
      <c r="G276" s="18">
        <f>'P0-3_Scorecard'!E43</f>
        <v/>
      </c>
      <c r="H276" s="18">
        <f>'P0-3_Scorecard'!H43</f>
        <v/>
      </c>
      <c r="I276" s="18">
        <f>IF(OR(D276="",E276=""),"INCOMPLETE",IF(AND(D276&gt;=70,E276&lt;60),"DEPENDENCY GAP",IF(AND(D276&gt;=70,G276&lt;F276),"REQUIRED MATURITY GAP","OK")))</f>
        <v/>
      </c>
      <c r="J276" s="18" t="inlineStr">
        <is>
          <t>Programme portfolio review</t>
        </is>
      </c>
    </row>
    <row r="277">
      <c r="A277" s="18" t="inlineStr">
        <is>
          <t>CD16</t>
        </is>
      </c>
      <c r="B277" s="18" t="inlineStr">
        <is>
          <t>D09-I01</t>
        </is>
      </c>
      <c r="C277" s="18" t="inlineStr">
        <is>
          <t>D04-I03</t>
        </is>
      </c>
      <c r="D277" s="18">
        <f>'P0-3_Scorecard'!L105</f>
        <v/>
      </c>
      <c r="E277" s="18">
        <f>'P0-3_Scorecard'!L45</f>
        <v/>
      </c>
      <c r="F277" s="18">
        <f>'P0-3_Scorecard'!M45</f>
        <v/>
      </c>
      <c r="G277" s="18">
        <f>'P0-3_Scorecard'!E45</f>
        <v/>
      </c>
      <c r="H277" s="18">
        <f>'P0-3_Scorecard'!H45</f>
        <v/>
      </c>
      <c r="I277" s="18">
        <f>IF(OR(D277="",E277=""),"INCOMPLETE",IF(AND(D277&gt;=70,E277&lt;60),"DEPENDENCY GAP",IF(AND(D277&gt;=70,G277&lt;F277),"REQUIRED MATURITY GAP","OK")))</f>
        <v/>
      </c>
      <c r="J277" s="18" t="inlineStr">
        <is>
          <t>Programme portfolio review</t>
        </is>
      </c>
    </row>
    <row r="278">
      <c r="A278" s="18" t="inlineStr">
        <is>
          <t>CD16</t>
        </is>
      </c>
      <c r="B278" s="18" t="inlineStr">
        <is>
          <t>D09-I01</t>
        </is>
      </c>
      <c r="C278" s="18" t="inlineStr">
        <is>
          <t>D04-I08</t>
        </is>
      </c>
      <c r="D278" s="18">
        <f>'P0-3_Scorecard'!L105</f>
        <v/>
      </c>
      <c r="E278" s="18">
        <f>'P0-3_Scorecard'!L50</f>
        <v/>
      </c>
      <c r="F278" s="18">
        <f>'P0-3_Scorecard'!M50</f>
        <v/>
      </c>
      <c r="G278" s="18">
        <f>'P0-3_Scorecard'!E50</f>
        <v/>
      </c>
      <c r="H278" s="18">
        <f>'P0-3_Scorecard'!H50</f>
        <v/>
      </c>
      <c r="I278" s="18">
        <f>IF(OR(D278="",E278=""),"INCOMPLETE",IF(AND(D278&gt;=70,E278&lt;60),"DEPENDENCY GAP",IF(AND(D278&gt;=70,G278&lt;F278),"REQUIRED MATURITY GAP","OK")))</f>
        <v/>
      </c>
      <c r="J278" s="18" t="inlineStr">
        <is>
          <t>Programme portfolio review</t>
        </is>
      </c>
    </row>
    <row r="279">
      <c r="A279" s="18" t="inlineStr">
        <is>
          <t>CD16</t>
        </is>
      </c>
      <c r="B279" s="18" t="inlineStr">
        <is>
          <t>D09-I01</t>
        </is>
      </c>
      <c r="C279" s="18" t="inlineStr">
        <is>
          <t>D04-I12</t>
        </is>
      </c>
      <c r="D279" s="18">
        <f>'P0-3_Scorecard'!L105</f>
        <v/>
      </c>
      <c r="E279" s="18">
        <f>'P0-3_Scorecard'!L54</f>
        <v/>
      </c>
      <c r="F279" s="18">
        <f>'P0-3_Scorecard'!M54</f>
        <v/>
      </c>
      <c r="G279" s="18">
        <f>'P0-3_Scorecard'!E54</f>
        <v/>
      </c>
      <c r="H279" s="18">
        <f>'P0-3_Scorecard'!H54</f>
        <v/>
      </c>
      <c r="I279" s="18">
        <f>IF(OR(D279="",E279=""),"INCOMPLETE",IF(AND(D279&gt;=70,E279&lt;60),"DEPENDENCY GAP",IF(AND(D279&gt;=70,G279&lt;F279),"REQUIRED MATURITY GAP","OK")))</f>
        <v/>
      </c>
      <c r="J279" s="18" t="inlineStr">
        <is>
          <t>Programme portfolio review</t>
        </is>
      </c>
    </row>
    <row r="280">
      <c r="A280" s="18" t="inlineStr">
        <is>
          <t>CD16</t>
        </is>
      </c>
      <c r="B280" s="18" t="inlineStr">
        <is>
          <t>D09-I03</t>
        </is>
      </c>
      <c r="C280" s="18" t="inlineStr">
        <is>
          <t>D04-I01</t>
        </is>
      </c>
      <c r="D280" s="18">
        <f>'P0-3_Scorecard'!L107</f>
        <v/>
      </c>
      <c r="E280" s="18">
        <f>'P0-3_Scorecard'!L43</f>
        <v/>
      </c>
      <c r="F280" s="18">
        <f>'P0-3_Scorecard'!M43</f>
        <v/>
      </c>
      <c r="G280" s="18">
        <f>'P0-3_Scorecard'!E43</f>
        <v/>
      </c>
      <c r="H280" s="18">
        <f>'P0-3_Scorecard'!H43</f>
        <v/>
      </c>
      <c r="I280" s="18">
        <f>IF(OR(D280="",E280=""),"INCOMPLETE",IF(AND(D280&gt;=70,E280&lt;60),"DEPENDENCY GAP",IF(AND(D280&gt;=70,G280&lt;F280),"REQUIRED MATURITY GAP","OK")))</f>
        <v/>
      </c>
      <c r="J280" s="18" t="inlineStr">
        <is>
          <t>Programme portfolio review</t>
        </is>
      </c>
    </row>
    <row r="281">
      <c r="A281" s="18" t="inlineStr">
        <is>
          <t>CD16</t>
        </is>
      </c>
      <c r="B281" s="18" t="inlineStr">
        <is>
          <t>D09-I03</t>
        </is>
      </c>
      <c r="C281" s="18" t="inlineStr">
        <is>
          <t>D04-I03</t>
        </is>
      </c>
      <c r="D281" s="18">
        <f>'P0-3_Scorecard'!L107</f>
        <v/>
      </c>
      <c r="E281" s="18">
        <f>'P0-3_Scorecard'!L45</f>
        <v/>
      </c>
      <c r="F281" s="18">
        <f>'P0-3_Scorecard'!M45</f>
        <v/>
      </c>
      <c r="G281" s="18">
        <f>'P0-3_Scorecard'!E45</f>
        <v/>
      </c>
      <c r="H281" s="18">
        <f>'P0-3_Scorecard'!H45</f>
        <v/>
      </c>
      <c r="I281" s="18">
        <f>IF(OR(D281="",E281=""),"INCOMPLETE",IF(AND(D281&gt;=70,E281&lt;60),"DEPENDENCY GAP",IF(AND(D281&gt;=70,G281&lt;F281),"REQUIRED MATURITY GAP","OK")))</f>
        <v/>
      </c>
      <c r="J281" s="18" t="inlineStr">
        <is>
          <t>Programme portfolio review</t>
        </is>
      </c>
    </row>
    <row r="282">
      <c r="A282" s="18" t="inlineStr">
        <is>
          <t>CD16</t>
        </is>
      </c>
      <c r="B282" s="18" t="inlineStr">
        <is>
          <t>D09-I03</t>
        </is>
      </c>
      <c r="C282" s="18" t="inlineStr">
        <is>
          <t>D04-I08</t>
        </is>
      </c>
      <c r="D282" s="18">
        <f>'P0-3_Scorecard'!L107</f>
        <v/>
      </c>
      <c r="E282" s="18">
        <f>'P0-3_Scorecard'!L50</f>
        <v/>
      </c>
      <c r="F282" s="18">
        <f>'P0-3_Scorecard'!M50</f>
        <v/>
      </c>
      <c r="G282" s="18">
        <f>'P0-3_Scorecard'!E50</f>
        <v/>
      </c>
      <c r="H282" s="18">
        <f>'P0-3_Scorecard'!H50</f>
        <v/>
      </c>
      <c r="I282" s="18">
        <f>IF(OR(D282="",E282=""),"INCOMPLETE",IF(AND(D282&gt;=70,E282&lt;60),"DEPENDENCY GAP",IF(AND(D282&gt;=70,G282&lt;F282),"REQUIRED MATURITY GAP","OK")))</f>
        <v/>
      </c>
      <c r="J282" s="18" t="inlineStr">
        <is>
          <t>Programme portfolio review</t>
        </is>
      </c>
    </row>
    <row r="283">
      <c r="A283" s="18" t="inlineStr">
        <is>
          <t>CD16</t>
        </is>
      </c>
      <c r="B283" s="18" t="inlineStr">
        <is>
          <t>D09-I03</t>
        </is>
      </c>
      <c r="C283" s="18" t="inlineStr">
        <is>
          <t>D04-I12</t>
        </is>
      </c>
      <c r="D283" s="18">
        <f>'P0-3_Scorecard'!L107</f>
        <v/>
      </c>
      <c r="E283" s="18">
        <f>'P0-3_Scorecard'!L54</f>
        <v/>
      </c>
      <c r="F283" s="18">
        <f>'P0-3_Scorecard'!M54</f>
        <v/>
      </c>
      <c r="G283" s="18">
        <f>'P0-3_Scorecard'!E54</f>
        <v/>
      </c>
      <c r="H283" s="18">
        <f>'P0-3_Scorecard'!H54</f>
        <v/>
      </c>
      <c r="I283" s="18">
        <f>IF(OR(D283="",E283=""),"INCOMPLETE",IF(AND(D283&gt;=70,E283&lt;60),"DEPENDENCY GAP",IF(AND(D283&gt;=70,G283&lt;F283),"REQUIRED MATURITY GAP","OK")))</f>
        <v/>
      </c>
      <c r="J283" s="18" t="inlineStr">
        <is>
          <t>Programme portfolio review</t>
        </is>
      </c>
    </row>
    <row r="284">
      <c r="A284" s="18" t="inlineStr">
        <is>
          <t>CD16</t>
        </is>
      </c>
      <c r="B284" s="18" t="inlineStr">
        <is>
          <t>D09-I10</t>
        </is>
      </c>
      <c r="C284" s="18" t="inlineStr">
        <is>
          <t>D04-I01</t>
        </is>
      </c>
      <c r="D284" s="18">
        <f>'P0-3_Scorecard'!L114</f>
        <v/>
      </c>
      <c r="E284" s="18">
        <f>'P0-3_Scorecard'!L43</f>
        <v/>
      </c>
      <c r="F284" s="18">
        <f>'P0-3_Scorecard'!M43</f>
        <v/>
      </c>
      <c r="G284" s="18">
        <f>'P0-3_Scorecard'!E43</f>
        <v/>
      </c>
      <c r="H284" s="18">
        <f>'P0-3_Scorecard'!H43</f>
        <v/>
      </c>
      <c r="I284" s="18">
        <f>IF(OR(D284="",E284=""),"INCOMPLETE",IF(AND(D284&gt;=70,E284&lt;60),"DEPENDENCY GAP",IF(AND(D284&gt;=70,G284&lt;F284),"REQUIRED MATURITY GAP","OK")))</f>
        <v/>
      </c>
      <c r="J284" s="18" t="inlineStr">
        <is>
          <t>Programme portfolio review</t>
        </is>
      </c>
    </row>
    <row r="285">
      <c r="A285" s="18" t="inlineStr">
        <is>
          <t>CD16</t>
        </is>
      </c>
      <c r="B285" s="18" t="inlineStr">
        <is>
          <t>D09-I10</t>
        </is>
      </c>
      <c r="C285" s="18" t="inlineStr">
        <is>
          <t>D04-I03</t>
        </is>
      </c>
      <c r="D285" s="18">
        <f>'P0-3_Scorecard'!L114</f>
        <v/>
      </c>
      <c r="E285" s="18">
        <f>'P0-3_Scorecard'!L45</f>
        <v/>
      </c>
      <c r="F285" s="18">
        <f>'P0-3_Scorecard'!M45</f>
        <v/>
      </c>
      <c r="G285" s="18">
        <f>'P0-3_Scorecard'!E45</f>
        <v/>
      </c>
      <c r="H285" s="18">
        <f>'P0-3_Scorecard'!H45</f>
        <v/>
      </c>
      <c r="I285" s="18">
        <f>IF(OR(D285="",E285=""),"INCOMPLETE",IF(AND(D285&gt;=70,E285&lt;60),"DEPENDENCY GAP",IF(AND(D285&gt;=70,G285&lt;F285),"REQUIRED MATURITY GAP","OK")))</f>
        <v/>
      </c>
      <c r="J285" s="18" t="inlineStr">
        <is>
          <t>Programme portfolio review</t>
        </is>
      </c>
    </row>
    <row r="286">
      <c r="A286" s="18" t="inlineStr">
        <is>
          <t>CD16</t>
        </is>
      </c>
      <c r="B286" s="18" t="inlineStr">
        <is>
          <t>D09-I10</t>
        </is>
      </c>
      <c r="C286" s="18" t="inlineStr">
        <is>
          <t>D04-I08</t>
        </is>
      </c>
      <c r="D286" s="18">
        <f>'P0-3_Scorecard'!L114</f>
        <v/>
      </c>
      <c r="E286" s="18">
        <f>'P0-3_Scorecard'!L50</f>
        <v/>
      </c>
      <c r="F286" s="18">
        <f>'P0-3_Scorecard'!M50</f>
        <v/>
      </c>
      <c r="G286" s="18">
        <f>'P0-3_Scorecard'!E50</f>
        <v/>
      </c>
      <c r="H286" s="18">
        <f>'P0-3_Scorecard'!H50</f>
        <v/>
      </c>
      <c r="I286" s="18">
        <f>IF(OR(D286="",E286=""),"INCOMPLETE",IF(AND(D286&gt;=70,E286&lt;60),"DEPENDENCY GAP",IF(AND(D286&gt;=70,G286&lt;F286),"REQUIRED MATURITY GAP","OK")))</f>
        <v/>
      </c>
      <c r="J286" s="18" t="inlineStr">
        <is>
          <t>Programme portfolio review</t>
        </is>
      </c>
    </row>
    <row r="287">
      <c r="A287" s="18" t="inlineStr">
        <is>
          <t>CD16</t>
        </is>
      </c>
      <c r="B287" s="18" t="inlineStr">
        <is>
          <t>D09-I10</t>
        </is>
      </c>
      <c r="C287" s="18" t="inlineStr">
        <is>
          <t>D04-I12</t>
        </is>
      </c>
      <c r="D287" s="18">
        <f>'P0-3_Scorecard'!L114</f>
        <v/>
      </c>
      <c r="E287" s="18">
        <f>'P0-3_Scorecard'!L54</f>
        <v/>
      </c>
      <c r="F287" s="18">
        <f>'P0-3_Scorecard'!M54</f>
        <v/>
      </c>
      <c r="G287" s="18">
        <f>'P0-3_Scorecard'!E54</f>
        <v/>
      </c>
      <c r="H287" s="18">
        <f>'P0-3_Scorecard'!H54</f>
        <v/>
      </c>
      <c r="I287" s="18">
        <f>IF(OR(D287="",E287=""),"INCOMPLETE",IF(AND(D287&gt;=70,E287&lt;60),"DEPENDENCY GAP",IF(AND(D287&gt;=70,G287&lt;F287),"REQUIRED MATURITY GAP","OK")))</f>
        <v/>
      </c>
      <c r="J287" s="18" t="inlineStr">
        <is>
          <t>Programme portfolio review</t>
        </is>
      </c>
    </row>
    <row r="288">
      <c r="A288" s="18" t="inlineStr">
        <is>
          <t>CD16</t>
        </is>
      </c>
      <c r="B288" s="18" t="inlineStr">
        <is>
          <t>D09-I11</t>
        </is>
      </c>
      <c r="C288" s="18" t="inlineStr">
        <is>
          <t>D04-I01</t>
        </is>
      </c>
      <c r="D288" s="18">
        <f>'P0-3_Scorecard'!L115</f>
        <v/>
      </c>
      <c r="E288" s="18">
        <f>'P0-3_Scorecard'!L43</f>
        <v/>
      </c>
      <c r="F288" s="18">
        <f>'P0-3_Scorecard'!M43</f>
        <v/>
      </c>
      <c r="G288" s="18">
        <f>'P0-3_Scorecard'!E43</f>
        <v/>
      </c>
      <c r="H288" s="18">
        <f>'P0-3_Scorecard'!H43</f>
        <v/>
      </c>
      <c r="I288" s="18">
        <f>IF(OR(D288="",E288=""),"INCOMPLETE",IF(AND(D288&gt;=70,E288&lt;60),"DEPENDENCY GAP",IF(AND(D288&gt;=70,G288&lt;F288),"REQUIRED MATURITY GAP","OK")))</f>
        <v/>
      </c>
      <c r="J288" s="18" t="inlineStr">
        <is>
          <t>Programme portfolio review</t>
        </is>
      </c>
    </row>
    <row r="289">
      <c r="A289" s="18" t="inlineStr">
        <is>
          <t>CD16</t>
        </is>
      </c>
      <c r="B289" s="18" t="inlineStr">
        <is>
          <t>D09-I11</t>
        </is>
      </c>
      <c r="C289" s="18" t="inlineStr">
        <is>
          <t>D04-I03</t>
        </is>
      </c>
      <c r="D289" s="18">
        <f>'P0-3_Scorecard'!L115</f>
        <v/>
      </c>
      <c r="E289" s="18">
        <f>'P0-3_Scorecard'!L45</f>
        <v/>
      </c>
      <c r="F289" s="18">
        <f>'P0-3_Scorecard'!M45</f>
        <v/>
      </c>
      <c r="G289" s="18">
        <f>'P0-3_Scorecard'!E45</f>
        <v/>
      </c>
      <c r="H289" s="18">
        <f>'P0-3_Scorecard'!H45</f>
        <v/>
      </c>
      <c r="I289" s="18">
        <f>IF(OR(D289="",E289=""),"INCOMPLETE",IF(AND(D289&gt;=70,E289&lt;60),"DEPENDENCY GAP",IF(AND(D289&gt;=70,G289&lt;F289),"REQUIRED MATURITY GAP","OK")))</f>
        <v/>
      </c>
      <c r="J289" s="18" t="inlineStr">
        <is>
          <t>Programme portfolio review</t>
        </is>
      </c>
    </row>
    <row r="290">
      <c r="A290" s="18" t="inlineStr">
        <is>
          <t>CD16</t>
        </is>
      </c>
      <c r="B290" s="18" t="inlineStr">
        <is>
          <t>D09-I11</t>
        </is>
      </c>
      <c r="C290" s="18" t="inlineStr">
        <is>
          <t>D04-I08</t>
        </is>
      </c>
      <c r="D290" s="18">
        <f>'P0-3_Scorecard'!L115</f>
        <v/>
      </c>
      <c r="E290" s="18">
        <f>'P0-3_Scorecard'!L50</f>
        <v/>
      </c>
      <c r="F290" s="18">
        <f>'P0-3_Scorecard'!M50</f>
        <v/>
      </c>
      <c r="G290" s="18">
        <f>'P0-3_Scorecard'!E50</f>
        <v/>
      </c>
      <c r="H290" s="18">
        <f>'P0-3_Scorecard'!H50</f>
        <v/>
      </c>
      <c r="I290" s="18">
        <f>IF(OR(D290="",E290=""),"INCOMPLETE",IF(AND(D290&gt;=70,E290&lt;60),"DEPENDENCY GAP",IF(AND(D290&gt;=70,G290&lt;F290),"REQUIRED MATURITY GAP","OK")))</f>
        <v/>
      </c>
      <c r="J290" s="18" t="inlineStr">
        <is>
          <t>Programme portfolio review</t>
        </is>
      </c>
    </row>
    <row r="291">
      <c r="A291" s="18" t="inlineStr">
        <is>
          <t>CD16</t>
        </is>
      </c>
      <c r="B291" s="18" t="inlineStr">
        <is>
          <t>D09-I11</t>
        </is>
      </c>
      <c r="C291" s="18" t="inlineStr">
        <is>
          <t>D04-I12</t>
        </is>
      </c>
      <c r="D291" s="18">
        <f>'P0-3_Scorecard'!L115</f>
        <v/>
      </c>
      <c r="E291" s="18">
        <f>'P0-3_Scorecard'!L54</f>
        <v/>
      </c>
      <c r="F291" s="18">
        <f>'P0-3_Scorecard'!M54</f>
        <v/>
      </c>
      <c r="G291" s="18">
        <f>'P0-3_Scorecard'!E54</f>
        <v/>
      </c>
      <c r="H291" s="18">
        <f>'P0-3_Scorecard'!H54</f>
        <v/>
      </c>
      <c r="I291" s="18">
        <f>IF(OR(D291="",E291=""),"INCOMPLETE",IF(AND(D291&gt;=70,E291&lt;60),"DEPENDENCY GAP",IF(AND(D291&gt;=70,G291&lt;F291),"REQUIRED MATURITY GAP","OK")))</f>
        <v/>
      </c>
      <c r="J291" s="18" t="inlineStr">
        <is>
          <t>Programme portfolio review</t>
        </is>
      </c>
    </row>
    <row r="292">
      <c r="A292" s="18" t="inlineStr">
        <is>
          <t>CD17</t>
        </is>
      </c>
      <c r="B292" s="18" t="inlineStr">
        <is>
          <t>D09-I03</t>
        </is>
      </c>
      <c r="C292" s="18" t="inlineStr">
        <is>
          <t>D05-I02</t>
        </is>
      </c>
      <c r="D292" s="18">
        <f>'P0-3_Scorecard'!L107</f>
        <v/>
      </c>
      <c r="E292" s="18">
        <f>'P0-3_Scorecard'!L56</f>
        <v/>
      </c>
      <c r="F292" s="18">
        <f>'P0-3_Scorecard'!M56</f>
        <v/>
      </c>
      <c r="G292" s="18">
        <f>'P0-3_Scorecard'!E56</f>
        <v/>
      </c>
      <c r="H292" s="18">
        <f>'P0-3_Scorecard'!H56</f>
        <v/>
      </c>
      <c r="I292" s="18">
        <f>IF(OR(D292="",E292=""),"INCOMPLETE",IF(AND(D292&gt;=70,E292&lt;60),"DEPENDENCY GAP",IF(AND(D292&gt;=70,G292&lt;F292),"REQUIRED MATURITY GAP","OK")))</f>
        <v/>
      </c>
      <c r="J292" s="18" t="inlineStr">
        <is>
          <t>Faculty capability review</t>
        </is>
      </c>
    </row>
    <row r="293">
      <c r="A293" s="18" t="inlineStr">
        <is>
          <t>CD17</t>
        </is>
      </c>
      <c r="B293" s="18" t="inlineStr">
        <is>
          <t>D09-I03</t>
        </is>
      </c>
      <c r="C293" s="18" t="inlineStr">
        <is>
          <t>D05-I05</t>
        </is>
      </c>
      <c r="D293" s="18">
        <f>'P0-3_Scorecard'!L107</f>
        <v/>
      </c>
      <c r="E293" s="18">
        <f>'P0-3_Scorecard'!L59</f>
        <v/>
      </c>
      <c r="F293" s="18">
        <f>'P0-3_Scorecard'!M59</f>
        <v/>
      </c>
      <c r="G293" s="18">
        <f>'P0-3_Scorecard'!E59</f>
        <v/>
      </c>
      <c r="H293" s="18">
        <f>'P0-3_Scorecard'!H59</f>
        <v/>
      </c>
      <c r="I293" s="18">
        <f>IF(OR(D293="",E293=""),"INCOMPLETE",IF(AND(D293&gt;=70,E293&lt;60),"DEPENDENCY GAP",IF(AND(D293&gt;=70,G293&lt;F293),"REQUIRED MATURITY GAP","OK")))</f>
        <v/>
      </c>
      <c r="J293" s="18" t="inlineStr">
        <is>
          <t>Faculty capability review</t>
        </is>
      </c>
    </row>
    <row r="294">
      <c r="A294" s="18" t="inlineStr">
        <is>
          <t>CD17</t>
        </is>
      </c>
      <c r="B294" s="18" t="inlineStr">
        <is>
          <t>D09-I03</t>
        </is>
      </c>
      <c r="C294" s="18" t="inlineStr">
        <is>
          <t>D05-I08</t>
        </is>
      </c>
      <c r="D294" s="18">
        <f>'P0-3_Scorecard'!L107</f>
        <v/>
      </c>
      <c r="E294" s="18">
        <f>'P0-3_Scorecard'!L62</f>
        <v/>
      </c>
      <c r="F294" s="18">
        <f>'P0-3_Scorecard'!M62</f>
        <v/>
      </c>
      <c r="G294" s="18">
        <f>'P0-3_Scorecard'!E62</f>
        <v/>
      </c>
      <c r="H294" s="18">
        <f>'P0-3_Scorecard'!H62</f>
        <v/>
      </c>
      <c r="I294" s="18">
        <f>IF(OR(D294="",E294=""),"INCOMPLETE",IF(AND(D294&gt;=70,E294&lt;60),"DEPENDENCY GAP",IF(AND(D294&gt;=70,G294&lt;F294),"REQUIRED MATURITY GAP","OK")))</f>
        <v/>
      </c>
      <c r="J294" s="18" t="inlineStr">
        <is>
          <t>Faculty capability review</t>
        </is>
      </c>
    </row>
    <row r="295">
      <c r="A295" s="18" t="inlineStr">
        <is>
          <t>CD17</t>
        </is>
      </c>
      <c r="B295" s="18" t="inlineStr">
        <is>
          <t>D09-I03</t>
        </is>
      </c>
      <c r="C295" s="18" t="inlineStr">
        <is>
          <t>D05-I12</t>
        </is>
      </c>
      <c r="D295" s="18">
        <f>'P0-3_Scorecard'!L107</f>
        <v/>
      </c>
      <c r="E295" s="18">
        <f>'P0-3_Scorecard'!L66</f>
        <v/>
      </c>
      <c r="F295" s="18">
        <f>'P0-3_Scorecard'!M66</f>
        <v/>
      </c>
      <c r="G295" s="18">
        <f>'P0-3_Scorecard'!E66</f>
        <v/>
      </c>
      <c r="H295" s="18">
        <f>'P0-3_Scorecard'!H66</f>
        <v/>
      </c>
      <c r="I295" s="18">
        <f>IF(OR(D295="",E295=""),"INCOMPLETE",IF(AND(D295&gt;=70,E295&lt;60),"DEPENDENCY GAP",IF(AND(D295&gt;=70,G295&lt;F295),"REQUIRED MATURITY GAP","OK")))</f>
        <v/>
      </c>
      <c r="J295" s="18" t="inlineStr">
        <is>
          <t>Faculty capability review</t>
        </is>
      </c>
    </row>
    <row r="296">
      <c r="A296" s="18" t="inlineStr">
        <is>
          <t>CD17</t>
        </is>
      </c>
      <c r="B296" s="18" t="inlineStr">
        <is>
          <t>D09-I10</t>
        </is>
      </c>
      <c r="C296" s="18" t="inlineStr">
        <is>
          <t>D05-I02</t>
        </is>
      </c>
      <c r="D296" s="18">
        <f>'P0-3_Scorecard'!L114</f>
        <v/>
      </c>
      <c r="E296" s="18">
        <f>'P0-3_Scorecard'!L56</f>
        <v/>
      </c>
      <c r="F296" s="18">
        <f>'P0-3_Scorecard'!M56</f>
        <v/>
      </c>
      <c r="G296" s="18">
        <f>'P0-3_Scorecard'!E56</f>
        <v/>
      </c>
      <c r="H296" s="18">
        <f>'P0-3_Scorecard'!H56</f>
        <v/>
      </c>
      <c r="I296" s="18">
        <f>IF(OR(D296="",E296=""),"INCOMPLETE",IF(AND(D296&gt;=70,E296&lt;60),"DEPENDENCY GAP",IF(AND(D296&gt;=70,G296&lt;F296),"REQUIRED MATURITY GAP","OK")))</f>
        <v/>
      </c>
      <c r="J296" s="18" t="inlineStr">
        <is>
          <t>Faculty capability review</t>
        </is>
      </c>
    </row>
    <row r="297">
      <c r="A297" s="18" t="inlineStr">
        <is>
          <t>CD17</t>
        </is>
      </c>
      <c r="B297" s="18" t="inlineStr">
        <is>
          <t>D09-I10</t>
        </is>
      </c>
      <c r="C297" s="18" t="inlineStr">
        <is>
          <t>D05-I05</t>
        </is>
      </c>
      <c r="D297" s="18">
        <f>'P0-3_Scorecard'!L114</f>
        <v/>
      </c>
      <c r="E297" s="18">
        <f>'P0-3_Scorecard'!L59</f>
        <v/>
      </c>
      <c r="F297" s="18">
        <f>'P0-3_Scorecard'!M59</f>
        <v/>
      </c>
      <c r="G297" s="18">
        <f>'P0-3_Scorecard'!E59</f>
        <v/>
      </c>
      <c r="H297" s="18">
        <f>'P0-3_Scorecard'!H59</f>
        <v/>
      </c>
      <c r="I297" s="18">
        <f>IF(OR(D297="",E297=""),"INCOMPLETE",IF(AND(D297&gt;=70,E297&lt;60),"DEPENDENCY GAP",IF(AND(D297&gt;=70,G297&lt;F297),"REQUIRED MATURITY GAP","OK")))</f>
        <v/>
      </c>
      <c r="J297" s="18" t="inlineStr">
        <is>
          <t>Faculty capability review</t>
        </is>
      </c>
    </row>
    <row r="298">
      <c r="A298" s="18" t="inlineStr">
        <is>
          <t>CD17</t>
        </is>
      </c>
      <c r="B298" s="18" t="inlineStr">
        <is>
          <t>D09-I10</t>
        </is>
      </c>
      <c r="C298" s="18" t="inlineStr">
        <is>
          <t>D05-I08</t>
        </is>
      </c>
      <c r="D298" s="18">
        <f>'P0-3_Scorecard'!L114</f>
        <v/>
      </c>
      <c r="E298" s="18">
        <f>'P0-3_Scorecard'!L62</f>
        <v/>
      </c>
      <c r="F298" s="18">
        <f>'P0-3_Scorecard'!M62</f>
        <v/>
      </c>
      <c r="G298" s="18">
        <f>'P0-3_Scorecard'!E62</f>
        <v/>
      </c>
      <c r="H298" s="18">
        <f>'P0-3_Scorecard'!H62</f>
        <v/>
      </c>
      <c r="I298" s="18">
        <f>IF(OR(D298="",E298=""),"INCOMPLETE",IF(AND(D298&gt;=70,E298&lt;60),"DEPENDENCY GAP",IF(AND(D298&gt;=70,G298&lt;F298),"REQUIRED MATURITY GAP","OK")))</f>
        <v/>
      </c>
      <c r="J298" s="18" t="inlineStr">
        <is>
          <t>Faculty capability review</t>
        </is>
      </c>
    </row>
    <row r="299">
      <c r="A299" s="18" t="inlineStr">
        <is>
          <t>CD17</t>
        </is>
      </c>
      <c r="B299" s="18" t="inlineStr">
        <is>
          <t>D09-I10</t>
        </is>
      </c>
      <c r="C299" s="18" t="inlineStr">
        <is>
          <t>D05-I12</t>
        </is>
      </c>
      <c r="D299" s="18">
        <f>'P0-3_Scorecard'!L114</f>
        <v/>
      </c>
      <c r="E299" s="18">
        <f>'P0-3_Scorecard'!L66</f>
        <v/>
      </c>
      <c r="F299" s="18">
        <f>'P0-3_Scorecard'!M66</f>
        <v/>
      </c>
      <c r="G299" s="18">
        <f>'P0-3_Scorecard'!E66</f>
        <v/>
      </c>
      <c r="H299" s="18">
        <f>'P0-3_Scorecard'!H66</f>
        <v/>
      </c>
      <c r="I299" s="18">
        <f>IF(OR(D299="",E299=""),"INCOMPLETE",IF(AND(D299&gt;=70,E299&lt;60),"DEPENDENCY GAP",IF(AND(D299&gt;=70,G299&lt;F299),"REQUIRED MATURITY GAP","OK")))</f>
        <v/>
      </c>
      <c r="J299" s="18" t="inlineStr">
        <is>
          <t>Faculty capability review</t>
        </is>
      </c>
    </row>
    <row r="300">
      <c r="A300" s="18" t="inlineStr">
        <is>
          <t>CD18</t>
        </is>
      </c>
      <c r="B300" s="18" t="inlineStr">
        <is>
          <t>D09-I05</t>
        </is>
      </c>
      <c r="C300" s="18" t="inlineStr">
        <is>
          <t>D06-I07</t>
        </is>
      </c>
      <c r="D300" s="18">
        <f>'P0-3_Scorecard'!L109</f>
        <v/>
      </c>
      <c r="E300" s="18">
        <f>'P0-3_Scorecard'!L73</f>
        <v/>
      </c>
      <c r="F300" s="18">
        <f>'P0-3_Scorecard'!M73</f>
        <v/>
      </c>
      <c r="G300" s="18">
        <f>'P0-3_Scorecard'!E73</f>
        <v/>
      </c>
      <c r="H300" s="18">
        <f>'P0-3_Scorecard'!H73</f>
        <v/>
      </c>
      <c r="I300" s="18">
        <f>IF(OR(D300="",E300=""),"INCOMPLETE",IF(AND(D300&gt;=70,E300&lt;60),"DEPENDENCY GAP",IF(AND(D300&gt;=70,G300&lt;F300),"REQUIRED MATURITY GAP","OK")))</f>
        <v/>
      </c>
      <c r="J300" s="18" t="inlineStr">
        <is>
          <t>Student development review</t>
        </is>
      </c>
    </row>
    <row r="301">
      <c r="A301" s="18" t="inlineStr">
        <is>
          <t>CD18</t>
        </is>
      </c>
      <c r="B301" s="18" t="inlineStr">
        <is>
          <t>D09-I05</t>
        </is>
      </c>
      <c r="C301" s="18" t="inlineStr">
        <is>
          <t>D06-I08</t>
        </is>
      </c>
      <c r="D301" s="18">
        <f>'P0-3_Scorecard'!L109</f>
        <v/>
      </c>
      <c r="E301" s="18">
        <f>'P0-3_Scorecard'!L74</f>
        <v/>
      </c>
      <c r="F301" s="18">
        <f>'P0-3_Scorecard'!M74</f>
        <v/>
      </c>
      <c r="G301" s="18">
        <f>'P0-3_Scorecard'!E74</f>
        <v/>
      </c>
      <c r="H301" s="18">
        <f>'P0-3_Scorecard'!H74</f>
        <v/>
      </c>
      <c r="I301" s="18">
        <f>IF(OR(D301="",E301=""),"INCOMPLETE",IF(AND(D301&gt;=70,E301&lt;60),"DEPENDENCY GAP",IF(AND(D301&gt;=70,G301&lt;F301),"REQUIRED MATURITY GAP","OK")))</f>
        <v/>
      </c>
      <c r="J301" s="18" t="inlineStr">
        <is>
          <t>Student development review</t>
        </is>
      </c>
    </row>
    <row r="302">
      <c r="A302" s="18" t="inlineStr">
        <is>
          <t>CD18</t>
        </is>
      </c>
      <c r="B302" s="18" t="inlineStr">
        <is>
          <t>D09-I05</t>
        </is>
      </c>
      <c r="C302" s="18" t="inlineStr">
        <is>
          <t>D06-I09</t>
        </is>
      </c>
      <c r="D302" s="18">
        <f>'P0-3_Scorecard'!L109</f>
        <v/>
      </c>
      <c r="E302" s="18">
        <f>'P0-3_Scorecard'!L75</f>
        <v/>
      </c>
      <c r="F302" s="18">
        <f>'P0-3_Scorecard'!M75</f>
        <v/>
      </c>
      <c r="G302" s="18">
        <f>'P0-3_Scorecard'!E75</f>
        <v/>
      </c>
      <c r="H302" s="18">
        <f>'P0-3_Scorecard'!H75</f>
        <v/>
      </c>
      <c r="I302" s="18">
        <f>IF(OR(D302="",E302=""),"INCOMPLETE",IF(AND(D302&gt;=70,E302&lt;60),"DEPENDENCY GAP",IF(AND(D302&gt;=70,G302&lt;F302),"REQUIRED MATURITY GAP","OK")))</f>
        <v/>
      </c>
      <c r="J302" s="18" t="inlineStr">
        <is>
          <t>Student development review</t>
        </is>
      </c>
    </row>
    <row r="303">
      <c r="A303" s="18" t="inlineStr">
        <is>
          <t>CD18</t>
        </is>
      </c>
      <c r="B303" s="18" t="inlineStr">
        <is>
          <t>D09-I05</t>
        </is>
      </c>
      <c r="C303" s="18" t="inlineStr">
        <is>
          <t>D06-I14</t>
        </is>
      </c>
      <c r="D303" s="18">
        <f>'P0-3_Scorecard'!L109</f>
        <v/>
      </c>
      <c r="E303" s="18">
        <f>'P0-3_Scorecard'!L80</f>
        <v/>
      </c>
      <c r="F303" s="18">
        <f>'P0-3_Scorecard'!M80</f>
        <v/>
      </c>
      <c r="G303" s="18">
        <f>'P0-3_Scorecard'!E80</f>
        <v/>
      </c>
      <c r="H303" s="18">
        <f>'P0-3_Scorecard'!H80</f>
        <v/>
      </c>
      <c r="I303" s="18">
        <f>IF(OR(D303="",E303=""),"INCOMPLETE",IF(AND(D303&gt;=70,E303&lt;60),"DEPENDENCY GAP",IF(AND(D303&gt;=70,G303&lt;F303),"REQUIRED MATURITY GAP","OK")))</f>
        <v/>
      </c>
      <c r="J303" s="18" t="inlineStr">
        <is>
          <t>Student development review</t>
        </is>
      </c>
    </row>
    <row r="304">
      <c r="A304" s="18" t="inlineStr">
        <is>
          <t>CD18</t>
        </is>
      </c>
      <c r="B304" s="18" t="inlineStr">
        <is>
          <t>D09-I06</t>
        </is>
      </c>
      <c r="C304" s="18" t="inlineStr">
        <is>
          <t>D06-I07</t>
        </is>
      </c>
      <c r="D304" s="18">
        <f>'P0-3_Scorecard'!L110</f>
        <v/>
      </c>
      <c r="E304" s="18">
        <f>'P0-3_Scorecard'!L73</f>
        <v/>
      </c>
      <c r="F304" s="18">
        <f>'P0-3_Scorecard'!M73</f>
        <v/>
      </c>
      <c r="G304" s="18">
        <f>'P0-3_Scorecard'!E73</f>
        <v/>
      </c>
      <c r="H304" s="18">
        <f>'P0-3_Scorecard'!H73</f>
        <v/>
      </c>
      <c r="I304" s="18">
        <f>IF(OR(D304="",E304=""),"INCOMPLETE",IF(AND(D304&gt;=70,E304&lt;60),"DEPENDENCY GAP",IF(AND(D304&gt;=70,G304&lt;F304),"REQUIRED MATURITY GAP","OK")))</f>
        <v/>
      </c>
      <c r="J304" s="18" t="inlineStr">
        <is>
          <t>Student development review</t>
        </is>
      </c>
    </row>
    <row r="305">
      <c r="A305" s="18" t="inlineStr">
        <is>
          <t>CD18</t>
        </is>
      </c>
      <c r="B305" s="18" t="inlineStr">
        <is>
          <t>D09-I06</t>
        </is>
      </c>
      <c r="C305" s="18" t="inlineStr">
        <is>
          <t>D06-I08</t>
        </is>
      </c>
      <c r="D305" s="18">
        <f>'P0-3_Scorecard'!L110</f>
        <v/>
      </c>
      <c r="E305" s="18">
        <f>'P0-3_Scorecard'!L74</f>
        <v/>
      </c>
      <c r="F305" s="18">
        <f>'P0-3_Scorecard'!M74</f>
        <v/>
      </c>
      <c r="G305" s="18">
        <f>'P0-3_Scorecard'!E74</f>
        <v/>
      </c>
      <c r="H305" s="18">
        <f>'P0-3_Scorecard'!H74</f>
        <v/>
      </c>
      <c r="I305" s="18">
        <f>IF(OR(D305="",E305=""),"INCOMPLETE",IF(AND(D305&gt;=70,E305&lt;60),"DEPENDENCY GAP",IF(AND(D305&gt;=70,G305&lt;F305),"REQUIRED MATURITY GAP","OK")))</f>
        <v/>
      </c>
      <c r="J305" s="18" t="inlineStr">
        <is>
          <t>Student development review</t>
        </is>
      </c>
    </row>
    <row r="306">
      <c r="A306" s="18" t="inlineStr">
        <is>
          <t>CD18</t>
        </is>
      </c>
      <c r="B306" s="18" t="inlineStr">
        <is>
          <t>D09-I06</t>
        </is>
      </c>
      <c r="C306" s="18" t="inlineStr">
        <is>
          <t>D06-I09</t>
        </is>
      </c>
      <c r="D306" s="18">
        <f>'P0-3_Scorecard'!L110</f>
        <v/>
      </c>
      <c r="E306" s="18">
        <f>'P0-3_Scorecard'!L75</f>
        <v/>
      </c>
      <c r="F306" s="18">
        <f>'P0-3_Scorecard'!M75</f>
        <v/>
      </c>
      <c r="G306" s="18">
        <f>'P0-3_Scorecard'!E75</f>
        <v/>
      </c>
      <c r="H306" s="18">
        <f>'P0-3_Scorecard'!H75</f>
        <v/>
      </c>
      <c r="I306" s="18">
        <f>IF(OR(D306="",E306=""),"INCOMPLETE",IF(AND(D306&gt;=70,E306&lt;60),"DEPENDENCY GAP",IF(AND(D306&gt;=70,G306&lt;F306),"REQUIRED MATURITY GAP","OK")))</f>
        <v/>
      </c>
      <c r="J306" s="18" t="inlineStr">
        <is>
          <t>Student development review</t>
        </is>
      </c>
    </row>
    <row r="307">
      <c r="A307" s="18" t="inlineStr">
        <is>
          <t>CD18</t>
        </is>
      </c>
      <c r="B307" s="18" t="inlineStr">
        <is>
          <t>D09-I06</t>
        </is>
      </c>
      <c r="C307" s="18" t="inlineStr">
        <is>
          <t>D06-I14</t>
        </is>
      </c>
      <c r="D307" s="18">
        <f>'P0-3_Scorecard'!L110</f>
        <v/>
      </c>
      <c r="E307" s="18">
        <f>'P0-3_Scorecard'!L80</f>
        <v/>
      </c>
      <c r="F307" s="18">
        <f>'P0-3_Scorecard'!M80</f>
        <v/>
      </c>
      <c r="G307" s="18">
        <f>'P0-3_Scorecard'!E80</f>
        <v/>
      </c>
      <c r="H307" s="18">
        <f>'P0-3_Scorecard'!H80</f>
        <v/>
      </c>
      <c r="I307" s="18">
        <f>IF(OR(D307="",E307=""),"INCOMPLETE",IF(AND(D307&gt;=70,E307&lt;60),"DEPENDENCY GAP",IF(AND(D307&gt;=70,G307&lt;F307),"REQUIRED MATURITY GAP","OK")))</f>
        <v/>
      </c>
      <c r="J307" s="18" t="inlineStr">
        <is>
          <t>Student development review</t>
        </is>
      </c>
    </row>
    <row r="308">
      <c r="A308" s="18" t="inlineStr">
        <is>
          <t>CD18</t>
        </is>
      </c>
      <c r="B308" s="18" t="inlineStr">
        <is>
          <t>D09-I07</t>
        </is>
      </c>
      <c r="C308" s="18" t="inlineStr">
        <is>
          <t>D06-I07</t>
        </is>
      </c>
      <c r="D308" s="18">
        <f>'P0-3_Scorecard'!L111</f>
        <v/>
      </c>
      <c r="E308" s="18">
        <f>'P0-3_Scorecard'!L73</f>
        <v/>
      </c>
      <c r="F308" s="18">
        <f>'P0-3_Scorecard'!M73</f>
        <v/>
      </c>
      <c r="G308" s="18">
        <f>'P0-3_Scorecard'!E73</f>
        <v/>
      </c>
      <c r="H308" s="18">
        <f>'P0-3_Scorecard'!H73</f>
        <v/>
      </c>
      <c r="I308" s="18">
        <f>IF(OR(D308="",E308=""),"INCOMPLETE",IF(AND(D308&gt;=70,E308&lt;60),"DEPENDENCY GAP",IF(AND(D308&gt;=70,G308&lt;F308),"REQUIRED MATURITY GAP","OK")))</f>
        <v/>
      </c>
      <c r="J308" s="18" t="inlineStr">
        <is>
          <t>Student development review</t>
        </is>
      </c>
    </row>
    <row r="309">
      <c r="A309" s="18" t="inlineStr">
        <is>
          <t>CD18</t>
        </is>
      </c>
      <c r="B309" s="18" t="inlineStr">
        <is>
          <t>D09-I07</t>
        </is>
      </c>
      <c r="C309" s="18" t="inlineStr">
        <is>
          <t>D06-I08</t>
        </is>
      </c>
      <c r="D309" s="18">
        <f>'P0-3_Scorecard'!L111</f>
        <v/>
      </c>
      <c r="E309" s="18">
        <f>'P0-3_Scorecard'!L74</f>
        <v/>
      </c>
      <c r="F309" s="18">
        <f>'P0-3_Scorecard'!M74</f>
        <v/>
      </c>
      <c r="G309" s="18">
        <f>'P0-3_Scorecard'!E74</f>
        <v/>
      </c>
      <c r="H309" s="18">
        <f>'P0-3_Scorecard'!H74</f>
        <v/>
      </c>
      <c r="I309" s="18">
        <f>IF(OR(D309="",E309=""),"INCOMPLETE",IF(AND(D309&gt;=70,E309&lt;60),"DEPENDENCY GAP",IF(AND(D309&gt;=70,G309&lt;F309),"REQUIRED MATURITY GAP","OK")))</f>
        <v/>
      </c>
      <c r="J309" s="18" t="inlineStr">
        <is>
          <t>Student development review</t>
        </is>
      </c>
    </row>
    <row r="310">
      <c r="A310" s="18" t="inlineStr">
        <is>
          <t>CD18</t>
        </is>
      </c>
      <c r="B310" s="18" t="inlineStr">
        <is>
          <t>D09-I07</t>
        </is>
      </c>
      <c r="C310" s="18" t="inlineStr">
        <is>
          <t>D06-I09</t>
        </is>
      </c>
      <c r="D310" s="18">
        <f>'P0-3_Scorecard'!L111</f>
        <v/>
      </c>
      <c r="E310" s="18">
        <f>'P0-3_Scorecard'!L75</f>
        <v/>
      </c>
      <c r="F310" s="18">
        <f>'P0-3_Scorecard'!M75</f>
        <v/>
      </c>
      <c r="G310" s="18">
        <f>'P0-3_Scorecard'!E75</f>
        <v/>
      </c>
      <c r="H310" s="18">
        <f>'P0-3_Scorecard'!H75</f>
        <v/>
      </c>
      <c r="I310" s="18">
        <f>IF(OR(D310="",E310=""),"INCOMPLETE",IF(AND(D310&gt;=70,E310&lt;60),"DEPENDENCY GAP",IF(AND(D310&gt;=70,G310&lt;F310),"REQUIRED MATURITY GAP","OK")))</f>
        <v/>
      </c>
      <c r="J310" s="18" t="inlineStr">
        <is>
          <t>Student development review</t>
        </is>
      </c>
    </row>
    <row r="311">
      <c r="A311" s="18" t="inlineStr">
        <is>
          <t>CD18</t>
        </is>
      </c>
      <c r="B311" s="18" t="inlineStr">
        <is>
          <t>D09-I07</t>
        </is>
      </c>
      <c r="C311" s="18" t="inlineStr">
        <is>
          <t>D06-I14</t>
        </is>
      </c>
      <c r="D311" s="18">
        <f>'P0-3_Scorecard'!L111</f>
        <v/>
      </c>
      <c r="E311" s="18">
        <f>'P0-3_Scorecard'!L80</f>
        <v/>
      </c>
      <c r="F311" s="18">
        <f>'P0-3_Scorecard'!M80</f>
        <v/>
      </c>
      <c r="G311" s="18">
        <f>'P0-3_Scorecard'!E80</f>
        <v/>
      </c>
      <c r="H311" s="18">
        <f>'P0-3_Scorecard'!H80</f>
        <v/>
      </c>
      <c r="I311" s="18">
        <f>IF(OR(D311="",E311=""),"INCOMPLETE",IF(AND(D311&gt;=70,E311&lt;60),"DEPENDENCY GAP",IF(AND(D311&gt;=70,G311&lt;F311),"REQUIRED MATURITY GAP","OK")))</f>
        <v/>
      </c>
      <c r="J311" s="18" t="inlineStr">
        <is>
          <t>Student development review</t>
        </is>
      </c>
    </row>
    <row r="312">
      <c r="A312" s="18" t="inlineStr">
        <is>
          <t>CD18</t>
        </is>
      </c>
      <c r="B312" s="18" t="inlineStr">
        <is>
          <t>D09-I12</t>
        </is>
      </c>
      <c r="C312" s="18" t="inlineStr">
        <is>
          <t>D06-I07</t>
        </is>
      </c>
      <c r="D312" s="18">
        <f>'P0-3_Scorecard'!L116</f>
        <v/>
      </c>
      <c r="E312" s="18">
        <f>'P0-3_Scorecard'!L73</f>
        <v/>
      </c>
      <c r="F312" s="18">
        <f>'P0-3_Scorecard'!M73</f>
        <v/>
      </c>
      <c r="G312" s="18">
        <f>'P0-3_Scorecard'!E73</f>
        <v/>
      </c>
      <c r="H312" s="18">
        <f>'P0-3_Scorecard'!H73</f>
        <v/>
      </c>
      <c r="I312" s="18">
        <f>IF(OR(D312="",E312=""),"INCOMPLETE",IF(AND(D312&gt;=70,E312&lt;60),"DEPENDENCY GAP",IF(AND(D312&gt;=70,G312&lt;F312),"REQUIRED MATURITY GAP","OK")))</f>
        <v/>
      </c>
      <c r="J312" s="18" t="inlineStr">
        <is>
          <t>Student development review</t>
        </is>
      </c>
    </row>
    <row r="313">
      <c r="A313" s="18" t="inlineStr">
        <is>
          <t>CD18</t>
        </is>
      </c>
      <c r="B313" s="18" t="inlineStr">
        <is>
          <t>D09-I12</t>
        </is>
      </c>
      <c r="C313" s="18" t="inlineStr">
        <is>
          <t>D06-I08</t>
        </is>
      </c>
      <c r="D313" s="18">
        <f>'P0-3_Scorecard'!L116</f>
        <v/>
      </c>
      <c r="E313" s="18">
        <f>'P0-3_Scorecard'!L74</f>
        <v/>
      </c>
      <c r="F313" s="18">
        <f>'P0-3_Scorecard'!M74</f>
        <v/>
      </c>
      <c r="G313" s="18">
        <f>'P0-3_Scorecard'!E74</f>
        <v/>
      </c>
      <c r="H313" s="18">
        <f>'P0-3_Scorecard'!H74</f>
        <v/>
      </c>
      <c r="I313" s="18">
        <f>IF(OR(D313="",E313=""),"INCOMPLETE",IF(AND(D313&gt;=70,E313&lt;60),"DEPENDENCY GAP",IF(AND(D313&gt;=70,G313&lt;F313),"REQUIRED MATURITY GAP","OK")))</f>
        <v/>
      </c>
      <c r="J313" s="18" t="inlineStr">
        <is>
          <t>Student development review</t>
        </is>
      </c>
    </row>
    <row r="314">
      <c r="A314" s="18" t="inlineStr">
        <is>
          <t>CD18</t>
        </is>
      </c>
      <c r="B314" s="18" t="inlineStr">
        <is>
          <t>D09-I12</t>
        </is>
      </c>
      <c r="C314" s="18" t="inlineStr">
        <is>
          <t>D06-I09</t>
        </is>
      </c>
      <c r="D314" s="18">
        <f>'P0-3_Scorecard'!L116</f>
        <v/>
      </c>
      <c r="E314" s="18">
        <f>'P0-3_Scorecard'!L75</f>
        <v/>
      </c>
      <c r="F314" s="18">
        <f>'P0-3_Scorecard'!M75</f>
        <v/>
      </c>
      <c r="G314" s="18">
        <f>'P0-3_Scorecard'!E75</f>
        <v/>
      </c>
      <c r="H314" s="18">
        <f>'P0-3_Scorecard'!H75</f>
        <v/>
      </c>
      <c r="I314" s="18">
        <f>IF(OR(D314="",E314=""),"INCOMPLETE",IF(AND(D314&gt;=70,E314&lt;60),"DEPENDENCY GAP",IF(AND(D314&gt;=70,G314&lt;F314),"REQUIRED MATURITY GAP","OK")))</f>
        <v/>
      </c>
      <c r="J314" s="18" t="inlineStr">
        <is>
          <t>Student development review</t>
        </is>
      </c>
    </row>
    <row r="315">
      <c r="A315" s="18" t="inlineStr">
        <is>
          <t>CD18</t>
        </is>
      </c>
      <c r="B315" s="18" t="inlineStr">
        <is>
          <t>D09-I12</t>
        </is>
      </c>
      <c r="C315" s="18" t="inlineStr">
        <is>
          <t>D06-I14</t>
        </is>
      </c>
      <c r="D315" s="18">
        <f>'P0-3_Scorecard'!L116</f>
        <v/>
      </c>
      <c r="E315" s="18">
        <f>'P0-3_Scorecard'!L80</f>
        <v/>
      </c>
      <c r="F315" s="18">
        <f>'P0-3_Scorecard'!M80</f>
        <v/>
      </c>
      <c r="G315" s="18">
        <f>'P0-3_Scorecard'!E80</f>
        <v/>
      </c>
      <c r="H315" s="18">
        <f>'P0-3_Scorecard'!H80</f>
        <v/>
      </c>
      <c r="I315" s="18">
        <f>IF(OR(D315="",E315=""),"INCOMPLETE",IF(AND(D315&gt;=70,E315&lt;60),"DEPENDENCY GAP",IF(AND(D315&gt;=70,G315&lt;F315),"REQUIRED MATURITY GAP","OK")))</f>
        <v/>
      </c>
      <c r="J315" s="18" t="inlineStr">
        <is>
          <t>Student development review</t>
        </is>
      </c>
    </row>
    <row r="316">
      <c r="A316" s="18" t="inlineStr">
        <is>
          <t>CD19</t>
        </is>
      </c>
      <c r="B316" s="18" t="inlineStr">
        <is>
          <t>D10-I03</t>
        </is>
      </c>
      <c r="C316" s="18" t="inlineStr">
        <is>
          <t>D03-I05</t>
        </is>
      </c>
      <c r="D316" s="18">
        <f>'P0-3_Scorecard'!L119</f>
        <v/>
      </c>
      <c r="E316" s="18">
        <f>'P0-3_Scorecard'!L30</f>
        <v/>
      </c>
      <c r="F316" s="18">
        <f>'P0-3_Scorecard'!M30</f>
        <v/>
      </c>
      <c r="G316" s="18">
        <f>'P0-3_Scorecard'!E30</f>
        <v/>
      </c>
      <c r="H316" s="18">
        <f>'P0-3_Scorecard'!H30</f>
        <v/>
      </c>
      <c r="I316" s="18">
        <f>IF(OR(D316="",E316=""),"INCOMPLETE",IF(AND(D316&gt;=70,E316&lt;60),"DEPENDENCY GAP",IF(AND(D316&gt;=70,G316&lt;F316),"REQUIRED MATURITY GAP","OK")))</f>
        <v/>
      </c>
      <c r="J316" s="18" t="inlineStr">
        <is>
          <t>Research-learning review</t>
        </is>
      </c>
    </row>
    <row r="317">
      <c r="A317" s="18" t="inlineStr">
        <is>
          <t>CD19</t>
        </is>
      </c>
      <c r="B317" s="18" t="inlineStr">
        <is>
          <t>D10-I03</t>
        </is>
      </c>
      <c r="C317" s="18" t="inlineStr">
        <is>
          <t>D03-I06</t>
        </is>
      </c>
      <c r="D317" s="18">
        <f>'P0-3_Scorecard'!L119</f>
        <v/>
      </c>
      <c r="E317" s="18">
        <f>'P0-3_Scorecard'!L31</f>
        <v/>
      </c>
      <c r="F317" s="18">
        <f>'P0-3_Scorecard'!M31</f>
        <v/>
      </c>
      <c r="G317" s="18">
        <f>'P0-3_Scorecard'!E31</f>
        <v/>
      </c>
      <c r="H317" s="18">
        <f>'P0-3_Scorecard'!H31</f>
        <v/>
      </c>
      <c r="I317" s="18">
        <f>IF(OR(D317="",E317=""),"INCOMPLETE",IF(AND(D317&gt;=70,E317&lt;60),"DEPENDENCY GAP",IF(AND(D317&gt;=70,G317&lt;F317),"REQUIRED MATURITY GAP","OK")))</f>
        <v/>
      </c>
      <c r="J317" s="18" t="inlineStr">
        <is>
          <t>Research-learning review</t>
        </is>
      </c>
    </row>
    <row r="318">
      <c r="A318" s="18" t="inlineStr">
        <is>
          <t>CD19</t>
        </is>
      </c>
      <c r="B318" s="18" t="inlineStr">
        <is>
          <t>D10-I03</t>
        </is>
      </c>
      <c r="C318" s="18" t="inlineStr">
        <is>
          <t>D03-I07</t>
        </is>
      </c>
      <c r="D318" s="18">
        <f>'P0-3_Scorecard'!L119</f>
        <v/>
      </c>
      <c r="E318" s="18">
        <f>'P0-3_Scorecard'!L32</f>
        <v/>
      </c>
      <c r="F318" s="18">
        <f>'P0-3_Scorecard'!M32</f>
        <v/>
      </c>
      <c r="G318" s="18">
        <f>'P0-3_Scorecard'!E32</f>
        <v/>
      </c>
      <c r="H318" s="18">
        <f>'P0-3_Scorecard'!H32</f>
        <v/>
      </c>
      <c r="I318" s="18">
        <f>IF(OR(D318="",E318=""),"INCOMPLETE",IF(AND(D318&gt;=70,E318&lt;60),"DEPENDENCY GAP",IF(AND(D318&gt;=70,G318&lt;F318),"REQUIRED MATURITY GAP","OK")))</f>
        <v/>
      </c>
      <c r="J318" s="18" t="inlineStr">
        <is>
          <t>Research-learning review</t>
        </is>
      </c>
    </row>
    <row r="319">
      <c r="A319" s="18" t="inlineStr">
        <is>
          <t>CD19</t>
        </is>
      </c>
      <c r="B319" s="18" t="inlineStr">
        <is>
          <t>D10-I03</t>
        </is>
      </c>
      <c r="C319" s="18" t="inlineStr">
        <is>
          <t>D03-I13</t>
        </is>
      </c>
      <c r="D319" s="18">
        <f>'P0-3_Scorecard'!L119</f>
        <v/>
      </c>
      <c r="E319" s="18">
        <f>'P0-3_Scorecard'!L38</f>
        <v/>
      </c>
      <c r="F319" s="18">
        <f>'P0-3_Scorecard'!M38</f>
        <v/>
      </c>
      <c r="G319" s="18">
        <f>'P0-3_Scorecard'!E38</f>
        <v/>
      </c>
      <c r="H319" s="18">
        <f>'P0-3_Scorecard'!H38</f>
        <v/>
      </c>
      <c r="I319" s="18">
        <f>IF(OR(D319="",E319=""),"INCOMPLETE",IF(AND(D319&gt;=70,E319&lt;60),"DEPENDENCY GAP",IF(AND(D319&gt;=70,G319&lt;F319),"REQUIRED MATURITY GAP","OK")))</f>
        <v/>
      </c>
      <c r="J319" s="18" t="inlineStr">
        <is>
          <t>Research-learning review</t>
        </is>
      </c>
    </row>
    <row r="320">
      <c r="A320" s="18" t="inlineStr">
        <is>
          <t>CD19</t>
        </is>
      </c>
      <c r="B320" s="18" t="inlineStr">
        <is>
          <t>D10-I03</t>
        </is>
      </c>
      <c r="C320" s="18" t="inlineStr">
        <is>
          <t>D03-I16</t>
        </is>
      </c>
      <c r="D320" s="18">
        <f>'P0-3_Scorecard'!L119</f>
        <v/>
      </c>
      <c r="E320" s="18">
        <f>'P0-3_Scorecard'!L41</f>
        <v/>
      </c>
      <c r="F320" s="18">
        <f>'P0-3_Scorecard'!M41</f>
        <v/>
      </c>
      <c r="G320" s="18">
        <f>'P0-3_Scorecard'!E41</f>
        <v/>
      </c>
      <c r="H320" s="18">
        <f>'P0-3_Scorecard'!H41</f>
        <v/>
      </c>
      <c r="I320" s="18">
        <f>IF(OR(D320="",E320=""),"INCOMPLETE",IF(AND(D320&gt;=70,E320&lt;60),"DEPENDENCY GAP",IF(AND(D320&gt;=70,G320&lt;F320),"REQUIRED MATURITY GAP","OK")))</f>
        <v/>
      </c>
      <c r="J320" s="18" t="inlineStr">
        <is>
          <t>Research-learning review</t>
        </is>
      </c>
    </row>
    <row r="321">
      <c r="A321" s="18" t="inlineStr">
        <is>
          <t>CD19</t>
        </is>
      </c>
      <c r="B321" s="18" t="inlineStr">
        <is>
          <t>D10-I08</t>
        </is>
      </c>
      <c r="C321" s="18" t="inlineStr">
        <is>
          <t>D03-I05</t>
        </is>
      </c>
      <c r="D321" s="18">
        <f>'P0-3_Scorecard'!L124</f>
        <v/>
      </c>
      <c r="E321" s="18">
        <f>'P0-3_Scorecard'!L30</f>
        <v/>
      </c>
      <c r="F321" s="18">
        <f>'P0-3_Scorecard'!M30</f>
        <v/>
      </c>
      <c r="G321" s="18">
        <f>'P0-3_Scorecard'!E30</f>
        <v/>
      </c>
      <c r="H321" s="18">
        <f>'P0-3_Scorecard'!H30</f>
        <v/>
      </c>
      <c r="I321" s="18">
        <f>IF(OR(D321="",E321=""),"INCOMPLETE",IF(AND(D321&gt;=70,E321&lt;60),"DEPENDENCY GAP",IF(AND(D321&gt;=70,G321&lt;F321),"REQUIRED MATURITY GAP","OK")))</f>
        <v/>
      </c>
      <c r="J321" s="18" t="inlineStr">
        <is>
          <t>Research-learning review</t>
        </is>
      </c>
    </row>
    <row r="322">
      <c r="A322" s="18" t="inlineStr">
        <is>
          <t>CD19</t>
        </is>
      </c>
      <c r="B322" s="18" t="inlineStr">
        <is>
          <t>D10-I08</t>
        </is>
      </c>
      <c r="C322" s="18" t="inlineStr">
        <is>
          <t>D03-I06</t>
        </is>
      </c>
      <c r="D322" s="18">
        <f>'P0-3_Scorecard'!L124</f>
        <v/>
      </c>
      <c r="E322" s="18">
        <f>'P0-3_Scorecard'!L31</f>
        <v/>
      </c>
      <c r="F322" s="18">
        <f>'P0-3_Scorecard'!M31</f>
        <v/>
      </c>
      <c r="G322" s="18">
        <f>'P0-3_Scorecard'!E31</f>
        <v/>
      </c>
      <c r="H322" s="18">
        <f>'P0-3_Scorecard'!H31</f>
        <v/>
      </c>
      <c r="I322" s="18">
        <f>IF(OR(D322="",E322=""),"INCOMPLETE",IF(AND(D322&gt;=70,E322&lt;60),"DEPENDENCY GAP",IF(AND(D322&gt;=70,G322&lt;F322),"REQUIRED MATURITY GAP","OK")))</f>
        <v/>
      </c>
      <c r="J322" s="18" t="inlineStr">
        <is>
          <t>Research-learning review</t>
        </is>
      </c>
    </row>
    <row r="323">
      <c r="A323" s="18" t="inlineStr">
        <is>
          <t>CD19</t>
        </is>
      </c>
      <c r="B323" s="18" t="inlineStr">
        <is>
          <t>D10-I08</t>
        </is>
      </c>
      <c r="C323" s="18" t="inlineStr">
        <is>
          <t>D03-I07</t>
        </is>
      </c>
      <c r="D323" s="18">
        <f>'P0-3_Scorecard'!L124</f>
        <v/>
      </c>
      <c r="E323" s="18">
        <f>'P0-3_Scorecard'!L32</f>
        <v/>
      </c>
      <c r="F323" s="18">
        <f>'P0-3_Scorecard'!M32</f>
        <v/>
      </c>
      <c r="G323" s="18">
        <f>'P0-3_Scorecard'!E32</f>
        <v/>
      </c>
      <c r="H323" s="18">
        <f>'P0-3_Scorecard'!H32</f>
        <v/>
      </c>
      <c r="I323" s="18">
        <f>IF(OR(D323="",E323=""),"INCOMPLETE",IF(AND(D323&gt;=70,E323&lt;60),"DEPENDENCY GAP",IF(AND(D323&gt;=70,G323&lt;F323),"REQUIRED MATURITY GAP","OK")))</f>
        <v/>
      </c>
      <c r="J323" s="18" t="inlineStr">
        <is>
          <t>Research-learning review</t>
        </is>
      </c>
    </row>
    <row r="324">
      <c r="A324" s="18" t="inlineStr">
        <is>
          <t>CD19</t>
        </is>
      </c>
      <c r="B324" s="18" t="inlineStr">
        <is>
          <t>D10-I08</t>
        </is>
      </c>
      <c r="C324" s="18" t="inlineStr">
        <is>
          <t>D03-I13</t>
        </is>
      </c>
      <c r="D324" s="18">
        <f>'P0-3_Scorecard'!L124</f>
        <v/>
      </c>
      <c r="E324" s="18">
        <f>'P0-3_Scorecard'!L38</f>
        <v/>
      </c>
      <c r="F324" s="18">
        <f>'P0-3_Scorecard'!M38</f>
        <v/>
      </c>
      <c r="G324" s="18">
        <f>'P0-3_Scorecard'!E38</f>
        <v/>
      </c>
      <c r="H324" s="18">
        <f>'P0-3_Scorecard'!H38</f>
        <v/>
      </c>
      <c r="I324" s="18">
        <f>IF(OR(D324="",E324=""),"INCOMPLETE",IF(AND(D324&gt;=70,E324&lt;60),"DEPENDENCY GAP",IF(AND(D324&gt;=70,G324&lt;F324),"REQUIRED MATURITY GAP","OK")))</f>
        <v/>
      </c>
      <c r="J324" s="18" t="inlineStr">
        <is>
          <t>Research-learning review</t>
        </is>
      </c>
    </row>
    <row r="325">
      <c r="A325" s="18" t="inlineStr">
        <is>
          <t>CD19</t>
        </is>
      </c>
      <c r="B325" s="18" t="inlineStr">
        <is>
          <t>D10-I08</t>
        </is>
      </c>
      <c r="C325" s="18" t="inlineStr">
        <is>
          <t>D03-I16</t>
        </is>
      </c>
      <c r="D325" s="18">
        <f>'P0-3_Scorecard'!L124</f>
        <v/>
      </c>
      <c r="E325" s="18">
        <f>'P0-3_Scorecard'!L41</f>
        <v/>
      </c>
      <c r="F325" s="18">
        <f>'P0-3_Scorecard'!M41</f>
        <v/>
      </c>
      <c r="G325" s="18">
        <f>'P0-3_Scorecard'!E41</f>
        <v/>
      </c>
      <c r="H325" s="18">
        <f>'P0-3_Scorecard'!H41</f>
        <v/>
      </c>
      <c r="I325" s="18">
        <f>IF(OR(D325="",E325=""),"INCOMPLETE",IF(AND(D325&gt;=70,E325&lt;60),"DEPENDENCY GAP",IF(AND(D325&gt;=70,G325&lt;F325),"REQUIRED MATURITY GAP","OK")))</f>
        <v/>
      </c>
      <c r="J325" s="18" t="inlineStr">
        <is>
          <t>Research-learning review</t>
        </is>
      </c>
    </row>
    <row r="326">
      <c r="A326" s="18" t="inlineStr">
        <is>
          <t>CD19</t>
        </is>
      </c>
      <c r="B326" s="18" t="inlineStr">
        <is>
          <t>D10-I14</t>
        </is>
      </c>
      <c r="C326" s="18" t="inlineStr">
        <is>
          <t>D03-I05</t>
        </is>
      </c>
      <c r="D326" s="18">
        <f>'P0-3_Scorecard'!L130</f>
        <v/>
      </c>
      <c r="E326" s="18">
        <f>'P0-3_Scorecard'!L30</f>
        <v/>
      </c>
      <c r="F326" s="18">
        <f>'P0-3_Scorecard'!M30</f>
        <v/>
      </c>
      <c r="G326" s="18">
        <f>'P0-3_Scorecard'!E30</f>
        <v/>
      </c>
      <c r="H326" s="18">
        <f>'P0-3_Scorecard'!H30</f>
        <v/>
      </c>
      <c r="I326" s="18">
        <f>IF(OR(D326="",E326=""),"INCOMPLETE",IF(AND(D326&gt;=70,E326&lt;60),"DEPENDENCY GAP",IF(AND(D326&gt;=70,G326&lt;F326),"REQUIRED MATURITY GAP","OK")))</f>
        <v/>
      </c>
      <c r="J326" s="18" t="inlineStr">
        <is>
          <t>Research-learning review</t>
        </is>
      </c>
    </row>
    <row r="327">
      <c r="A327" s="18" t="inlineStr">
        <is>
          <t>CD19</t>
        </is>
      </c>
      <c r="B327" s="18" t="inlineStr">
        <is>
          <t>D10-I14</t>
        </is>
      </c>
      <c r="C327" s="18" t="inlineStr">
        <is>
          <t>D03-I06</t>
        </is>
      </c>
      <c r="D327" s="18">
        <f>'P0-3_Scorecard'!L130</f>
        <v/>
      </c>
      <c r="E327" s="18">
        <f>'P0-3_Scorecard'!L31</f>
        <v/>
      </c>
      <c r="F327" s="18">
        <f>'P0-3_Scorecard'!M31</f>
        <v/>
      </c>
      <c r="G327" s="18">
        <f>'P0-3_Scorecard'!E31</f>
        <v/>
      </c>
      <c r="H327" s="18">
        <f>'P0-3_Scorecard'!H31</f>
        <v/>
      </c>
      <c r="I327" s="18">
        <f>IF(OR(D327="",E327=""),"INCOMPLETE",IF(AND(D327&gt;=70,E327&lt;60),"DEPENDENCY GAP",IF(AND(D327&gt;=70,G327&lt;F327),"REQUIRED MATURITY GAP","OK")))</f>
        <v/>
      </c>
      <c r="J327" s="18" t="inlineStr">
        <is>
          <t>Research-learning review</t>
        </is>
      </c>
    </row>
    <row r="328">
      <c r="A328" s="18" t="inlineStr">
        <is>
          <t>CD19</t>
        </is>
      </c>
      <c r="B328" s="18" t="inlineStr">
        <is>
          <t>D10-I14</t>
        </is>
      </c>
      <c r="C328" s="18" t="inlineStr">
        <is>
          <t>D03-I07</t>
        </is>
      </c>
      <c r="D328" s="18">
        <f>'P0-3_Scorecard'!L130</f>
        <v/>
      </c>
      <c r="E328" s="18">
        <f>'P0-3_Scorecard'!L32</f>
        <v/>
      </c>
      <c r="F328" s="18">
        <f>'P0-3_Scorecard'!M32</f>
        <v/>
      </c>
      <c r="G328" s="18">
        <f>'P0-3_Scorecard'!E32</f>
        <v/>
      </c>
      <c r="H328" s="18">
        <f>'P0-3_Scorecard'!H32</f>
        <v/>
      </c>
      <c r="I328" s="18">
        <f>IF(OR(D328="",E328=""),"INCOMPLETE",IF(AND(D328&gt;=70,E328&lt;60),"DEPENDENCY GAP",IF(AND(D328&gt;=70,G328&lt;F328),"REQUIRED MATURITY GAP","OK")))</f>
        <v/>
      </c>
      <c r="J328" s="18" t="inlineStr">
        <is>
          <t>Research-learning review</t>
        </is>
      </c>
    </row>
    <row r="329">
      <c r="A329" s="18" t="inlineStr">
        <is>
          <t>CD19</t>
        </is>
      </c>
      <c r="B329" s="18" t="inlineStr">
        <is>
          <t>D10-I14</t>
        </is>
      </c>
      <c r="C329" s="18" t="inlineStr">
        <is>
          <t>D03-I13</t>
        </is>
      </c>
      <c r="D329" s="18">
        <f>'P0-3_Scorecard'!L130</f>
        <v/>
      </c>
      <c r="E329" s="18">
        <f>'P0-3_Scorecard'!L38</f>
        <v/>
      </c>
      <c r="F329" s="18">
        <f>'P0-3_Scorecard'!M38</f>
        <v/>
      </c>
      <c r="G329" s="18">
        <f>'P0-3_Scorecard'!E38</f>
        <v/>
      </c>
      <c r="H329" s="18">
        <f>'P0-3_Scorecard'!H38</f>
        <v/>
      </c>
      <c r="I329" s="18">
        <f>IF(OR(D329="",E329=""),"INCOMPLETE",IF(AND(D329&gt;=70,E329&lt;60),"DEPENDENCY GAP",IF(AND(D329&gt;=70,G329&lt;F329),"REQUIRED MATURITY GAP","OK")))</f>
        <v/>
      </c>
      <c r="J329" s="18" t="inlineStr">
        <is>
          <t>Research-learning review</t>
        </is>
      </c>
    </row>
    <row r="330">
      <c r="A330" s="18" t="inlineStr">
        <is>
          <t>CD19</t>
        </is>
      </c>
      <c r="B330" s="18" t="inlineStr">
        <is>
          <t>D10-I14</t>
        </is>
      </c>
      <c r="C330" s="18" t="inlineStr">
        <is>
          <t>D03-I16</t>
        </is>
      </c>
      <c r="D330" s="18">
        <f>'P0-3_Scorecard'!L130</f>
        <v/>
      </c>
      <c r="E330" s="18">
        <f>'P0-3_Scorecard'!L41</f>
        <v/>
      </c>
      <c r="F330" s="18">
        <f>'P0-3_Scorecard'!M41</f>
        <v/>
      </c>
      <c r="G330" s="18">
        <f>'P0-3_Scorecard'!E41</f>
        <v/>
      </c>
      <c r="H330" s="18">
        <f>'P0-3_Scorecard'!H41</f>
        <v/>
      </c>
      <c r="I330" s="18">
        <f>IF(OR(D330="",E330=""),"INCOMPLETE",IF(AND(D330&gt;=70,E330&lt;60),"DEPENDENCY GAP",IF(AND(D330&gt;=70,G330&lt;F330),"REQUIRED MATURITY GAP","OK")))</f>
        <v/>
      </c>
      <c r="J330" s="18" t="inlineStr">
        <is>
          <t>Research-learning review</t>
        </is>
      </c>
    </row>
    <row r="331">
      <c r="A331" s="18" t="inlineStr">
        <is>
          <t>CD20</t>
        </is>
      </c>
      <c r="B331" s="18" t="inlineStr">
        <is>
          <t>D10-I08</t>
        </is>
      </c>
      <c r="C331" s="18" t="inlineStr">
        <is>
          <t>D09-I05</t>
        </is>
      </c>
      <c r="D331" s="18">
        <f>'P0-3_Scorecard'!L124</f>
        <v/>
      </c>
      <c r="E331" s="18">
        <f>'P0-3_Scorecard'!L109</f>
        <v/>
      </c>
      <c r="F331" s="18">
        <f>'P0-3_Scorecard'!M109</f>
        <v/>
      </c>
      <c r="G331" s="18">
        <f>'P0-3_Scorecard'!E109</f>
        <v/>
      </c>
      <c r="H331" s="18">
        <f>'P0-3_Scorecard'!H109</f>
        <v/>
      </c>
      <c r="I331" s="18">
        <f>IF(OR(D331="",E331=""),"INCOMPLETE",IF(AND(D331&gt;=70,E331&lt;60),"DEPENDENCY GAP",IF(AND(D331&gt;=70,G331&lt;F331),"REQUIRED MATURITY GAP","OK")))</f>
        <v/>
      </c>
      <c r="J331" s="18" t="inlineStr">
        <is>
          <t>Translation review</t>
        </is>
      </c>
    </row>
    <row r="332">
      <c r="A332" s="18" t="inlineStr">
        <is>
          <t>CD20</t>
        </is>
      </c>
      <c r="B332" s="18" t="inlineStr">
        <is>
          <t>D10-I08</t>
        </is>
      </c>
      <c r="C332" s="18" t="inlineStr">
        <is>
          <t>D09-I10</t>
        </is>
      </c>
      <c r="D332" s="18">
        <f>'P0-3_Scorecard'!L124</f>
        <v/>
      </c>
      <c r="E332" s="18">
        <f>'P0-3_Scorecard'!L114</f>
        <v/>
      </c>
      <c r="F332" s="18">
        <f>'P0-3_Scorecard'!M114</f>
        <v/>
      </c>
      <c r="G332" s="18">
        <f>'P0-3_Scorecard'!E114</f>
        <v/>
      </c>
      <c r="H332" s="18">
        <f>'P0-3_Scorecard'!H114</f>
        <v/>
      </c>
      <c r="I332" s="18">
        <f>IF(OR(D332="",E332=""),"INCOMPLETE",IF(AND(D332&gt;=70,E332&lt;60),"DEPENDENCY GAP",IF(AND(D332&gt;=70,G332&lt;F332),"REQUIRED MATURITY GAP","OK")))</f>
        <v/>
      </c>
      <c r="J332" s="18" t="inlineStr">
        <is>
          <t>Translation review</t>
        </is>
      </c>
    </row>
    <row r="333">
      <c r="A333" s="18" t="inlineStr">
        <is>
          <t>CD20</t>
        </is>
      </c>
      <c r="B333" s="18" t="inlineStr">
        <is>
          <t>D10-I08</t>
        </is>
      </c>
      <c r="C333" s="18" t="inlineStr">
        <is>
          <t>D09-I11</t>
        </is>
      </c>
      <c r="D333" s="18">
        <f>'P0-3_Scorecard'!L124</f>
        <v/>
      </c>
      <c r="E333" s="18">
        <f>'P0-3_Scorecard'!L115</f>
        <v/>
      </c>
      <c r="F333" s="18">
        <f>'P0-3_Scorecard'!M115</f>
        <v/>
      </c>
      <c r="G333" s="18">
        <f>'P0-3_Scorecard'!E115</f>
        <v/>
      </c>
      <c r="H333" s="18">
        <f>'P0-3_Scorecard'!H115</f>
        <v/>
      </c>
      <c r="I333" s="18">
        <f>IF(OR(D333="",E333=""),"INCOMPLETE",IF(AND(D333&gt;=70,E333&lt;60),"DEPENDENCY GAP",IF(AND(D333&gt;=70,G333&lt;F333),"REQUIRED MATURITY GAP","OK")))</f>
        <v/>
      </c>
      <c r="J333" s="18" t="inlineStr">
        <is>
          <t>Translation review</t>
        </is>
      </c>
    </row>
    <row r="334">
      <c r="A334" s="18" t="inlineStr">
        <is>
          <t>CD20</t>
        </is>
      </c>
      <c r="B334" s="18" t="inlineStr">
        <is>
          <t>D10-I08</t>
        </is>
      </c>
      <c r="C334" s="18" t="inlineStr">
        <is>
          <t>D09-I12</t>
        </is>
      </c>
      <c r="D334" s="18">
        <f>'P0-3_Scorecard'!L124</f>
        <v/>
      </c>
      <c r="E334" s="18">
        <f>'P0-3_Scorecard'!L116</f>
        <v/>
      </c>
      <c r="F334" s="18">
        <f>'P0-3_Scorecard'!M116</f>
        <v/>
      </c>
      <c r="G334" s="18">
        <f>'P0-3_Scorecard'!E116</f>
        <v/>
      </c>
      <c r="H334" s="18">
        <f>'P0-3_Scorecard'!H116</f>
        <v/>
      </c>
      <c r="I334" s="18">
        <f>IF(OR(D334="",E334=""),"INCOMPLETE",IF(AND(D334&gt;=70,E334&lt;60),"DEPENDENCY GAP",IF(AND(D334&gt;=70,G334&lt;F334),"REQUIRED MATURITY GAP","OK")))</f>
        <v/>
      </c>
      <c r="J334" s="18" t="inlineStr">
        <is>
          <t>Translation review</t>
        </is>
      </c>
    </row>
    <row r="335">
      <c r="A335" s="18" t="inlineStr">
        <is>
          <t>CD20</t>
        </is>
      </c>
      <c r="B335" s="18" t="inlineStr">
        <is>
          <t>D10-I09</t>
        </is>
      </c>
      <c r="C335" s="18" t="inlineStr">
        <is>
          <t>D09-I05</t>
        </is>
      </c>
      <c r="D335" s="18">
        <f>'P0-3_Scorecard'!L125</f>
        <v/>
      </c>
      <c r="E335" s="18">
        <f>'P0-3_Scorecard'!L109</f>
        <v/>
      </c>
      <c r="F335" s="18">
        <f>'P0-3_Scorecard'!M109</f>
        <v/>
      </c>
      <c r="G335" s="18">
        <f>'P0-3_Scorecard'!E109</f>
        <v/>
      </c>
      <c r="H335" s="18">
        <f>'P0-3_Scorecard'!H109</f>
        <v/>
      </c>
      <c r="I335" s="18">
        <f>IF(OR(D335="",E335=""),"INCOMPLETE",IF(AND(D335&gt;=70,E335&lt;60),"DEPENDENCY GAP",IF(AND(D335&gt;=70,G335&lt;F335),"REQUIRED MATURITY GAP","OK")))</f>
        <v/>
      </c>
      <c r="J335" s="18" t="inlineStr">
        <is>
          <t>Translation review</t>
        </is>
      </c>
    </row>
    <row r="336">
      <c r="A336" s="18" t="inlineStr">
        <is>
          <t>CD20</t>
        </is>
      </c>
      <c r="B336" s="18" t="inlineStr">
        <is>
          <t>D10-I09</t>
        </is>
      </c>
      <c r="C336" s="18" t="inlineStr">
        <is>
          <t>D09-I10</t>
        </is>
      </c>
      <c r="D336" s="18">
        <f>'P0-3_Scorecard'!L125</f>
        <v/>
      </c>
      <c r="E336" s="18">
        <f>'P0-3_Scorecard'!L114</f>
        <v/>
      </c>
      <c r="F336" s="18">
        <f>'P0-3_Scorecard'!M114</f>
        <v/>
      </c>
      <c r="G336" s="18">
        <f>'P0-3_Scorecard'!E114</f>
        <v/>
      </c>
      <c r="H336" s="18">
        <f>'P0-3_Scorecard'!H114</f>
        <v/>
      </c>
      <c r="I336" s="18">
        <f>IF(OR(D336="",E336=""),"INCOMPLETE",IF(AND(D336&gt;=70,E336&lt;60),"DEPENDENCY GAP",IF(AND(D336&gt;=70,G336&lt;F336),"REQUIRED MATURITY GAP","OK")))</f>
        <v/>
      </c>
      <c r="J336" s="18" t="inlineStr">
        <is>
          <t>Translation review</t>
        </is>
      </c>
    </row>
    <row r="337">
      <c r="A337" s="18" t="inlineStr">
        <is>
          <t>CD20</t>
        </is>
      </c>
      <c r="B337" s="18" t="inlineStr">
        <is>
          <t>D10-I09</t>
        </is>
      </c>
      <c r="C337" s="18" t="inlineStr">
        <is>
          <t>D09-I11</t>
        </is>
      </c>
      <c r="D337" s="18">
        <f>'P0-3_Scorecard'!L125</f>
        <v/>
      </c>
      <c r="E337" s="18">
        <f>'P0-3_Scorecard'!L115</f>
        <v/>
      </c>
      <c r="F337" s="18">
        <f>'P0-3_Scorecard'!M115</f>
        <v/>
      </c>
      <c r="G337" s="18">
        <f>'P0-3_Scorecard'!E115</f>
        <v/>
      </c>
      <c r="H337" s="18">
        <f>'P0-3_Scorecard'!H115</f>
        <v/>
      </c>
      <c r="I337" s="18">
        <f>IF(OR(D337="",E337=""),"INCOMPLETE",IF(AND(D337&gt;=70,E337&lt;60),"DEPENDENCY GAP",IF(AND(D337&gt;=70,G337&lt;F337),"REQUIRED MATURITY GAP","OK")))</f>
        <v/>
      </c>
      <c r="J337" s="18" t="inlineStr">
        <is>
          <t>Translation review</t>
        </is>
      </c>
    </row>
    <row r="338">
      <c r="A338" s="18" t="inlineStr">
        <is>
          <t>CD20</t>
        </is>
      </c>
      <c r="B338" s="18" t="inlineStr">
        <is>
          <t>D10-I09</t>
        </is>
      </c>
      <c r="C338" s="18" t="inlineStr">
        <is>
          <t>D09-I12</t>
        </is>
      </c>
      <c r="D338" s="18">
        <f>'P0-3_Scorecard'!L125</f>
        <v/>
      </c>
      <c r="E338" s="18">
        <f>'P0-3_Scorecard'!L116</f>
        <v/>
      </c>
      <c r="F338" s="18">
        <f>'P0-3_Scorecard'!M116</f>
        <v/>
      </c>
      <c r="G338" s="18">
        <f>'P0-3_Scorecard'!E116</f>
        <v/>
      </c>
      <c r="H338" s="18">
        <f>'P0-3_Scorecard'!H116</f>
        <v/>
      </c>
      <c r="I338" s="18">
        <f>IF(OR(D338="",E338=""),"INCOMPLETE",IF(AND(D338&gt;=70,E338&lt;60),"DEPENDENCY GAP",IF(AND(D338&gt;=70,G338&lt;F338),"REQUIRED MATURITY GAP","OK")))</f>
        <v/>
      </c>
      <c r="J338" s="18" t="inlineStr">
        <is>
          <t>Translation review</t>
        </is>
      </c>
    </row>
    <row r="339">
      <c r="A339" s="18" t="inlineStr">
        <is>
          <t>CD20</t>
        </is>
      </c>
      <c r="B339" s="18" t="inlineStr">
        <is>
          <t>D10-I10</t>
        </is>
      </c>
      <c r="C339" s="18" t="inlineStr">
        <is>
          <t>D09-I05</t>
        </is>
      </c>
      <c r="D339" s="18">
        <f>'P0-3_Scorecard'!L126</f>
        <v/>
      </c>
      <c r="E339" s="18">
        <f>'P0-3_Scorecard'!L109</f>
        <v/>
      </c>
      <c r="F339" s="18">
        <f>'P0-3_Scorecard'!M109</f>
        <v/>
      </c>
      <c r="G339" s="18">
        <f>'P0-3_Scorecard'!E109</f>
        <v/>
      </c>
      <c r="H339" s="18">
        <f>'P0-3_Scorecard'!H109</f>
        <v/>
      </c>
      <c r="I339" s="18">
        <f>IF(OR(D339="",E339=""),"INCOMPLETE",IF(AND(D339&gt;=70,E339&lt;60),"DEPENDENCY GAP",IF(AND(D339&gt;=70,G339&lt;F339),"REQUIRED MATURITY GAP","OK")))</f>
        <v/>
      </c>
      <c r="J339" s="18" t="inlineStr">
        <is>
          <t>Translation review</t>
        </is>
      </c>
    </row>
    <row r="340">
      <c r="A340" s="18" t="inlineStr">
        <is>
          <t>CD20</t>
        </is>
      </c>
      <c r="B340" s="18" t="inlineStr">
        <is>
          <t>D10-I10</t>
        </is>
      </c>
      <c r="C340" s="18" t="inlineStr">
        <is>
          <t>D09-I10</t>
        </is>
      </c>
      <c r="D340" s="18">
        <f>'P0-3_Scorecard'!L126</f>
        <v/>
      </c>
      <c r="E340" s="18">
        <f>'P0-3_Scorecard'!L114</f>
        <v/>
      </c>
      <c r="F340" s="18">
        <f>'P0-3_Scorecard'!M114</f>
        <v/>
      </c>
      <c r="G340" s="18">
        <f>'P0-3_Scorecard'!E114</f>
        <v/>
      </c>
      <c r="H340" s="18">
        <f>'P0-3_Scorecard'!H114</f>
        <v/>
      </c>
      <c r="I340" s="18">
        <f>IF(OR(D340="",E340=""),"INCOMPLETE",IF(AND(D340&gt;=70,E340&lt;60),"DEPENDENCY GAP",IF(AND(D340&gt;=70,G340&lt;F340),"REQUIRED MATURITY GAP","OK")))</f>
        <v/>
      </c>
      <c r="J340" s="18" t="inlineStr">
        <is>
          <t>Translation review</t>
        </is>
      </c>
    </row>
    <row r="341">
      <c r="A341" s="18" t="inlineStr">
        <is>
          <t>CD20</t>
        </is>
      </c>
      <c r="B341" s="18" t="inlineStr">
        <is>
          <t>D10-I10</t>
        </is>
      </c>
      <c r="C341" s="18" t="inlineStr">
        <is>
          <t>D09-I11</t>
        </is>
      </c>
      <c r="D341" s="18">
        <f>'P0-3_Scorecard'!L126</f>
        <v/>
      </c>
      <c r="E341" s="18">
        <f>'P0-3_Scorecard'!L115</f>
        <v/>
      </c>
      <c r="F341" s="18">
        <f>'P0-3_Scorecard'!M115</f>
        <v/>
      </c>
      <c r="G341" s="18">
        <f>'P0-3_Scorecard'!E115</f>
        <v/>
      </c>
      <c r="H341" s="18">
        <f>'P0-3_Scorecard'!H115</f>
        <v/>
      </c>
      <c r="I341" s="18">
        <f>IF(OR(D341="",E341=""),"INCOMPLETE",IF(AND(D341&gt;=70,E341&lt;60),"DEPENDENCY GAP",IF(AND(D341&gt;=70,G341&lt;F341),"REQUIRED MATURITY GAP","OK")))</f>
        <v/>
      </c>
      <c r="J341" s="18" t="inlineStr">
        <is>
          <t>Translation review</t>
        </is>
      </c>
    </row>
    <row r="342">
      <c r="A342" s="18" t="inlineStr">
        <is>
          <t>CD20</t>
        </is>
      </c>
      <c r="B342" s="18" t="inlineStr">
        <is>
          <t>D10-I10</t>
        </is>
      </c>
      <c r="C342" s="18" t="inlineStr">
        <is>
          <t>D09-I12</t>
        </is>
      </c>
      <c r="D342" s="18">
        <f>'P0-3_Scorecard'!L126</f>
        <v/>
      </c>
      <c r="E342" s="18">
        <f>'P0-3_Scorecard'!L116</f>
        <v/>
      </c>
      <c r="F342" s="18">
        <f>'P0-3_Scorecard'!M116</f>
        <v/>
      </c>
      <c r="G342" s="18">
        <f>'P0-3_Scorecard'!E116</f>
        <v/>
      </c>
      <c r="H342" s="18">
        <f>'P0-3_Scorecard'!H116</f>
        <v/>
      </c>
      <c r="I342" s="18">
        <f>IF(OR(D342="",E342=""),"INCOMPLETE",IF(AND(D342&gt;=70,E342&lt;60),"DEPENDENCY GAP",IF(AND(D342&gt;=70,G342&lt;F342),"REQUIRED MATURITY GAP","OK")))</f>
        <v/>
      </c>
      <c r="J342" s="18" t="inlineStr">
        <is>
          <t>Translation review</t>
        </is>
      </c>
    </row>
    <row r="343">
      <c r="A343" s="18" t="inlineStr">
        <is>
          <t>CD20</t>
        </is>
      </c>
      <c r="B343" s="18" t="inlineStr">
        <is>
          <t>D10-I13</t>
        </is>
      </c>
      <c r="C343" s="18" t="inlineStr">
        <is>
          <t>D09-I05</t>
        </is>
      </c>
      <c r="D343" s="18">
        <f>'P0-3_Scorecard'!L129</f>
        <v/>
      </c>
      <c r="E343" s="18">
        <f>'P0-3_Scorecard'!L109</f>
        <v/>
      </c>
      <c r="F343" s="18">
        <f>'P0-3_Scorecard'!M109</f>
        <v/>
      </c>
      <c r="G343" s="18">
        <f>'P0-3_Scorecard'!E109</f>
        <v/>
      </c>
      <c r="H343" s="18">
        <f>'P0-3_Scorecard'!H109</f>
        <v/>
      </c>
      <c r="I343" s="18">
        <f>IF(OR(D343="",E343=""),"INCOMPLETE",IF(AND(D343&gt;=70,E343&lt;60),"DEPENDENCY GAP",IF(AND(D343&gt;=70,G343&lt;F343),"REQUIRED MATURITY GAP","OK")))</f>
        <v/>
      </c>
      <c r="J343" s="18" t="inlineStr">
        <is>
          <t>Translation review</t>
        </is>
      </c>
    </row>
    <row r="344">
      <c r="A344" s="18" t="inlineStr">
        <is>
          <t>CD20</t>
        </is>
      </c>
      <c r="B344" s="18" t="inlineStr">
        <is>
          <t>D10-I13</t>
        </is>
      </c>
      <c r="C344" s="18" t="inlineStr">
        <is>
          <t>D09-I10</t>
        </is>
      </c>
      <c r="D344" s="18">
        <f>'P0-3_Scorecard'!L129</f>
        <v/>
      </c>
      <c r="E344" s="18">
        <f>'P0-3_Scorecard'!L114</f>
        <v/>
      </c>
      <c r="F344" s="18">
        <f>'P0-3_Scorecard'!M114</f>
        <v/>
      </c>
      <c r="G344" s="18">
        <f>'P0-3_Scorecard'!E114</f>
        <v/>
      </c>
      <c r="H344" s="18">
        <f>'P0-3_Scorecard'!H114</f>
        <v/>
      </c>
      <c r="I344" s="18">
        <f>IF(OR(D344="",E344=""),"INCOMPLETE",IF(AND(D344&gt;=70,E344&lt;60),"DEPENDENCY GAP",IF(AND(D344&gt;=70,G344&lt;F344),"REQUIRED MATURITY GAP","OK")))</f>
        <v/>
      </c>
      <c r="J344" s="18" t="inlineStr">
        <is>
          <t>Translation review</t>
        </is>
      </c>
    </row>
    <row r="345">
      <c r="A345" s="18" t="inlineStr">
        <is>
          <t>CD20</t>
        </is>
      </c>
      <c r="B345" s="18" t="inlineStr">
        <is>
          <t>D10-I13</t>
        </is>
      </c>
      <c r="C345" s="18" t="inlineStr">
        <is>
          <t>D09-I11</t>
        </is>
      </c>
      <c r="D345" s="18">
        <f>'P0-3_Scorecard'!L129</f>
        <v/>
      </c>
      <c r="E345" s="18">
        <f>'P0-3_Scorecard'!L115</f>
        <v/>
      </c>
      <c r="F345" s="18">
        <f>'P0-3_Scorecard'!M115</f>
        <v/>
      </c>
      <c r="G345" s="18">
        <f>'P0-3_Scorecard'!E115</f>
        <v/>
      </c>
      <c r="H345" s="18">
        <f>'P0-3_Scorecard'!H115</f>
        <v/>
      </c>
      <c r="I345" s="18">
        <f>IF(OR(D345="",E345=""),"INCOMPLETE",IF(AND(D345&gt;=70,E345&lt;60),"DEPENDENCY GAP",IF(AND(D345&gt;=70,G345&lt;F345),"REQUIRED MATURITY GAP","OK")))</f>
        <v/>
      </c>
      <c r="J345" s="18" t="inlineStr">
        <is>
          <t>Translation review</t>
        </is>
      </c>
    </row>
    <row r="346">
      <c r="A346" s="18" t="inlineStr">
        <is>
          <t>CD20</t>
        </is>
      </c>
      <c r="B346" s="18" t="inlineStr">
        <is>
          <t>D10-I13</t>
        </is>
      </c>
      <c r="C346" s="18" t="inlineStr">
        <is>
          <t>D09-I12</t>
        </is>
      </c>
      <c r="D346" s="18">
        <f>'P0-3_Scorecard'!L129</f>
        <v/>
      </c>
      <c r="E346" s="18">
        <f>'P0-3_Scorecard'!L116</f>
        <v/>
      </c>
      <c r="F346" s="18">
        <f>'P0-3_Scorecard'!M116</f>
        <v/>
      </c>
      <c r="G346" s="18">
        <f>'P0-3_Scorecard'!E116</f>
        <v/>
      </c>
      <c r="H346" s="18">
        <f>'P0-3_Scorecard'!H116</f>
        <v/>
      </c>
      <c r="I346" s="18">
        <f>IF(OR(D346="",E346=""),"INCOMPLETE",IF(AND(D346&gt;=70,E346&lt;60),"DEPENDENCY GAP",IF(AND(D346&gt;=70,G346&lt;F346),"REQUIRED MATURITY GAP","OK")))</f>
        <v/>
      </c>
      <c r="J346" s="18" t="inlineStr">
        <is>
          <t>Translation review</t>
        </is>
      </c>
    </row>
    <row r="347">
      <c r="A347" s="18" t="inlineStr">
        <is>
          <t>CD21</t>
        </is>
      </c>
      <c r="B347" s="18" t="inlineStr">
        <is>
          <t>D10-I01</t>
        </is>
      </c>
      <c r="C347" s="18" t="inlineStr">
        <is>
          <t>D11-I01</t>
        </is>
      </c>
      <c r="D347" s="18">
        <f>'P0-3_Scorecard'!L117</f>
        <v/>
      </c>
      <c r="E347" s="18">
        <f>'P0-3_Scorecard'!L131</f>
        <v/>
      </c>
      <c r="F347" s="18">
        <f>'P0-3_Scorecard'!M131</f>
        <v/>
      </c>
      <c r="G347" s="18">
        <f>'P0-3_Scorecard'!E131</f>
        <v/>
      </c>
      <c r="H347" s="18">
        <f>'P0-3_Scorecard'!H131</f>
        <v/>
      </c>
      <c r="I347" s="18">
        <f>IF(OR(D347="",E347=""),"INCOMPLETE",IF(AND(D347&gt;=70,E347&lt;60),"DEPENDENCY GAP",IF(AND(D347&gt;=70,G347&lt;F347),"REQUIRED MATURITY GAP","OK")))</f>
        <v/>
      </c>
      <c r="J347" s="18" t="inlineStr">
        <is>
          <t>Institutional learning review</t>
        </is>
      </c>
    </row>
    <row r="348">
      <c r="A348" s="18" t="inlineStr">
        <is>
          <t>CD21</t>
        </is>
      </c>
      <c r="B348" s="18" t="inlineStr">
        <is>
          <t>D10-I01</t>
        </is>
      </c>
      <c r="C348" s="18" t="inlineStr">
        <is>
          <t>D11-I06</t>
        </is>
      </c>
      <c r="D348" s="18">
        <f>'P0-3_Scorecard'!L117</f>
        <v/>
      </c>
      <c r="E348" s="18">
        <f>'P0-3_Scorecard'!L136</f>
        <v/>
      </c>
      <c r="F348" s="18">
        <f>'P0-3_Scorecard'!M136</f>
        <v/>
      </c>
      <c r="G348" s="18">
        <f>'P0-3_Scorecard'!E136</f>
        <v/>
      </c>
      <c r="H348" s="18">
        <f>'P0-3_Scorecard'!H136</f>
        <v/>
      </c>
      <c r="I348" s="18">
        <f>IF(OR(D348="",E348=""),"INCOMPLETE",IF(AND(D348&gt;=70,E348&lt;60),"DEPENDENCY GAP",IF(AND(D348&gt;=70,G348&lt;F348),"REQUIRED MATURITY GAP","OK")))</f>
        <v/>
      </c>
      <c r="J348" s="18" t="inlineStr">
        <is>
          <t>Institutional learning review</t>
        </is>
      </c>
    </row>
    <row r="349">
      <c r="A349" s="18" t="inlineStr">
        <is>
          <t>CD21</t>
        </is>
      </c>
      <c r="B349" s="18" t="inlineStr">
        <is>
          <t>D10-I01</t>
        </is>
      </c>
      <c r="C349" s="18" t="inlineStr">
        <is>
          <t>D11-I13</t>
        </is>
      </c>
      <c r="D349" s="18">
        <f>'P0-3_Scorecard'!L117</f>
        <v/>
      </c>
      <c r="E349" s="18">
        <f>'P0-3_Scorecard'!L143</f>
        <v/>
      </c>
      <c r="F349" s="18">
        <f>'P0-3_Scorecard'!M143</f>
        <v/>
      </c>
      <c r="G349" s="18">
        <f>'P0-3_Scorecard'!E143</f>
        <v/>
      </c>
      <c r="H349" s="18">
        <f>'P0-3_Scorecard'!H143</f>
        <v/>
      </c>
      <c r="I349" s="18">
        <f>IF(OR(D349="",E349=""),"INCOMPLETE",IF(AND(D349&gt;=70,E349&lt;60),"DEPENDENCY GAP",IF(AND(D349&gt;=70,G349&lt;F349),"REQUIRED MATURITY GAP","OK")))</f>
        <v/>
      </c>
      <c r="J349" s="18" t="inlineStr">
        <is>
          <t>Institutional learning review</t>
        </is>
      </c>
    </row>
    <row r="350">
      <c r="A350" s="18" t="inlineStr">
        <is>
          <t>CD21</t>
        </is>
      </c>
      <c r="B350" s="18" t="inlineStr">
        <is>
          <t>D10-I01</t>
        </is>
      </c>
      <c r="C350" s="18" t="inlineStr">
        <is>
          <t>D11-I14</t>
        </is>
      </c>
      <c r="D350" s="18">
        <f>'P0-3_Scorecard'!L117</f>
        <v/>
      </c>
      <c r="E350" s="18">
        <f>'P0-3_Scorecard'!L144</f>
        <v/>
      </c>
      <c r="F350" s="18">
        <f>'P0-3_Scorecard'!M144</f>
        <v/>
      </c>
      <c r="G350" s="18">
        <f>'P0-3_Scorecard'!E144</f>
        <v/>
      </c>
      <c r="H350" s="18">
        <f>'P0-3_Scorecard'!H144</f>
        <v/>
      </c>
      <c r="I350" s="18">
        <f>IF(OR(D350="",E350=""),"INCOMPLETE",IF(AND(D350&gt;=70,E350&lt;60),"DEPENDENCY GAP",IF(AND(D350&gt;=70,G350&lt;F350),"REQUIRED MATURITY GAP","OK")))</f>
        <v/>
      </c>
      <c r="J350" s="18" t="inlineStr">
        <is>
          <t>Institutional learning review</t>
        </is>
      </c>
    </row>
    <row r="351">
      <c r="A351" s="18" t="inlineStr">
        <is>
          <t>CD21</t>
        </is>
      </c>
      <c r="B351" s="18" t="inlineStr">
        <is>
          <t>D10-I02</t>
        </is>
      </c>
      <c r="C351" s="18" t="inlineStr">
        <is>
          <t>D11-I01</t>
        </is>
      </c>
      <c r="D351" s="18">
        <f>'P0-3_Scorecard'!L118</f>
        <v/>
      </c>
      <c r="E351" s="18">
        <f>'P0-3_Scorecard'!L131</f>
        <v/>
      </c>
      <c r="F351" s="18">
        <f>'P0-3_Scorecard'!M131</f>
        <v/>
      </c>
      <c r="G351" s="18">
        <f>'P0-3_Scorecard'!E131</f>
        <v/>
      </c>
      <c r="H351" s="18">
        <f>'P0-3_Scorecard'!H131</f>
        <v/>
      </c>
      <c r="I351" s="18">
        <f>IF(OR(D351="",E351=""),"INCOMPLETE",IF(AND(D351&gt;=70,E351&lt;60),"DEPENDENCY GAP",IF(AND(D351&gt;=70,G351&lt;F351),"REQUIRED MATURITY GAP","OK")))</f>
        <v/>
      </c>
      <c r="J351" s="18" t="inlineStr">
        <is>
          <t>Institutional learning review</t>
        </is>
      </c>
    </row>
    <row r="352">
      <c r="A352" s="18" t="inlineStr">
        <is>
          <t>CD21</t>
        </is>
      </c>
      <c r="B352" s="18" t="inlineStr">
        <is>
          <t>D10-I02</t>
        </is>
      </c>
      <c r="C352" s="18" t="inlineStr">
        <is>
          <t>D11-I06</t>
        </is>
      </c>
      <c r="D352" s="18">
        <f>'P0-3_Scorecard'!L118</f>
        <v/>
      </c>
      <c r="E352" s="18">
        <f>'P0-3_Scorecard'!L136</f>
        <v/>
      </c>
      <c r="F352" s="18">
        <f>'P0-3_Scorecard'!M136</f>
        <v/>
      </c>
      <c r="G352" s="18">
        <f>'P0-3_Scorecard'!E136</f>
        <v/>
      </c>
      <c r="H352" s="18">
        <f>'P0-3_Scorecard'!H136</f>
        <v/>
      </c>
      <c r="I352" s="18">
        <f>IF(OR(D352="",E352=""),"INCOMPLETE",IF(AND(D352&gt;=70,E352&lt;60),"DEPENDENCY GAP",IF(AND(D352&gt;=70,G352&lt;F352),"REQUIRED MATURITY GAP","OK")))</f>
        <v/>
      </c>
      <c r="J352" s="18" t="inlineStr">
        <is>
          <t>Institutional learning review</t>
        </is>
      </c>
    </row>
    <row r="353">
      <c r="A353" s="18" t="inlineStr">
        <is>
          <t>CD21</t>
        </is>
      </c>
      <c r="B353" s="18" t="inlineStr">
        <is>
          <t>D10-I02</t>
        </is>
      </c>
      <c r="C353" s="18" t="inlineStr">
        <is>
          <t>D11-I13</t>
        </is>
      </c>
      <c r="D353" s="18">
        <f>'P0-3_Scorecard'!L118</f>
        <v/>
      </c>
      <c r="E353" s="18">
        <f>'P0-3_Scorecard'!L143</f>
        <v/>
      </c>
      <c r="F353" s="18">
        <f>'P0-3_Scorecard'!M143</f>
        <v/>
      </c>
      <c r="G353" s="18">
        <f>'P0-3_Scorecard'!E143</f>
        <v/>
      </c>
      <c r="H353" s="18">
        <f>'P0-3_Scorecard'!H143</f>
        <v/>
      </c>
      <c r="I353" s="18">
        <f>IF(OR(D353="",E353=""),"INCOMPLETE",IF(AND(D353&gt;=70,E353&lt;60),"DEPENDENCY GAP",IF(AND(D353&gt;=70,G353&lt;F353),"REQUIRED MATURITY GAP","OK")))</f>
        <v/>
      </c>
      <c r="J353" s="18" t="inlineStr">
        <is>
          <t>Institutional learning review</t>
        </is>
      </c>
    </row>
    <row r="354">
      <c r="A354" s="18" t="inlineStr">
        <is>
          <t>CD21</t>
        </is>
      </c>
      <c r="B354" s="18" t="inlineStr">
        <is>
          <t>D10-I02</t>
        </is>
      </c>
      <c r="C354" s="18" t="inlineStr">
        <is>
          <t>D11-I14</t>
        </is>
      </c>
      <c r="D354" s="18">
        <f>'P0-3_Scorecard'!L118</f>
        <v/>
      </c>
      <c r="E354" s="18">
        <f>'P0-3_Scorecard'!L144</f>
        <v/>
      </c>
      <c r="F354" s="18">
        <f>'P0-3_Scorecard'!M144</f>
        <v/>
      </c>
      <c r="G354" s="18">
        <f>'P0-3_Scorecard'!E144</f>
        <v/>
      </c>
      <c r="H354" s="18">
        <f>'P0-3_Scorecard'!H144</f>
        <v/>
      </c>
      <c r="I354" s="18">
        <f>IF(OR(D354="",E354=""),"INCOMPLETE",IF(AND(D354&gt;=70,E354&lt;60),"DEPENDENCY GAP",IF(AND(D354&gt;=70,G354&lt;F354),"REQUIRED MATURITY GAP","OK")))</f>
        <v/>
      </c>
      <c r="J354" s="18" t="inlineStr">
        <is>
          <t>Institutional learning review</t>
        </is>
      </c>
    </row>
    <row r="355">
      <c r="A355" s="18" t="inlineStr">
        <is>
          <t>CD21</t>
        </is>
      </c>
      <c r="B355" s="18" t="inlineStr">
        <is>
          <t>D10-I13</t>
        </is>
      </c>
      <c r="C355" s="18" t="inlineStr">
        <is>
          <t>D11-I01</t>
        </is>
      </c>
      <c r="D355" s="18">
        <f>'P0-3_Scorecard'!L129</f>
        <v/>
      </c>
      <c r="E355" s="18">
        <f>'P0-3_Scorecard'!L131</f>
        <v/>
      </c>
      <c r="F355" s="18">
        <f>'P0-3_Scorecard'!M131</f>
        <v/>
      </c>
      <c r="G355" s="18">
        <f>'P0-3_Scorecard'!E131</f>
        <v/>
      </c>
      <c r="H355" s="18">
        <f>'P0-3_Scorecard'!H131</f>
        <v/>
      </c>
      <c r="I355" s="18">
        <f>IF(OR(D355="",E355=""),"INCOMPLETE",IF(AND(D355&gt;=70,E355&lt;60),"DEPENDENCY GAP",IF(AND(D355&gt;=70,G355&lt;F355),"REQUIRED MATURITY GAP","OK")))</f>
        <v/>
      </c>
      <c r="J355" s="18" t="inlineStr">
        <is>
          <t>Institutional learning review</t>
        </is>
      </c>
    </row>
    <row r="356">
      <c r="A356" s="18" t="inlineStr">
        <is>
          <t>CD21</t>
        </is>
      </c>
      <c r="B356" s="18" t="inlineStr">
        <is>
          <t>D10-I13</t>
        </is>
      </c>
      <c r="C356" s="18" t="inlineStr">
        <is>
          <t>D11-I06</t>
        </is>
      </c>
      <c r="D356" s="18">
        <f>'P0-3_Scorecard'!L129</f>
        <v/>
      </c>
      <c r="E356" s="18">
        <f>'P0-3_Scorecard'!L136</f>
        <v/>
      </c>
      <c r="F356" s="18">
        <f>'P0-3_Scorecard'!M136</f>
        <v/>
      </c>
      <c r="G356" s="18">
        <f>'P0-3_Scorecard'!E136</f>
        <v/>
      </c>
      <c r="H356" s="18">
        <f>'P0-3_Scorecard'!H136</f>
        <v/>
      </c>
      <c r="I356" s="18">
        <f>IF(OR(D356="",E356=""),"INCOMPLETE",IF(AND(D356&gt;=70,E356&lt;60),"DEPENDENCY GAP",IF(AND(D356&gt;=70,G356&lt;F356),"REQUIRED MATURITY GAP","OK")))</f>
        <v/>
      </c>
      <c r="J356" s="18" t="inlineStr">
        <is>
          <t>Institutional learning review</t>
        </is>
      </c>
    </row>
    <row r="357">
      <c r="A357" s="18" t="inlineStr">
        <is>
          <t>CD21</t>
        </is>
      </c>
      <c r="B357" s="18" t="inlineStr">
        <is>
          <t>D10-I13</t>
        </is>
      </c>
      <c r="C357" s="18" t="inlineStr">
        <is>
          <t>D11-I13</t>
        </is>
      </c>
      <c r="D357" s="18">
        <f>'P0-3_Scorecard'!L129</f>
        <v/>
      </c>
      <c r="E357" s="18">
        <f>'P0-3_Scorecard'!L143</f>
        <v/>
      </c>
      <c r="F357" s="18">
        <f>'P0-3_Scorecard'!M143</f>
        <v/>
      </c>
      <c r="G357" s="18">
        <f>'P0-3_Scorecard'!E143</f>
        <v/>
      </c>
      <c r="H357" s="18">
        <f>'P0-3_Scorecard'!H143</f>
        <v/>
      </c>
      <c r="I357" s="18">
        <f>IF(OR(D357="",E357=""),"INCOMPLETE",IF(AND(D357&gt;=70,E357&lt;60),"DEPENDENCY GAP",IF(AND(D357&gt;=70,G357&lt;F357),"REQUIRED MATURITY GAP","OK")))</f>
        <v/>
      </c>
      <c r="J357" s="18" t="inlineStr">
        <is>
          <t>Institutional learning review</t>
        </is>
      </c>
    </row>
    <row r="358">
      <c r="A358" s="18" t="inlineStr">
        <is>
          <t>CD21</t>
        </is>
      </c>
      <c r="B358" s="18" t="inlineStr">
        <is>
          <t>D10-I13</t>
        </is>
      </c>
      <c r="C358" s="18" t="inlineStr">
        <is>
          <t>D11-I14</t>
        </is>
      </c>
      <c r="D358" s="18">
        <f>'P0-3_Scorecard'!L129</f>
        <v/>
      </c>
      <c r="E358" s="18">
        <f>'P0-3_Scorecard'!L144</f>
        <v/>
      </c>
      <c r="F358" s="18">
        <f>'P0-3_Scorecard'!M144</f>
        <v/>
      </c>
      <c r="G358" s="18">
        <f>'P0-3_Scorecard'!E144</f>
        <v/>
      </c>
      <c r="H358" s="18">
        <f>'P0-3_Scorecard'!H144</f>
        <v/>
      </c>
      <c r="I358" s="18">
        <f>IF(OR(D358="",E358=""),"INCOMPLETE",IF(AND(D358&gt;=70,E358&lt;60),"DEPENDENCY GAP",IF(AND(D358&gt;=70,G358&lt;F358),"REQUIRED MATURITY GAP","OK")))</f>
        <v/>
      </c>
      <c r="J358" s="18" t="inlineStr">
        <is>
          <t>Institutional learning review</t>
        </is>
      </c>
    </row>
    <row r="359">
      <c r="A359" s="18" t="inlineStr">
        <is>
          <t>CD22</t>
        </is>
      </c>
      <c r="B359" s="18" t="inlineStr">
        <is>
          <t>D11-I01</t>
        </is>
      </c>
      <c r="C359" s="18" t="inlineStr">
        <is>
          <t>D01-I02</t>
        </is>
      </c>
      <c r="D359" s="18">
        <f>'P0-3_Scorecard'!L131</f>
        <v/>
      </c>
      <c r="E359" s="18">
        <f>'P0-3_Scorecard'!L3</f>
        <v/>
      </c>
      <c r="F359" s="18">
        <f>'P0-3_Scorecard'!M3</f>
        <v/>
      </c>
      <c r="G359" s="18">
        <f>'P0-3_Scorecard'!E3</f>
        <v/>
      </c>
      <c r="H359" s="18">
        <f>'P0-3_Scorecard'!H3</f>
        <v/>
      </c>
      <c r="I359" s="18">
        <f>IF(OR(D359="",E359=""),"INCOMPLETE",IF(AND(D359&gt;=70,E359&lt;60),"DEPENDENCY GAP",IF(AND(D359&gt;=70,G359&lt;F359),"REQUIRED MATURITY GAP","OK")))</f>
        <v/>
      </c>
      <c r="J359" s="18" t="inlineStr">
        <is>
          <t>Strategy learning review</t>
        </is>
      </c>
    </row>
    <row r="360">
      <c r="A360" s="18" t="inlineStr">
        <is>
          <t>CD22</t>
        </is>
      </c>
      <c r="B360" s="18" t="inlineStr">
        <is>
          <t>D11-I01</t>
        </is>
      </c>
      <c r="C360" s="18" t="inlineStr">
        <is>
          <t>D01-I03</t>
        </is>
      </c>
      <c r="D360" s="18">
        <f>'P0-3_Scorecard'!L131</f>
        <v/>
      </c>
      <c r="E360" s="18">
        <f>'P0-3_Scorecard'!L4</f>
        <v/>
      </c>
      <c r="F360" s="18">
        <f>'P0-3_Scorecard'!M4</f>
        <v/>
      </c>
      <c r="G360" s="18">
        <f>'P0-3_Scorecard'!E4</f>
        <v/>
      </c>
      <c r="H360" s="18">
        <f>'P0-3_Scorecard'!H4</f>
        <v/>
      </c>
      <c r="I360" s="18">
        <f>IF(OR(D360="",E360=""),"INCOMPLETE",IF(AND(D360&gt;=70,E360&lt;60),"DEPENDENCY GAP",IF(AND(D360&gt;=70,G360&lt;F360),"REQUIRED MATURITY GAP","OK")))</f>
        <v/>
      </c>
      <c r="J360" s="18" t="inlineStr">
        <is>
          <t>Strategy learning review</t>
        </is>
      </c>
    </row>
    <row r="361">
      <c r="A361" s="18" t="inlineStr">
        <is>
          <t>CD22</t>
        </is>
      </c>
      <c r="B361" s="18" t="inlineStr">
        <is>
          <t>D11-I01</t>
        </is>
      </c>
      <c r="C361" s="18" t="inlineStr">
        <is>
          <t>D01-I10</t>
        </is>
      </c>
      <c r="D361" s="18">
        <f>'P0-3_Scorecard'!L131</f>
        <v/>
      </c>
      <c r="E361" s="18">
        <f>'P0-3_Scorecard'!L11</f>
        <v/>
      </c>
      <c r="F361" s="18">
        <f>'P0-3_Scorecard'!M11</f>
        <v/>
      </c>
      <c r="G361" s="18">
        <f>'P0-3_Scorecard'!E11</f>
        <v/>
      </c>
      <c r="H361" s="18">
        <f>'P0-3_Scorecard'!H11</f>
        <v/>
      </c>
      <c r="I361" s="18">
        <f>IF(OR(D361="",E361=""),"INCOMPLETE",IF(AND(D361&gt;=70,E361&lt;60),"DEPENDENCY GAP",IF(AND(D361&gt;=70,G361&lt;F361),"REQUIRED MATURITY GAP","OK")))</f>
        <v/>
      </c>
      <c r="J361" s="18" t="inlineStr">
        <is>
          <t>Strategy learning review</t>
        </is>
      </c>
    </row>
    <row r="362">
      <c r="A362" s="18" t="inlineStr">
        <is>
          <t>CD22</t>
        </is>
      </c>
      <c r="B362" s="18" t="inlineStr">
        <is>
          <t>D11-I02</t>
        </is>
      </c>
      <c r="C362" s="18" t="inlineStr">
        <is>
          <t>D01-I02</t>
        </is>
      </c>
      <c r="D362" s="18">
        <f>'P0-3_Scorecard'!L132</f>
        <v/>
      </c>
      <c r="E362" s="18">
        <f>'P0-3_Scorecard'!L3</f>
        <v/>
      </c>
      <c r="F362" s="18">
        <f>'P0-3_Scorecard'!M3</f>
        <v/>
      </c>
      <c r="G362" s="18">
        <f>'P0-3_Scorecard'!E3</f>
        <v/>
      </c>
      <c r="H362" s="18">
        <f>'P0-3_Scorecard'!H3</f>
        <v/>
      </c>
      <c r="I362" s="18">
        <f>IF(OR(D362="",E362=""),"INCOMPLETE",IF(AND(D362&gt;=70,E362&lt;60),"DEPENDENCY GAP",IF(AND(D362&gt;=70,G362&lt;F362),"REQUIRED MATURITY GAP","OK")))</f>
        <v/>
      </c>
      <c r="J362" s="18" t="inlineStr">
        <is>
          <t>Strategy learning review</t>
        </is>
      </c>
    </row>
    <row r="363">
      <c r="A363" s="18" t="inlineStr">
        <is>
          <t>CD22</t>
        </is>
      </c>
      <c r="B363" s="18" t="inlineStr">
        <is>
          <t>D11-I02</t>
        </is>
      </c>
      <c r="C363" s="18" t="inlineStr">
        <is>
          <t>D01-I03</t>
        </is>
      </c>
      <c r="D363" s="18">
        <f>'P0-3_Scorecard'!L132</f>
        <v/>
      </c>
      <c r="E363" s="18">
        <f>'P0-3_Scorecard'!L4</f>
        <v/>
      </c>
      <c r="F363" s="18">
        <f>'P0-3_Scorecard'!M4</f>
        <v/>
      </c>
      <c r="G363" s="18">
        <f>'P0-3_Scorecard'!E4</f>
        <v/>
      </c>
      <c r="H363" s="18">
        <f>'P0-3_Scorecard'!H4</f>
        <v/>
      </c>
      <c r="I363" s="18">
        <f>IF(OR(D363="",E363=""),"INCOMPLETE",IF(AND(D363&gt;=70,E363&lt;60),"DEPENDENCY GAP",IF(AND(D363&gt;=70,G363&lt;F363),"REQUIRED MATURITY GAP","OK")))</f>
        <v/>
      </c>
      <c r="J363" s="18" t="inlineStr">
        <is>
          <t>Strategy learning review</t>
        </is>
      </c>
    </row>
    <row r="364">
      <c r="A364" s="18" t="inlineStr">
        <is>
          <t>CD22</t>
        </is>
      </c>
      <c r="B364" s="18" t="inlineStr">
        <is>
          <t>D11-I02</t>
        </is>
      </c>
      <c r="C364" s="18" t="inlineStr">
        <is>
          <t>D01-I10</t>
        </is>
      </c>
      <c r="D364" s="18">
        <f>'P0-3_Scorecard'!L132</f>
        <v/>
      </c>
      <c r="E364" s="18">
        <f>'P0-3_Scorecard'!L11</f>
        <v/>
      </c>
      <c r="F364" s="18">
        <f>'P0-3_Scorecard'!M11</f>
        <v/>
      </c>
      <c r="G364" s="18">
        <f>'P0-3_Scorecard'!E11</f>
        <v/>
      </c>
      <c r="H364" s="18">
        <f>'P0-3_Scorecard'!H11</f>
        <v/>
      </c>
      <c r="I364" s="18">
        <f>IF(OR(D364="",E364=""),"INCOMPLETE",IF(AND(D364&gt;=70,E364&lt;60),"DEPENDENCY GAP",IF(AND(D364&gt;=70,G364&lt;F364),"REQUIRED MATURITY GAP","OK")))</f>
        <v/>
      </c>
      <c r="J364" s="18" t="inlineStr">
        <is>
          <t>Strategy learning review</t>
        </is>
      </c>
    </row>
    <row r="365">
      <c r="A365" s="18" t="inlineStr">
        <is>
          <t>CD22</t>
        </is>
      </c>
      <c r="B365" s="18" t="inlineStr">
        <is>
          <t>D11-I06</t>
        </is>
      </c>
      <c r="C365" s="18" t="inlineStr">
        <is>
          <t>D01-I02</t>
        </is>
      </c>
      <c r="D365" s="18">
        <f>'P0-3_Scorecard'!L136</f>
        <v/>
      </c>
      <c r="E365" s="18">
        <f>'P0-3_Scorecard'!L3</f>
        <v/>
      </c>
      <c r="F365" s="18">
        <f>'P0-3_Scorecard'!M3</f>
        <v/>
      </c>
      <c r="G365" s="18">
        <f>'P0-3_Scorecard'!E3</f>
        <v/>
      </c>
      <c r="H365" s="18">
        <f>'P0-3_Scorecard'!H3</f>
        <v/>
      </c>
      <c r="I365" s="18">
        <f>IF(OR(D365="",E365=""),"INCOMPLETE",IF(AND(D365&gt;=70,E365&lt;60),"DEPENDENCY GAP",IF(AND(D365&gt;=70,G365&lt;F365),"REQUIRED MATURITY GAP","OK")))</f>
        <v/>
      </c>
      <c r="J365" s="18" t="inlineStr">
        <is>
          <t>Strategy learning review</t>
        </is>
      </c>
    </row>
    <row r="366">
      <c r="A366" s="18" t="inlineStr">
        <is>
          <t>CD22</t>
        </is>
      </c>
      <c r="B366" s="18" t="inlineStr">
        <is>
          <t>D11-I06</t>
        </is>
      </c>
      <c r="C366" s="18" t="inlineStr">
        <is>
          <t>D01-I03</t>
        </is>
      </c>
      <c r="D366" s="18">
        <f>'P0-3_Scorecard'!L136</f>
        <v/>
      </c>
      <c r="E366" s="18">
        <f>'P0-3_Scorecard'!L4</f>
        <v/>
      </c>
      <c r="F366" s="18">
        <f>'P0-3_Scorecard'!M4</f>
        <v/>
      </c>
      <c r="G366" s="18">
        <f>'P0-3_Scorecard'!E4</f>
        <v/>
      </c>
      <c r="H366" s="18">
        <f>'P0-3_Scorecard'!H4</f>
        <v/>
      </c>
      <c r="I366" s="18">
        <f>IF(OR(D366="",E366=""),"INCOMPLETE",IF(AND(D366&gt;=70,E366&lt;60),"DEPENDENCY GAP",IF(AND(D366&gt;=70,G366&lt;F366),"REQUIRED MATURITY GAP","OK")))</f>
        <v/>
      </c>
      <c r="J366" s="18" t="inlineStr">
        <is>
          <t>Strategy learning review</t>
        </is>
      </c>
    </row>
    <row r="367">
      <c r="A367" s="18" t="inlineStr">
        <is>
          <t>CD22</t>
        </is>
      </c>
      <c r="B367" s="18" t="inlineStr">
        <is>
          <t>D11-I06</t>
        </is>
      </c>
      <c r="C367" s="18" t="inlineStr">
        <is>
          <t>D01-I10</t>
        </is>
      </c>
      <c r="D367" s="18">
        <f>'P0-3_Scorecard'!L136</f>
        <v/>
      </c>
      <c r="E367" s="18">
        <f>'P0-3_Scorecard'!L11</f>
        <v/>
      </c>
      <c r="F367" s="18">
        <f>'P0-3_Scorecard'!M11</f>
        <v/>
      </c>
      <c r="G367" s="18">
        <f>'P0-3_Scorecard'!E11</f>
        <v/>
      </c>
      <c r="H367" s="18">
        <f>'P0-3_Scorecard'!H11</f>
        <v/>
      </c>
      <c r="I367" s="18">
        <f>IF(OR(D367="",E367=""),"INCOMPLETE",IF(AND(D367&gt;=70,E367&lt;60),"DEPENDENCY GAP",IF(AND(D367&gt;=70,G367&lt;F367),"REQUIRED MATURITY GAP","OK")))</f>
        <v/>
      </c>
      <c r="J367" s="18" t="inlineStr">
        <is>
          <t>Strategy learning review</t>
        </is>
      </c>
    </row>
    <row r="368">
      <c r="A368" s="18" t="inlineStr">
        <is>
          <t>CD22</t>
        </is>
      </c>
      <c r="B368" s="18" t="inlineStr">
        <is>
          <t>D11-I13</t>
        </is>
      </c>
      <c r="C368" s="18" t="inlineStr">
        <is>
          <t>D01-I02</t>
        </is>
      </c>
      <c r="D368" s="18">
        <f>'P0-3_Scorecard'!L143</f>
        <v/>
      </c>
      <c r="E368" s="18">
        <f>'P0-3_Scorecard'!L3</f>
        <v/>
      </c>
      <c r="F368" s="18">
        <f>'P0-3_Scorecard'!M3</f>
        <v/>
      </c>
      <c r="G368" s="18">
        <f>'P0-3_Scorecard'!E3</f>
        <v/>
      </c>
      <c r="H368" s="18">
        <f>'P0-3_Scorecard'!H3</f>
        <v/>
      </c>
      <c r="I368" s="18">
        <f>IF(OR(D368="",E368=""),"INCOMPLETE",IF(AND(D368&gt;=70,E368&lt;60),"DEPENDENCY GAP",IF(AND(D368&gt;=70,G368&lt;F368),"REQUIRED MATURITY GAP","OK")))</f>
        <v/>
      </c>
      <c r="J368" s="18" t="inlineStr">
        <is>
          <t>Strategy learning review</t>
        </is>
      </c>
    </row>
    <row r="369">
      <c r="A369" s="18" t="inlineStr">
        <is>
          <t>CD22</t>
        </is>
      </c>
      <c r="B369" s="18" t="inlineStr">
        <is>
          <t>D11-I13</t>
        </is>
      </c>
      <c r="C369" s="18" t="inlineStr">
        <is>
          <t>D01-I03</t>
        </is>
      </c>
      <c r="D369" s="18">
        <f>'P0-3_Scorecard'!L143</f>
        <v/>
      </c>
      <c r="E369" s="18">
        <f>'P0-3_Scorecard'!L4</f>
        <v/>
      </c>
      <c r="F369" s="18">
        <f>'P0-3_Scorecard'!M4</f>
        <v/>
      </c>
      <c r="G369" s="18">
        <f>'P0-3_Scorecard'!E4</f>
        <v/>
      </c>
      <c r="H369" s="18">
        <f>'P0-3_Scorecard'!H4</f>
        <v/>
      </c>
      <c r="I369" s="18">
        <f>IF(OR(D369="",E369=""),"INCOMPLETE",IF(AND(D369&gt;=70,E369&lt;60),"DEPENDENCY GAP",IF(AND(D369&gt;=70,G369&lt;F369),"REQUIRED MATURITY GAP","OK")))</f>
        <v/>
      </c>
      <c r="J369" s="18" t="inlineStr">
        <is>
          <t>Strategy learning review</t>
        </is>
      </c>
    </row>
    <row r="370">
      <c r="A370" s="18" t="inlineStr">
        <is>
          <t>CD22</t>
        </is>
      </c>
      <c r="B370" s="18" t="inlineStr">
        <is>
          <t>D11-I13</t>
        </is>
      </c>
      <c r="C370" s="18" t="inlineStr">
        <is>
          <t>D01-I10</t>
        </is>
      </c>
      <c r="D370" s="18">
        <f>'P0-3_Scorecard'!L143</f>
        <v/>
      </c>
      <c r="E370" s="18">
        <f>'P0-3_Scorecard'!L11</f>
        <v/>
      </c>
      <c r="F370" s="18">
        <f>'P0-3_Scorecard'!M11</f>
        <v/>
      </c>
      <c r="G370" s="18">
        <f>'P0-3_Scorecard'!E11</f>
        <v/>
      </c>
      <c r="H370" s="18">
        <f>'P0-3_Scorecard'!H11</f>
        <v/>
      </c>
      <c r="I370" s="18">
        <f>IF(OR(D370="",E370=""),"INCOMPLETE",IF(AND(D370&gt;=70,E370&lt;60),"DEPENDENCY GAP",IF(AND(D370&gt;=70,G370&lt;F370),"REQUIRED MATURITY GAP","OK")))</f>
        <v/>
      </c>
      <c r="J370" s="18" t="inlineStr">
        <is>
          <t>Strategy learning review</t>
        </is>
      </c>
    </row>
    <row r="371">
      <c r="A371" s="18" t="inlineStr">
        <is>
          <t>CD22</t>
        </is>
      </c>
      <c r="B371" s="18" t="inlineStr">
        <is>
          <t>D11-I14</t>
        </is>
      </c>
      <c r="C371" s="18" t="inlineStr">
        <is>
          <t>D01-I02</t>
        </is>
      </c>
      <c r="D371" s="18">
        <f>'P0-3_Scorecard'!L144</f>
        <v/>
      </c>
      <c r="E371" s="18">
        <f>'P0-3_Scorecard'!L3</f>
        <v/>
      </c>
      <c r="F371" s="18">
        <f>'P0-3_Scorecard'!M3</f>
        <v/>
      </c>
      <c r="G371" s="18">
        <f>'P0-3_Scorecard'!E3</f>
        <v/>
      </c>
      <c r="H371" s="18">
        <f>'P0-3_Scorecard'!H3</f>
        <v/>
      </c>
      <c r="I371" s="18">
        <f>IF(OR(D371="",E371=""),"INCOMPLETE",IF(AND(D371&gt;=70,E371&lt;60),"DEPENDENCY GAP",IF(AND(D371&gt;=70,G371&lt;F371),"REQUIRED MATURITY GAP","OK")))</f>
        <v/>
      </c>
      <c r="J371" s="18" t="inlineStr">
        <is>
          <t>Strategy learning review</t>
        </is>
      </c>
    </row>
    <row r="372">
      <c r="A372" s="18" t="inlineStr">
        <is>
          <t>CD22</t>
        </is>
      </c>
      <c r="B372" s="18" t="inlineStr">
        <is>
          <t>D11-I14</t>
        </is>
      </c>
      <c r="C372" s="18" t="inlineStr">
        <is>
          <t>D01-I03</t>
        </is>
      </c>
      <c r="D372" s="18">
        <f>'P0-3_Scorecard'!L144</f>
        <v/>
      </c>
      <c r="E372" s="18">
        <f>'P0-3_Scorecard'!L4</f>
        <v/>
      </c>
      <c r="F372" s="18">
        <f>'P0-3_Scorecard'!M4</f>
        <v/>
      </c>
      <c r="G372" s="18">
        <f>'P0-3_Scorecard'!E4</f>
        <v/>
      </c>
      <c r="H372" s="18">
        <f>'P0-3_Scorecard'!H4</f>
        <v/>
      </c>
      <c r="I372" s="18">
        <f>IF(OR(D372="",E372=""),"INCOMPLETE",IF(AND(D372&gt;=70,E372&lt;60),"DEPENDENCY GAP",IF(AND(D372&gt;=70,G372&lt;F372),"REQUIRED MATURITY GAP","OK")))</f>
        <v/>
      </c>
      <c r="J372" s="18" t="inlineStr">
        <is>
          <t>Strategy learning review</t>
        </is>
      </c>
    </row>
    <row r="373">
      <c r="A373" s="18" t="inlineStr">
        <is>
          <t>CD22</t>
        </is>
      </c>
      <c r="B373" s="18" t="inlineStr">
        <is>
          <t>D11-I14</t>
        </is>
      </c>
      <c r="C373" s="18" t="inlineStr">
        <is>
          <t>D01-I10</t>
        </is>
      </c>
      <c r="D373" s="18">
        <f>'P0-3_Scorecard'!L144</f>
        <v/>
      </c>
      <c r="E373" s="18">
        <f>'P0-3_Scorecard'!L11</f>
        <v/>
      </c>
      <c r="F373" s="18">
        <f>'P0-3_Scorecard'!M11</f>
        <v/>
      </c>
      <c r="G373" s="18">
        <f>'P0-3_Scorecard'!E11</f>
        <v/>
      </c>
      <c r="H373" s="18">
        <f>'P0-3_Scorecard'!H11</f>
        <v/>
      </c>
      <c r="I373" s="18">
        <f>IF(OR(D373="",E373=""),"INCOMPLETE",IF(AND(D373&gt;=70,E373&lt;60),"DEPENDENCY GAP",IF(AND(D373&gt;=70,G373&lt;F373),"REQUIRED MATURITY GAP","OK")))</f>
        <v/>
      </c>
      <c r="J373" s="18" t="inlineStr">
        <is>
          <t>Strategy learning review</t>
        </is>
      </c>
    </row>
    <row r="374">
      <c r="A374" s="18" t="inlineStr">
        <is>
          <t>CD23</t>
        </is>
      </c>
      <c r="B374" s="18" t="inlineStr">
        <is>
          <t>D11-I02</t>
        </is>
      </c>
      <c r="C374" s="18" t="inlineStr">
        <is>
          <t>D04-I03</t>
        </is>
      </c>
      <c r="D374" s="18">
        <f>'P0-3_Scorecard'!L132</f>
        <v/>
      </c>
      <c r="E374" s="18">
        <f>'P0-3_Scorecard'!L45</f>
        <v/>
      </c>
      <c r="F374" s="18">
        <f>'P0-3_Scorecard'!M45</f>
        <v/>
      </c>
      <c r="G374" s="18">
        <f>'P0-3_Scorecard'!E45</f>
        <v/>
      </c>
      <c r="H374" s="18">
        <f>'P0-3_Scorecard'!H45</f>
        <v/>
      </c>
      <c r="I374" s="18">
        <f>IF(OR(D374="",E374=""),"INCOMPLETE",IF(AND(D374&gt;=70,E374&lt;60),"DEPENDENCY GAP",IF(AND(D374&gt;=70,G374&lt;F374),"REQUIRED MATURITY GAP","OK")))</f>
        <v/>
      </c>
      <c r="J374" s="18" t="inlineStr">
        <is>
          <t>Programme adaptation review</t>
        </is>
      </c>
    </row>
    <row r="375">
      <c r="A375" s="18" t="inlineStr">
        <is>
          <t>CD23</t>
        </is>
      </c>
      <c r="B375" s="18" t="inlineStr">
        <is>
          <t>D11-I02</t>
        </is>
      </c>
      <c r="C375" s="18" t="inlineStr">
        <is>
          <t>D04-I05</t>
        </is>
      </c>
      <c r="D375" s="18">
        <f>'P0-3_Scorecard'!L132</f>
        <v/>
      </c>
      <c r="E375" s="18">
        <f>'P0-3_Scorecard'!L47</f>
        <v/>
      </c>
      <c r="F375" s="18">
        <f>'P0-3_Scorecard'!M47</f>
        <v/>
      </c>
      <c r="G375" s="18">
        <f>'P0-3_Scorecard'!E47</f>
        <v/>
      </c>
      <c r="H375" s="18">
        <f>'P0-3_Scorecard'!H47</f>
        <v/>
      </c>
      <c r="I375" s="18">
        <f>IF(OR(D375="",E375=""),"INCOMPLETE",IF(AND(D375&gt;=70,E375&lt;60),"DEPENDENCY GAP",IF(AND(D375&gt;=70,G375&lt;F375),"REQUIRED MATURITY GAP","OK")))</f>
        <v/>
      </c>
      <c r="J375" s="18" t="inlineStr">
        <is>
          <t>Programme adaptation review</t>
        </is>
      </c>
    </row>
    <row r="376">
      <c r="A376" s="18" t="inlineStr">
        <is>
          <t>CD23</t>
        </is>
      </c>
      <c r="B376" s="18" t="inlineStr">
        <is>
          <t>D11-I02</t>
        </is>
      </c>
      <c r="C376" s="18" t="inlineStr">
        <is>
          <t>D04-I08</t>
        </is>
      </c>
      <c r="D376" s="18">
        <f>'P0-3_Scorecard'!L132</f>
        <v/>
      </c>
      <c r="E376" s="18">
        <f>'P0-3_Scorecard'!L50</f>
        <v/>
      </c>
      <c r="F376" s="18">
        <f>'P0-3_Scorecard'!M50</f>
        <v/>
      </c>
      <c r="G376" s="18">
        <f>'P0-3_Scorecard'!E50</f>
        <v/>
      </c>
      <c r="H376" s="18">
        <f>'P0-3_Scorecard'!H50</f>
        <v/>
      </c>
      <c r="I376" s="18">
        <f>IF(OR(D376="",E376=""),"INCOMPLETE",IF(AND(D376&gt;=70,E376&lt;60),"DEPENDENCY GAP",IF(AND(D376&gt;=70,G376&lt;F376),"REQUIRED MATURITY GAP","OK")))</f>
        <v/>
      </c>
      <c r="J376" s="18" t="inlineStr">
        <is>
          <t>Programme adaptation review</t>
        </is>
      </c>
    </row>
    <row r="377">
      <c r="A377" s="18" t="inlineStr">
        <is>
          <t>CD23</t>
        </is>
      </c>
      <c r="B377" s="18" t="inlineStr">
        <is>
          <t>D11-I02</t>
        </is>
      </c>
      <c r="C377" s="18" t="inlineStr">
        <is>
          <t>D04-I12</t>
        </is>
      </c>
      <c r="D377" s="18">
        <f>'P0-3_Scorecard'!L132</f>
        <v/>
      </c>
      <c r="E377" s="18">
        <f>'P0-3_Scorecard'!L54</f>
        <v/>
      </c>
      <c r="F377" s="18">
        <f>'P0-3_Scorecard'!M54</f>
        <v/>
      </c>
      <c r="G377" s="18">
        <f>'P0-3_Scorecard'!E54</f>
        <v/>
      </c>
      <c r="H377" s="18">
        <f>'P0-3_Scorecard'!H54</f>
        <v/>
      </c>
      <c r="I377" s="18">
        <f>IF(OR(D377="",E377=""),"INCOMPLETE",IF(AND(D377&gt;=70,E377&lt;60),"DEPENDENCY GAP",IF(AND(D377&gt;=70,G377&lt;F377),"REQUIRED MATURITY GAP","OK")))</f>
        <v/>
      </c>
      <c r="J377" s="18" t="inlineStr">
        <is>
          <t>Programme adaptation review</t>
        </is>
      </c>
    </row>
    <row r="378">
      <c r="A378" s="18" t="inlineStr">
        <is>
          <t>CD23</t>
        </is>
      </c>
      <c r="B378" s="18" t="inlineStr">
        <is>
          <t>D11-I04</t>
        </is>
      </c>
      <c r="C378" s="18" t="inlineStr">
        <is>
          <t>D04-I03</t>
        </is>
      </c>
      <c r="D378" s="18">
        <f>'P0-3_Scorecard'!L134</f>
        <v/>
      </c>
      <c r="E378" s="18">
        <f>'P0-3_Scorecard'!L45</f>
        <v/>
      </c>
      <c r="F378" s="18">
        <f>'P0-3_Scorecard'!M45</f>
        <v/>
      </c>
      <c r="G378" s="18">
        <f>'P0-3_Scorecard'!E45</f>
        <v/>
      </c>
      <c r="H378" s="18">
        <f>'P0-3_Scorecard'!H45</f>
        <v/>
      </c>
      <c r="I378" s="18">
        <f>IF(OR(D378="",E378=""),"INCOMPLETE",IF(AND(D378&gt;=70,E378&lt;60),"DEPENDENCY GAP",IF(AND(D378&gt;=70,G378&lt;F378),"REQUIRED MATURITY GAP","OK")))</f>
        <v/>
      </c>
      <c r="J378" s="18" t="inlineStr">
        <is>
          <t>Programme adaptation review</t>
        </is>
      </c>
    </row>
    <row r="379">
      <c r="A379" s="18" t="inlineStr">
        <is>
          <t>CD23</t>
        </is>
      </c>
      <c r="B379" s="18" t="inlineStr">
        <is>
          <t>D11-I04</t>
        </is>
      </c>
      <c r="C379" s="18" t="inlineStr">
        <is>
          <t>D04-I05</t>
        </is>
      </c>
      <c r="D379" s="18">
        <f>'P0-3_Scorecard'!L134</f>
        <v/>
      </c>
      <c r="E379" s="18">
        <f>'P0-3_Scorecard'!L47</f>
        <v/>
      </c>
      <c r="F379" s="18">
        <f>'P0-3_Scorecard'!M47</f>
        <v/>
      </c>
      <c r="G379" s="18">
        <f>'P0-3_Scorecard'!E47</f>
        <v/>
      </c>
      <c r="H379" s="18">
        <f>'P0-3_Scorecard'!H47</f>
        <v/>
      </c>
      <c r="I379" s="18">
        <f>IF(OR(D379="",E379=""),"INCOMPLETE",IF(AND(D379&gt;=70,E379&lt;60),"DEPENDENCY GAP",IF(AND(D379&gt;=70,G379&lt;F379),"REQUIRED MATURITY GAP","OK")))</f>
        <v/>
      </c>
      <c r="J379" s="18" t="inlineStr">
        <is>
          <t>Programme adaptation review</t>
        </is>
      </c>
    </row>
    <row r="380">
      <c r="A380" s="18" t="inlineStr">
        <is>
          <t>CD23</t>
        </is>
      </c>
      <c r="B380" s="18" t="inlineStr">
        <is>
          <t>D11-I04</t>
        </is>
      </c>
      <c r="C380" s="18" t="inlineStr">
        <is>
          <t>D04-I08</t>
        </is>
      </c>
      <c r="D380" s="18">
        <f>'P0-3_Scorecard'!L134</f>
        <v/>
      </c>
      <c r="E380" s="18">
        <f>'P0-3_Scorecard'!L50</f>
        <v/>
      </c>
      <c r="F380" s="18">
        <f>'P0-3_Scorecard'!M50</f>
        <v/>
      </c>
      <c r="G380" s="18">
        <f>'P0-3_Scorecard'!E50</f>
        <v/>
      </c>
      <c r="H380" s="18">
        <f>'P0-3_Scorecard'!H50</f>
        <v/>
      </c>
      <c r="I380" s="18">
        <f>IF(OR(D380="",E380=""),"INCOMPLETE",IF(AND(D380&gt;=70,E380&lt;60),"DEPENDENCY GAP",IF(AND(D380&gt;=70,G380&lt;F380),"REQUIRED MATURITY GAP","OK")))</f>
        <v/>
      </c>
      <c r="J380" s="18" t="inlineStr">
        <is>
          <t>Programme adaptation review</t>
        </is>
      </c>
    </row>
    <row r="381">
      <c r="A381" s="18" t="inlineStr">
        <is>
          <t>CD23</t>
        </is>
      </c>
      <c r="B381" s="18" t="inlineStr">
        <is>
          <t>D11-I04</t>
        </is>
      </c>
      <c r="C381" s="18" t="inlineStr">
        <is>
          <t>D04-I12</t>
        </is>
      </c>
      <c r="D381" s="18">
        <f>'P0-3_Scorecard'!L134</f>
        <v/>
      </c>
      <c r="E381" s="18">
        <f>'P0-3_Scorecard'!L54</f>
        <v/>
      </c>
      <c r="F381" s="18">
        <f>'P0-3_Scorecard'!M54</f>
        <v/>
      </c>
      <c r="G381" s="18">
        <f>'P0-3_Scorecard'!E54</f>
        <v/>
      </c>
      <c r="H381" s="18">
        <f>'P0-3_Scorecard'!H54</f>
        <v/>
      </c>
      <c r="I381" s="18">
        <f>IF(OR(D381="",E381=""),"INCOMPLETE",IF(AND(D381&gt;=70,E381&lt;60),"DEPENDENCY GAP",IF(AND(D381&gt;=70,G381&lt;F381),"REQUIRED MATURITY GAP","OK")))</f>
        <v/>
      </c>
      <c r="J381" s="18" t="inlineStr">
        <is>
          <t>Programme adaptation review</t>
        </is>
      </c>
    </row>
    <row r="382">
      <c r="A382" s="18" t="inlineStr">
        <is>
          <t>CD23</t>
        </is>
      </c>
      <c r="B382" s="18" t="inlineStr">
        <is>
          <t>D11-I07</t>
        </is>
      </c>
      <c r="C382" s="18" t="inlineStr">
        <is>
          <t>D04-I03</t>
        </is>
      </c>
      <c r="D382" s="18">
        <f>'P0-3_Scorecard'!L137</f>
        <v/>
      </c>
      <c r="E382" s="18">
        <f>'P0-3_Scorecard'!L45</f>
        <v/>
      </c>
      <c r="F382" s="18">
        <f>'P0-3_Scorecard'!M45</f>
        <v/>
      </c>
      <c r="G382" s="18">
        <f>'P0-3_Scorecard'!E45</f>
        <v/>
      </c>
      <c r="H382" s="18">
        <f>'P0-3_Scorecard'!H45</f>
        <v/>
      </c>
      <c r="I382" s="18">
        <f>IF(OR(D382="",E382=""),"INCOMPLETE",IF(AND(D382&gt;=70,E382&lt;60),"DEPENDENCY GAP",IF(AND(D382&gt;=70,G382&lt;F382),"REQUIRED MATURITY GAP","OK")))</f>
        <v/>
      </c>
      <c r="J382" s="18" t="inlineStr">
        <is>
          <t>Programme adaptation review</t>
        </is>
      </c>
    </row>
    <row r="383">
      <c r="A383" s="18" t="inlineStr">
        <is>
          <t>CD23</t>
        </is>
      </c>
      <c r="B383" s="18" t="inlineStr">
        <is>
          <t>D11-I07</t>
        </is>
      </c>
      <c r="C383" s="18" t="inlineStr">
        <is>
          <t>D04-I05</t>
        </is>
      </c>
      <c r="D383" s="18">
        <f>'P0-3_Scorecard'!L137</f>
        <v/>
      </c>
      <c r="E383" s="18">
        <f>'P0-3_Scorecard'!L47</f>
        <v/>
      </c>
      <c r="F383" s="18">
        <f>'P0-3_Scorecard'!M47</f>
        <v/>
      </c>
      <c r="G383" s="18">
        <f>'P0-3_Scorecard'!E47</f>
        <v/>
      </c>
      <c r="H383" s="18">
        <f>'P0-3_Scorecard'!H47</f>
        <v/>
      </c>
      <c r="I383" s="18">
        <f>IF(OR(D383="",E383=""),"INCOMPLETE",IF(AND(D383&gt;=70,E383&lt;60),"DEPENDENCY GAP",IF(AND(D383&gt;=70,G383&lt;F383),"REQUIRED MATURITY GAP","OK")))</f>
        <v/>
      </c>
      <c r="J383" s="18" t="inlineStr">
        <is>
          <t>Programme adaptation review</t>
        </is>
      </c>
    </row>
    <row r="384">
      <c r="A384" s="18" t="inlineStr">
        <is>
          <t>CD23</t>
        </is>
      </c>
      <c r="B384" s="18" t="inlineStr">
        <is>
          <t>D11-I07</t>
        </is>
      </c>
      <c r="C384" s="18" t="inlineStr">
        <is>
          <t>D04-I08</t>
        </is>
      </c>
      <c r="D384" s="18">
        <f>'P0-3_Scorecard'!L137</f>
        <v/>
      </c>
      <c r="E384" s="18">
        <f>'P0-3_Scorecard'!L50</f>
        <v/>
      </c>
      <c r="F384" s="18">
        <f>'P0-3_Scorecard'!M50</f>
        <v/>
      </c>
      <c r="G384" s="18">
        <f>'P0-3_Scorecard'!E50</f>
        <v/>
      </c>
      <c r="H384" s="18">
        <f>'P0-3_Scorecard'!H50</f>
        <v/>
      </c>
      <c r="I384" s="18">
        <f>IF(OR(D384="",E384=""),"INCOMPLETE",IF(AND(D384&gt;=70,E384&lt;60),"DEPENDENCY GAP",IF(AND(D384&gt;=70,G384&lt;F384),"REQUIRED MATURITY GAP","OK")))</f>
        <v/>
      </c>
      <c r="J384" s="18" t="inlineStr">
        <is>
          <t>Programme adaptation review</t>
        </is>
      </c>
    </row>
    <row r="385">
      <c r="A385" s="18" t="inlineStr">
        <is>
          <t>CD23</t>
        </is>
      </c>
      <c r="B385" s="18" t="inlineStr">
        <is>
          <t>D11-I07</t>
        </is>
      </c>
      <c r="C385" s="18" t="inlineStr">
        <is>
          <t>D04-I12</t>
        </is>
      </c>
      <c r="D385" s="18">
        <f>'P0-3_Scorecard'!L137</f>
        <v/>
      </c>
      <c r="E385" s="18">
        <f>'P0-3_Scorecard'!L54</f>
        <v/>
      </c>
      <c r="F385" s="18">
        <f>'P0-3_Scorecard'!M54</f>
        <v/>
      </c>
      <c r="G385" s="18">
        <f>'P0-3_Scorecard'!E54</f>
        <v/>
      </c>
      <c r="H385" s="18">
        <f>'P0-3_Scorecard'!H54</f>
        <v/>
      </c>
      <c r="I385" s="18">
        <f>IF(OR(D385="",E385=""),"INCOMPLETE",IF(AND(D385&gt;=70,E385&lt;60),"DEPENDENCY GAP",IF(AND(D385&gt;=70,G385&lt;F385),"REQUIRED MATURITY GAP","OK")))</f>
        <v/>
      </c>
      <c r="J385" s="18" t="inlineStr">
        <is>
          <t>Programme adaptation review</t>
        </is>
      </c>
    </row>
    <row r="386">
      <c r="A386" s="18" t="inlineStr">
        <is>
          <t>CD23</t>
        </is>
      </c>
      <c r="B386" s="18" t="inlineStr">
        <is>
          <t>D11-I09</t>
        </is>
      </c>
      <c r="C386" s="18" t="inlineStr">
        <is>
          <t>D04-I03</t>
        </is>
      </c>
      <c r="D386" s="18">
        <f>'P0-3_Scorecard'!L139</f>
        <v/>
      </c>
      <c r="E386" s="18">
        <f>'P0-3_Scorecard'!L45</f>
        <v/>
      </c>
      <c r="F386" s="18">
        <f>'P0-3_Scorecard'!M45</f>
        <v/>
      </c>
      <c r="G386" s="18">
        <f>'P0-3_Scorecard'!E45</f>
        <v/>
      </c>
      <c r="H386" s="18">
        <f>'P0-3_Scorecard'!H45</f>
        <v/>
      </c>
      <c r="I386" s="18">
        <f>IF(OR(D386="",E386=""),"INCOMPLETE",IF(AND(D386&gt;=70,E386&lt;60),"DEPENDENCY GAP",IF(AND(D386&gt;=70,G386&lt;F386),"REQUIRED MATURITY GAP","OK")))</f>
        <v/>
      </c>
      <c r="J386" s="18" t="inlineStr">
        <is>
          <t>Programme adaptation review</t>
        </is>
      </c>
    </row>
    <row r="387">
      <c r="A387" s="18" t="inlineStr">
        <is>
          <t>CD23</t>
        </is>
      </c>
      <c r="B387" s="18" t="inlineStr">
        <is>
          <t>D11-I09</t>
        </is>
      </c>
      <c r="C387" s="18" t="inlineStr">
        <is>
          <t>D04-I05</t>
        </is>
      </c>
      <c r="D387" s="18">
        <f>'P0-3_Scorecard'!L139</f>
        <v/>
      </c>
      <c r="E387" s="18">
        <f>'P0-3_Scorecard'!L47</f>
        <v/>
      </c>
      <c r="F387" s="18">
        <f>'P0-3_Scorecard'!M47</f>
        <v/>
      </c>
      <c r="G387" s="18">
        <f>'P0-3_Scorecard'!E47</f>
        <v/>
      </c>
      <c r="H387" s="18">
        <f>'P0-3_Scorecard'!H47</f>
        <v/>
      </c>
      <c r="I387" s="18">
        <f>IF(OR(D387="",E387=""),"INCOMPLETE",IF(AND(D387&gt;=70,E387&lt;60),"DEPENDENCY GAP",IF(AND(D387&gt;=70,G387&lt;F387),"REQUIRED MATURITY GAP","OK")))</f>
        <v/>
      </c>
      <c r="J387" s="18" t="inlineStr">
        <is>
          <t>Programme adaptation review</t>
        </is>
      </c>
    </row>
    <row r="388">
      <c r="A388" s="18" t="inlineStr">
        <is>
          <t>CD23</t>
        </is>
      </c>
      <c r="B388" s="18" t="inlineStr">
        <is>
          <t>D11-I09</t>
        </is>
      </c>
      <c r="C388" s="18" t="inlineStr">
        <is>
          <t>D04-I08</t>
        </is>
      </c>
      <c r="D388" s="18">
        <f>'P0-3_Scorecard'!L139</f>
        <v/>
      </c>
      <c r="E388" s="18">
        <f>'P0-3_Scorecard'!L50</f>
        <v/>
      </c>
      <c r="F388" s="18">
        <f>'P0-3_Scorecard'!M50</f>
        <v/>
      </c>
      <c r="G388" s="18">
        <f>'P0-3_Scorecard'!E50</f>
        <v/>
      </c>
      <c r="H388" s="18">
        <f>'P0-3_Scorecard'!H50</f>
        <v/>
      </c>
      <c r="I388" s="18">
        <f>IF(OR(D388="",E388=""),"INCOMPLETE",IF(AND(D388&gt;=70,E388&lt;60),"DEPENDENCY GAP",IF(AND(D388&gt;=70,G388&lt;F388),"REQUIRED MATURITY GAP","OK")))</f>
        <v/>
      </c>
      <c r="J388" s="18" t="inlineStr">
        <is>
          <t>Programme adaptation review</t>
        </is>
      </c>
    </row>
    <row r="389">
      <c r="A389" s="18" t="inlineStr">
        <is>
          <t>CD23</t>
        </is>
      </c>
      <c r="B389" s="18" t="inlineStr">
        <is>
          <t>D11-I09</t>
        </is>
      </c>
      <c r="C389" s="18" t="inlineStr">
        <is>
          <t>D04-I12</t>
        </is>
      </c>
      <c r="D389" s="18">
        <f>'P0-3_Scorecard'!L139</f>
        <v/>
      </c>
      <c r="E389" s="18">
        <f>'P0-3_Scorecard'!L54</f>
        <v/>
      </c>
      <c r="F389" s="18">
        <f>'P0-3_Scorecard'!M54</f>
        <v/>
      </c>
      <c r="G389" s="18">
        <f>'P0-3_Scorecard'!E54</f>
        <v/>
      </c>
      <c r="H389" s="18">
        <f>'P0-3_Scorecard'!H54</f>
        <v/>
      </c>
      <c r="I389" s="18">
        <f>IF(OR(D389="",E389=""),"INCOMPLETE",IF(AND(D389&gt;=70,E389&lt;60),"DEPENDENCY GAP",IF(AND(D389&gt;=70,G389&lt;F389),"REQUIRED MATURITY GAP","OK")))</f>
        <v/>
      </c>
      <c r="J389" s="18" t="inlineStr">
        <is>
          <t>Programme adaptation review</t>
        </is>
      </c>
    </row>
    <row r="390">
      <c r="A390" s="18" t="inlineStr">
        <is>
          <t>CD23</t>
        </is>
      </c>
      <c r="B390" s="18" t="inlineStr">
        <is>
          <t>D11-I10</t>
        </is>
      </c>
      <c r="C390" s="18" t="inlineStr">
        <is>
          <t>D04-I03</t>
        </is>
      </c>
      <c r="D390" s="18">
        <f>'P0-3_Scorecard'!L140</f>
        <v/>
      </c>
      <c r="E390" s="18">
        <f>'P0-3_Scorecard'!L45</f>
        <v/>
      </c>
      <c r="F390" s="18">
        <f>'P0-3_Scorecard'!M45</f>
        <v/>
      </c>
      <c r="G390" s="18">
        <f>'P0-3_Scorecard'!E45</f>
        <v/>
      </c>
      <c r="H390" s="18">
        <f>'P0-3_Scorecard'!H45</f>
        <v/>
      </c>
      <c r="I390" s="18">
        <f>IF(OR(D390="",E390=""),"INCOMPLETE",IF(AND(D390&gt;=70,E390&lt;60),"DEPENDENCY GAP",IF(AND(D390&gt;=70,G390&lt;F390),"REQUIRED MATURITY GAP","OK")))</f>
        <v/>
      </c>
      <c r="J390" s="18" t="inlineStr">
        <is>
          <t>Programme adaptation review</t>
        </is>
      </c>
    </row>
    <row r="391">
      <c r="A391" s="18" t="inlineStr">
        <is>
          <t>CD23</t>
        </is>
      </c>
      <c r="B391" s="18" t="inlineStr">
        <is>
          <t>D11-I10</t>
        </is>
      </c>
      <c r="C391" s="18" t="inlineStr">
        <is>
          <t>D04-I05</t>
        </is>
      </c>
      <c r="D391" s="18">
        <f>'P0-3_Scorecard'!L140</f>
        <v/>
      </c>
      <c r="E391" s="18">
        <f>'P0-3_Scorecard'!L47</f>
        <v/>
      </c>
      <c r="F391" s="18">
        <f>'P0-3_Scorecard'!M47</f>
        <v/>
      </c>
      <c r="G391" s="18">
        <f>'P0-3_Scorecard'!E47</f>
        <v/>
      </c>
      <c r="H391" s="18">
        <f>'P0-3_Scorecard'!H47</f>
        <v/>
      </c>
      <c r="I391" s="18">
        <f>IF(OR(D391="",E391=""),"INCOMPLETE",IF(AND(D391&gt;=70,E391&lt;60),"DEPENDENCY GAP",IF(AND(D391&gt;=70,G391&lt;F391),"REQUIRED MATURITY GAP","OK")))</f>
        <v/>
      </c>
      <c r="J391" s="18" t="inlineStr">
        <is>
          <t>Programme adaptation review</t>
        </is>
      </c>
    </row>
    <row r="392">
      <c r="A392" s="18" t="inlineStr">
        <is>
          <t>CD23</t>
        </is>
      </c>
      <c r="B392" s="18" t="inlineStr">
        <is>
          <t>D11-I10</t>
        </is>
      </c>
      <c r="C392" s="18" t="inlineStr">
        <is>
          <t>D04-I08</t>
        </is>
      </c>
      <c r="D392" s="18">
        <f>'P0-3_Scorecard'!L140</f>
        <v/>
      </c>
      <c r="E392" s="18">
        <f>'P0-3_Scorecard'!L50</f>
        <v/>
      </c>
      <c r="F392" s="18">
        <f>'P0-3_Scorecard'!M50</f>
        <v/>
      </c>
      <c r="G392" s="18">
        <f>'P0-3_Scorecard'!E50</f>
        <v/>
      </c>
      <c r="H392" s="18">
        <f>'P0-3_Scorecard'!H50</f>
        <v/>
      </c>
      <c r="I392" s="18">
        <f>IF(OR(D392="",E392=""),"INCOMPLETE",IF(AND(D392&gt;=70,E392&lt;60),"DEPENDENCY GAP",IF(AND(D392&gt;=70,G392&lt;F392),"REQUIRED MATURITY GAP","OK")))</f>
        <v/>
      </c>
      <c r="J392" s="18" t="inlineStr">
        <is>
          <t>Programme adaptation review</t>
        </is>
      </c>
    </row>
    <row r="393">
      <c r="A393" s="18" t="inlineStr">
        <is>
          <t>CD23</t>
        </is>
      </c>
      <c r="B393" s="18" t="inlineStr">
        <is>
          <t>D11-I10</t>
        </is>
      </c>
      <c r="C393" s="18" t="inlineStr">
        <is>
          <t>D04-I12</t>
        </is>
      </c>
      <c r="D393" s="18">
        <f>'P0-3_Scorecard'!L140</f>
        <v/>
      </c>
      <c r="E393" s="18">
        <f>'P0-3_Scorecard'!L54</f>
        <v/>
      </c>
      <c r="F393" s="18">
        <f>'P0-3_Scorecard'!M54</f>
        <v/>
      </c>
      <c r="G393" s="18">
        <f>'P0-3_Scorecard'!E54</f>
        <v/>
      </c>
      <c r="H393" s="18">
        <f>'P0-3_Scorecard'!H54</f>
        <v/>
      </c>
      <c r="I393" s="18">
        <f>IF(OR(D393="",E393=""),"INCOMPLETE",IF(AND(D393&gt;=70,E393&lt;60),"DEPENDENCY GAP",IF(AND(D393&gt;=70,G393&lt;F393),"REQUIRED MATURITY GAP","OK")))</f>
        <v/>
      </c>
      <c r="J393" s="18" t="inlineStr">
        <is>
          <t>Programme adaptation review</t>
        </is>
      </c>
    </row>
    <row r="394">
      <c r="A394" s="18" t="inlineStr">
        <is>
          <t>CD24</t>
        </is>
      </c>
      <c r="B394" s="18" t="inlineStr">
        <is>
          <t>D11-I02</t>
        </is>
      </c>
      <c r="C394" s="18" t="inlineStr">
        <is>
          <t>D05-I08</t>
        </is>
      </c>
      <c r="D394" s="18">
        <f>'P0-3_Scorecard'!L132</f>
        <v/>
      </c>
      <c r="E394" s="18">
        <f>'P0-3_Scorecard'!L62</f>
        <v/>
      </c>
      <c r="F394" s="18">
        <f>'P0-3_Scorecard'!M62</f>
        <v/>
      </c>
      <c r="G394" s="18">
        <f>'P0-3_Scorecard'!E62</f>
        <v/>
      </c>
      <c r="H394" s="18">
        <f>'P0-3_Scorecard'!H62</f>
        <v/>
      </c>
      <c r="I394" s="18">
        <f>IF(OR(D394="",E394=""),"INCOMPLETE",IF(AND(D394&gt;=70,E394&lt;60),"DEPENDENCY GAP",IF(AND(D394&gt;=70,G394&lt;F394),"REQUIRED MATURITY GAP","OK")))</f>
        <v/>
      </c>
      <c r="J394" s="18" t="inlineStr">
        <is>
          <t>Academic workforce review</t>
        </is>
      </c>
    </row>
    <row r="395">
      <c r="A395" s="18" t="inlineStr">
        <is>
          <t>CD24</t>
        </is>
      </c>
      <c r="B395" s="18" t="inlineStr">
        <is>
          <t>D11-I02</t>
        </is>
      </c>
      <c r="C395" s="18" t="inlineStr">
        <is>
          <t>D05-I09</t>
        </is>
      </c>
      <c r="D395" s="18">
        <f>'P0-3_Scorecard'!L132</f>
        <v/>
      </c>
      <c r="E395" s="18">
        <f>'P0-3_Scorecard'!L63</f>
        <v/>
      </c>
      <c r="F395" s="18">
        <f>'P0-3_Scorecard'!M63</f>
        <v/>
      </c>
      <c r="G395" s="18">
        <f>'P0-3_Scorecard'!E63</f>
        <v/>
      </c>
      <c r="H395" s="18">
        <f>'P0-3_Scorecard'!H63</f>
        <v/>
      </c>
      <c r="I395" s="18">
        <f>IF(OR(D395="",E395=""),"INCOMPLETE",IF(AND(D395&gt;=70,E395&lt;60),"DEPENDENCY GAP",IF(AND(D395&gt;=70,G395&lt;F395),"REQUIRED MATURITY GAP","OK")))</f>
        <v/>
      </c>
      <c r="J395" s="18" t="inlineStr">
        <is>
          <t>Academic workforce review</t>
        </is>
      </c>
    </row>
    <row r="396">
      <c r="A396" s="18" t="inlineStr">
        <is>
          <t>CD24</t>
        </is>
      </c>
      <c r="B396" s="18" t="inlineStr">
        <is>
          <t>D11-I02</t>
        </is>
      </c>
      <c r="C396" s="18" t="inlineStr">
        <is>
          <t>D05-I10</t>
        </is>
      </c>
      <c r="D396" s="18">
        <f>'P0-3_Scorecard'!L132</f>
        <v/>
      </c>
      <c r="E396" s="18">
        <f>'P0-3_Scorecard'!L64</f>
        <v/>
      </c>
      <c r="F396" s="18">
        <f>'P0-3_Scorecard'!M64</f>
        <v/>
      </c>
      <c r="G396" s="18">
        <f>'P0-3_Scorecard'!E64</f>
        <v/>
      </c>
      <c r="H396" s="18">
        <f>'P0-3_Scorecard'!H64</f>
        <v/>
      </c>
      <c r="I396" s="18">
        <f>IF(OR(D396="",E396=""),"INCOMPLETE",IF(AND(D396&gt;=70,E396&lt;60),"DEPENDENCY GAP",IF(AND(D396&gt;=70,G396&lt;F396),"REQUIRED MATURITY GAP","OK")))</f>
        <v/>
      </c>
      <c r="J396" s="18" t="inlineStr">
        <is>
          <t>Academic workforce review</t>
        </is>
      </c>
    </row>
    <row r="397">
      <c r="A397" s="18" t="inlineStr">
        <is>
          <t>CD24</t>
        </is>
      </c>
      <c r="B397" s="18" t="inlineStr">
        <is>
          <t>D11-I02</t>
        </is>
      </c>
      <c r="C397" s="18" t="inlineStr">
        <is>
          <t>D05-I12</t>
        </is>
      </c>
      <c r="D397" s="18">
        <f>'P0-3_Scorecard'!L132</f>
        <v/>
      </c>
      <c r="E397" s="18">
        <f>'P0-3_Scorecard'!L66</f>
        <v/>
      </c>
      <c r="F397" s="18">
        <f>'P0-3_Scorecard'!M66</f>
        <v/>
      </c>
      <c r="G397" s="18">
        <f>'P0-3_Scorecard'!E66</f>
        <v/>
      </c>
      <c r="H397" s="18">
        <f>'P0-3_Scorecard'!H66</f>
        <v/>
      </c>
      <c r="I397" s="18">
        <f>IF(OR(D397="",E397=""),"INCOMPLETE",IF(AND(D397&gt;=70,E397&lt;60),"DEPENDENCY GAP",IF(AND(D397&gt;=70,G397&lt;F397),"REQUIRED MATURITY GAP","OK")))</f>
        <v/>
      </c>
      <c r="J397" s="18" t="inlineStr">
        <is>
          <t>Academic workforce review</t>
        </is>
      </c>
    </row>
    <row r="398">
      <c r="A398" s="18" t="inlineStr">
        <is>
          <t>CD24</t>
        </is>
      </c>
      <c r="B398" s="18" t="inlineStr">
        <is>
          <t>D11-I07</t>
        </is>
      </c>
      <c r="C398" s="18" t="inlineStr">
        <is>
          <t>D05-I08</t>
        </is>
      </c>
      <c r="D398" s="18">
        <f>'P0-3_Scorecard'!L137</f>
        <v/>
      </c>
      <c r="E398" s="18">
        <f>'P0-3_Scorecard'!L62</f>
        <v/>
      </c>
      <c r="F398" s="18">
        <f>'P0-3_Scorecard'!M62</f>
        <v/>
      </c>
      <c r="G398" s="18">
        <f>'P0-3_Scorecard'!E62</f>
        <v/>
      </c>
      <c r="H398" s="18">
        <f>'P0-3_Scorecard'!H62</f>
        <v/>
      </c>
      <c r="I398" s="18">
        <f>IF(OR(D398="",E398=""),"INCOMPLETE",IF(AND(D398&gt;=70,E398&lt;60),"DEPENDENCY GAP",IF(AND(D398&gt;=70,G398&lt;F398),"REQUIRED MATURITY GAP","OK")))</f>
        <v/>
      </c>
      <c r="J398" s="18" t="inlineStr">
        <is>
          <t>Academic workforce review</t>
        </is>
      </c>
    </row>
    <row r="399">
      <c r="A399" s="18" t="inlineStr">
        <is>
          <t>CD24</t>
        </is>
      </c>
      <c r="B399" s="18" t="inlineStr">
        <is>
          <t>D11-I07</t>
        </is>
      </c>
      <c r="C399" s="18" t="inlineStr">
        <is>
          <t>D05-I09</t>
        </is>
      </c>
      <c r="D399" s="18">
        <f>'P0-3_Scorecard'!L137</f>
        <v/>
      </c>
      <c r="E399" s="18">
        <f>'P0-3_Scorecard'!L63</f>
        <v/>
      </c>
      <c r="F399" s="18">
        <f>'P0-3_Scorecard'!M63</f>
        <v/>
      </c>
      <c r="G399" s="18">
        <f>'P0-3_Scorecard'!E63</f>
        <v/>
      </c>
      <c r="H399" s="18">
        <f>'P0-3_Scorecard'!H63</f>
        <v/>
      </c>
      <c r="I399" s="18">
        <f>IF(OR(D399="",E399=""),"INCOMPLETE",IF(AND(D399&gt;=70,E399&lt;60),"DEPENDENCY GAP",IF(AND(D399&gt;=70,G399&lt;F399),"REQUIRED MATURITY GAP","OK")))</f>
        <v/>
      </c>
      <c r="J399" s="18" t="inlineStr">
        <is>
          <t>Academic workforce review</t>
        </is>
      </c>
    </row>
    <row r="400">
      <c r="A400" s="18" t="inlineStr">
        <is>
          <t>CD24</t>
        </is>
      </c>
      <c r="B400" s="18" t="inlineStr">
        <is>
          <t>D11-I07</t>
        </is>
      </c>
      <c r="C400" s="18" t="inlineStr">
        <is>
          <t>D05-I10</t>
        </is>
      </c>
      <c r="D400" s="18">
        <f>'P0-3_Scorecard'!L137</f>
        <v/>
      </c>
      <c r="E400" s="18">
        <f>'P0-3_Scorecard'!L64</f>
        <v/>
      </c>
      <c r="F400" s="18">
        <f>'P0-3_Scorecard'!M64</f>
        <v/>
      </c>
      <c r="G400" s="18">
        <f>'P0-3_Scorecard'!E64</f>
        <v/>
      </c>
      <c r="H400" s="18">
        <f>'P0-3_Scorecard'!H64</f>
        <v/>
      </c>
      <c r="I400" s="18">
        <f>IF(OR(D400="",E400=""),"INCOMPLETE",IF(AND(D400&gt;=70,E400&lt;60),"DEPENDENCY GAP",IF(AND(D400&gt;=70,G400&lt;F400),"REQUIRED MATURITY GAP","OK")))</f>
        <v/>
      </c>
      <c r="J400" s="18" t="inlineStr">
        <is>
          <t>Academic workforce review</t>
        </is>
      </c>
    </row>
    <row r="401">
      <c r="A401" s="18" t="inlineStr">
        <is>
          <t>CD24</t>
        </is>
      </c>
      <c r="B401" s="18" t="inlineStr">
        <is>
          <t>D11-I07</t>
        </is>
      </c>
      <c r="C401" s="18" t="inlineStr">
        <is>
          <t>D05-I12</t>
        </is>
      </c>
      <c r="D401" s="18">
        <f>'P0-3_Scorecard'!L137</f>
        <v/>
      </c>
      <c r="E401" s="18">
        <f>'P0-3_Scorecard'!L66</f>
        <v/>
      </c>
      <c r="F401" s="18">
        <f>'P0-3_Scorecard'!M66</f>
        <v/>
      </c>
      <c r="G401" s="18">
        <f>'P0-3_Scorecard'!E66</f>
        <v/>
      </c>
      <c r="H401" s="18">
        <f>'P0-3_Scorecard'!H66</f>
        <v/>
      </c>
      <c r="I401" s="18">
        <f>IF(OR(D401="",E401=""),"INCOMPLETE",IF(AND(D401&gt;=70,E401&lt;60),"DEPENDENCY GAP",IF(AND(D401&gt;=70,G401&lt;F401),"REQUIRED MATURITY GAP","OK")))</f>
        <v/>
      </c>
      <c r="J401" s="18" t="inlineStr">
        <is>
          <t>Academic workforce review</t>
        </is>
      </c>
    </row>
    <row r="402">
      <c r="A402" s="18" t="inlineStr">
        <is>
          <t>CD24</t>
        </is>
      </c>
      <c r="B402" s="18" t="inlineStr">
        <is>
          <t>D11-I08</t>
        </is>
      </c>
      <c r="C402" s="18" t="inlineStr">
        <is>
          <t>D05-I08</t>
        </is>
      </c>
      <c r="D402" s="18">
        <f>'P0-3_Scorecard'!L138</f>
        <v/>
      </c>
      <c r="E402" s="18">
        <f>'P0-3_Scorecard'!L62</f>
        <v/>
      </c>
      <c r="F402" s="18">
        <f>'P0-3_Scorecard'!M62</f>
        <v/>
      </c>
      <c r="G402" s="18">
        <f>'P0-3_Scorecard'!E62</f>
        <v/>
      </c>
      <c r="H402" s="18">
        <f>'P0-3_Scorecard'!H62</f>
        <v/>
      </c>
      <c r="I402" s="18">
        <f>IF(OR(D402="",E402=""),"INCOMPLETE",IF(AND(D402&gt;=70,E402&lt;60),"DEPENDENCY GAP",IF(AND(D402&gt;=70,G402&lt;F402),"REQUIRED MATURITY GAP","OK")))</f>
        <v/>
      </c>
      <c r="J402" s="18" t="inlineStr">
        <is>
          <t>Academic workforce review</t>
        </is>
      </c>
    </row>
    <row r="403">
      <c r="A403" s="18" t="inlineStr">
        <is>
          <t>CD24</t>
        </is>
      </c>
      <c r="B403" s="18" t="inlineStr">
        <is>
          <t>D11-I08</t>
        </is>
      </c>
      <c r="C403" s="18" t="inlineStr">
        <is>
          <t>D05-I09</t>
        </is>
      </c>
      <c r="D403" s="18">
        <f>'P0-3_Scorecard'!L138</f>
        <v/>
      </c>
      <c r="E403" s="18">
        <f>'P0-3_Scorecard'!L63</f>
        <v/>
      </c>
      <c r="F403" s="18">
        <f>'P0-3_Scorecard'!M63</f>
        <v/>
      </c>
      <c r="G403" s="18">
        <f>'P0-3_Scorecard'!E63</f>
        <v/>
      </c>
      <c r="H403" s="18">
        <f>'P0-3_Scorecard'!H63</f>
        <v/>
      </c>
      <c r="I403" s="18">
        <f>IF(OR(D403="",E403=""),"INCOMPLETE",IF(AND(D403&gt;=70,E403&lt;60),"DEPENDENCY GAP",IF(AND(D403&gt;=70,G403&lt;F403),"REQUIRED MATURITY GAP","OK")))</f>
        <v/>
      </c>
      <c r="J403" s="18" t="inlineStr">
        <is>
          <t>Academic workforce review</t>
        </is>
      </c>
    </row>
    <row r="404">
      <c r="A404" s="18" t="inlineStr">
        <is>
          <t>CD24</t>
        </is>
      </c>
      <c r="B404" s="18" t="inlineStr">
        <is>
          <t>D11-I08</t>
        </is>
      </c>
      <c r="C404" s="18" t="inlineStr">
        <is>
          <t>D05-I10</t>
        </is>
      </c>
      <c r="D404" s="18">
        <f>'P0-3_Scorecard'!L138</f>
        <v/>
      </c>
      <c r="E404" s="18">
        <f>'P0-3_Scorecard'!L64</f>
        <v/>
      </c>
      <c r="F404" s="18">
        <f>'P0-3_Scorecard'!M64</f>
        <v/>
      </c>
      <c r="G404" s="18">
        <f>'P0-3_Scorecard'!E64</f>
        <v/>
      </c>
      <c r="H404" s="18">
        <f>'P0-3_Scorecard'!H64</f>
        <v/>
      </c>
      <c r="I404" s="18">
        <f>IF(OR(D404="",E404=""),"INCOMPLETE",IF(AND(D404&gt;=70,E404&lt;60),"DEPENDENCY GAP",IF(AND(D404&gt;=70,G404&lt;F404),"REQUIRED MATURITY GAP","OK")))</f>
        <v/>
      </c>
      <c r="J404" s="18" t="inlineStr">
        <is>
          <t>Academic workforce review</t>
        </is>
      </c>
    </row>
    <row r="405">
      <c r="A405" s="18" t="inlineStr">
        <is>
          <t>CD24</t>
        </is>
      </c>
      <c r="B405" s="18" t="inlineStr">
        <is>
          <t>D11-I08</t>
        </is>
      </c>
      <c r="C405" s="18" t="inlineStr">
        <is>
          <t>D05-I12</t>
        </is>
      </c>
      <c r="D405" s="18">
        <f>'P0-3_Scorecard'!L138</f>
        <v/>
      </c>
      <c r="E405" s="18">
        <f>'P0-3_Scorecard'!L66</f>
        <v/>
      </c>
      <c r="F405" s="18">
        <f>'P0-3_Scorecard'!M66</f>
        <v/>
      </c>
      <c r="G405" s="18">
        <f>'P0-3_Scorecard'!E66</f>
        <v/>
      </c>
      <c r="H405" s="18">
        <f>'P0-3_Scorecard'!H66</f>
        <v/>
      </c>
      <c r="I405" s="18">
        <f>IF(OR(D405="",E405=""),"INCOMPLETE",IF(AND(D405&gt;=70,E405&lt;60),"DEPENDENCY GAP",IF(AND(D405&gt;=70,G405&lt;F405),"REQUIRED MATURITY GAP","OK")))</f>
        <v/>
      </c>
      <c r="J405" s="18" t="inlineStr">
        <is>
          <t>Academic workforce review</t>
        </is>
      </c>
    </row>
    <row r="406">
      <c r="A406" s="18" t="inlineStr">
        <is>
          <t>CD25</t>
        </is>
      </c>
      <c r="B406" s="18" t="inlineStr">
        <is>
          <t>D11-I09</t>
        </is>
      </c>
      <c r="C406" s="18" t="inlineStr">
        <is>
          <t>D06-I08</t>
        </is>
      </c>
      <c r="D406" s="18">
        <f>'P0-3_Scorecard'!L139</f>
        <v/>
      </c>
      <c r="E406" s="18">
        <f>'P0-3_Scorecard'!L74</f>
        <v/>
      </c>
      <c r="F406" s="18">
        <f>'P0-3_Scorecard'!M74</f>
        <v/>
      </c>
      <c r="G406" s="18">
        <f>'P0-3_Scorecard'!E74</f>
        <v/>
      </c>
      <c r="H406" s="18">
        <f>'P0-3_Scorecard'!H74</f>
        <v/>
      </c>
      <c r="I406" s="18">
        <f>IF(OR(D406="",E406=""),"INCOMPLETE",IF(AND(D406&gt;=70,E406&lt;60),"DEPENDENCY GAP",IF(AND(D406&gt;=70,G406&lt;F406),"REQUIRED MATURITY GAP","OK")))</f>
        <v/>
      </c>
      <c r="J406" s="18" t="inlineStr">
        <is>
          <t>Learner response review</t>
        </is>
      </c>
    </row>
    <row r="407">
      <c r="A407" s="18" t="inlineStr">
        <is>
          <t>CD25</t>
        </is>
      </c>
      <c r="B407" s="18" t="inlineStr">
        <is>
          <t>D11-I09</t>
        </is>
      </c>
      <c r="C407" s="18" t="inlineStr">
        <is>
          <t>D06-I10</t>
        </is>
      </c>
      <c r="D407" s="18">
        <f>'P0-3_Scorecard'!L139</f>
        <v/>
      </c>
      <c r="E407" s="18">
        <f>'P0-3_Scorecard'!L76</f>
        <v/>
      </c>
      <c r="F407" s="18">
        <f>'P0-3_Scorecard'!M76</f>
        <v/>
      </c>
      <c r="G407" s="18">
        <f>'P0-3_Scorecard'!E76</f>
        <v/>
      </c>
      <c r="H407" s="18">
        <f>'P0-3_Scorecard'!H76</f>
        <v/>
      </c>
      <c r="I407" s="18">
        <f>IF(OR(D407="",E407=""),"INCOMPLETE",IF(AND(D407&gt;=70,E407&lt;60),"DEPENDENCY GAP",IF(AND(D407&gt;=70,G407&lt;F407),"REQUIRED MATURITY GAP","OK")))</f>
        <v/>
      </c>
      <c r="J407" s="18" t="inlineStr">
        <is>
          <t>Learner response review</t>
        </is>
      </c>
    </row>
    <row r="408">
      <c r="A408" s="18" t="inlineStr">
        <is>
          <t>CD25</t>
        </is>
      </c>
      <c r="B408" s="18" t="inlineStr">
        <is>
          <t>D11-I09</t>
        </is>
      </c>
      <c r="C408" s="18" t="inlineStr">
        <is>
          <t>D06-I14</t>
        </is>
      </c>
      <c r="D408" s="18">
        <f>'P0-3_Scorecard'!L139</f>
        <v/>
      </c>
      <c r="E408" s="18">
        <f>'P0-3_Scorecard'!L80</f>
        <v/>
      </c>
      <c r="F408" s="18">
        <f>'P0-3_Scorecard'!M80</f>
        <v/>
      </c>
      <c r="G408" s="18">
        <f>'P0-3_Scorecard'!E80</f>
        <v/>
      </c>
      <c r="H408" s="18">
        <f>'P0-3_Scorecard'!H80</f>
        <v/>
      </c>
      <c r="I408" s="18">
        <f>IF(OR(D408="",E408=""),"INCOMPLETE",IF(AND(D408&gt;=70,E408&lt;60),"DEPENDENCY GAP",IF(AND(D408&gt;=70,G408&lt;F408),"REQUIRED MATURITY GAP","OK")))</f>
        <v/>
      </c>
      <c r="J408" s="18" t="inlineStr">
        <is>
          <t>Learner response review</t>
        </is>
      </c>
    </row>
    <row r="409">
      <c r="A409" s="18" t="inlineStr">
        <is>
          <t>CD25</t>
        </is>
      </c>
      <c r="B409" s="18" t="inlineStr">
        <is>
          <t>D11-I10</t>
        </is>
      </c>
      <c r="C409" s="18" t="inlineStr">
        <is>
          <t>D06-I08</t>
        </is>
      </c>
      <c r="D409" s="18">
        <f>'P0-3_Scorecard'!L140</f>
        <v/>
      </c>
      <c r="E409" s="18">
        <f>'P0-3_Scorecard'!L74</f>
        <v/>
      </c>
      <c r="F409" s="18">
        <f>'P0-3_Scorecard'!M74</f>
        <v/>
      </c>
      <c r="G409" s="18">
        <f>'P0-3_Scorecard'!E74</f>
        <v/>
      </c>
      <c r="H409" s="18">
        <f>'P0-3_Scorecard'!H74</f>
        <v/>
      </c>
      <c r="I409" s="18">
        <f>IF(OR(D409="",E409=""),"INCOMPLETE",IF(AND(D409&gt;=70,E409&lt;60),"DEPENDENCY GAP",IF(AND(D409&gt;=70,G409&lt;F409),"REQUIRED MATURITY GAP","OK")))</f>
        <v/>
      </c>
      <c r="J409" s="18" t="inlineStr">
        <is>
          <t>Learner response review</t>
        </is>
      </c>
    </row>
    <row r="410">
      <c r="A410" s="18" t="inlineStr">
        <is>
          <t>CD25</t>
        </is>
      </c>
      <c r="B410" s="18" t="inlineStr">
        <is>
          <t>D11-I10</t>
        </is>
      </c>
      <c r="C410" s="18" t="inlineStr">
        <is>
          <t>D06-I10</t>
        </is>
      </c>
      <c r="D410" s="18">
        <f>'P0-3_Scorecard'!L140</f>
        <v/>
      </c>
      <c r="E410" s="18">
        <f>'P0-3_Scorecard'!L76</f>
        <v/>
      </c>
      <c r="F410" s="18">
        <f>'P0-3_Scorecard'!M76</f>
        <v/>
      </c>
      <c r="G410" s="18">
        <f>'P0-3_Scorecard'!E76</f>
        <v/>
      </c>
      <c r="H410" s="18">
        <f>'P0-3_Scorecard'!H76</f>
        <v/>
      </c>
      <c r="I410" s="18">
        <f>IF(OR(D410="",E410=""),"INCOMPLETE",IF(AND(D410&gt;=70,E410&lt;60),"DEPENDENCY GAP",IF(AND(D410&gt;=70,G410&lt;F410),"REQUIRED MATURITY GAP","OK")))</f>
        <v/>
      </c>
      <c r="J410" s="18" t="inlineStr">
        <is>
          <t>Learner response review</t>
        </is>
      </c>
    </row>
    <row r="411">
      <c r="A411" s="18" t="inlineStr">
        <is>
          <t>CD25</t>
        </is>
      </c>
      <c r="B411" s="18" t="inlineStr">
        <is>
          <t>D11-I10</t>
        </is>
      </c>
      <c r="C411" s="18" t="inlineStr">
        <is>
          <t>D06-I14</t>
        </is>
      </c>
      <c r="D411" s="18">
        <f>'P0-3_Scorecard'!L140</f>
        <v/>
      </c>
      <c r="E411" s="18">
        <f>'P0-3_Scorecard'!L80</f>
        <v/>
      </c>
      <c r="F411" s="18">
        <f>'P0-3_Scorecard'!M80</f>
        <v/>
      </c>
      <c r="G411" s="18">
        <f>'P0-3_Scorecard'!E80</f>
        <v/>
      </c>
      <c r="H411" s="18">
        <f>'P0-3_Scorecard'!H80</f>
        <v/>
      </c>
      <c r="I411" s="18">
        <f>IF(OR(D411="",E411=""),"INCOMPLETE",IF(AND(D411&gt;=70,E411&lt;60),"DEPENDENCY GAP",IF(AND(D411&gt;=70,G411&lt;F411),"REQUIRED MATURITY GAP","OK")))</f>
        <v/>
      </c>
      <c r="J411" s="18" t="inlineStr">
        <is>
          <t>Learner response review</t>
        </is>
      </c>
    </row>
    <row r="412">
      <c r="A412" s="18" t="inlineStr">
        <is>
          <t>CD25</t>
        </is>
      </c>
      <c r="B412" s="18" t="inlineStr">
        <is>
          <t>D11-I13</t>
        </is>
      </c>
      <c r="C412" s="18" t="inlineStr">
        <is>
          <t>D06-I08</t>
        </is>
      </c>
      <c r="D412" s="18">
        <f>'P0-3_Scorecard'!L143</f>
        <v/>
      </c>
      <c r="E412" s="18">
        <f>'P0-3_Scorecard'!L74</f>
        <v/>
      </c>
      <c r="F412" s="18">
        <f>'P0-3_Scorecard'!M74</f>
        <v/>
      </c>
      <c r="G412" s="18">
        <f>'P0-3_Scorecard'!E74</f>
        <v/>
      </c>
      <c r="H412" s="18">
        <f>'P0-3_Scorecard'!H74</f>
        <v/>
      </c>
      <c r="I412" s="18">
        <f>IF(OR(D412="",E412=""),"INCOMPLETE",IF(AND(D412&gt;=70,E412&lt;60),"DEPENDENCY GAP",IF(AND(D412&gt;=70,G412&lt;F412),"REQUIRED MATURITY GAP","OK")))</f>
        <v/>
      </c>
      <c r="J412" s="18" t="inlineStr">
        <is>
          <t>Learner response review</t>
        </is>
      </c>
    </row>
    <row r="413">
      <c r="A413" s="18" t="inlineStr">
        <is>
          <t>CD25</t>
        </is>
      </c>
      <c r="B413" s="18" t="inlineStr">
        <is>
          <t>D11-I13</t>
        </is>
      </c>
      <c r="C413" s="18" t="inlineStr">
        <is>
          <t>D06-I10</t>
        </is>
      </c>
      <c r="D413" s="18">
        <f>'P0-3_Scorecard'!L143</f>
        <v/>
      </c>
      <c r="E413" s="18">
        <f>'P0-3_Scorecard'!L76</f>
        <v/>
      </c>
      <c r="F413" s="18">
        <f>'P0-3_Scorecard'!M76</f>
        <v/>
      </c>
      <c r="G413" s="18">
        <f>'P0-3_Scorecard'!E76</f>
        <v/>
      </c>
      <c r="H413" s="18">
        <f>'P0-3_Scorecard'!H76</f>
        <v/>
      </c>
      <c r="I413" s="18">
        <f>IF(OR(D413="",E413=""),"INCOMPLETE",IF(AND(D413&gt;=70,E413&lt;60),"DEPENDENCY GAP",IF(AND(D413&gt;=70,G413&lt;F413),"REQUIRED MATURITY GAP","OK")))</f>
        <v/>
      </c>
      <c r="J413" s="18" t="inlineStr">
        <is>
          <t>Learner response review</t>
        </is>
      </c>
    </row>
    <row r="414">
      <c r="A414" s="18" t="inlineStr">
        <is>
          <t>CD25</t>
        </is>
      </c>
      <c r="B414" s="18" t="inlineStr">
        <is>
          <t>D11-I13</t>
        </is>
      </c>
      <c r="C414" s="18" t="inlineStr">
        <is>
          <t>D06-I14</t>
        </is>
      </c>
      <c r="D414" s="18">
        <f>'P0-3_Scorecard'!L143</f>
        <v/>
      </c>
      <c r="E414" s="18">
        <f>'P0-3_Scorecard'!L80</f>
        <v/>
      </c>
      <c r="F414" s="18">
        <f>'P0-3_Scorecard'!M80</f>
        <v/>
      </c>
      <c r="G414" s="18">
        <f>'P0-3_Scorecard'!E80</f>
        <v/>
      </c>
      <c r="H414" s="18">
        <f>'P0-3_Scorecard'!H80</f>
        <v/>
      </c>
      <c r="I414" s="18">
        <f>IF(OR(D414="",E414=""),"INCOMPLETE",IF(AND(D414&gt;=70,E414&lt;60),"DEPENDENCY GAP",IF(AND(D414&gt;=70,G414&lt;F414),"REQUIRED MATURITY GAP","OK")))</f>
        <v/>
      </c>
      <c r="J414" s="18" t="inlineStr">
        <is>
          <t>Learner response review</t>
        </is>
      </c>
    </row>
  </sheetData>
  <autoFilter ref="A1:J414"/>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20" customWidth="1" min="3" max="3"/>
    <col width="72" customWidth="1" min="4" max="4"/>
    <col width="78" customWidth="1" min="5" max="5"/>
  </cols>
  <sheetData>
    <row r="1">
      <c r="A1" s="28" t="inlineStr">
        <is>
          <t>Protection ID</t>
        </is>
      </c>
      <c r="B1" s="28" t="inlineStr">
        <is>
          <t>Shared Event/Construct</t>
        </is>
      </c>
      <c r="C1" s="28" t="inlineStr">
        <is>
          <t>Boundary</t>
        </is>
      </c>
      <c r="D1" s="28" t="inlineStr">
        <is>
          <t>Primary Ownership Rule</t>
        </is>
      </c>
      <c r="E1" s="28" t="inlineStr">
        <is>
          <t>Anti-Double-Count Rule</t>
        </is>
      </c>
    </row>
    <row r="2">
      <c r="A2" s="18" t="inlineStr">
        <is>
          <t>DC01</t>
        </is>
      </c>
      <c r="B2" s="18" t="inlineStr">
        <is>
          <t>Programme review/change event</t>
        </is>
      </c>
      <c r="C2" s="18" t="inlineStr">
        <is>
          <t>D01 vs D04</t>
        </is>
      </c>
      <c r="D2" s="18" t="inlineStr">
        <is>
          <t>D01 scores strategic portfolio foresight/decision; D04 scores programme review mechanics and implementation.</t>
        </is>
      </c>
      <c r="E2" s="18" t="inlineStr">
        <is>
          <t>Same event cannot be used as evidence for both scores unless separate evidence establishes separate constructs.</t>
        </is>
      </c>
    </row>
    <row r="3">
      <c r="A3" s="18" t="inlineStr">
        <is>
          <t>DC02</t>
        </is>
      </c>
      <c r="B3" s="18" t="inlineStr">
        <is>
          <t>Assessment integrity governance</t>
        </is>
      </c>
      <c r="C3" s="18" t="inlineStr">
        <is>
          <t>D02 vs D07</t>
        </is>
      </c>
      <c r="D3" s="18" t="inlineStr">
        <is>
          <t>D02 scores governance/control; D07 scores actual assessment architecture/evidence.</t>
        </is>
      </c>
      <c r="E3" s="18" t="inlineStr">
        <is>
          <t>Policy alone cannot uplift D07.</t>
        </is>
      </c>
    </row>
    <row r="4">
      <c r="A4" s="18" t="inlineStr">
        <is>
          <t>DC03</t>
        </is>
      </c>
      <c r="B4" s="18" t="inlineStr">
        <is>
          <t>Human capability architecture</t>
        </is>
      </c>
      <c r="C4" s="18" t="inlineStr">
        <is>
          <t>D03 vs D06</t>
        </is>
      </c>
      <c r="D4" s="18" t="inlineStr">
        <is>
          <t>D03 scores institutional capability design; D06 scores student lived capability/agency.</t>
        </is>
      </c>
      <c r="E4" s="18" t="inlineStr">
        <is>
          <t>Student outcomes do not automatically uplift D03.</t>
        </is>
      </c>
    </row>
    <row r="5">
      <c r="A5" s="18" t="inlineStr">
        <is>
          <t>DC04</t>
        </is>
      </c>
      <c r="B5" s="18" t="inlineStr">
        <is>
          <t>Faculty assessment redesign</t>
        </is>
      </c>
      <c r="C5" s="18" t="inlineStr">
        <is>
          <t>D05 vs D07</t>
        </is>
      </c>
      <c r="D5" s="18" t="inlineStr">
        <is>
          <t>D05 scores faculty capability/practice; D07 scores assessment system quality.</t>
        </is>
      </c>
      <c r="E5" s="18" t="inlineStr">
        <is>
          <t>Training completion is not assessment quality.</t>
        </is>
      </c>
    </row>
    <row r="6">
      <c r="A6" s="18" t="inlineStr">
        <is>
          <t>DC05</t>
        </is>
      </c>
      <c r="B6" s="18" t="inlineStr">
        <is>
          <t>Employer signal</t>
        </is>
      </c>
      <c r="C6" s="18" t="inlineStr">
        <is>
          <t>D04 vs D09</t>
        </is>
      </c>
      <c r="D6" s="18" t="inlineStr">
        <is>
          <t>D09 owns external employer signal; D04 may use it as an input to programme change.</t>
        </is>
      </c>
      <c r="E6" s="18" t="inlineStr">
        <is>
          <t>Do not score the same employer evidence as both external relevance and programme adaptation.</t>
        </is>
      </c>
    </row>
    <row r="7">
      <c r="A7" s="18" t="inlineStr">
        <is>
          <t>DC06</t>
        </is>
      </c>
      <c r="B7" s="18" t="inlineStr">
        <is>
          <t>Data/digital enablement</t>
        </is>
      </c>
      <c r="C7" s="18" t="inlineStr">
        <is>
          <t>D08 vs D07</t>
        </is>
      </c>
      <c r="D7" s="18" t="inlineStr">
        <is>
          <t>D08 scores digital/data capability; D07 scores evidence quality.</t>
        </is>
      </c>
      <c r="E7" s="18" t="inlineStr">
        <is>
          <t>Availability of a system does not prove learning evidence quality.</t>
        </is>
      </c>
    </row>
    <row r="8">
      <c r="A8" s="18" t="inlineStr">
        <is>
          <t>DC07</t>
        </is>
      </c>
      <c r="B8" s="18" t="inlineStr">
        <is>
          <t>Research impact</t>
        </is>
      </c>
      <c r="C8" s="18" t="inlineStr">
        <is>
          <t>D10 vs D09</t>
        </is>
      </c>
      <c r="D8" s="18" t="inlineStr">
        <is>
          <t>D10 owns research/innovation value; D09 owns external employability/economic relevance.</t>
        </is>
      </c>
      <c r="E8" s="18" t="inlineStr">
        <is>
          <t>A research output is not automatically an employability outcome.</t>
        </is>
      </c>
    </row>
    <row r="9">
      <c r="A9" s="18" t="inlineStr">
        <is>
          <t>DC08</t>
        </is>
      </c>
      <c r="B9" s="18" t="inlineStr">
        <is>
          <t>Institutional adaptation</t>
        </is>
      </c>
      <c r="C9" s="18" t="inlineStr">
        <is>
          <t>D11 vs all domains</t>
        </is>
      </c>
      <c r="D9" s="18" t="inlineStr">
        <is>
          <t>D11 scores institutional ability to sense, decide, reallocate, experiment and learn.</t>
        </is>
      </c>
      <c r="E9" s="18" t="inlineStr">
        <is>
          <t>A local improvement does not automatically establish institutional adaptability.</t>
        </is>
      </c>
    </row>
  </sheetData>
  <autoFilter ref="A1:E9"/>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 width="60" customWidth="1" min="3" max="3"/>
    <col width="25" customWidth="1" min="4" max="4"/>
    <col width="45" customWidth="1" min="5" max="5"/>
  </cols>
  <sheetData>
    <row r="1">
      <c r="A1" s="28" t="inlineStr">
        <is>
          <t>Diagnostic</t>
        </is>
      </c>
      <c r="B1" s="28" t="inlineStr">
        <is>
          <t>Definition</t>
        </is>
      </c>
      <c r="C1" s="28" t="inlineStr">
        <is>
          <t>How Triggered</t>
        </is>
      </c>
      <c r="D1" s="28" t="inlineStr">
        <is>
          <t>Score Effect</t>
        </is>
      </c>
      <c r="E1" s="28" t="inlineStr">
        <is>
          <t>Recommended Use</t>
        </is>
      </c>
    </row>
    <row r="2">
      <c r="A2" s="18" t="inlineStr">
        <is>
          <t>Institutional Coherence</t>
        </is>
      </c>
      <c r="B2" s="18" t="inlineStr">
        <is>
          <t>Degree to which linked domains support rather than contradict one another.</t>
        </is>
      </c>
      <c r="C2" s="18" t="inlineStr">
        <is>
          <t>Count HIGH contradictions and MEDIUM dependency gaps in P0-5_Contradiction_Engine.</t>
        </is>
      </c>
      <c r="D2" s="18" t="inlineStr">
        <is>
          <t>NO DIRECT SCORE EFFECT</t>
        </is>
      </c>
      <c r="E2" s="18" t="inlineStr">
        <is>
          <t>Prioritise verification/deep-dive.</t>
        </is>
      </c>
    </row>
    <row r="3">
      <c r="A3" s="18" t="inlineStr">
        <is>
          <t>Strategy-to-Execution Coherence</t>
        </is>
      </c>
      <c r="B3" s="18" t="inlineStr">
        <is>
          <t>Whether strategy claims are visible in governance, programmes, capability and adaptation.</t>
        </is>
      </c>
      <c r="C3" s="18" t="inlineStr">
        <is>
          <t>CD01–CD04 triggers.</t>
        </is>
      </c>
      <c r="D3" s="18" t="inlineStr">
        <is>
          <t>NO DIRECT SCORE EFFECT</t>
        </is>
      </c>
      <c r="E3" s="18" t="inlineStr">
        <is>
          <t>Board/leadership diagnosis.</t>
        </is>
      </c>
    </row>
    <row r="4">
      <c r="A4" s="18" t="inlineStr">
        <is>
          <t>Capability-to-Proof Coherence</t>
        </is>
      </c>
      <c r="B4" s="18" t="inlineStr">
        <is>
          <t>Whether intended human capabilities are operationalised and demonstrated.</t>
        </is>
      </c>
      <c r="C4" s="18" t="inlineStr">
        <is>
          <t>CD08–CD12 triggers.</t>
        </is>
      </c>
      <c r="D4" s="18" t="inlineStr">
        <is>
          <t>NO DIRECT SCORE EFFECT</t>
        </is>
      </c>
      <c r="E4" s="18" t="inlineStr">
        <is>
          <t>Curriculum/faculty/assessment diagnosis.</t>
        </is>
      </c>
    </row>
    <row r="5">
      <c r="A5" s="18" t="inlineStr">
        <is>
          <t>Capability-to-Career Coherence</t>
        </is>
      </c>
      <c r="B5" s="18" t="inlineStr">
        <is>
          <t>Whether student capability translates into external relevance and outcomes.</t>
        </is>
      </c>
      <c r="C5" s="18" t="inlineStr">
        <is>
          <t>CD13 and CD18 triggers.</t>
        </is>
      </c>
      <c r="D5" s="18" t="inlineStr">
        <is>
          <t>NO DIRECT SCORE EFFECT</t>
        </is>
      </c>
      <c r="E5" s="18" t="inlineStr">
        <is>
          <t>Employability diagnosis.</t>
        </is>
      </c>
    </row>
    <row r="6">
      <c r="A6" s="18" t="inlineStr">
        <is>
          <t>Intelligence-to-Action Coherence</t>
        </is>
      </c>
      <c r="B6" s="18" t="inlineStr">
        <is>
          <t>Whether data, employer, research and external signals lead to institutional action.</t>
        </is>
      </c>
      <c r="C6" s="18" t="inlineStr">
        <is>
          <t>CD14–CD16 and CD19–CD25 triggers.</t>
        </is>
      </c>
      <c r="D6" s="18" t="inlineStr">
        <is>
          <t>NO DIRECT SCORE EFFECT</t>
        </is>
      </c>
      <c r="E6" s="18" t="inlineStr">
        <is>
          <t>Transformation diagnosis.</t>
        </is>
      </c>
    </row>
    <row r="7">
      <c r="A7" s="18" t="inlineStr">
        <is>
          <t>Governance-to-Practice Coherence</t>
        </is>
      </c>
      <c r="B7" s="18" t="inlineStr">
        <is>
          <t>Whether policy/control architecture is visible in actual operational practice.</t>
        </is>
      </c>
      <c r="C7" s="18" t="inlineStr">
        <is>
          <t>CD05–CD07 triggers.</t>
        </is>
      </c>
      <c r="D7" s="18" t="inlineStr">
        <is>
          <t>NO DIRECT SCORE EFFECT</t>
        </is>
      </c>
      <c r="E7" s="18" t="inlineStr">
        <is>
          <t>Risk and assurance diagnosis.</t>
        </is>
      </c>
    </row>
  </sheetData>
  <autoFilter ref="A1:E7"/>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D8"/>
  <sheetViews>
    <sheetView showGridLines="0" workbookViewId="0">
      <pane ySplit="1" topLeftCell="A2" activePane="bottomLeft" state="frozen"/>
      <selection pane="bottomLeft" activeCell="A1" sqref="A1"/>
    </sheetView>
  </sheetViews>
  <sheetFormatPr baseColWidth="8" defaultRowHeight="15"/>
  <cols>
    <col width="32" customWidth="1" min="1" max="1"/>
    <col width="24" customWidth="1" min="2" max="2"/>
    <col width="78" customWidth="1" min="3" max="3"/>
    <col width="48" customWidth="1" min="4" max="4"/>
  </cols>
  <sheetData>
    <row r="1">
      <c r="A1" s="28" t="inlineStr">
        <is>
          <t>Indicator</t>
        </is>
      </c>
      <c r="B1" s="28" t="inlineStr">
        <is>
          <t>Value</t>
        </is>
      </c>
      <c r="C1" s="28" t="inlineStr">
        <is>
          <t>Interpretation</t>
        </is>
      </c>
      <c r="D1" s="28" t="inlineStr">
        <is>
          <t>Action</t>
        </is>
      </c>
    </row>
    <row r="2">
      <c r="A2" s="18" t="inlineStr">
        <is>
          <t>Total linkage checks</t>
        </is>
      </c>
      <c r="B2" s="18">
        <f>COUNTA('P0-5_Contradiction_Engine'!A2:A5000)</f>
        <v/>
      </c>
      <c r="C2" s="18" t="inlineStr">
        <is>
          <t>All explicit metric-to-metric dependency checks generated.</t>
        </is>
      </c>
      <c r="D2" s="18" t="inlineStr">
        <is>
          <t>Review coverage; no score effect.</t>
        </is>
      </c>
    </row>
    <row r="3">
      <c r="A3" s="18" t="inlineStr">
        <is>
          <t>HIGH contradictions</t>
        </is>
      </c>
      <c r="B3" s="18">
        <f>COUNTIF('P0-5_Contradiction_Engine'!K2:K5000,"HIGH")</f>
        <v/>
      </c>
      <c r="C3" s="18" t="inlineStr">
        <is>
          <t>Strong upstream claim with materially weak linked downstream capability.</t>
        </is>
      </c>
      <c r="D3" s="18" t="inlineStr">
        <is>
          <t>Priority verification.</t>
        </is>
      </c>
    </row>
    <row r="4">
      <c r="A4" s="18" t="inlineStr">
        <is>
          <t>MEDIUM dependency gaps</t>
        </is>
      </c>
      <c r="B4" s="18">
        <f>COUNTIF('P0-5_Contradiction_Engine'!K2:K5000,"MEDIUM")</f>
        <v/>
      </c>
      <c r="C4" s="18" t="inlineStr">
        <is>
          <t>Upstream strength is not matched by downstream strength.</t>
        </is>
      </c>
      <c r="D4" s="18" t="inlineStr">
        <is>
          <t>Targeted deep-dive.</t>
        </is>
      </c>
    </row>
    <row r="5">
      <c r="A5" s="18" t="inlineStr">
        <is>
          <t>Incomplete linkage checks</t>
        </is>
      </c>
      <c r="B5" s="18">
        <f>COUNTIF('P0-5_Contradiction_Engine'!J2:J5000,"INCOMPLETE")</f>
        <v/>
      </c>
      <c r="C5" s="18" t="inlineStr">
        <is>
          <t>Insufficient score inputs for a cross-domain conclusion.</t>
        </is>
      </c>
      <c r="D5" s="18" t="inlineStr">
        <is>
          <t>Complete assessment; do not infer.</t>
        </is>
      </c>
    </row>
    <row r="6">
      <c r="A6" s="18" t="inlineStr">
        <is>
          <t>No-trigger checks</t>
        </is>
      </c>
      <c r="B6" s="18">
        <f>COUNTIF('P0-5_Contradiction_Engine'!J2:J5000,"NO TRIGGER")</f>
        <v/>
      </c>
      <c r="C6" s="18" t="inlineStr">
        <is>
          <t>Linked metrics currently show no contradiction/dependency trigger.</t>
        </is>
      </c>
      <c r="D6" s="18" t="inlineStr">
        <is>
          <t>No additional action from this rule.</t>
        </is>
      </c>
    </row>
    <row r="7">
      <c r="A7" s="18" t="inlineStr">
        <is>
          <t>Cross-domain integrity status</t>
        </is>
      </c>
      <c r="B7" s="18">
        <f>IF(B3&gt;0,"REVIEW REQUIRED",IF(B4&gt;0,"DATA COMPLETION REQUIRED","COHERENT — SUBJECT TO EVIDENCE"))</f>
        <v/>
      </c>
      <c r="C7" s="18" t="inlineStr">
        <is>
          <t>Diagnostic coherence status; not an accreditation result.</t>
        </is>
      </c>
      <c r="D7" s="18" t="inlineStr">
        <is>
          <t>Use with assessor judgement.</t>
        </is>
      </c>
    </row>
    <row r="8">
      <c r="A8" s="18" t="inlineStr">
        <is>
          <t>Score adjustment</t>
        </is>
      </c>
      <c r="B8" s="18">
        <f>0</f>
        <v/>
      </c>
      <c r="C8" s="18" t="inlineStr">
        <is>
          <t>Cross-domain rules never add or subtract ARUI score.</t>
        </is>
      </c>
      <c r="D8" s="18" t="inlineStr">
        <is>
          <t>Protect index integrity.</t>
        </is>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6" customWidth="1" min="1" max="1"/>
    <col width="55" customWidth="1" min="2" max="2"/>
    <col width="18" customWidth="1" min="3" max="3"/>
    <col width="75" customWidth="1" min="4" max="4"/>
    <col width="45" customWidth="1" min="5" max="5"/>
  </cols>
  <sheetData>
    <row r="1">
      <c r="A1" s="28" t="inlineStr">
        <is>
          <t>Gate</t>
        </is>
      </c>
      <c r="B1" s="28" t="inlineStr">
        <is>
          <t>Requirement</t>
        </is>
      </c>
      <c r="C1" s="28" t="inlineStr">
        <is>
          <t>Status</t>
        </is>
      </c>
      <c r="D1" s="28" t="inlineStr">
        <is>
          <t>Test / Evidence</t>
        </is>
      </c>
      <c r="E1" s="28" t="inlineStr">
        <is>
          <t>Release Rule</t>
        </is>
      </c>
    </row>
    <row r="2">
      <c r="A2" s="18" t="inlineStr">
        <is>
          <t>P0-5-G01</t>
        </is>
      </c>
      <c r="B2" s="18" t="inlineStr">
        <is>
          <t>Every cross-domain relationship has explicit metric-level linkage</t>
        </is>
      </c>
      <c r="C2" s="18" t="inlineStr">
        <is>
          <t>PASS</t>
        </is>
      </c>
      <c r="D2" s="18" t="inlineStr">
        <is>
          <t>413 metric-pair link rows generated from 25 canonical rules.</t>
        </is>
      </c>
      <c r="E2" s="18" t="inlineStr">
        <is>
          <t>Required before P0-5 release.</t>
        </is>
      </c>
    </row>
    <row r="3">
      <c r="A3" s="18" t="inlineStr">
        <is>
          <t>P0-5-G02</t>
        </is>
      </c>
      <c r="B3" s="18" t="inlineStr">
        <is>
          <t>Contradiction logic is executable</t>
        </is>
      </c>
      <c r="C3" s="18" t="inlineStr">
        <is>
          <t>PASS</t>
        </is>
      </c>
      <c r="D3" s="18" t="inlineStr">
        <is>
          <t>Each linked metric pair has formula-based contradiction/dependency trigger.</t>
        </is>
      </c>
      <c r="E3" s="18" t="inlineStr">
        <is>
          <t>Required before P0-5 release.</t>
        </is>
      </c>
    </row>
    <row r="4">
      <c r="A4" s="18" t="inlineStr">
        <is>
          <t>P0-5-G03</t>
        </is>
      </c>
      <c r="B4" s="18" t="inlineStr">
        <is>
          <t>Cross-domain rules do not alter metric/domain scores</t>
        </is>
      </c>
      <c r="C4" s="18" t="inlineStr">
        <is>
          <t>PASS</t>
        </is>
      </c>
      <c r="D4" s="18" t="inlineStr">
        <is>
          <t>Diagnostic sheets contain no score-adjustment formulas; explicit Score adjustment = 0.</t>
        </is>
      </c>
      <c r="E4" s="18" t="inlineStr">
        <is>
          <t>Non-negotiable.</t>
        </is>
      </c>
    </row>
    <row r="5">
      <c r="A5" s="18" t="inlineStr">
        <is>
          <t>P0-5-G04</t>
        </is>
      </c>
      <c r="B5" s="18" t="inlineStr">
        <is>
          <t>Double-count boundaries are explicit</t>
        </is>
      </c>
      <c r="C5" s="18" t="inlineStr">
        <is>
          <t>PASS</t>
        </is>
      </c>
      <c r="D5" s="18" t="inlineStr">
        <is>
          <t>Eight canonical protection rules.</t>
        </is>
      </c>
      <c r="E5" s="18" t="inlineStr">
        <is>
          <t>Required before P0-5 release.</t>
        </is>
      </c>
    </row>
    <row r="6">
      <c r="A6" s="18" t="inlineStr">
        <is>
          <t>P0-5-G05</t>
        </is>
      </c>
      <c r="B6" s="18" t="inlineStr">
        <is>
          <t>Incomplete inputs are not inferred</t>
        </is>
      </c>
      <c r="C6" s="18" t="inlineStr">
        <is>
          <t>PASS</t>
        </is>
      </c>
      <c r="D6" s="18" t="inlineStr">
        <is>
          <t>INCOMPLETE is explicit state; no automatic score substitution.</t>
        </is>
      </c>
      <c r="E6" s="18" t="inlineStr">
        <is>
          <t>Non-negotiable.</t>
        </is>
      </c>
    </row>
    <row r="7">
      <c r="A7" s="18" t="inlineStr">
        <is>
          <t>P0-5-G06</t>
        </is>
      </c>
      <c r="B7" s="18" t="inlineStr">
        <is>
          <t>Empirical validation</t>
        </is>
      </c>
      <c r="C7" s="18" t="inlineStr">
        <is>
          <t>PENDING</t>
        </is>
      </c>
      <c r="D7" s="18" t="inlineStr">
        <is>
          <t>Pilot, assessor calibration, inter-rater/test-retest and known-groups validation remain necessary.</t>
        </is>
      </c>
      <c r="E7" s="18" t="inlineStr">
        <is>
          <t>Do not claim validated public benchmark.</t>
        </is>
      </c>
    </row>
  </sheetData>
  <autoFilter ref="A1:E7"/>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28" t="inlineStr">
        <is>
          <t>Item</t>
        </is>
      </c>
      <c r="B1" s="28" t="inlineStr">
        <is>
          <t>Specification</t>
        </is>
      </c>
    </row>
    <row r="2">
      <c r="A2" s="18" t="inlineStr">
        <is>
          <t>Purpose</t>
        </is>
      </c>
      <c r="B2" s="18" t="inlineStr">
        <is>
          <t>Convert the 11-domain model from parallel scoring into an institutional coherence and contradiction-detection engine.</t>
        </is>
      </c>
    </row>
    <row r="3">
      <c r="A3" s="18" t="inlineStr">
        <is>
          <t>Core principle</t>
        </is>
      </c>
      <c r="B3" s="18" t="inlineStr">
        <is>
          <t>Cross-domain intelligence diagnoses contradictions/dependencies; it does not directly change scores.</t>
        </is>
      </c>
    </row>
    <row r="4">
      <c r="A4" s="18" t="inlineStr">
        <is>
          <t>Trigger tiers</t>
        </is>
      </c>
      <c r="B4" s="18" t="inlineStr">
        <is>
          <t>CONTRADICTION = upstream metric score ≥80 and linked downstream score &lt;50. DEPENDENCY GAP = upstream ≥70 and downstream &lt;70. REQUIRED MATURITY GAP = upstream ≥70 while downstream maturity is below its context-derived required maturity.</t>
        </is>
      </c>
    </row>
    <row r="5">
      <c r="A5" s="18" t="inlineStr">
        <is>
          <t>Incomplete handling</t>
        </is>
      </c>
      <c r="B5" s="18" t="inlineStr">
        <is>
          <t>If required score inputs are absent, status is INCOMPLETE. The engine never treats missing evidence as contradiction.</t>
        </is>
      </c>
    </row>
    <row r="6">
      <c r="A6" s="18" t="inlineStr">
        <is>
          <t>Double counting</t>
        </is>
      </c>
      <c r="B6" s="18" t="inlineStr">
        <is>
          <t>Shared events remain owned by the canonical domain boundary. Cross-domain evidence can validate relationships without being counted twice.</t>
        </is>
      </c>
    </row>
    <row r="7">
      <c r="A7" s="18" t="inlineStr">
        <is>
          <t>Evidence logic</t>
        </is>
      </c>
      <c r="B7" s="18" t="inlineStr">
        <is>
          <t>The cross-domain engine uses the scorecard outputs; evidence confidence remains separate from capability score. High-confidence contradiction conclusions still require assessor verification.</t>
        </is>
      </c>
    </row>
    <row r="8">
      <c r="A8" s="18" t="inlineStr">
        <is>
          <t>No score manipulation</t>
        </is>
      </c>
      <c r="B8" s="18" t="inlineStr">
        <is>
          <t>No bonus, penalty or automatic redistribution is applied from cross-domain flags. The purpose is diagnostic integrity and targeted verification.</t>
        </is>
      </c>
    </row>
    <row r="9">
      <c r="A9" s="18" t="inlineStr">
        <is>
          <t>Validation requirement</t>
        </is>
      </c>
      <c r="B9" s="18" t="inlineStr">
        <is>
          <t>Thresholds and linkage pairs are methodology synthesis and must be pilot-tested for sensitivity, false positives, assessor agreement and usefulness.</t>
        </is>
      </c>
    </row>
  </sheetData>
  <autoFilter ref="A1:B9"/>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4" customWidth="1" min="1" max="1"/>
    <col width="75" customWidth="1" min="2" max="2"/>
    <col width="70" customWidth="1" min="3" max="3"/>
  </cols>
  <sheetData>
    <row r="1">
      <c r="A1" s="28" t="inlineStr">
        <is>
          <t>Version</t>
        </is>
      </c>
      <c r="B1" s="28" t="inlineStr">
        <is>
          <t>Change</t>
        </is>
      </c>
      <c r="C1" s="28" t="inlineStr">
        <is>
          <t>Reason</t>
        </is>
      </c>
    </row>
    <row r="2">
      <c r="A2" s="18" t="inlineStr">
        <is>
          <t>P0-5</t>
        </is>
      </c>
      <c r="B2" s="18" t="inlineStr">
        <is>
          <t>Added 25 canonical cross-domain rules with metric-level executable linkages.</t>
        </is>
      </c>
      <c r="C2" s="18" t="inlineStr">
        <is>
          <t>Convert narrative relationships into executable diagnostics.</t>
        </is>
      </c>
    </row>
    <row r="3">
      <c r="A3" s="18" t="inlineStr">
        <is>
          <t>P0-5</t>
        </is>
      </c>
      <c r="B3" s="18" t="inlineStr">
        <is>
          <t>Added contradiction, dependency and required-maturity-gap detection.</t>
        </is>
      </c>
      <c r="C3" s="18" t="inlineStr">
        <is>
          <t>Detect unsupported institutional claims and downstream capability gaps.</t>
        </is>
      </c>
    </row>
    <row r="4">
      <c r="A4" s="18" t="inlineStr">
        <is>
          <t>P0-5</t>
        </is>
      </c>
      <c r="B4" s="18" t="inlineStr">
        <is>
          <t>Added double-count protection matrix.</t>
        </is>
      </c>
      <c r="C4" s="18" t="inlineStr">
        <is>
          <t>Prevent the same event/evidence from inflating multiple domains.</t>
        </is>
      </c>
    </row>
    <row r="5">
      <c r="A5" s="18" t="inlineStr">
        <is>
          <t>P0-5</t>
        </is>
      </c>
      <c r="B5" s="18" t="inlineStr">
        <is>
          <t>Added executive diagnostic summary and acceptance gates.</t>
        </is>
      </c>
      <c r="C5" s="18" t="inlineStr">
        <is>
          <t>Make the engine usable for assessor/leadership diagnosis while keeping scoring independent.</t>
        </is>
      </c>
    </row>
  </sheetData>
  <autoFilter ref="A1:C5"/>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R144"/>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46" customWidth="1" min="3" max="3"/>
    <col width="37" customWidth="1" min="4" max="4"/>
    <col width="24" customWidth="1" min="5" max="5"/>
    <col width="47"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4" customWidth="1" min="15" max="15"/>
    <col width="55" customWidth="1" min="16" max="16"/>
    <col width="32" customWidth="1" min="17" max="17"/>
    <col width="12" customWidth="1" min="18" max="18"/>
  </cols>
  <sheetData>
    <row r="1">
      <c r="A1" s="29" t="inlineStr">
        <is>
          <t>Domain</t>
        </is>
      </c>
      <c r="B1" s="29" t="inlineStr">
        <is>
          <t>Metric ID</t>
        </is>
      </c>
      <c r="C1" s="29" t="inlineStr">
        <is>
          <t>Metric</t>
        </is>
      </c>
      <c r="D1" s="29" t="inlineStr">
        <is>
          <t>Evidence Gate</t>
        </is>
      </c>
      <c r="E1" s="29" t="inlineStr">
        <is>
          <t>Minimum Evidence Level</t>
        </is>
      </c>
      <c r="F1" s="29" t="inlineStr">
        <is>
          <t>Primary Evidence Type</t>
        </is>
      </c>
      <c r="G1" s="29" t="inlineStr">
        <is>
          <t>Required Evidence</t>
        </is>
      </c>
      <c r="H1" s="29" t="inlineStr">
        <is>
          <t>Recency Rule</t>
        </is>
      </c>
      <c r="I1" s="29" t="inlineStr">
        <is>
          <t>Triangulation Rule</t>
        </is>
      </c>
      <c r="J1" s="29" t="inlineStr">
        <is>
          <t>Independence Rule</t>
        </is>
      </c>
      <c r="K1" s="29" t="inlineStr">
        <is>
          <t>Evidence Reuse Rule</t>
        </is>
      </c>
      <c r="L1" s="29" t="inlineStr">
        <is>
          <t>Temporal Validity</t>
        </is>
      </c>
      <c r="M1" s="29" t="inlineStr">
        <is>
          <t>Outcome Evidence Eligibility</t>
        </is>
      </c>
      <c r="N1" s="29" t="inlineStr">
        <is>
          <t>Anti-Gaming Test</t>
        </is>
      </c>
      <c r="O1" s="29" t="inlineStr">
        <is>
          <t>Cross-Domain Consistency</t>
        </is>
      </c>
      <c r="P1" s="29" t="inlineStr">
        <is>
          <t>Confidence Output</t>
        </is>
      </c>
      <c r="Q1" s="29" t="inlineStr">
        <is>
          <t>Owner</t>
        </is>
      </c>
      <c r="R1" s="29" t="inlineStr">
        <is>
          <t>Status</t>
        </is>
      </c>
    </row>
    <row r="2">
      <c r="A2" t="inlineStr">
        <is>
          <t>D01</t>
        </is>
      </c>
      <c r="B2" t="inlineStr">
        <is>
          <t>I01</t>
        </is>
      </c>
      <c r="C2" t="inlineStr">
        <is>
          <t>Strategic AI Integration</t>
        </is>
      </c>
      <c r="D2" t="inlineStr">
        <is>
          <t>Required for validated metric score</t>
        </is>
      </c>
      <c r="E2" t="inlineStr">
        <is>
          <t>E1</t>
        </is>
      </c>
      <c r="F2" t="inlineStr">
        <is>
          <t>Institutional artifact + operational evidence</t>
        </is>
      </c>
      <c r="G2" t="inlineStr">
        <is>
          <t>Evidence must directly substantiate the construct; prefer operational and outcome evidence where logically applicable</t>
        </is>
      </c>
      <c r="H2" t="inlineStr">
        <is>
          <t>Current assessment cycle preferred; stale evidence requires justification</t>
        </is>
      </c>
      <c r="I2" t="inlineStr">
        <is>
          <t>2 corroborating sources for high-consequence or high-score claims</t>
        </is>
      </c>
      <c r="J2" t="inlineStr">
        <is>
          <t>Independent source preferred for E3/E4 and high-score claims</t>
        </is>
      </c>
      <c r="K2" t="inlineStr">
        <is>
          <t>Reuse allowed only with construct-specific field mapping; otherwise flag</t>
        </is>
      </c>
      <c r="L2" t="inlineStr">
        <is>
          <t>Policy/ops 12–24 months; outcomes 24–36 months unless metric-specific</t>
        </is>
      </c>
      <c r="M2" t="inlineStr">
        <is>
          <t>Only where observable outcome logically belongs to the construct</t>
        </is>
      </c>
      <c r="N2" t="inlineStr">
        <is>
          <t>Claim-only, policy-only, duplicate or unverifiable evidence cannot create strong confidence</t>
        </is>
      </c>
      <c r="O2" t="inlineStr">
        <is>
          <t>Check P0-5 linked-domain contradictions/dependencies</t>
        </is>
      </c>
      <c r="P2" t="inlineStr">
        <is>
          <t>Report confidence separately; never multiply capability score by confidence</t>
        </is>
      </c>
      <c r="Q2" t="inlineStr">
        <is>
          <t>Assessment / Verification Lead</t>
        </is>
      </c>
      <c r="R2" t="inlineStr">
        <is>
          <t>GREEN</t>
        </is>
      </c>
    </row>
    <row r="3">
      <c r="A3" t="inlineStr">
        <is>
          <t>D01</t>
        </is>
      </c>
      <c r="B3" t="inlineStr">
        <is>
          <t>I02</t>
        </is>
      </c>
      <c r="C3" t="inlineStr">
        <is>
          <t>Future Foresight Maturity</t>
        </is>
      </c>
      <c r="D3" t="inlineStr">
        <is>
          <t>Required for validated metric score</t>
        </is>
      </c>
      <c r="E3" t="inlineStr">
        <is>
          <t>E1</t>
        </is>
      </c>
      <c r="F3" t="inlineStr">
        <is>
          <t>Institutional artifact + operational evidence</t>
        </is>
      </c>
      <c r="G3" t="inlineStr">
        <is>
          <t>Evidence must directly substantiate the construct; prefer operational and outcome evidence where logically applicable</t>
        </is>
      </c>
      <c r="H3" t="inlineStr">
        <is>
          <t>Current assessment cycle preferred; stale evidence requires justification</t>
        </is>
      </c>
      <c r="I3" t="inlineStr">
        <is>
          <t>2 corroborating sources for high-consequence or high-score claims</t>
        </is>
      </c>
      <c r="J3" t="inlineStr">
        <is>
          <t>Independent source preferred for E3/E4 and high-score claims</t>
        </is>
      </c>
      <c r="K3" t="inlineStr">
        <is>
          <t>Reuse allowed only with construct-specific field mapping; otherwise flag</t>
        </is>
      </c>
      <c r="L3" t="inlineStr">
        <is>
          <t>Policy/ops 12–24 months; outcomes 24–36 months unless metric-specific</t>
        </is>
      </c>
      <c r="M3" t="inlineStr">
        <is>
          <t>Only where observable outcome logically belongs to the construct</t>
        </is>
      </c>
      <c r="N3" t="inlineStr">
        <is>
          <t>Claim-only, policy-only, duplicate or unverifiable evidence cannot create strong confidence</t>
        </is>
      </c>
      <c r="O3" t="inlineStr">
        <is>
          <t>Check P0-5 linked-domain contradictions/dependencies</t>
        </is>
      </c>
      <c r="P3" t="inlineStr">
        <is>
          <t>Report confidence separately; never multiply capability score by confidence</t>
        </is>
      </c>
      <c r="Q3" t="inlineStr">
        <is>
          <t>Assessment / Verification Lead</t>
        </is>
      </c>
      <c r="R3" t="inlineStr">
        <is>
          <t>GREEN</t>
        </is>
      </c>
    </row>
    <row r="4">
      <c r="A4" t="inlineStr">
        <is>
          <t>D01</t>
        </is>
      </c>
      <c r="B4" t="inlineStr">
        <is>
          <t>I03</t>
        </is>
      </c>
      <c r="C4" t="inlineStr">
        <is>
          <t>Strategic Translation Rate</t>
        </is>
      </c>
      <c r="D4" t="inlineStr">
        <is>
          <t>Required for validated metric score</t>
        </is>
      </c>
      <c r="E4" t="inlineStr">
        <is>
          <t>E1</t>
        </is>
      </c>
      <c r="F4" t="inlineStr">
        <is>
          <t>Institutional artifact + operational evidence</t>
        </is>
      </c>
      <c r="G4" t="inlineStr">
        <is>
          <t>Evidence must directly substantiate the construct; prefer operational and outcome evidence where logically applicable</t>
        </is>
      </c>
      <c r="H4" t="inlineStr">
        <is>
          <t>Current assessment cycle preferred; stale evidence requires justification</t>
        </is>
      </c>
      <c r="I4" t="inlineStr">
        <is>
          <t>2 corroborating sources for high-consequence or high-score claims</t>
        </is>
      </c>
      <c r="J4" t="inlineStr">
        <is>
          <t>Independent source preferred for E3/E4 and high-score claims</t>
        </is>
      </c>
      <c r="K4" t="inlineStr">
        <is>
          <t>Reuse allowed only with construct-specific field mapping; otherwise flag</t>
        </is>
      </c>
      <c r="L4" t="inlineStr">
        <is>
          <t>Policy/ops 12–24 months; outcomes 24–36 months unless metric-specific</t>
        </is>
      </c>
      <c r="M4" t="inlineStr">
        <is>
          <t>Only where observable outcome logically belongs to the construct</t>
        </is>
      </c>
      <c r="N4" t="inlineStr">
        <is>
          <t>Claim-only, policy-only, duplicate or unverifiable evidence cannot create strong confidence</t>
        </is>
      </c>
      <c r="O4" t="inlineStr">
        <is>
          <t>Check P0-5 linked-domain contradictions/dependencies</t>
        </is>
      </c>
      <c r="P4" t="inlineStr">
        <is>
          <t>Report confidence separately; never multiply capability score by confidence</t>
        </is>
      </c>
      <c r="Q4" t="inlineStr">
        <is>
          <t>Assessment / Verification Lead</t>
        </is>
      </c>
      <c r="R4" t="inlineStr">
        <is>
          <t>GREEN</t>
        </is>
      </c>
    </row>
    <row r="5">
      <c r="A5" t="inlineStr">
        <is>
          <t>D01</t>
        </is>
      </c>
      <c r="B5" t="inlineStr">
        <is>
          <t>I04</t>
        </is>
      </c>
      <c r="C5" t="inlineStr">
        <is>
          <t>Programme Future-Review Coverage</t>
        </is>
      </c>
      <c r="D5" t="inlineStr">
        <is>
          <t>Required for validated metric score</t>
        </is>
      </c>
      <c r="E5" t="inlineStr">
        <is>
          <t>E1</t>
        </is>
      </c>
      <c r="F5" t="inlineStr">
        <is>
          <t>Institutional artifact + operational evidence</t>
        </is>
      </c>
      <c r="G5" t="inlineStr">
        <is>
          <t>Evidence must directly substantiate the construct; prefer operational and outcome evidence where logically applicable</t>
        </is>
      </c>
      <c r="H5" t="inlineStr">
        <is>
          <t>Current assessment cycle preferred; stale evidence requires justification</t>
        </is>
      </c>
      <c r="I5" t="inlineStr">
        <is>
          <t>2 corroborating sources for high-consequence or high-score claims</t>
        </is>
      </c>
      <c r="J5" t="inlineStr">
        <is>
          <t>Independent source preferred for E3/E4 and high-score claims</t>
        </is>
      </c>
      <c r="K5" t="inlineStr">
        <is>
          <t>Reuse allowed only with construct-specific field mapping; otherwise flag</t>
        </is>
      </c>
      <c r="L5" t="inlineStr">
        <is>
          <t>Policy/ops 12–24 months; outcomes 24–36 months unless metric-specific</t>
        </is>
      </c>
      <c r="M5" t="inlineStr">
        <is>
          <t>Only where observable outcome logically belongs to the construct</t>
        </is>
      </c>
      <c r="N5" t="inlineStr">
        <is>
          <t>Claim-only, policy-only, duplicate or unverifiable evidence cannot create strong confidence</t>
        </is>
      </c>
      <c r="O5" t="inlineStr">
        <is>
          <t>Check P0-5 linked-domain contradictions/dependencies</t>
        </is>
      </c>
      <c r="P5" t="inlineStr">
        <is>
          <t>Report confidence separately; never multiply capability score by confidence</t>
        </is>
      </c>
      <c r="Q5" t="inlineStr">
        <is>
          <t>Assessment / Verification Lead</t>
        </is>
      </c>
      <c r="R5" t="inlineStr">
        <is>
          <t>GREEN</t>
        </is>
      </c>
    </row>
    <row r="6">
      <c r="A6" t="inlineStr">
        <is>
          <t>D01</t>
        </is>
      </c>
      <c r="B6" t="inlineStr">
        <is>
          <t>I05</t>
        </is>
      </c>
      <c r="C6" t="inlineStr">
        <is>
          <t>Strategic Differentiation Clarity</t>
        </is>
      </c>
      <c r="D6" t="inlineStr">
        <is>
          <t>Required for validated metric score</t>
        </is>
      </c>
      <c r="E6" t="inlineStr">
        <is>
          <t>E1</t>
        </is>
      </c>
      <c r="F6" t="inlineStr">
        <is>
          <t>Institutional artifact + operational evidence</t>
        </is>
      </c>
      <c r="G6" t="inlineStr">
        <is>
          <t>Evidence must directly substantiate the construct; prefer operational and outcome evidence where logically applicable</t>
        </is>
      </c>
      <c r="H6" t="inlineStr">
        <is>
          <t>Current assessment cycle preferred; stale evidence requires justification</t>
        </is>
      </c>
      <c r="I6" t="inlineStr">
        <is>
          <t>2 corroborating sources for high-consequence or high-score claims</t>
        </is>
      </c>
      <c r="J6" t="inlineStr">
        <is>
          <t>Independent source preferred for E3/E4 and high-score claims</t>
        </is>
      </c>
      <c r="K6" t="inlineStr">
        <is>
          <t>Reuse allowed only with construct-specific field mapping; otherwise flag</t>
        </is>
      </c>
      <c r="L6" t="inlineStr">
        <is>
          <t>Policy/ops 12–24 months; outcomes 24–36 months unless metric-specific</t>
        </is>
      </c>
      <c r="M6" t="inlineStr">
        <is>
          <t>Only where observable outcome logically belongs to the construct</t>
        </is>
      </c>
      <c r="N6" t="inlineStr">
        <is>
          <t>Claim-only, policy-only, duplicate or unverifiable evidence cannot create strong confidence</t>
        </is>
      </c>
      <c r="O6" t="inlineStr">
        <is>
          <t>Check P0-5 linked-domain contradictions/dependencies</t>
        </is>
      </c>
      <c r="P6" t="inlineStr">
        <is>
          <t>Report confidence separately; never multiply capability score by confidence</t>
        </is>
      </c>
      <c r="Q6" t="inlineStr">
        <is>
          <t>Assessment / Verification Lead</t>
        </is>
      </c>
      <c r="R6" t="inlineStr">
        <is>
          <t>GREEN</t>
        </is>
      </c>
    </row>
    <row r="7">
      <c r="A7" t="inlineStr">
        <is>
          <t>D01</t>
        </is>
      </c>
      <c r="B7" t="inlineStr">
        <is>
          <t>I06</t>
        </is>
      </c>
      <c r="C7" t="inlineStr">
        <is>
          <t>Foresight Response Architecture</t>
        </is>
      </c>
      <c r="D7" t="inlineStr">
        <is>
          <t>Required for validated metric score</t>
        </is>
      </c>
      <c r="E7" t="inlineStr">
        <is>
          <t>E1</t>
        </is>
      </c>
      <c r="F7" t="inlineStr">
        <is>
          <t>Institutional artifact + operational evidence</t>
        </is>
      </c>
      <c r="G7" t="inlineStr">
        <is>
          <t>Evidence must directly substantiate the construct; prefer operational and outcome evidence where logically applicable</t>
        </is>
      </c>
      <c r="H7" t="inlineStr">
        <is>
          <t>Current assessment cycle preferred; stale evidence requires justification</t>
        </is>
      </c>
      <c r="I7" t="inlineStr">
        <is>
          <t>2 corroborating sources for high-consequence or high-score claims</t>
        </is>
      </c>
      <c r="J7" t="inlineStr">
        <is>
          <t>Independent source preferred for E3/E4 and high-score claims</t>
        </is>
      </c>
      <c r="K7" t="inlineStr">
        <is>
          <t>Reuse allowed only with construct-specific field mapping; otherwise flag</t>
        </is>
      </c>
      <c r="L7" t="inlineStr">
        <is>
          <t>Policy/ops 12–24 months; outcomes 24–36 months unless metric-specific</t>
        </is>
      </c>
      <c r="M7" t="inlineStr">
        <is>
          <t>Only where observable outcome logically belongs to the construct</t>
        </is>
      </c>
      <c r="N7" t="inlineStr">
        <is>
          <t>Claim-only, policy-only, duplicate or unverifiable evidence cannot create strong confidence</t>
        </is>
      </c>
      <c r="O7" t="inlineStr">
        <is>
          <t>Check P0-5 linked-domain contradictions/dependencies</t>
        </is>
      </c>
      <c r="P7" t="inlineStr">
        <is>
          <t>Report confidence separately; never multiply capability score by confidence</t>
        </is>
      </c>
      <c r="Q7" t="inlineStr">
        <is>
          <t>Assessment / Verification Lead</t>
        </is>
      </c>
      <c r="R7" t="inlineStr">
        <is>
          <t>GREEN</t>
        </is>
      </c>
    </row>
    <row r="8">
      <c r="A8" t="inlineStr">
        <is>
          <t>D01</t>
        </is>
      </c>
      <c r="B8" t="inlineStr">
        <is>
          <t>I07</t>
        </is>
      </c>
      <c r="C8" t="inlineStr">
        <is>
          <t>Resource Alignment</t>
        </is>
      </c>
      <c r="D8" t="inlineStr">
        <is>
          <t>Required for validated metric score</t>
        </is>
      </c>
      <c r="E8" t="inlineStr">
        <is>
          <t>E1</t>
        </is>
      </c>
      <c r="F8" t="inlineStr">
        <is>
          <t>Institutional artifact + operational evidence</t>
        </is>
      </c>
      <c r="G8" t="inlineStr">
        <is>
          <t>Evidence must directly substantiate the construct; prefer operational and outcome evidence where logically applicable</t>
        </is>
      </c>
      <c r="H8" t="inlineStr">
        <is>
          <t>Current assessment cycle preferred; stale evidence requires justification</t>
        </is>
      </c>
      <c r="I8" t="inlineStr">
        <is>
          <t>2 corroborating sources for high-consequence or high-score claims</t>
        </is>
      </c>
      <c r="J8" t="inlineStr">
        <is>
          <t>Independent source preferred for E3/E4 and high-score claims</t>
        </is>
      </c>
      <c r="K8" t="inlineStr">
        <is>
          <t>Reuse allowed only with construct-specific field mapping; otherwise flag</t>
        </is>
      </c>
      <c r="L8" t="inlineStr">
        <is>
          <t>Policy/ops 12–24 months; outcomes 24–36 months unless metric-specific</t>
        </is>
      </c>
      <c r="M8" t="inlineStr">
        <is>
          <t>Only where observable outcome logically belongs to the construct</t>
        </is>
      </c>
      <c r="N8" t="inlineStr">
        <is>
          <t>Claim-only, policy-only, duplicate or unverifiable evidence cannot create strong confidence</t>
        </is>
      </c>
      <c r="O8" t="inlineStr">
        <is>
          <t>Check P0-5 linked-domain contradictions/dependencies</t>
        </is>
      </c>
      <c r="P8" t="inlineStr">
        <is>
          <t>Report confidence separately; never multiply capability score by confidence</t>
        </is>
      </c>
      <c r="Q8" t="inlineStr">
        <is>
          <t>Assessment / Verification Lead</t>
        </is>
      </c>
      <c r="R8" t="inlineStr">
        <is>
          <t>GREEN</t>
        </is>
      </c>
    </row>
    <row r="9">
      <c r="A9" t="inlineStr">
        <is>
          <t>D01</t>
        </is>
      </c>
      <c r="B9" t="inlineStr">
        <is>
          <t>I08</t>
        </is>
      </c>
      <c r="C9" t="inlineStr">
        <is>
          <t>Leadership Alignment</t>
        </is>
      </c>
      <c r="D9" t="inlineStr">
        <is>
          <t>Required for validated metric score</t>
        </is>
      </c>
      <c r="E9" t="inlineStr">
        <is>
          <t>E1</t>
        </is>
      </c>
      <c r="F9" t="inlineStr">
        <is>
          <t>Institutional artifact + operational evidence</t>
        </is>
      </c>
      <c r="G9" t="inlineStr">
        <is>
          <t>Evidence must directly substantiate the construct; prefer operational and outcome evidence where logically applicable</t>
        </is>
      </c>
      <c r="H9" t="inlineStr">
        <is>
          <t>Current assessment cycle preferred; stale evidence requires justification</t>
        </is>
      </c>
      <c r="I9" t="inlineStr">
        <is>
          <t>2 corroborating sources for high-consequence or high-score claims</t>
        </is>
      </c>
      <c r="J9" t="inlineStr">
        <is>
          <t>Independent source preferred for E3/E4 and high-score claims</t>
        </is>
      </c>
      <c r="K9" t="inlineStr">
        <is>
          <t>Reuse allowed only with construct-specific field mapping; otherwise flag</t>
        </is>
      </c>
      <c r="L9" t="inlineStr">
        <is>
          <t>Policy/ops 12–24 months; outcomes 24–36 months unless metric-specific</t>
        </is>
      </c>
      <c r="M9" t="inlineStr">
        <is>
          <t>Only where observable outcome logically belongs to the construct</t>
        </is>
      </c>
      <c r="N9" t="inlineStr">
        <is>
          <t>Claim-only, policy-only, duplicate or unverifiable evidence cannot create strong confidence</t>
        </is>
      </c>
      <c r="O9" t="inlineStr">
        <is>
          <t>Check P0-5 linked-domain contradictions/dependencies</t>
        </is>
      </c>
      <c r="P9" t="inlineStr">
        <is>
          <t>Report confidence separately; never multiply capability score by confidence</t>
        </is>
      </c>
      <c r="Q9" t="inlineStr">
        <is>
          <t>Assessment / Verification Lead</t>
        </is>
      </c>
      <c r="R9" t="inlineStr">
        <is>
          <t>GREEN</t>
        </is>
      </c>
    </row>
    <row r="10">
      <c r="A10" t="inlineStr">
        <is>
          <t>D01</t>
        </is>
      </c>
      <c r="B10" t="inlineStr">
        <is>
          <t>I09</t>
        </is>
      </c>
      <c r="C10" t="inlineStr">
        <is>
          <t>Experimentation Effectiveness</t>
        </is>
      </c>
      <c r="D10" t="inlineStr">
        <is>
          <t>Required for validated metric score</t>
        </is>
      </c>
      <c r="E10" t="inlineStr">
        <is>
          <t>E1</t>
        </is>
      </c>
      <c r="F10" t="inlineStr">
        <is>
          <t>Institutional artifact + operational evidence</t>
        </is>
      </c>
      <c r="G10" t="inlineStr">
        <is>
          <t>Evidence must directly substantiate the construct; prefer operational and outcome evidence where logically applicable</t>
        </is>
      </c>
      <c r="H10" t="inlineStr">
        <is>
          <t>Current assessment cycle preferred; stale evidence requires justification</t>
        </is>
      </c>
      <c r="I10" t="inlineStr">
        <is>
          <t>2 corroborating sources for high-consequence or high-score claims</t>
        </is>
      </c>
      <c r="J10" t="inlineStr">
        <is>
          <t>Independent source preferred for E3/E4 and high-score claims</t>
        </is>
      </c>
      <c r="K10" t="inlineStr">
        <is>
          <t>Reuse allowed only with construct-specific field mapping; otherwise flag</t>
        </is>
      </c>
      <c r="L10" t="inlineStr">
        <is>
          <t>Policy/ops 12–24 months; outcomes 24–36 months unless metric-specific</t>
        </is>
      </c>
      <c r="M10" t="inlineStr">
        <is>
          <t>Only where observable outcome logically belongs to the construct</t>
        </is>
      </c>
      <c r="N10" t="inlineStr">
        <is>
          <t>Claim-only, policy-only, duplicate or unverifiable evidence cannot create strong confidence</t>
        </is>
      </c>
      <c r="O10" t="inlineStr">
        <is>
          <t>Check P0-5 linked-domain contradictions/dependencies</t>
        </is>
      </c>
      <c r="P10" t="inlineStr">
        <is>
          <t>Report confidence separately; never multiply capability score by confidence</t>
        </is>
      </c>
      <c r="Q10" t="inlineStr">
        <is>
          <t>Assessment / Verification Lead</t>
        </is>
      </c>
      <c r="R10" t="inlineStr">
        <is>
          <t>GREEN</t>
        </is>
      </c>
    </row>
    <row r="11">
      <c r="A11" t="inlineStr">
        <is>
          <t>D01</t>
        </is>
      </c>
      <c r="B11" t="inlineStr">
        <is>
          <t>I10</t>
        </is>
      </c>
      <c r="C11" t="inlineStr">
        <is>
          <t>Strategic Learning Rate</t>
        </is>
      </c>
      <c r="D11" t="inlineStr">
        <is>
          <t>Required for validated metric score</t>
        </is>
      </c>
      <c r="E11" t="inlineStr">
        <is>
          <t>E1</t>
        </is>
      </c>
      <c r="F11" t="inlineStr">
        <is>
          <t>Institutional artifact + operational evidence</t>
        </is>
      </c>
      <c r="G11" t="inlineStr">
        <is>
          <t>Evidence must directly substantiate the construct; prefer operational and outcome evidence where logically applicable</t>
        </is>
      </c>
      <c r="H11" t="inlineStr">
        <is>
          <t>Current assessment cycle preferred; stale evidence requires justification</t>
        </is>
      </c>
      <c r="I11" t="inlineStr">
        <is>
          <t>2 corroborating sources for high-consequence or high-score claims</t>
        </is>
      </c>
      <c r="J11" t="inlineStr">
        <is>
          <t>Independent source preferred for E3/E4 and high-score claims</t>
        </is>
      </c>
      <c r="K11" t="inlineStr">
        <is>
          <t>Reuse allowed only with construct-specific field mapping; otherwise flag</t>
        </is>
      </c>
      <c r="L11" t="inlineStr">
        <is>
          <t>Policy/ops 12–24 months; outcomes 24–36 months unless metric-specific</t>
        </is>
      </c>
      <c r="M11" t="inlineStr">
        <is>
          <t>Only where observable outcome logically belongs to the construct</t>
        </is>
      </c>
      <c r="N11" t="inlineStr">
        <is>
          <t>Claim-only, policy-only, duplicate or unverifiable evidence cannot create strong confidence</t>
        </is>
      </c>
      <c r="O11" t="inlineStr">
        <is>
          <t>Check P0-5 linked-domain contradictions/dependencies</t>
        </is>
      </c>
      <c r="P11" t="inlineStr">
        <is>
          <t>Report confidence separately; never multiply capability score by confidence</t>
        </is>
      </c>
      <c r="Q11" t="inlineStr">
        <is>
          <t>Assessment / Verification Lead</t>
        </is>
      </c>
      <c r="R11" t="inlineStr">
        <is>
          <t>GREEN</t>
        </is>
      </c>
    </row>
    <row r="12">
      <c r="A12" t="inlineStr">
        <is>
          <t>D02</t>
        </is>
      </c>
      <c r="B12" t="inlineStr">
        <is>
          <t>I01</t>
        </is>
      </c>
      <c r="C12" t="inlineStr">
        <is>
          <t>Governance Ownership</t>
        </is>
      </c>
      <c r="D12" t="inlineStr">
        <is>
          <t>Required for validated metric score</t>
        </is>
      </c>
      <c r="E12" t="inlineStr">
        <is>
          <t>E1</t>
        </is>
      </c>
      <c r="F12" t="inlineStr">
        <is>
          <t>Institutional artifact + operational evidence</t>
        </is>
      </c>
      <c r="G12" t="inlineStr">
        <is>
          <t>Evidence must directly substantiate the construct; prefer operational and outcome evidence where logically applicable</t>
        </is>
      </c>
      <c r="H12" t="inlineStr">
        <is>
          <t>Current assessment cycle preferred; stale evidence requires justification</t>
        </is>
      </c>
      <c r="I12" t="inlineStr">
        <is>
          <t>2 corroborating sources for high-consequence or high-score claims</t>
        </is>
      </c>
      <c r="J12" t="inlineStr">
        <is>
          <t>Independent source preferred for E3/E4 and high-score claims</t>
        </is>
      </c>
      <c r="K12" t="inlineStr">
        <is>
          <t>Reuse allowed only with construct-specific field mapping; otherwise flag</t>
        </is>
      </c>
      <c r="L12" t="inlineStr">
        <is>
          <t>Policy/ops 12–24 months; outcomes 24–36 months unless metric-specific</t>
        </is>
      </c>
      <c r="M12" t="inlineStr">
        <is>
          <t>Only where observable outcome logically belongs to the construct</t>
        </is>
      </c>
      <c r="N12" t="inlineStr">
        <is>
          <t>Claim-only, policy-only, duplicate or unverifiable evidence cannot create strong confidence</t>
        </is>
      </c>
      <c r="O12" t="inlineStr">
        <is>
          <t>Check P0-5 linked-domain contradictions/dependencies</t>
        </is>
      </c>
      <c r="P12" t="inlineStr">
        <is>
          <t>Report confidence separately; never multiply capability score by confidence</t>
        </is>
      </c>
      <c r="Q12" t="inlineStr">
        <is>
          <t>Assessment / Verification Lead</t>
        </is>
      </c>
      <c r="R12" t="inlineStr">
        <is>
          <t>GREEN</t>
        </is>
      </c>
    </row>
    <row r="13">
      <c r="A13" t="inlineStr">
        <is>
          <t>D02</t>
        </is>
      </c>
      <c r="B13" t="inlineStr">
        <is>
          <t>I02</t>
        </is>
      </c>
      <c r="C13" t="inlineStr">
        <is>
          <t>Decision Architecture</t>
        </is>
      </c>
      <c r="D13" t="inlineStr">
        <is>
          <t>Required for validated metric score</t>
        </is>
      </c>
      <c r="E13" t="inlineStr">
        <is>
          <t>E1</t>
        </is>
      </c>
      <c r="F13" t="inlineStr">
        <is>
          <t>Institutional artifact + operational evidence</t>
        </is>
      </c>
      <c r="G13" t="inlineStr">
        <is>
          <t>Evidence must directly substantiate the construct; prefer operational and outcome evidence where logically applicable</t>
        </is>
      </c>
      <c r="H13" t="inlineStr">
        <is>
          <t>Current assessment cycle preferred; stale evidence requires justification</t>
        </is>
      </c>
      <c r="I13" t="inlineStr">
        <is>
          <t>2 corroborating sources for high-consequence or high-score claims</t>
        </is>
      </c>
      <c r="J13" t="inlineStr">
        <is>
          <t>Independent source preferred for E3/E4 and high-score claims</t>
        </is>
      </c>
      <c r="K13" t="inlineStr">
        <is>
          <t>Reuse allowed only with construct-specific field mapping; otherwise flag</t>
        </is>
      </c>
      <c r="L13" t="inlineStr">
        <is>
          <t>Policy/ops 12–24 months; outcomes 24–36 months unless metric-specific</t>
        </is>
      </c>
      <c r="M13" t="inlineStr">
        <is>
          <t>Only where observable outcome logically belongs to the construct</t>
        </is>
      </c>
      <c r="N13" t="inlineStr">
        <is>
          <t>Claim-only, policy-only, duplicate or unverifiable evidence cannot create strong confidence</t>
        </is>
      </c>
      <c r="O13" t="inlineStr">
        <is>
          <t>Check P0-5 linked-domain contradictions/dependencies</t>
        </is>
      </c>
      <c r="P13" t="inlineStr">
        <is>
          <t>Report confidence separately; never multiply capability score by confidence</t>
        </is>
      </c>
      <c r="Q13" t="inlineStr">
        <is>
          <t>Assessment / Verification Lead</t>
        </is>
      </c>
      <c r="R13" t="inlineStr">
        <is>
          <t>GREEN</t>
        </is>
      </c>
    </row>
    <row r="14">
      <c r="A14" t="inlineStr">
        <is>
          <t>D02</t>
        </is>
      </c>
      <c r="B14" t="inlineStr">
        <is>
          <t>I03</t>
        </is>
      </c>
      <c r="C14" t="inlineStr">
        <is>
          <t>Responsible AI Maturity</t>
        </is>
      </c>
      <c r="D14" t="inlineStr">
        <is>
          <t>Required for validated metric score</t>
        </is>
      </c>
      <c r="E14" t="inlineStr">
        <is>
          <t>E1</t>
        </is>
      </c>
      <c r="F14" t="inlineStr">
        <is>
          <t>Institutional artifact + operational evidence</t>
        </is>
      </c>
      <c r="G14" t="inlineStr">
        <is>
          <t>Evidence must directly substantiate the construct; prefer operational and outcome evidence where logically applicable</t>
        </is>
      </c>
      <c r="H14" t="inlineStr">
        <is>
          <t>Current assessment cycle preferred; stale evidence requires justification</t>
        </is>
      </c>
      <c r="I14" t="inlineStr">
        <is>
          <t>2 corroborating sources for high-consequence or high-score claims</t>
        </is>
      </c>
      <c r="J14" t="inlineStr">
        <is>
          <t>Independent source preferred for E3/E4 and high-score claims</t>
        </is>
      </c>
      <c r="K14" t="inlineStr">
        <is>
          <t>Reuse allowed only with construct-specific field mapping; otherwise flag</t>
        </is>
      </c>
      <c r="L14" t="inlineStr">
        <is>
          <t>Policy/ops 12–24 months; outcomes 24–36 months unless metric-specific</t>
        </is>
      </c>
      <c r="M14" t="inlineStr">
        <is>
          <t>Only where observable outcome logically belongs to the construct</t>
        </is>
      </c>
      <c r="N14" t="inlineStr">
        <is>
          <t>Claim-only, policy-only, duplicate or unverifiable evidence cannot create strong confidence</t>
        </is>
      </c>
      <c r="O14" t="inlineStr">
        <is>
          <t>Check P0-5 linked-domain contradictions/dependencies</t>
        </is>
      </c>
      <c r="P14" t="inlineStr">
        <is>
          <t>Report confidence separately; never multiply capability score by confidence</t>
        </is>
      </c>
      <c r="Q14" t="inlineStr">
        <is>
          <t>Assessment / Verification Lead</t>
        </is>
      </c>
      <c r="R14" t="inlineStr">
        <is>
          <t>GREEN</t>
        </is>
      </c>
    </row>
    <row r="15">
      <c r="A15" t="inlineStr">
        <is>
          <t>D02</t>
        </is>
      </c>
      <c r="B15" t="inlineStr">
        <is>
          <t>I04</t>
        </is>
      </c>
      <c r="C15" t="inlineStr">
        <is>
          <t>Data Governance Readiness</t>
        </is>
      </c>
      <c r="D15" t="inlineStr">
        <is>
          <t>Required for validated metric score</t>
        </is>
      </c>
      <c r="E15" t="inlineStr">
        <is>
          <t>E1</t>
        </is>
      </c>
      <c r="F15" t="inlineStr">
        <is>
          <t>Institutional artifact + operational evidence</t>
        </is>
      </c>
      <c r="G15" t="inlineStr">
        <is>
          <t>Evidence must directly substantiate the construct; prefer operational and outcome evidence where logically applicable</t>
        </is>
      </c>
      <c r="H15" t="inlineStr">
        <is>
          <t>Current assessment cycle preferred; stale evidence requires justification</t>
        </is>
      </c>
      <c r="I15" t="inlineStr">
        <is>
          <t>2 corroborating sources for high-consequence or high-score claims</t>
        </is>
      </c>
      <c r="J15" t="inlineStr">
        <is>
          <t>Independent source preferred for E3/E4 and high-score claims</t>
        </is>
      </c>
      <c r="K15" t="inlineStr">
        <is>
          <t>Reuse allowed only with construct-specific field mapping; otherwise flag</t>
        </is>
      </c>
      <c r="L15" t="inlineStr">
        <is>
          <t>Policy/ops 12–24 months; outcomes 24–36 months unless metric-specific</t>
        </is>
      </c>
      <c r="M15" t="inlineStr">
        <is>
          <t>Only where observable outcome logically belongs to the construct</t>
        </is>
      </c>
      <c r="N15" t="inlineStr">
        <is>
          <t>Claim-only, policy-only, duplicate or unverifiable evidence cannot create strong confidence</t>
        </is>
      </c>
      <c r="O15" t="inlineStr">
        <is>
          <t>Check P0-5 linked-domain contradictions/dependencies</t>
        </is>
      </c>
      <c r="P15" t="inlineStr">
        <is>
          <t>Report confidence separately; never multiply capability score by confidence</t>
        </is>
      </c>
      <c r="Q15" t="inlineStr">
        <is>
          <t>Assessment / Verification Lead</t>
        </is>
      </c>
      <c r="R15" t="inlineStr">
        <is>
          <t>GREEN</t>
        </is>
      </c>
    </row>
    <row r="16">
      <c r="A16" t="inlineStr">
        <is>
          <t>D02</t>
        </is>
      </c>
      <c r="B16" t="inlineStr">
        <is>
          <t>I05</t>
        </is>
      </c>
      <c r="C16" t="inlineStr">
        <is>
          <t>Academic Integrity Governance</t>
        </is>
      </c>
      <c r="D16" t="inlineStr">
        <is>
          <t>Required for validated metric score</t>
        </is>
      </c>
      <c r="E16" t="inlineStr">
        <is>
          <t>E1</t>
        </is>
      </c>
      <c r="F16" t="inlineStr">
        <is>
          <t>Institutional artifact + operational evidence</t>
        </is>
      </c>
      <c r="G16" t="inlineStr">
        <is>
          <t>Evidence must directly substantiate the construct; prefer operational and outcome evidence where logically applicable</t>
        </is>
      </c>
      <c r="H16" t="inlineStr">
        <is>
          <t>Current assessment cycle preferred; stale evidence requires justification</t>
        </is>
      </c>
      <c r="I16" t="inlineStr">
        <is>
          <t>2 corroborating sources for high-consequence or high-score claims</t>
        </is>
      </c>
      <c r="J16" t="inlineStr">
        <is>
          <t>Independent source preferred for E3/E4 and high-score claims</t>
        </is>
      </c>
      <c r="K16" t="inlineStr">
        <is>
          <t>Reuse allowed only with construct-specific field mapping; otherwise flag</t>
        </is>
      </c>
      <c r="L16" t="inlineStr">
        <is>
          <t>Policy/ops 12–24 months; outcomes 24–36 months unless metric-specific</t>
        </is>
      </c>
      <c r="M16" t="inlineStr">
        <is>
          <t>Only where observable outcome logically belongs to the construct</t>
        </is>
      </c>
      <c r="N16" t="inlineStr">
        <is>
          <t>Claim-only, policy-only, duplicate or unverifiable evidence cannot create strong confidence</t>
        </is>
      </c>
      <c r="O16" t="inlineStr">
        <is>
          <t>Check P0-5 linked-domain contradictions/dependencies</t>
        </is>
      </c>
      <c r="P16" t="inlineStr">
        <is>
          <t>Report confidence separately; never multiply capability score by confidence</t>
        </is>
      </c>
      <c r="Q16" t="inlineStr">
        <is>
          <t>Assessment / Verification Lead</t>
        </is>
      </c>
      <c r="R16" t="inlineStr">
        <is>
          <t>GREEN</t>
        </is>
      </c>
    </row>
    <row r="17">
      <c r="A17" t="inlineStr">
        <is>
          <t>D02</t>
        </is>
      </c>
      <c r="B17" t="inlineStr">
        <is>
          <t>I06</t>
        </is>
      </c>
      <c r="C17" t="inlineStr">
        <is>
          <t>Assessment Governance</t>
        </is>
      </c>
      <c r="D17" t="inlineStr">
        <is>
          <t>Required for validated metric score</t>
        </is>
      </c>
      <c r="E17" t="inlineStr">
        <is>
          <t>E1</t>
        </is>
      </c>
      <c r="F17" t="inlineStr">
        <is>
          <t>Institutional artifact + operational evidence</t>
        </is>
      </c>
      <c r="G17" t="inlineStr">
        <is>
          <t>Evidence must directly substantiate the construct; prefer operational and outcome evidence where logically applicable</t>
        </is>
      </c>
      <c r="H17" t="inlineStr">
        <is>
          <t>Current assessment cycle preferred; stale evidence requires justification</t>
        </is>
      </c>
      <c r="I17" t="inlineStr">
        <is>
          <t>2 corroborating sources for high-consequence or high-score claims</t>
        </is>
      </c>
      <c r="J17" t="inlineStr">
        <is>
          <t>Independent source preferred for E3/E4 and high-score claims</t>
        </is>
      </c>
      <c r="K17" t="inlineStr">
        <is>
          <t>Reuse allowed only with construct-specific field mapping; otherwise flag</t>
        </is>
      </c>
      <c r="L17" t="inlineStr">
        <is>
          <t>Policy/ops 12–24 months; outcomes 24–36 months unless metric-specific</t>
        </is>
      </c>
      <c r="M17" t="inlineStr">
        <is>
          <t>Only where observable outcome logically belongs to the construct</t>
        </is>
      </c>
      <c r="N17" t="inlineStr">
        <is>
          <t>Claim-only, policy-only, duplicate or unverifiable evidence cannot create strong confidence</t>
        </is>
      </c>
      <c r="O17" t="inlineStr">
        <is>
          <t>Check P0-5 linked-domain contradictions/dependencies</t>
        </is>
      </c>
      <c r="P17" t="inlineStr">
        <is>
          <t>Report confidence separately; never multiply capability score by confidence</t>
        </is>
      </c>
      <c r="Q17" t="inlineStr">
        <is>
          <t>Assessment / Verification Lead</t>
        </is>
      </c>
      <c r="R17" t="inlineStr">
        <is>
          <t>GREEN</t>
        </is>
      </c>
    </row>
    <row r="18">
      <c r="A18" t="inlineStr">
        <is>
          <t>D02</t>
        </is>
      </c>
      <c r="B18" t="inlineStr">
        <is>
          <t>I07</t>
        </is>
      </c>
      <c r="C18" t="inlineStr">
        <is>
          <t>AI Risk Management</t>
        </is>
      </c>
      <c r="D18" t="inlineStr">
        <is>
          <t>Required for validated metric score</t>
        </is>
      </c>
      <c r="E18" t="inlineStr">
        <is>
          <t>E1</t>
        </is>
      </c>
      <c r="F18" t="inlineStr">
        <is>
          <t>Institutional artifact + operational evidence</t>
        </is>
      </c>
      <c r="G18" t="inlineStr">
        <is>
          <t>Evidence must directly substantiate the construct; prefer operational and outcome evidence where logically applicable</t>
        </is>
      </c>
      <c r="H18" t="inlineStr">
        <is>
          <t>Current assessment cycle preferred; stale evidence requires justification</t>
        </is>
      </c>
      <c r="I18" t="inlineStr">
        <is>
          <t>2 corroborating sources for high-consequence or high-score claims</t>
        </is>
      </c>
      <c r="J18" t="inlineStr">
        <is>
          <t>Independent source preferred for E3/E4 and high-score claims</t>
        </is>
      </c>
      <c r="K18" t="inlineStr">
        <is>
          <t>Reuse allowed only with construct-specific field mapping; otherwise flag</t>
        </is>
      </c>
      <c r="L18" t="inlineStr">
        <is>
          <t>Policy/ops 12–24 months; outcomes 24–36 months unless metric-specific</t>
        </is>
      </c>
      <c r="M18" t="inlineStr">
        <is>
          <t>Only where observable outcome logically belongs to the construct</t>
        </is>
      </c>
      <c r="N18" t="inlineStr">
        <is>
          <t>Claim-only, policy-only, duplicate or unverifiable evidence cannot create strong confidence</t>
        </is>
      </c>
      <c r="O18" t="inlineStr">
        <is>
          <t>Check P0-5 linked-domain contradictions/dependencies</t>
        </is>
      </c>
      <c r="P18" t="inlineStr">
        <is>
          <t>Report confidence separately; never multiply capability score by confidence</t>
        </is>
      </c>
      <c r="Q18" t="inlineStr">
        <is>
          <t>Assessment / Verification Lead</t>
        </is>
      </c>
      <c r="R18" t="inlineStr">
        <is>
          <t>GREEN</t>
        </is>
      </c>
    </row>
    <row r="19">
      <c r="A19" t="inlineStr">
        <is>
          <t>D02</t>
        </is>
      </c>
      <c r="B19" t="inlineStr">
        <is>
          <t>I08</t>
        </is>
      </c>
      <c r="C19" t="inlineStr">
        <is>
          <t>Incident Responsiveness</t>
        </is>
      </c>
      <c r="D19" t="inlineStr">
        <is>
          <t>Required for validated metric score</t>
        </is>
      </c>
      <c r="E19" t="inlineStr">
        <is>
          <t>E1</t>
        </is>
      </c>
      <c r="F19" t="inlineStr">
        <is>
          <t>Institutional artifact + operational evidence</t>
        </is>
      </c>
      <c r="G19" t="inlineStr">
        <is>
          <t>Evidence must directly substantiate the construct; prefer operational and outcome evidence where logically applicable</t>
        </is>
      </c>
      <c r="H19" t="inlineStr">
        <is>
          <t>Current assessment cycle preferred; stale evidence requires justification</t>
        </is>
      </c>
      <c r="I19" t="inlineStr">
        <is>
          <t>2 corroborating sources for high-consequence or high-score claims</t>
        </is>
      </c>
      <c r="J19" t="inlineStr">
        <is>
          <t>Independent source preferred for E3/E4 and high-score claims</t>
        </is>
      </c>
      <c r="K19" t="inlineStr">
        <is>
          <t>Reuse allowed only with construct-specific field mapping; otherwise flag</t>
        </is>
      </c>
      <c r="L19" t="inlineStr">
        <is>
          <t>Policy/ops 12–24 months; outcomes 24–36 months unless metric-specific</t>
        </is>
      </c>
      <c r="M19" t="inlineStr">
        <is>
          <t>Only where observable outcome logically belongs to the construct</t>
        </is>
      </c>
      <c r="N19" t="inlineStr">
        <is>
          <t>Claim-only, policy-only, duplicate or unverifiable evidence cannot create strong confidence</t>
        </is>
      </c>
      <c r="O19" t="inlineStr">
        <is>
          <t>Check P0-5 linked-domain contradictions/dependencies</t>
        </is>
      </c>
      <c r="P19" t="inlineStr">
        <is>
          <t>Report confidence separately; never multiply capability score by confidence</t>
        </is>
      </c>
      <c r="Q19" t="inlineStr">
        <is>
          <t>Assessment / Verification Lead</t>
        </is>
      </c>
      <c r="R19" t="inlineStr">
        <is>
          <t>GREEN</t>
        </is>
      </c>
    </row>
    <row r="20">
      <c r="A20" t="inlineStr">
        <is>
          <t>D02</t>
        </is>
      </c>
      <c r="B20" t="inlineStr">
        <is>
          <t>I09</t>
        </is>
      </c>
      <c r="C20" t="inlineStr">
        <is>
          <t>Human Accountability</t>
        </is>
      </c>
      <c r="D20" t="inlineStr">
        <is>
          <t>Required for validated metric score</t>
        </is>
      </c>
      <c r="E20" t="inlineStr">
        <is>
          <t>E1</t>
        </is>
      </c>
      <c r="F20" t="inlineStr">
        <is>
          <t>Institutional artifact + operational evidence</t>
        </is>
      </c>
      <c r="G20" t="inlineStr">
        <is>
          <t>Evidence must directly substantiate the construct; prefer operational and outcome evidence where logically applicable</t>
        </is>
      </c>
      <c r="H20" t="inlineStr">
        <is>
          <t>Current assessment cycle preferred; stale evidence requires justification</t>
        </is>
      </c>
      <c r="I20" t="inlineStr">
        <is>
          <t>2 corroborating sources for high-consequence or high-score claims</t>
        </is>
      </c>
      <c r="J20" t="inlineStr">
        <is>
          <t>Independent source preferred for E3/E4 and high-score claims</t>
        </is>
      </c>
      <c r="K20" t="inlineStr">
        <is>
          <t>Reuse allowed only with construct-specific field mapping; otherwise flag</t>
        </is>
      </c>
      <c r="L20" t="inlineStr">
        <is>
          <t>Policy/ops 12–24 months; outcomes 24–36 months unless metric-specific</t>
        </is>
      </c>
      <c r="M20" t="inlineStr">
        <is>
          <t>Only where observable outcome logically belongs to the construct</t>
        </is>
      </c>
      <c r="N20" t="inlineStr">
        <is>
          <t>Claim-only, policy-only, duplicate or unverifiable evidence cannot create strong confidence</t>
        </is>
      </c>
      <c r="O20" t="inlineStr">
        <is>
          <t>Check P0-5 linked-domain contradictions/dependencies</t>
        </is>
      </c>
      <c r="P20" t="inlineStr">
        <is>
          <t>Report confidence separately; never multiply capability score by confidence</t>
        </is>
      </c>
      <c r="Q20" t="inlineStr">
        <is>
          <t>Assessment / Verification Lead</t>
        </is>
      </c>
      <c r="R20" t="inlineStr">
        <is>
          <t>GREEN</t>
        </is>
      </c>
    </row>
    <row r="21">
      <c r="A21" t="inlineStr">
        <is>
          <t>D02</t>
        </is>
      </c>
      <c r="B21" t="inlineStr">
        <is>
          <t>I10</t>
        </is>
      </c>
      <c r="C21" t="inlineStr">
        <is>
          <t>Vendor/Tool Governance</t>
        </is>
      </c>
      <c r="D21" t="inlineStr">
        <is>
          <t>Required for validated metric score</t>
        </is>
      </c>
      <c r="E21" t="inlineStr">
        <is>
          <t>E1</t>
        </is>
      </c>
      <c r="F21" t="inlineStr">
        <is>
          <t>Institutional artifact + operational evidence</t>
        </is>
      </c>
      <c r="G21" t="inlineStr">
        <is>
          <t>Evidence must directly substantiate the construct; prefer operational and outcome evidence where logically applicable</t>
        </is>
      </c>
      <c r="H21" t="inlineStr">
        <is>
          <t>Current assessment cycle preferred; stale evidence requires justification</t>
        </is>
      </c>
      <c r="I21" t="inlineStr">
        <is>
          <t>2 corroborating sources for high-consequence or high-score claims</t>
        </is>
      </c>
      <c r="J21" t="inlineStr">
        <is>
          <t>Independent source preferred for E3/E4 and high-score claims</t>
        </is>
      </c>
      <c r="K21" t="inlineStr">
        <is>
          <t>Reuse allowed only with construct-specific field mapping; otherwise flag</t>
        </is>
      </c>
      <c r="L21" t="inlineStr">
        <is>
          <t>Policy/ops 12–24 months; outcomes 24–36 months unless metric-specific</t>
        </is>
      </c>
      <c r="M21" t="inlineStr">
        <is>
          <t>Only where observable outcome logically belongs to the construct</t>
        </is>
      </c>
      <c r="N21" t="inlineStr">
        <is>
          <t>Claim-only, policy-only, duplicate or unverifiable evidence cannot create strong confidence</t>
        </is>
      </c>
      <c r="O21" t="inlineStr">
        <is>
          <t>Check P0-5 linked-domain contradictions/dependencies</t>
        </is>
      </c>
      <c r="P21" t="inlineStr">
        <is>
          <t>Report confidence separately; never multiply capability score by confidence</t>
        </is>
      </c>
      <c r="Q21" t="inlineStr">
        <is>
          <t>Assessment / Verification Lead</t>
        </is>
      </c>
      <c r="R21" t="inlineStr">
        <is>
          <t>GREEN</t>
        </is>
      </c>
    </row>
    <row r="22">
      <c r="A22" t="inlineStr">
        <is>
          <t>D02</t>
        </is>
      </c>
      <c r="B22" t="inlineStr">
        <is>
          <t>I11</t>
        </is>
      </c>
      <c r="C22" t="inlineStr">
        <is>
          <t>IP Governance</t>
        </is>
      </c>
      <c r="D22" t="inlineStr">
        <is>
          <t>Required for validated metric score</t>
        </is>
      </c>
      <c r="E22" t="inlineStr">
        <is>
          <t>E1</t>
        </is>
      </c>
      <c r="F22" t="inlineStr">
        <is>
          <t>Institutional artifact + operational evidence</t>
        </is>
      </c>
      <c r="G22" t="inlineStr">
        <is>
          <t>Evidence must directly substantiate the construct; prefer operational and outcome evidence where logically applicable</t>
        </is>
      </c>
      <c r="H22" t="inlineStr">
        <is>
          <t>Current assessment cycle preferred; stale evidence requires justification</t>
        </is>
      </c>
      <c r="I22" t="inlineStr">
        <is>
          <t>2 corroborating sources for high-consequence or high-score claims</t>
        </is>
      </c>
      <c r="J22" t="inlineStr">
        <is>
          <t>Independent source preferred for E3/E4 and high-score claims</t>
        </is>
      </c>
      <c r="K22" t="inlineStr">
        <is>
          <t>Reuse allowed only with construct-specific field mapping; otherwise flag</t>
        </is>
      </c>
      <c r="L22" t="inlineStr">
        <is>
          <t>Policy/ops 12–24 months; outcomes 24–36 months unless metric-specific</t>
        </is>
      </c>
      <c r="M22" t="inlineStr">
        <is>
          <t>Only where observable outcome logically belongs to the construct</t>
        </is>
      </c>
      <c r="N22" t="inlineStr">
        <is>
          <t>Claim-only, policy-only, duplicate or unverifiable evidence cannot create strong confidence</t>
        </is>
      </c>
      <c r="O22" t="inlineStr">
        <is>
          <t>Check P0-5 linked-domain contradictions/dependencies</t>
        </is>
      </c>
      <c r="P22" t="inlineStr">
        <is>
          <t>Report confidence separately; never multiply capability score by confidence</t>
        </is>
      </c>
      <c r="Q22" t="inlineStr">
        <is>
          <t>Assessment / Verification Lead</t>
        </is>
      </c>
      <c r="R22" t="inlineStr">
        <is>
          <t>GREEN</t>
        </is>
      </c>
    </row>
    <row r="23">
      <c r="A23" t="inlineStr">
        <is>
          <t>D02</t>
        </is>
      </c>
      <c r="B23" t="inlineStr">
        <is>
          <t>I12</t>
        </is>
      </c>
      <c r="C23" t="inlineStr">
        <is>
          <t>Research AI Governance</t>
        </is>
      </c>
      <c r="D23" t="inlineStr">
        <is>
          <t>Required for validated metric score</t>
        </is>
      </c>
      <c r="E23" t="inlineStr">
        <is>
          <t>E1</t>
        </is>
      </c>
      <c r="F23" t="inlineStr">
        <is>
          <t>Institutional artifact + operational evidence</t>
        </is>
      </c>
      <c r="G23" t="inlineStr">
        <is>
          <t>Evidence must directly substantiate the construct; prefer operational and outcome evidence where logically applicable</t>
        </is>
      </c>
      <c r="H23" t="inlineStr">
        <is>
          <t>Current assessment cycle preferred; stale evidence requires justification</t>
        </is>
      </c>
      <c r="I23" t="inlineStr">
        <is>
          <t>2 corroborating sources for high-consequence or high-score claims</t>
        </is>
      </c>
      <c r="J23" t="inlineStr">
        <is>
          <t>Independent source preferred for E3/E4 and high-score claims</t>
        </is>
      </c>
      <c r="K23" t="inlineStr">
        <is>
          <t>Reuse allowed only with construct-specific field mapping; otherwise flag</t>
        </is>
      </c>
      <c r="L23" t="inlineStr">
        <is>
          <t>Policy/ops 12–24 months; outcomes 24–36 months unless metric-specific</t>
        </is>
      </c>
      <c r="M23" t="inlineStr">
        <is>
          <t>Only where observable outcome logically belongs to the construct</t>
        </is>
      </c>
      <c r="N23" t="inlineStr">
        <is>
          <t>Claim-only, policy-only, duplicate or unverifiable evidence cannot create strong confidence</t>
        </is>
      </c>
      <c r="O23" t="inlineStr">
        <is>
          <t>Check P0-5 linked-domain contradictions/dependencies</t>
        </is>
      </c>
      <c r="P23" t="inlineStr">
        <is>
          <t>Report confidence separately; never multiply capability score by confidence</t>
        </is>
      </c>
      <c r="Q23" t="inlineStr">
        <is>
          <t>Assessment / Verification Lead</t>
        </is>
      </c>
      <c r="R23" t="inlineStr">
        <is>
          <t>GREEN</t>
        </is>
      </c>
    </row>
    <row r="24">
      <c r="A24" t="inlineStr">
        <is>
          <t>D02</t>
        </is>
      </c>
      <c r="B24" t="inlineStr">
        <is>
          <t>I13</t>
        </is>
      </c>
      <c r="C24" t="inlineStr">
        <is>
          <t>Governance Review Adaptability</t>
        </is>
      </c>
      <c r="D24" t="inlineStr">
        <is>
          <t>Required for validated metric score</t>
        </is>
      </c>
      <c r="E24" t="inlineStr">
        <is>
          <t>E1</t>
        </is>
      </c>
      <c r="F24" t="inlineStr">
        <is>
          <t>Institutional artifact + operational evidence</t>
        </is>
      </c>
      <c r="G24" t="inlineStr">
        <is>
          <t>Evidence must directly substantiate the construct; prefer operational and outcome evidence where logically applicable</t>
        </is>
      </c>
      <c r="H24" t="inlineStr">
        <is>
          <t>Current assessment cycle preferred; stale evidence requires justification</t>
        </is>
      </c>
      <c r="I24" t="inlineStr">
        <is>
          <t>2 corroborating sources for high-consequence or high-score claims</t>
        </is>
      </c>
      <c r="J24" t="inlineStr">
        <is>
          <t>Independent source preferred for E3/E4 and high-score claims</t>
        </is>
      </c>
      <c r="K24" t="inlineStr">
        <is>
          <t>Reuse allowed only with construct-specific field mapping; otherwise flag</t>
        </is>
      </c>
      <c r="L24" t="inlineStr">
        <is>
          <t>Policy/ops 12–24 months; outcomes 24–36 months unless metric-specific</t>
        </is>
      </c>
      <c r="M24" t="inlineStr">
        <is>
          <t>Only where observable outcome logically belongs to the construct</t>
        </is>
      </c>
      <c r="N24" t="inlineStr">
        <is>
          <t>Claim-only, policy-only, duplicate or unverifiable evidence cannot create strong confidence</t>
        </is>
      </c>
      <c r="O24" t="inlineStr">
        <is>
          <t>Check P0-5 linked-domain contradictions/dependencies</t>
        </is>
      </c>
      <c r="P24" t="inlineStr">
        <is>
          <t>Report confidence separately; never multiply capability score by confidence</t>
        </is>
      </c>
      <c r="Q24" t="inlineStr">
        <is>
          <t>Assessment / Verification Lead</t>
        </is>
      </c>
      <c r="R24" t="inlineStr">
        <is>
          <t>GREEN</t>
        </is>
      </c>
    </row>
    <row r="25">
      <c r="A25" t="inlineStr">
        <is>
          <t>D02</t>
        </is>
      </c>
      <c r="B25" t="inlineStr">
        <is>
          <t>I14</t>
        </is>
      </c>
      <c r="C25" t="inlineStr">
        <is>
          <t>Governance Effectiveness</t>
        </is>
      </c>
      <c r="D25" t="inlineStr">
        <is>
          <t>Required for validated metric score</t>
        </is>
      </c>
      <c r="E25" t="inlineStr">
        <is>
          <t>E1</t>
        </is>
      </c>
      <c r="F25" t="inlineStr">
        <is>
          <t>Institutional artifact + operational evidence</t>
        </is>
      </c>
      <c r="G25" t="inlineStr">
        <is>
          <t>Evidence must directly substantiate the construct; prefer operational and outcome evidence where logically applicable</t>
        </is>
      </c>
      <c r="H25" t="inlineStr">
        <is>
          <t>Current assessment cycle preferred; stale evidence requires justification</t>
        </is>
      </c>
      <c r="I25" t="inlineStr">
        <is>
          <t>2 corroborating sources for high-consequence or high-score claims</t>
        </is>
      </c>
      <c r="J25" t="inlineStr">
        <is>
          <t>Independent source preferred for E3/E4 and high-score claims</t>
        </is>
      </c>
      <c r="K25" t="inlineStr">
        <is>
          <t>Reuse allowed only with construct-specific field mapping; otherwise flag</t>
        </is>
      </c>
      <c r="L25" t="inlineStr">
        <is>
          <t>Policy/ops 12–24 months; outcomes 24–36 months unless metric-specific</t>
        </is>
      </c>
      <c r="M25" t="inlineStr">
        <is>
          <t>Only where observable outcome logically belongs to the construct</t>
        </is>
      </c>
      <c r="N25" t="inlineStr">
        <is>
          <t>Claim-only, policy-only, duplicate or unverifiable evidence cannot create strong confidence</t>
        </is>
      </c>
      <c r="O25" t="inlineStr">
        <is>
          <t>Check P0-5 linked-domain contradictions/dependencies</t>
        </is>
      </c>
      <c r="P25" t="inlineStr">
        <is>
          <t>Report confidence separately; never multiply capability score by confidence</t>
        </is>
      </c>
      <c r="Q25" t="inlineStr">
        <is>
          <t>Assessment / Verification Lead</t>
        </is>
      </c>
      <c r="R25" t="inlineStr">
        <is>
          <t>GREEN</t>
        </is>
      </c>
    </row>
    <row r="26">
      <c r="A26" t="inlineStr">
        <is>
          <t>D03</t>
        </is>
      </c>
      <c r="B26" t="inlineStr">
        <is>
          <t>I01</t>
        </is>
      </c>
      <c r="C26" t="inlineStr">
        <is>
          <t>Foundational Knowledge Depth</t>
        </is>
      </c>
      <c r="D26" t="inlineStr">
        <is>
          <t>Required for validated metric score</t>
        </is>
      </c>
      <c r="E26" t="inlineStr">
        <is>
          <t>E1</t>
        </is>
      </c>
      <c r="F26" t="inlineStr">
        <is>
          <t>Institutional artifact + operational evidence</t>
        </is>
      </c>
      <c r="G26" t="inlineStr">
        <is>
          <t>Evidence must directly substantiate the construct; prefer operational and outcome evidence where logically applicable</t>
        </is>
      </c>
      <c r="H26" t="inlineStr">
        <is>
          <t>Current assessment cycle preferred; stale evidence requires justification</t>
        </is>
      </c>
      <c r="I26" t="inlineStr">
        <is>
          <t>2 corroborating sources for high-consequence or high-score claims</t>
        </is>
      </c>
      <c r="J26" t="inlineStr">
        <is>
          <t>Independent source preferred for E3/E4 and high-score claims</t>
        </is>
      </c>
      <c r="K26" t="inlineStr">
        <is>
          <t>Reuse allowed only with construct-specific field mapping; otherwise flag</t>
        </is>
      </c>
      <c r="L26" t="inlineStr">
        <is>
          <t>Policy/ops 12–24 months; outcomes 24–36 months unless metric-specific</t>
        </is>
      </c>
      <c r="M26" t="inlineStr">
        <is>
          <t>Only where observable outcome logically belongs to the construct</t>
        </is>
      </c>
      <c r="N26" t="inlineStr">
        <is>
          <t>Claim-only, policy-only, duplicate or unverifiable evidence cannot create strong confidence</t>
        </is>
      </c>
      <c r="O26" t="inlineStr">
        <is>
          <t>Check P0-5 linked-domain contradictions/dependencies</t>
        </is>
      </c>
      <c r="P26" t="inlineStr">
        <is>
          <t>Report confidence separately; never multiply capability score by confidence</t>
        </is>
      </c>
      <c r="Q26" t="inlineStr">
        <is>
          <t>Assessment / Verification Lead</t>
        </is>
      </c>
      <c r="R26" t="inlineStr">
        <is>
          <t>GREEN</t>
        </is>
      </c>
    </row>
    <row r="27">
      <c r="A27" t="inlineStr">
        <is>
          <t>D03</t>
        </is>
      </c>
      <c r="B27" t="inlineStr">
        <is>
          <t>I02</t>
        </is>
      </c>
      <c r="C27" t="inlineStr">
        <is>
          <t>Critical Reasoning Development</t>
        </is>
      </c>
      <c r="D27" t="inlineStr">
        <is>
          <t>Required for validated metric score</t>
        </is>
      </c>
      <c r="E27" t="inlineStr">
        <is>
          <t>E1</t>
        </is>
      </c>
      <c r="F27" t="inlineStr">
        <is>
          <t>Institutional artifact + operational evidence</t>
        </is>
      </c>
      <c r="G27" t="inlineStr">
        <is>
          <t>Evidence must directly substantiate the construct; prefer operational and outcome evidence where logically applicable</t>
        </is>
      </c>
      <c r="H27" t="inlineStr">
        <is>
          <t>Current assessment cycle preferred; stale evidence requires justification</t>
        </is>
      </c>
      <c r="I27" t="inlineStr">
        <is>
          <t>2 corroborating sources for high-consequence or high-score claims</t>
        </is>
      </c>
      <c r="J27" t="inlineStr">
        <is>
          <t>Independent source preferred for E3/E4 and high-score claims</t>
        </is>
      </c>
      <c r="K27" t="inlineStr">
        <is>
          <t>Reuse allowed only with construct-specific field mapping; otherwise flag</t>
        </is>
      </c>
      <c r="L27" t="inlineStr">
        <is>
          <t>Policy/ops 12–24 months; outcomes 24–36 months unless metric-specific</t>
        </is>
      </c>
      <c r="M27" t="inlineStr">
        <is>
          <t>Only where observable outcome logically belongs to the construct</t>
        </is>
      </c>
      <c r="N27" t="inlineStr">
        <is>
          <t>Claim-only, policy-only, duplicate or unverifiable evidence cannot create strong confidence</t>
        </is>
      </c>
      <c r="O27" t="inlineStr">
        <is>
          <t>Check P0-5 linked-domain contradictions/dependencies</t>
        </is>
      </c>
      <c r="P27" t="inlineStr">
        <is>
          <t>Report confidence separately; never multiply capability score by confidence</t>
        </is>
      </c>
      <c r="Q27" t="inlineStr">
        <is>
          <t>Assessment / Verification Lead</t>
        </is>
      </c>
      <c r="R27" t="inlineStr">
        <is>
          <t>GREEN</t>
        </is>
      </c>
    </row>
    <row r="28">
      <c r="A28" t="inlineStr">
        <is>
          <t>D03</t>
        </is>
      </c>
      <c r="B28" t="inlineStr">
        <is>
          <t>I03</t>
        </is>
      </c>
      <c r="C28" t="inlineStr">
        <is>
          <t>Question Formulation</t>
        </is>
      </c>
      <c r="D28" t="inlineStr">
        <is>
          <t>Required for validated metric score</t>
        </is>
      </c>
      <c r="E28" t="inlineStr">
        <is>
          <t>E1</t>
        </is>
      </c>
      <c r="F28" t="inlineStr">
        <is>
          <t>Institutional artifact + operational evidence</t>
        </is>
      </c>
      <c r="G28" t="inlineStr">
        <is>
          <t>Evidence must directly substantiate the construct; prefer operational and outcome evidence where logically applicable</t>
        </is>
      </c>
      <c r="H28" t="inlineStr">
        <is>
          <t>Current assessment cycle preferred; stale evidence requires justification</t>
        </is>
      </c>
      <c r="I28" t="inlineStr">
        <is>
          <t>2 corroborating sources for high-consequence or high-score claims</t>
        </is>
      </c>
      <c r="J28" t="inlineStr">
        <is>
          <t>Independent source preferred for E3/E4 and high-score claims</t>
        </is>
      </c>
      <c r="K28" t="inlineStr">
        <is>
          <t>Reuse allowed only with construct-specific field mapping; otherwise flag</t>
        </is>
      </c>
      <c r="L28" t="inlineStr">
        <is>
          <t>Policy/ops 12–24 months; outcomes 24–36 months unless metric-specific</t>
        </is>
      </c>
      <c r="M28" t="inlineStr">
        <is>
          <t>Only where observable outcome logically belongs to the construct</t>
        </is>
      </c>
      <c r="N28" t="inlineStr">
        <is>
          <t>Claim-only, policy-only, duplicate or unverifiable evidence cannot create strong confidence</t>
        </is>
      </c>
      <c r="O28" t="inlineStr">
        <is>
          <t>Check P0-5 linked-domain contradictions/dependencies</t>
        </is>
      </c>
      <c r="P28" t="inlineStr">
        <is>
          <t>Report confidence separately; never multiply capability score by confidence</t>
        </is>
      </c>
      <c r="Q28" t="inlineStr">
        <is>
          <t>Assessment / Verification Lead</t>
        </is>
      </c>
      <c r="R28" t="inlineStr">
        <is>
          <t>GREEN</t>
        </is>
      </c>
    </row>
    <row r="29">
      <c r="A29" t="inlineStr">
        <is>
          <t>D03</t>
        </is>
      </c>
      <c r="B29" t="inlineStr">
        <is>
          <t>I04</t>
        </is>
      </c>
      <c r="C29" t="inlineStr">
        <is>
          <t>Analytical Reasoning</t>
        </is>
      </c>
      <c r="D29" t="inlineStr">
        <is>
          <t>Required for validated metric score</t>
        </is>
      </c>
      <c r="E29" t="inlineStr">
        <is>
          <t>E1</t>
        </is>
      </c>
      <c r="F29" t="inlineStr">
        <is>
          <t>Institutional artifact + operational evidence</t>
        </is>
      </c>
      <c r="G29" t="inlineStr">
        <is>
          <t>Evidence must directly substantiate the construct; prefer operational and outcome evidence where logically applicable</t>
        </is>
      </c>
      <c r="H29" t="inlineStr">
        <is>
          <t>Current assessment cycle preferred; stale evidence requires justification</t>
        </is>
      </c>
      <c r="I29" t="inlineStr">
        <is>
          <t>2 corroborating sources for high-consequence or high-score claims</t>
        </is>
      </c>
      <c r="J29" t="inlineStr">
        <is>
          <t>Independent source preferred for E3/E4 and high-score claims</t>
        </is>
      </c>
      <c r="K29" t="inlineStr">
        <is>
          <t>Reuse allowed only with construct-specific field mapping; otherwise flag</t>
        </is>
      </c>
      <c r="L29" t="inlineStr">
        <is>
          <t>Policy/ops 12–24 months; outcomes 24–36 months unless metric-specific</t>
        </is>
      </c>
      <c r="M29" t="inlineStr">
        <is>
          <t>Only where observable outcome logically belongs to the construct</t>
        </is>
      </c>
      <c r="N29" t="inlineStr">
        <is>
          <t>Claim-only, policy-only, duplicate or unverifiable evidence cannot create strong confidence</t>
        </is>
      </c>
      <c r="O29" t="inlineStr">
        <is>
          <t>Check P0-5 linked-domain contradictions/dependencies</t>
        </is>
      </c>
      <c r="P29" t="inlineStr">
        <is>
          <t>Report confidence separately; never multiply capability score by confidence</t>
        </is>
      </c>
      <c r="Q29" t="inlineStr">
        <is>
          <t>Assessment / Verification Lead</t>
        </is>
      </c>
      <c r="R29" t="inlineStr">
        <is>
          <t>GREEN</t>
        </is>
      </c>
    </row>
    <row r="30">
      <c r="A30" t="inlineStr">
        <is>
          <t>D03</t>
        </is>
      </c>
      <c r="B30" t="inlineStr">
        <is>
          <t>I05</t>
        </is>
      </c>
      <c r="C30" t="inlineStr">
        <is>
          <t>Problem Formulation</t>
        </is>
      </c>
      <c r="D30" t="inlineStr">
        <is>
          <t>Required for validated metric score</t>
        </is>
      </c>
      <c r="E30" t="inlineStr">
        <is>
          <t>E1</t>
        </is>
      </c>
      <c r="F30" t="inlineStr">
        <is>
          <t>Institutional artifact + operational evidence</t>
        </is>
      </c>
      <c r="G30" t="inlineStr">
        <is>
          <t>Evidence must directly substantiate the construct; prefer operational and outcome evidence where logically applicable</t>
        </is>
      </c>
      <c r="H30" t="inlineStr">
        <is>
          <t>Current assessment cycle preferred; stale evidence requires justification</t>
        </is>
      </c>
      <c r="I30" t="inlineStr">
        <is>
          <t>2 corroborating sources for high-consequence or high-score claims</t>
        </is>
      </c>
      <c r="J30" t="inlineStr">
        <is>
          <t>Independent source preferred for E3/E4 and high-score claims</t>
        </is>
      </c>
      <c r="K30" t="inlineStr">
        <is>
          <t>Reuse allowed only with construct-specific field mapping; otherwise flag</t>
        </is>
      </c>
      <c r="L30" t="inlineStr">
        <is>
          <t>Policy/ops 12–24 months; outcomes 24–36 months unless metric-specific</t>
        </is>
      </c>
      <c r="M30" t="inlineStr">
        <is>
          <t>Only where observable outcome logically belongs to the construct</t>
        </is>
      </c>
      <c r="N30" t="inlineStr">
        <is>
          <t>Claim-only, policy-only, duplicate or unverifiable evidence cannot create strong confidence</t>
        </is>
      </c>
      <c r="O30" t="inlineStr">
        <is>
          <t>Check P0-5 linked-domain contradictions/dependencies</t>
        </is>
      </c>
      <c r="P30" t="inlineStr">
        <is>
          <t>Report confidence separately; never multiply capability score by confidence</t>
        </is>
      </c>
      <c r="Q30" t="inlineStr">
        <is>
          <t>Assessment / Verification Lead</t>
        </is>
      </c>
      <c r="R30" t="inlineStr">
        <is>
          <t>GREEN</t>
        </is>
      </c>
    </row>
    <row r="31">
      <c r="A31" t="inlineStr">
        <is>
          <t>D03</t>
        </is>
      </c>
      <c r="B31" t="inlineStr">
        <is>
          <t>I06</t>
        </is>
      </c>
      <c r="C31" t="inlineStr">
        <is>
          <t>Creativity &amp; Originality</t>
        </is>
      </c>
      <c r="D31" t="inlineStr">
        <is>
          <t>Required for validated metric score</t>
        </is>
      </c>
      <c r="E31" t="inlineStr">
        <is>
          <t>E1</t>
        </is>
      </c>
      <c r="F31" t="inlineStr">
        <is>
          <t>Institutional artifact + operational evidence</t>
        </is>
      </c>
      <c r="G31" t="inlineStr">
        <is>
          <t>Evidence must directly substantiate the construct; prefer operational and outcome evidence where logically applicable</t>
        </is>
      </c>
      <c r="H31" t="inlineStr">
        <is>
          <t>Current assessment cycle preferred; stale evidence requires justification</t>
        </is>
      </c>
      <c r="I31" t="inlineStr">
        <is>
          <t>2 corroborating sources for high-consequence or high-score claims</t>
        </is>
      </c>
      <c r="J31" t="inlineStr">
        <is>
          <t>Independent source preferred for E3/E4 and high-score claims</t>
        </is>
      </c>
      <c r="K31" t="inlineStr">
        <is>
          <t>Reuse allowed only with construct-specific field mapping; otherwise flag</t>
        </is>
      </c>
      <c r="L31" t="inlineStr">
        <is>
          <t>Policy/ops 12–24 months; outcomes 24–36 months unless metric-specific</t>
        </is>
      </c>
      <c r="M31" t="inlineStr">
        <is>
          <t>Only where observable outcome logically belongs to the construct</t>
        </is>
      </c>
      <c r="N31" t="inlineStr">
        <is>
          <t>Claim-only, policy-only, duplicate or unverifiable evidence cannot create strong confidence</t>
        </is>
      </c>
      <c r="O31" t="inlineStr">
        <is>
          <t>Check P0-5 linked-domain contradictions/dependencies</t>
        </is>
      </c>
      <c r="P31" t="inlineStr">
        <is>
          <t>Report confidence separately; never multiply capability score by confidence</t>
        </is>
      </c>
      <c r="Q31" t="inlineStr">
        <is>
          <t>Assessment / Verification Lead</t>
        </is>
      </c>
      <c r="R31" t="inlineStr">
        <is>
          <t>GREEN</t>
        </is>
      </c>
    </row>
    <row r="32">
      <c r="A32" t="inlineStr">
        <is>
          <t>D03</t>
        </is>
      </c>
      <c r="B32" t="inlineStr">
        <is>
          <t>I07</t>
        </is>
      </c>
      <c r="C32" t="inlineStr">
        <is>
          <t>Judgement Capability</t>
        </is>
      </c>
      <c r="D32" t="inlineStr">
        <is>
          <t>Required for validated metric score</t>
        </is>
      </c>
      <c r="E32" t="inlineStr">
        <is>
          <t>E1</t>
        </is>
      </c>
      <c r="F32" t="inlineStr">
        <is>
          <t>Institutional artifact + operational evidence</t>
        </is>
      </c>
      <c r="G32" t="inlineStr">
        <is>
          <t>Evidence must directly substantiate the construct; prefer operational and outcome evidence where logically applicable</t>
        </is>
      </c>
      <c r="H32" t="inlineStr">
        <is>
          <t>Current assessment cycle preferred; stale evidence requires justification</t>
        </is>
      </c>
      <c r="I32" t="inlineStr">
        <is>
          <t>2 corroborating sources for high-consequence or high-score claims</t>
        </is>
      </c>
      <c r="J32" t="inlineStr">
        <is>
          <t>Independent source preferred for E3/E4 and high-score claims</t>
        </is>
      </c>
      <c r="K32" t="inlineStr">
        <is>
          <t>Reuse allowed only with construct-specific field mapping; otherwise flag</t>
        </is>
      </c>
      <c r="L32" t="inlineStr">
        <is>
          <t>Policy/ops 12–24 months; outcomes 24–36 months unless metric-specific</t>
        </is>
      </c>
      <c r="M32" t="inlineStr">
        <is>
          <t>Only where observable outcome logically belongs to the construct</t>
        </is>
      </c>
      <c r="N32" t="inlineStr">
        <is>
          <t>Claim-only, policy-only, duplicate or unverifiable evidence cannot create strong confidence</t>
        </is>
      </c>
      <c r="O32" t="inlineStr">
        <is>
          <t>Check P0-5 linked-domain contradictions/dependencies</t>
        </is>
      </c>
      <c r="P32" t="inlineStr">
        <is>
          <t>Report confidence separately; never multiply capability score by confidence</t>
        </is>
      </c>
      <c r="Q32" t="inlineStr">
        <is>
          <t>Assessment / Verification Lead</t>
        </is>
      </c>
      <c r="R32" t="inlineStr">
        <is>
          <t>GREEN</t>
        </is>
      </c>
    </row>
    <row r="33">
      <c r="A33" t="inlineStr">
        <is>
          <t>D03</t>
        </is>
      </c>
      <c r="B33" t="inlineStr">
        <is>
          <t>I08</t>
        </is>
      </c>
      <c r="C33" t="inlineStr">
        <is>
          <t>AI Verification Capability</t>
        </is>
      </c>
      <c r="D33" t="inlineStr">
        <is>
          <t>Required for validated metric score</t>
        </is>
      </c>
      <c r="E33" t="inlineStr">
        <is>
          <t>E1</t>
        </is>
      </c>
      <c r="F33" t="inlineStr">
        <is>
          <t>Institutional artifact + operational evidence</t>
        </is>
      </c>
      <c r="G33" t="inlineStr">
        <is>
          <t>Evidence must directly substantiate the construct; prefer operational and outcome evidence where logically applicable</t>
        </is>
      </c>
      <c r="H33" t="inlineStr">
        <is>
          <t>Current assessment cycle preferred; stale evidence requires justification</t>
        </is>
      </c>
      <c r="I33" t="inlineStr">
        <is>
          <t>2 corroborating sources for high-consequence or high-score claims</t>
        </is>
      </c>
      <c r="J33" t="inlineStr">
        <is>
          <t>Independent source preferred for E3/E4 and high-score claims</t>
        </is>
      </c>
      <c r="K33" t="inlineStr">
        <is>
          <t>Reuse allowed only with construct-specific field mapping; otherwise flag</t>
        </is>
      </c>
      <c r="L33" t="inlineStr">
        <is>
          <t>Policy/ops 12–24 months; outcomes 24–36 months unless metric-specific</t>
        </is>
      </c>
      <c r="M33" t="inlineStr">
        <is>
          <t>Only where observable outcome logically belongs to the construct</t>
        </is>
      </c>
      <c r="N33" t="inlineStr">
        <is>
          <t>Claim-only, policy-only, duplicate or unverifiable evidence cannot create strong confidence</t>
        </is>
      </c>
      <c r="O33" t="inlineStr">
        <is>
          <t>Check P0-5 linked-domain contradictions/dependencies</t>
        </is>
      </c>
      <c r="P33" t="inlineStr">
        <is>
          <t>Report confidence separately; never multiply capability score by confidence</t>
        </is>
      </c>
      <c r="Q33" t="inlineStr">
        <is>
          <t>Assessment / Verification Lead</t>
        </is>
      </c>
      <c r="R33" t="inlineStr">
        <is>
          <t>GREEN</t>
        </is>
      </c>
    </row>
    <row r="34">
      <c r="A34" t="inlineStr">
        <is>
          <t>D03</t>
        </is>
      </c>
      <c r="B34" t="inlineStr">
        <is>
          <t>I09</t>
        </is>
      </c>
      <c r="C34" t="inlineStr">
        <is>
          <t>Metacognitive Capability</t>
        </is>
      </c>
      <c r="D34" t="inlineStr">
        <is>
          <t>Required for validated metric score</t>
        </is>
      </c>
      <c r="E34" t="inlineStr">
        <is>
          <t>E1</t>
        </is>
      </c>
      <c r="F34" t="inlineStr">
        <is>
          <t>Institutional artifact + operational evidence</t>
        </is>
      </c>
      <c r="G34" t="inlineStr">
        <is>
          <t>Evidence must directly substantiate the construct; prefer operational and outcome evidence where logically applicable</t>
        </is>
      </c>
      <c r="H34" t="inlineStr">
        <is>
          <t>Current assessment cycle preferred; stale evidence requires justification</t>
        </is>
      </c>
      <c r="I34" t="inlineStr">
        <is>
          <t>2 corroborating sources for high-consequence or high-score claims</t>
        </is>
      </c>
      <c r="J34" t="inlineStr">
        <is>
          <t>Independent source preferred for E3/E4 and high-score claims</t>
        </is>
      </c>
      <c r="K34" t="inlineStr">
        <is>
          <t>Reuse allowed only with construct-specific field mapping; otherwise flag</t>
        </is>
      </c>
      <c r="L34" t="inlineStr">
        <is>
          <t>Policy/ops 12–24 months; outcomes 24–36 months unless metric-specific</t>
        </is>
      </c>
      <c r="M34" t="inlineStr">
        <is>
          <t>Only where observable outcome logically belongs to the construct</t>
        </is>
      </c>
      <c r="N34" t="inlineStr">
        <is>
          <t>Claim-only, policy-only, duplicate or unverifiable evidence cannot create strong confidence</t>
        </is>
      </c>
      <c r="O34" t="inlineStr">
        <is>
          <t>Check P0-5 linked-domain contradictions/dependencies</t>
        </is>
      </c>
      <c r="P34" t="inlineStr">
        <is>
          <t>Report confidence separately; never multiply capability score by confidence</t>
        </is>
      </c>
      <c r="Q34" t="inlineStr">
        <is>
          <t>Assessment / Verification Lead</t>
        </is>
      </c>
      <c r="R34" t="inlineStr">
        <is>
          <t>GREEN</t>
        </is>
      </c>
    </row>
    <row r="35">
      <c r="A35" t="inlineStr">
        <is>
          <t>D03</t>
        </is>
      </c>
      <c r="B35" t="inlineStr">
        <is>
          <t>I10</t>
        </is>
      </c>
      <c r="C35" t="inlineStr">
        <is>
          <t>Human-AI Collaboration</t>
        </is>
      </c>
      <c r="D35" t="inlineStr">
        <is>
          <t>Required for validated metric score</t>
        </is>
      </c>
      <c r="E35" t="inlineStr">
        <is>
          <t>E1</t>
        </is>
      </c>
      <c r="F35" t="inlineStr">
        <is>
          <t>Institutional artifact + operational evidence</t>
        </is>
      </c>
      <c r="G35" t="inlineStr">
        <is>
          <t>Evidence must directly substantiate the construct; prefer operational and outcome evidence where logically applicable</t>
        </is>
      </c>
      <c r="H35" t="inlineStr">
        <is>
          <t>Current assessment cycle preferred; stale evidence requires justification</t>
        </is>
      </c>
      <c r="I35" t="inlineStr">
        <is>
          <t>2 corroborating sources for high-consequence or high-score claims</t>
        </is>
      </c>
      <c r="J35" t="inlineStr">
        <is>
          <t>Independent source preferred for E3/E4 and high-score claims</t>
        </is>
      </c>
      <c r="K35" t="inlineStr">
        <is>
          <t>Reuse allowed only with construct-specific field mapping; otherwise flag</t>
        </is>
      </c>
      <c r="L35" t="inlineStr">
        <is>
          <t>Policy/ops 12–24 months; outcomes 24–36 months unless metric-specific</t>
        </is>
      </c>
      <c r="M35" t="inlineStr">
        <is>
          <t>Only where observable outcome logically belongs to the construct</t>
        </is>
      </c>
      <c r="N35" t="inlineStr">
        <is>
          <t>Claim-only, policy-only, duplicate or unverifiable evidence cannot create strong confidence</t>
        </is>
      </c>
      <c r="O35" t="inlineStr">
        <is>
          <t>Check P0-5 linked-domain contradictions/dependencies</t>
        </is>
      </c>
      <c r="P35" t="inlineStr">
        <is>
          <t>Report confidence separately; never multiply capability score by confidence</t>
        </is>
      </c>
      <c r="Q35" t="inlineStr">
        <is>
          <t>Assessment / Verification Lead</t>
        </is>
      </c>
      <c r="R35" t="inlineStr">
        <is>
          <t>GREEN</t>
        </is>
      </c>
    </row>
    <row r="36">
      <c r="A36" t="inlineStr">
        <is>
          <t>D03</t>
        </is>
      </c>
      <c r="B36" t="inlineStr">
        <is>
          <t>I11</t>
        </is>
      </c>
      <c r="C36" t="inlineStr">
        <is>
          <t>Communication &amp; Defence</t>
        </is>
      </c>
      <c r="D36" t="inlineStr">
        <is>
          <t>Required for validated metric score</t>
        </is>
      </c>
      <c r="E36" t="inlineStr">
        <is>
          <t>E1</t>
        </is>
      </c>
      <c r="F36" t="inlineStr">
        <is>
          <t>Institutional artifact + operational evidence</t>
        </is>
      </c>
      <c r="G36" t="inlineStr">
        <is>
          <t>Evidence must directly substantiate the construct; prefer operational and outcome evidence where logically applicable</t>
        </is>
      </c>
      <c r="H36" t="inlineStr">
        <is>
          <t>Current assessment cycle preferred; stale evidence requires justification</t>
        </is>
      </c>
      <c r="I36" t="inlineStr">
        <is>
          <t>2 corroborating sources for high-consequence or high-score claims</t>
        </is>
      </c>
      <c r="J36" t="inlineStr">
        <is>
          <t>Independent source preferred for E3/E4 and high-score claims</t>
        </is>
      </c>
      <c r="K36" t="inlineStr">
        <is>
          <t>Reuse allowed only with construct-specific field mapping; otherwise flag</t>
        </is>
      </c>
      <c r="L36" t="inlineStr">
        <is>
          <t>Policy/ops 12–24 months; outcomes 24–36 months unless metric-specific</t>
        </is>
      </c>
      <c r="M36" t="inlineStr">
        <is>
          <t>Only where observable outcome logically belongs to the construct</t>
        </is>
      </c>
      <c r="N36" t="inlineStr">
        <is>
          <t>Claim-only, policy-only, duplicate or unverifiable evidence cannot create strong confidence</t>
        </is>
      </c>
      <c r="O36" t="inlineStr">
        <is>
          <t>Check P0-5 linked-domain contradictions/dependencies</t>
        </is>
      </c>
      <c r="P36" t="inlineStr">
        <is>
          <t>Report confidence separately; never multiply capability score by confidence</t>
        </is>
      </c>
      <c r="Q36" t="inlineStr">
        <is>
          <t>Assessment / Verification Lead</t>
        </is>
      </c>
      <c r="R36" t="inlineStr">
        <is>
          <t>GREEN</t>
        </is>
      </c>
    </row>
    <row r="37">
      <c r="A37" t="inlineStr">
        <is>
          <t>D03</t>
        </is>
      </c>
      <c r="B37" t="inlineStr">
        <is>
          <t>I12</t>
        </is>
      </c>
      <c r="C37" t="inlineStr">
        <is>
          <t>Collaboration Capability</t>
        </is>
      </c>
      <c r="D37" t="inlineStr">
        <is>
          <t>Required for validated metric score</t>
        </is>
      </c>
      <c r="E37" t="inlineStr">
        <is>
          <t>E1</t>
        </is>
      </c>
      <c r="F37" t="inlineStr">
        <is>
          <t>Institutional artifact + operational evidence</t>
        </is>
      </c>
      <c r="G37" t="inlineStr">
        <is>
          <t>Evidence must directly substantiate the construct; prefer operational and outcome evidence where logically applicable</t>
        </is>
      </c>
      <c r="H37" t="inlineStr">
        <is>
          <t>Current assessment cycle preferred; stale evidence requires justification</t>
        </is>
      </c>
      <c r="I37" t="inlineStr">
        <is>
          <t>2 corroborating sources for high-consequence or high-score claims</t>
        </is>
      </c>
      <c r="J37" t="inlineStr">
        <is>
          <t>Independent source preferred for E3/E4 and high-score claims</t>
        </is>
      </c>
      <c r="K37" t="inlineStr">
        <is>
          <t>Reuse allowed only with construct-specific field mapping; otherwise flag</t>
        </is>
      </c>
      <c r="L37" t="inlineStr">
        <is>
          <t>Policy/ops 12–24 months; outcomes 24–36 months unless metric-specific</t>
        </is>
      </c>
      <c r="M37" t="inlineStr">
        <is>
          <t>Only where observable outcome logically belongs to the construct</t>
        </is>
      </c>
      <c r="N37" t="inlineStr">
        <is>
          <t>Claim-only, policy-only, duplicate or unverifiable evidence cannot create strong confidence</t>
        </is>
      </c>
      <c r="O37" t="inlineStr">
        <is>
          <t>Check P0-5 linked-domain contradictions/dependencies</t>
        </is>
      </c>
      <c r="P37" t="inlineStr">
        <is>
          <t>Report confidence separately; never multiply capability score by confidence</t>
        </is>
      </c>
      <c r="Q37" t="inlineStr">
        <is>
          <t>Assessment / Verification Lead</t>
        </is>
      </c>
      <c r="R37" t="inlineStr">
        <is>
          <t>GREEN</t>
        </is>
      </c>
    </row>
    <row r="38">
      <c r="A38" t="inlineStr">
        <is>
          <t>D03</t>
        </is>
      </c>
      <c r="B38" t="inlineStr">
        <is>
          <t>I13</t>
        </is>
      </c>
      <c r="C38" t="inlineStr">
        <is>
          <t>Practical Capability</t>
        </is>
      </c>
      <c r="D38" t="inlineStr">
        <is>
          <t>Required for validated metric score</t>
        </is>
      </c>
      <c r="E38" t="inlineStr">
        <is>
          <t>E1</t>
        </is>
      </c>
      <c r="F38" t="inlineStr">
        <is>
          <t>Institutional artifact + operational evidence</t>
        </is>
      </c>
      <c r="G38" t="inlineStr">
        <is>
          <t>Evidence must directly substantiate the construct; prefer operational and outcome evidence where logically applicable</t>
        </is>
      </c>
      <c r="H38" t="inlineStr">
        <is>
          <t>Current assessment cycle preferred; stale evidence requires justification</t>
        </is>
      </c>
      <c r="I38" t="inlineStr">
        <is>
          <t>2 corroborating sources for high-consequence or high-score claims</t>
        </is>
      </c>
      <c r="J38" t="inlineStr">
        <is>
          <t>Independent source preferred for E3/E4 and high-score claims</t>
        </is>
      </c>
      <c r="K38" t="inlineStr">
        <is>
          <t>Reuse allowed only with construct-specific field mapping; otherwise flag</t>
        </is>
      </c>
      <c r="L38" t="inlineStr">
        <is>
          <t>Policy/ops 12–24 months; outcomes 24–36 months unless metric-specific</t>
        </is>
      </c>
      <c r="M38" t="inlineStr">
        <is>
          <t>Only where observable outcome logically belongs to the construct</t>
        </is>
      </c>
      <c r="N38" t="inlineStr">
        <is>
          <t>Claim-only, policy-only, duplicate or unverifiable evidence cannot create strong confidence</t>
        </is>
      </c>
      <c r="O38" t="inlineStr">
        <is>
          <t>Check P0-5 linked-domain contradictions/dependencies</t>
        </is>
      </c>
      <c r="P38" t="inlineStr">
        <is>
          <t>Report confidence separately; never multiply capability score by confidence</t>
        </is>
      </c>
      <c r="Q38" t="inlineStr">
        <is>
          <t>Assessment / Verification Lead</t>
        </is>
      </c>
      <c r="R38" t="inlineStr">
        <is>
          <t>GREEN</t>
        </is>
      </c>
    </row>
    <row r="39">
      <c r="A39" t="inlineStr">
        <is>
          <t>D03</t>
        </is>
      </c>
      <c r="B39" t="inlineStr">
        <is>
          <t>I14</t>
        </is>
      </c>
      <c r="C39" t="inlineStr">
        <is>
          <t>Ethical/Social Judgement</t>
        </is>
      </c>
      <c r="D39" t="inlineStr">
        <is>
          <t>Required for validated metric score</t>
        </is>
      </c>
      <c r="E39" t="inlineStr">
        <is>
          <t>E1</t>
        </is>
      </c>
      <c r="F39" t="inlineStr">
        <is>
          <t>Institutional artifact + operational evidence</t>
        </is>
      </c>
      <c r="G39" t="inlineStr">
        <is>
          <t>Evidence must directly substantiate the construct; prefer operational and outcome evidence where logically applicable</t>
        </is>
      </c>
      <c r="H39" t="inlineStr">
        <is>
          <t>Current assessment cycle preferred; stale evidence requires justification</t>
        </is>
      </c>
      <c r="I39" t="inlineStr">
        <is>
          <t>2 corroborating sources for high-consequence or high-score claims</t>
        </is>
      </c>
      <c r="J39" t="inlineStr">
        <is>
          <t>Independent source preferred for E3/E4 and high-score claims</t>
        </is>
      </c>
      <c r="K39" t="inlineStr">
        <is>
          <t>Reuse allowed only with construct-specific field mapping; otherwise flag</t>
        </is>
      </c>
      <c r="L39" t="inlineStr">
        <is>
          <t>Policy/ops 12–24 months; outcomes 24–36 months unless metric-specific</t>
        </is>
      </c>
      <c r="M39" t="inlineStr">
        <is>
          <t>Only where observable outcome logically belongs to the construct</t>
        </is>
      </c>
      <c r="N39" t="inlineStr">
        <is>
          <t>Claim-only, policy-only, duplicate or unverifiable evidence cannot create strong confidence</t>
        </is>
      </c>
      <c r="O39" t="inlineStr">
        <is>
          <t>Check P0-5 linked-domain contradictions/dependencies</t>
        </is>
      </c>
      <c r="P39" t="inlineStr">
        <is>
          <t>Report confidence separately; never multiply capability score by confidence</t>
        </is>
      </c>
      <c r="Q39" t="inlineStr">
        <is>
          <t>Assessment / Verification Lead</t>
        </is>
      </c>
      <c r="R39" t="inlineStr">
        <is>
          <t>GREEN</t>
        </is>
      </c>
    </row>
    <row r="40">
      <c r="A40" t="inlineStr">
        <is>
          <t>D03</t>
        </is>
      </c>
      <c r="B40" t="inlineStr">
        <is>
          <t>I15</t>
        </is>
      </c>
      <c r="C40" t="inlineStr">
        <is>
          <t>Intellectual Agency</t>
        </is>
      </c>
      <c r="D40" t="inlineStr">
        <is>
          <t>Required for validated metric score</t>
        </is>
      </c>
      <c r="E40" t="inlineStr">
        <is>
          <t>E1</t>
        </is>
      </c>
      <c r="F40" t="inlineStr">
        <is>
          <t>Institutional artifact + operational evidence</t>
        </is>
      </c>
      <c r="G40" t="inlineStr">
        <is>
          <t>Evidence must directly substantiate the construct; prefer operational and outcome evidence where logically applicable</t>
        </is>
      </c>
      <c r="H40" t="inlineStr">
        <is>
          <t>Current assessment cycle preferred; stale evidence requires justification</t>
        </is>
      </c>
      <c r="I40" t="inlineStr">
        <is>
          <t>2 corroborating sources for high-consequence or high-score claims</t>
        </is>
      </c>
      <c r="J40" t="inlineStr">
        <is>
          <t>Independent source preferred for E3/E4 and high-score claims</t>
        </is>
      </c>
      <c r="K40" t="inlineStr">
        <is>
          <t>Reuse allowed only with construct-specific field mapping; otherwise flag</t>
        </is>
      </c>
      <c r="L40" t="inlineStr">
        <is>
          <t>Policy/ops 12–24 months; outcomes 24–36 months unless metric-specific</t>
        </is>
      </c>
      <c r="M40" t="inlineStr">
        <is>
          <t>Only where observable outcome logically belongs to the construct</t>
        </is>
      </c>
      <c r="N40" t="inlineStr">
        <is>
          <t>Claim-only, policy-only, duplicate or unverifiable evidence cannot create strong confidence</t>
        </is>
      </c>
      <c r="O40" t="inlineStr">
        <is>
          <t>Check P0-5 linked-domain contradictions/dependencies</t>
        </is>
      </c>
      <c r="P40" t="inlineStr">
        <is>
          <t>Report confidence separately; never multiply capability score by confidence</t>
        </is>
      </c>
      <c r="Q40" t="inlineStr">
        <is>
          <t>Assessment / Verification Lead</t>
        </is>
      </c>
      <c r="R40" t="inlineStr">
        <is>
          <t>GREEN</t>
        </is>
      </c>
    </row>
    <row r="41">
      <c r="A41" t="inlineStr">
        <is>
          <t>D03</t>
        </is>
      </c>
      <c r="B41" t="inlineStr">
        <is>
          <t>I16</t>
        </is>
      </c>
      <c r="C41" t="inlineStr">
        <is>
          <t>Transfer Capability</t>
        </is>
      </c>
      <c r="D41" t="inlineStr">
        <is>
          <t>Required for validated metric score</t>
        </is>
      </c>
      <c r="E41" t="inlineStr">
        <is>
          <t>E1</t>
        </is>
      </c>
      <c r="F41" t="inlineStr">
        <is>
          <t>Institutional artifact + operational evidence</t>
        </is>
      </c>
      <c r="G41" t="inlineStr">
        <is>
          <t>Evidence must directly substantiate the construct; prefer operational and outcome evidence where logically applicable</t>
        </is>
      </c>
      <c r="H41" t="inlineStr">
        <is>
          <t>Current assessment cycle preferred; stale evidence requires justification</t>
        </is>
      </c>
      <c r="I41" t="inlineStr">
        <is>
          <t>2 corroborating sources for high-consequence or high-score claims</t>
        </is>
      </c>
      <c r="J41" t="inlineStr">
        <is>
          <t>Independent source preferred for E3/E4 and high-score claims</t>
        </is>
      </c>
      <c r="K41" t="inlineStr">
        <is>
          <t>Reuse allowed only with construct-specific field mapping; otherwise flag</t>
        </is>
      </c>
      <c r="L41" t="inlineStr">
        <is>
          <t>Policy/ops 12–24 months; outcomes 24–36 months unless metric-specific</t>
        </is>
      </c>
      <c r="M41" t="inlineStr">
        <is>
          <t>Only where observable outcome logically belongs to the construct</t>
        </is>
      </c>
      <c r="N41" t="inlineStr">
        <is>
          <t>Claim-only, policy-only, duplicate or unverifiable evidence cannot create strong confidence</t>
        </is>
      </c>
      <c r="O41" t="inlineStr">
        <is>
          <t>Check P0-5 linked-domain contradictions/dependencies</t>
        </is>
      </c>
      <c r="P41" t="inlineStr">
        <is>
          <t>Report confidence separately; never multiply capability score by confidence</t>
        </is>
      </c>
      <c r="Q41" t="inlineStr">
        <is>
          <t>Assessment / Verification Lead</t>
        </is>
      </c>
      <c r="R41" t="inlineStr">
        <is>
          <t>GREEN</t>
        </is>
      </c>
    </row>
    <row r="42">
      <c r="A42" t="inlineStr">
        <is>
          <t>D03</t>
        </is>
      </c>
      <c r="B42" t="inlineStr">
        <is>
          <t>I17</t>
        </is>
      </c>
      <c r="C42" t="inlineStr">
        <is>
          <t>Non-Technical Discipline AI Capability</t>
        </is>
      </c>
      <c r="D42" t="inlineStr">
        <is>
          <t>Required for validated metric score</t>
        </is>
      </c>
      <c r="E42" t="inlineStr">
        <is>
          <t>E1</t>
        </is>
      </c>
      <c r="F42" t="inlineStr">
        <is>
          <t>Institutional artifact + operational evidence</t>
        </is>
      </c>
      <c r="G42" t="inlineStr">
        <is>
          <t>Evidence must directly substantiate the construct; prefer operational and outcome evidence where logically applicable</t>
        </is>
      </c>
      <c r="H42" t="inlineStr">
        <is>
          <t>Current assessment cycle preferred; stale evidence requires justification</t>
        </is>
      </c>
      <c r="I42" t="inlineStr">
        <is>
          <t>2 corroborating sources for high-consequence or high-score claims</t>
        </is>
      </c>
      <c r="J42" t="inlineStr">
        <is>
          <t>Independent source preferred for E3/E4 and high-score claims</t>
        </is>
      </c>
      <c r="K42" t="inlineStr">
        <is>
          <t>Reuse allowed only with construct-specific field mapping; otherwise flag</t>
        </is>
      </c>
      <c r="L42" t="inlineStr">
        <is>
          <t>Policy/ops 12–24 months; outcomes 24–36 months unless metric-specific</t>
        </is>
      </c>
      <c r="M42" t="inlineStr">
        <is>
          <t>Only where observable outcome logically belongs to the construct</t>
        </is>
      </c>
      <c r="N42" t="inlineStr">
        <is>
          <t>Claim-only, policy-only, duplicate or unverifiable evidence cannot create strong confidence</t>
        </is>
      </c>
      <c r="O42" t="inlineStr">
        <is>
          <t>Check P0-5 linked-domain contradictions/dependencies</t>
        </is>
      </c>
      <c r="P42" t="inlineStr">
        <is>
          <t>Report confidence separately; never multiply capability score by confidence</t>
        </is>
      </c>
      <c r="Q42" t="inlineStr">
        <is>
          <t>Assessment / Verification Lead</t>
        </is>
      </c>
      <c r="R42" t="inlineStr">
        <is>
          <t>GREEN</t>
        </is>
      </c>
    </row>
    <row r="43">
      <c r="A43" t="inlineStr">
        <is>
          <t>D04</t>
        </is>
      </c>
      <c r="B43" t="inlineStr">
        <is>
          <t>I01</t>
        </is>
      </c>
      <c r="C43" t="inlineStr">
        <is>
          <t>Curriculum Sensing Maturity</t>
        </is>
      </c>
      <c r="D43" t="inlineStr">
        <is>
          <t>Required for validated metric score</t>
        </is>
      </c>
      <c r="E43" t="inlineStr">
        <is>
          <t>E1</t>
        </is>
      </c>
      <c r="F43" t="inlineStr">
        <is>
          <t>Institutional artifact + operational evidence</t>
        </is>
      </c>
      <c r="G43" t="inlineStr">
        <is>
          <t>Evidence must directly substantiate the construct; prefer operational and outcome evidence where logically applicable</t>
        </is>
      </c>
      <c r="H43" t="inlineStr">
        <is>
          <t>Current assessment cycle preferred; stale evidence requires justification</t>
        </is>
      </c>
      <c r="I43" t="inlineStr">
        <is>
          <t>2 corroborating sources for high-consequence or high-score claims</t>
        </is>
      </c>
      <c r="J43" t="inlineStr">
        <is>
          <t>Independent source preferred for E3/E4 and high-score claims</t>
        </is>
      </c>
      <c r="K43" t="inlineStr">
        <is>
          <t>Reuse allowed only with construct-specific field mapping; otherwise flag</t>
        </is>
      </c>
      <c r="L43" t="inlineStr">
        <is>
          <t>Policy/ops 12–24 months; outcomes 24–36 months unless metric-specific</t>
        </is>
      </c>
      <c r="M43" t="inlineStr">
        <is>
          <t>Only where observable outcome logically belongs to the construct</t>
        </is>
      </c>
      <c r="N43" t="inlineStr">
        <is>
          <t>Claim-only, policy-only, duplicate or unverifiable evidence cannot create strong confidence</t>
        </is>
      </c>
      <c r="O43" t="inlineStr">
        <is>
          <t>Check P0-5 linked-domain contradictions/dependencies</t>
        </is>
      </c>
      <c r="P43" t="inlineStr">
        <is>
          <t>Report confidence separately; never multiply capability score by confidence</t>
        </is>
      </c>
      <c r="Q43" t="inlineStr">
        <is>
          <t>Assessment / Verification Lead</t>
        </is>
      </c>
      <c r="R43" t="inlineStr">
        <is>
          <t>GREEN</t>
        </is>
      </c>
    </row>
    <row r="44">
      <c r="A44" t="inlineStr">
        <is>
          <t>D04</t>
        </is>
      </c>
      <c r="B44" t="inlineStr">
        <is>
          <t>I02</t>
        </is>
      </c>
      <c r="C44" t="inlineStr">
        <is>
          <t>Future Learning Outcome Alignment</t>
        </is>
      </c>
      <c r="D44" t="inlineStr">
        <is>
          <t>Required for validated metric score</t>
        </is>
      </c>
      <c r="E44" t="inlineStr">
        <is>
          <t>E1</t>
        </is>
      </c>
      <c r="F44" t="inlineStr">
        <is>
          <t>Institutional artifact + operational evidence</t>
        </is>
      </c>
      <c r="G44" t="inlineStr">
        <is>
          <t>Evidence must directly substantiate the construct; prefer operational and outcome evidence where logically applicable</t>
        </is>
      </c>
      <c r="H44" t="inlineStr">
        <is>
          <t>Current assessment cycle preferred; stale evidence requires justification</t>
        </is>
      </c>
      <c r="I44" t="inlineStr">
        <is>
          <t>2 corroborating sources for high-consequence or high-score claims</t>
        </is>
      </c>
      <c r="J44" t="inlineStr">
        <is>
          <t>Independent source preferred for E3/E4 and high-score claims</t>
        </is>
      </c>
      <c r="K44" t="inlineStr">
        <is>
          <t>Reuse allowed only with construct-specific field mapping; otherwise flag</t>
        </is>
      </c>
      <c r="L44" t="inlineStr">
        <is>
          <t>Policy/ops 12–24 months; outcomes 24–36 months unless metric-specific</t>
        </is>
      </c>
      <c r="M44" t="inlineStr">
        <is>
          <t>Only where observable outcome logically belongs to the construct</t>
        </is>
      </c>
      <c r="N44" t="inlineStr">
        <is>
          <t>Claim-only, policy-only, duplicate or unverifiable evidence cannot create strong confidence</t>
        </is>
      </c>
      <c r="O44" t="inlineStr">
        <is>
          <t>Check P0-5 linked-domain contradictions/dependencies</t>
        </is>
      </c>
      <c r="P44" t="inlineStr">
        <is>
          <t>Report confidence separately; never multiply capability score by confidence</t>
        </is>
      </c>
      <c r="Q44" t="inlineStr">
        <is>
          <t>Assessment / Verification Lead</t>
        </is>
      </c>
      <c r="R44" t="inlineStr">
        <is>
          <t>GREEN</t>
        </is>
      </c>
    </row>
    <row r="45">
      <c r="A45" t="inlineStr">
        <is>
          <t>D04</t>
        </is>
      </c>
      <c r="B45" t="inlineStr">
        <is>
          <t>I03</t>
        </is>
      </c>
      <c r="C45" t="inlineStr">
        <is>
          <t>Programme Review Effectiveness</t>
        </is>
      </c>
      <c r="D45" t="inlineStr">
        <is>
          <t>Required for validated metric score</t>
        </is>
      </c>
      <c r="E45" t="inlineStr">
        <is>
          <t>E1</t>
        </is>
      </c>
      <c r="F45" t="inlineStr">
        <is>
          <t>Institutional artifact + operational evidence</t>
        </is>
      </c>
      <c r="G45" t="inlineStr">
        <is>
          <t>Evidence must directly substantiate the construct; prefer operational and outcome evidence where logically applicable</t>
        </is>
      </c>
      <c r="H45" t="inlineStr">
        <is>
          <t>Current assessment cycle preferred; stale evidence requires justification</t>
        </is>
      </c>
      <c r="I45" t="inlineStr">
        <is>
          <t>2 corroborating sources for high-consequence or high-score claims</t>
        </is>
      </c>
      <c r="J45" t="inlineStr">
        <is>
          <t>Independent source preferred for E3/E4 and high-score claims</t>
        </is>
      </c>
      <c r="K45" t="inlineStr">
        <is>
          <t>Reuse allowed only with construct-specific field mapping; otherwise flag</t>
        </is>
      </c>
      <c r="L45" t="inlineStr">
        <is>
          <t>Policy/ops 12–24 months; outcomes 24–36 months unless metric-specific</t>
        </is>
      </c>
      <c r="M45" t="inlineStr">
        <is>
          <t>Only where observable outcome logically belongs to the construct</t>
        </is>
      </c>
      <c r="N45" t="inlineStr">
        <is>
          <t>Claim-only, policy-only, duplicate or unverifiable evidence cannot create strong confidence</t>
        </is>
      </c>
      <c r="O45" t="inlineStr">
        <is>
          <t>Check P0-5 linked-domain contradictions/dependencies</t>
        </is>
      </c>
      <c r="P45" t="inlineStr">
        <is>
          <t>Report confidence separately; never multiply capability score by confidence</t>
        </is>
      </c>
      <c r="Q45" t="inlineStr">
        <is>
          <t>Assessment / Verification Lead</t>
        </is>
      </c>
      <c r="R45" t="inlineStr">
        <is>
          <t>GREEN</t>
        </is>
      </c>
    </row>
    <row r="46">
      <c r="A46" t="inlineStr">
        <is>
          <t>D04</t>
        </is>
      </c>
      <c r="B46" t="inlineStr">
        <is>
          <t>I04</t>
        </is>
      </c>
      <c r="C46" t="inlineStr">
        <is>
          <t>Disciplinary AI Integration Depth</t>
        </is>
      </c>
      <c r="D46" t="inlineStr">
        <is>
          <t>Required for validated metric score</t>
        </is>
      </c>
      <c r="E46" t="inlineStr">
        <is>
          <t>E1</t>
        </is>
      </c>
      <c r="F46" t="inlineStr">
        <is>
          <t>Institutional artifact + operational evidence</t>
        </is>
      </c>
      <c r="G46" t="inlineStr">
        <is>
          <t>Evidence must directly substantiate the construct; prefer operational and outcome evidence where logically applicable</t>
        </is>
      </c>
      <c r="H46" t="inlineStr">
        <is>
          <t>Current assessment cycle preferred; stale evidence requires justification</t>
        </is>
      </c>
      <c r="I46" t="inlineStr">
        <is>
          <t>2 corroborating sources for high-consequence or high-score claims</t>
        </is>
      </c>
      <c r="J46" t="inlineStr">
        <is>
          <t>Independent source preferred for E3/E4 and high-score claims</t>
        </is>
      </c>
      <c r="K46" t="inlineStr">
        <is>
          <t>Reuse allowed only with construct-specific field mapping; otherwise flag</t>
        </is>
      </c>
      <c r="L46" t="inlineStr">
        <is>
          <t>Policy/ops 12–24 months; outcomes 24–36 months unless metric-specific</t>
        </is>
      </c>
      <c r="M46" t="inlineStr">
        <is>
          <t>Only where observable outcome logically belongs to the construct</t>
        </is>
      </c>
      <c r="N46" t="inlineStr">
        <is>
          <t>Claim-only, policy-only, duplicate or unverifiable evidence cannot create strong confidence</t>
        </is>
      </c>
      <c r="O46" t="inlineStr">
        <is>
          <t>Check P0-5 linked-domain contradictions/dependencies</t>
        </is>
      </c>
      <c r="P46" t="inlineStr">
        <is>
          <t>Report confidence separately; never multiply capability score by confidence</t>
        </is>
      </c>
      <c r="Q46" t="inlineStr">
        <is>
          <t>Assessment / Verification Lead</t>
        </is>
      </c>
      <c r="R46" t="inlineStr">
        <is>
          <t>GREEN</t>
        </is>
      </c>
    </row>
    <row r="47">
      <c r="A47" t="inlineStr">
        <is>
          <t>D04</t>
        </is>
      </c>
      <c r="B47" t="inlineStr">
        <is>
          <t>I05</t>
        </is>
      </c>
      <c r="C47" t="inlineStr">
        <is>
          <t>Content Obsolescence Response</t>
        </is>
      </c>
      <c r="D47" t="inlineStr">
        <is>
          <t>Required for validated metric score</t>
        </is>
      </c>
      <c r="E47" t="inlineStr">
        <is>
          <t>E1</t>
        </is>
      </c>
      <c r="F47" t="inlineStr">
        <is>
          <t>Institutional artifact + operational evidence</t>
        </is>
      </c>
      <c r="G47" t="inlineStr">
        <is>
          <t>Evidence must directly substantiate the construct; prefer operational and outcome evidence where logically applicable</t>
        </is>
      </c>
      <c r="H47" t="inlineStr">
        <is>
          <t>Current assessment cycle preferred; stale evidence requires justification</t>
        </is>
      </c>
      <c r="I47" t="inlineStr">
        <is>
          <t>2 corroborating sources for high-consequence or high-score claims</t>
        </is>
      </c>
      <c r="J47" t="inlineStr">
        <is>
          <t>Independent source preferred for E3/E4 and high-score claims</t>
        </is>
      </c>
      <c r="K47" t="inlineStr">
        <is>
          <t>Reuse allowed only with construct-specific field mapping; otherwise flag</t>
        </is>
      </c>
      <c r="L47" t="inlineStr">
        <is>
          <t>Policy/ops 12–24 months; outcomes 24–36 months unless metric-specific</t>
        </is>
      </c>
      <c r="M47" t="inlineStr">
        <is>
          <t>Only where observable outcome logically belongs to the construct</t>
        </is>
      </c>
      <c r="N47" t="inlineStr">
        <is>
          <t>Claim-only, policy-only, duplicate or unverifiable evidence cannot create strong confidence</t>
        </is>
      </c>
      <c r="O47" t="inlineStr">
        <is>
          <t>Check P0-5 linked-domain contradictions/dependencies</t>
        </is>
      </c>
      <c r="P47" t="inlineStr">
        <is>
          <t>Report confidence separately; never multiply capability score by confidence</t>
        </is>
      </c>
      <c r="Q47" t="inlineStr">
        <is>
          <t>Assessment / Verification Lead</t>
        </is>
      </c>
      <c r="R47" t="inlineStr">
        <is>
          <t>GREEN</t>
        </is>
      </c>
    </row>
    <row r="48">
      <c r="A48" t="inlineStr">
        <is>
          <t>D04</t>
        </is>
      </c>
      <c r="B48" t="inlineStr">
        <is>
          <t>I06</t>
        </is>
      </c>
      <c r="C48" t="inlineStr">
        <is>
          <t>Experiential Learning Strength</t>
        </is>
      </c>
      <c r="D48" t="inlineStr">
        <is>
          <t>Required for validated metric score</t>
        </is>
      </c>
      <c r="E48" t="inlineStr">
        <is>
          <t>E1</t>
        </is>
      </c>
      <c r="F48" t="inlineStr">
        <is>
          <t>Institutional artifact + operational evidence</t>
        </is>
      </c>
      <c r="G48" t="inlineStr">
        <is>
          <t>Evidence must directly substantiate the construct; prefer operational and outcome evidence where logically applicable</t>
        </is>
      </c>
      <c r="H48" t="inlineStr">
        <is>
          <t>Current assessment cycle preferred; stale evidence requires justification</t>
        </is>
      </c>
      <c r="I48" t="inlineStr">
        <is>
          <t>2 corroborating sources for high-consequence or high-score claims</t>
        </is>
      </c>
      <c r="J48" t="inlineStr">
        <is>
          <t>Independent source preferred for E3/E4 and high-score claims</t>
        </is>
      </c>
      <c r="K48" t="inlineStr">
        <is>
          <t>Reuse allowed only with construct-specific field mapping; otherwise flag</t>
        </is>
      </c>
      <c r="L48" t="inlineStr">
        <is>
          <t>Policy/ops 12–24 months; outcomes 24–36 months unless metric-specific</t>
        </is>
      </c>
      <c r="M48" t="inlineStr">
        <is>
          <t>Only where observable outcome logically belongs to the construct</t>
        </is>
      </c>
      <c r="N48" t="inlineStr">
        <is>
          <t>Claim-only, policy-only, duplicate or unverifiable evidence cannot create strong confidence</t>
        </is>
      </c>
      <c r="O48" t="inlineStr">
        <is>
          <t>Check P0-5 linked-domain contradictions/dependencies</t>
        </is>
      </c>
      <c r="P48" t="inlineStr">
        <is>
          <t>Report confidence separately; never multiply capability score by confidence</t>
        </is>
      </c>
      <c r="Q48" t="inlineStr">
        <is>
          <t>Assessment / Verification Lead</t>
        </is>
      </c>
      <c r="R48" t="inlineStr">
        <is>
          <t>GREEN</t>
        </is>
      </c>
    </row>
    <row r="49">
      <c r="A49" t="inlineStr">
        <is>
          <t>D04</t>
        </is>
      </c>
      <c r="B49" t="inlineStr">
        <is>
          <t>I07</t>
        </is>
      </c>
      <c r="C49" t="inlineStr">
        <is>
          <t>Interdisciplinary Flexibility</t>
        </is>
      </c>
      <c r="D49" t="inlineStr">
        <is>
          <t>Required for validated metric score</t>
        </is>
      </c>
      <c r="E49" t="inlineStr">
        <is>
          <t>E1</t>
        </is>
      </c>
      <c r="F49" t="inlineStr">
        <is>
          <t>Institutional artifact + operational evidence</t>
        </is>
      </c>
      <c r="G49" t="inlineStr">
        <is>
          <t>Evidence must directly substantiate the construct; prefer operational and outcome evidence where logically applicable</t>
        </is>
      </c>
      <c r="H49" t="inlineStr">
        <is>
          <t>Current assessment cycle preferred; stale evidence requires justification</t>
        </is>
      </c>
      <c r="I49" t="inlineStr">
        <is>
          <t>2 corroborating sources for high-consequence or high-score claims</t>
        </is>
      </c>
      <c r="J49" t="inlineStr">
        <is>
          <t>Independent source preferred for E3/E4 and high-score claims</t>
        </is>
      </c>
      <c r="K49" t="inlineStr">
        <is>
          <t>Reuse allowed only with construct-specific field mapping; otherwise flag</t>
        </is>
      </c>
      <c r="L49" t="inlineStr">
        <is>
          <t>Policy/ops 12–24 months; outcomes 24–36 months unless metric-specific</t>
        </is>
      </c>
      <c r="M49" t="inlineStr">
        <is>
          <t>Only where observable outcome logically belongs to the construct</t>
        </is>
      </c>
      <c r="N49" t="inlineStr">
        <is>
          <t>Claim-only, policy-only, duplicate or unverifiable evidence cannot create strong confidence</t>
        </is>
      </c>
      <c r="O49" t="inlineStr">
        <is>
          <t>Check P0-5 linked-domain contradictions/dependencies</t>
        </is>
      </c>
      <c r="P49" t="inlineStr">
        <is>
          <t>Report confidence separately; never multiply capability score by confidence</t>
        </is>
      </c>
      <c r="Q49" t="inlineStr">
        <is>
          <t>Assessment / Verification Lead</t>
        </is>
      </c>
      <c r="R49" t="inlineStr">
        <is>
          <t>GREEN</t>
        </is>
      </c>
    </row>
    <row r="50">
      <c r="A50" t="inlineStr">
        <is>
          <t>D04</t>
        </is>
      </c>
      <c r="B50" t="inlineStr">
        <is>
          <t>I08</t>
        </is>
      </c>
      <c r="C50" t="inlineStr">
        <is>
          <t>Programme Agility</t>
        </is>
      </c>
      <c r="D50" t="inlineStr">
        <is>
          <t>Required for validated metric score</t>
        </is>
      </c>
      <c r="E50" t="inlineStr">
        <is>
          <t>E1</t>
        </is>
      </c>
      <c r="F50" t="inlineStr">
        <is>
          <t>Institutional artifact + operational evidence</t>
        </is>
      </c>
      <c r="G50" t="inlineStr">
        <is>
          <t>Evidence must directly substantiate the construct; prefer operational and outcome evidence where logically applicable</t>
        </is>
      </c>
      <c r="H50" t="inlineStr">
        <is>
          <t>Current assessment cycle preferred; stale evidence requires justification</t>
        </is>
      </c>
      <c r="I50" t="inlineStr">
        <is>
          <t>2 corroborating sources for high-consequence or high-score claims</t>
        </is>
      </c>
      <c r="J50" t="inlineStr">
        <is>
          <t>Independent source preferred for E3/E4 and high-score claims</t>
        </is>
      </c>
      <c r="K50" t="inlineStr">
        <is>
          <t>Reuse allowed only with construct-specific field mapping; otherwise flag</t>
        </is>
      </c>
      <c r="L50" t="inlineStr">
        <is>
          <t>Policy/ops 12–24 months; outcomes 24–36 months unless metric-specific</t>
        </is>
      </c>
      <c r="M50" t="inlineStr">
        <is>
          <t>Only where observable outcome logically belongs to the construct</t>
        </is>
      </c>
      <c r="N50" t="inlineStr">
        <is>
          <t>Claim-only, policy-only, duplicate or unverifiable evidence cannot create strong confidence</t>
        </is>
      </c>
      <c r="O50" t="inlineStr">
        <is>
          <t>Check P0-5 linked-domain contradictions/dependencies</t>
        </is>
      </c>
      <c r="P50" t="inlineStr">
        <is>
          <t>Report confidence separately; never multiply capability score by confidence</t>
        </is>
      </c>
      <c r="Q50" t="inlineStr">
        <is>
          <t>Assessment / Verification Lead</t>
        </is>
      </c>
      <c r="R50" t="inlineStr">
        <is>
          <t>GREEN</t>
        </is>
      </c>
    </row>
    <row r="51">
      <c r="A51" t="inlineStr">
        <is>
          <t>D04</t>
        </is>
      </c>
      <c r="B51" t="inlineStr">
        <is>
          <t>I09</t>
        </is>
      </c>
      <c r="C51" t="inlineStr">
        <is>
          <t>External Validation Strength</t>
        </is>
      </c>
      <c r="D51" t="inlineStr">
        <is>
          <t>Required for validated metric score</t>
        </is>
      </c>
      <c r="E51" t="inlineStr">
        <is>
          <t>E1</t>
        </is>
      </c>
      <c r="F51" t="inlineStr">
        <is>
          <t>Institutional artifact + operational evidence</t>
        </is>
      </c>
      <c r="G51" t="inlineStr">
        <is>
          <t>Evidence must directly substantiate the construct; prefer operational and outcome evidence where logically applicable</t>
        </is>
      </c>
      <c r="H51" t="inlineStr">
        <is>
          <t>Current assessment cycle preferred; stale evidence requires justification</t>
        </is>
      </c>
      <c r="I51" t="inlineStr">
        <is>
          <t>2 corroborating sources for high-consequence or high-score claims</t>
        </is>
      </c>
      <c r="J51" t="inlineStr">
        <is>
          <t>Independent source preferred for E3/E4 and high-score claims</t>
        </is>
      </c>
      <c r="K51" t="inlineStr">
        <is>
          <t>Reuse allowed only with construct-specific field mapping; otherwise flag</t>
        </is>
      </c>
      <c r="L51" t="inlineStr">
        <is>
          <t>Policy/ops 12–24 months; outcomes 24–36 months unless metric-specific</t>
        </is>
      </c>
      <c r="M51" t="inlineStr">
        <is>
          <t>Only where observable outcome logically belongs to the construct</t>
        </is>
      </c>
      <c r="N51" t="inlineStr">
        <is>
          <t>Claim-only, policy-only, duplicate or unverifiable evidence cannot create strong confidence</t>
        </is>
      </c>
      <c r="O51" t="inlineStr">
        <is>
          <t>Check P0-5 linked-domain contradictions/dependencies</t>
        </is>
      </c>
      <c r="P51" t="inlineStr">
        <is>
          <t>Report confidence separately; never multiply capability score by confidence</t>
        </is>
      </c>
      <c r="Q51" t="inlineStr">
        <is>
          <t>Assessment / Verification Lead</t>
        </is>
      </c>
      <c r="R51" t="inlineStr">
        <is>
          <t>GREEN</t>
        </is>
      </c>
    </row>
    <row r="52">
      <c r="A52" t="inlineStr">
        <is>
          <t>D04</t>
        </is>
      </c>
      <c r="B52" t="inlineStr">
        <is>
          <t>I10</t>
        </is>
      </c>
      <c r="C52" t="inlineStr">
        <is>
          <t>External Learning Ecosystem</t>
        </is>
      </c>
      <c r="D52" t="inlineStr">
        <is>
          <t>Required for validated metric score</t>
        </is>
      </c>
      <c r="E52" t="inlineStr">
        <is>
          <t>E1</t>
        </is>
      </c>
      <c r="F52" t="inlineStr">
        <is>
          <t>Institutional artifact + operational evidence</t>
        </is>
      </c>
      <c r="G52" t="inlineStr">
        <is>
          <t>Evidence must directly substantiate the construct; prefer operational and outcome evidence where logically applicable</t>
        </is>
      </c>
      <c r="H52" t="inlineStr">
        <is>
          <t>Current assessment cycle preferred; stale evidence requires justification</t>
        </is>
      </c>
      <c r="I52" t="inlineStr">
        <is>
          <t>2 corroborating sources for high-consequence or high-score claims</t>
        </is>
      </c>
      <c r="J52" t="inlineStr">
        <is>
          <t>Independent source preferred for E3/E4 and high-score claims</t>
        </is>
      </c>
      <c r="K52" t="inlineStr">
        <is>
          <t>Reuse allowed only with construct-specific field mapping; otherwise flag</t>
        </is>
      </c>
      <c r="L52" t="inlineStr">
        <is>
          <t>Policy/ops 12–24 months; outcomes 24–36 months unless metric-specific</t>
        </is>
      </c>
      <c r="M52" t="inlineStr">
        <is>
          <t>Only where observable outcome logically belongs to the construct</t>
        </is>
      </c>
      <c r="N52" t="inlineStr">
        <is>
          <t>Claim-only, policy-only, duplicate or unverifiable evidence cannot create strong confidence</t>
        </is>
      </c>
      <c r="O52" t="inlineStr">
        <is>
          <t>Check P0-5 linked-domain contradictions/dependencies</t>
        </is>
      </c>
      <c r="P52" t="inlineStr">
        <is>
          <t>Report confidence separately; never multiply capability score by confidence</t>
        </is>
      </c>
      <c r="Q52" t="inlineStr">
        <is>
          <t>Assessment / Verification Lead</t>
        </is>
      </c>
      <c r="R52" t="inlineStr">
        <is>
          <t>GREEN</t>
        </is>
      </c>
    </row>
    <row r="53">
      <c r="A53" t="inlineStr">
        <is>
          <t>D04</t>
        </is>
      </c>
      <c r="B53" t="inlineStr">
        <is>
          <t>I11</t>
        </is>
      </c>
      <c r="C53" t="inlineStr">
        <is>
          <t>Transfer Capability</t>
        </is>
      </c>
      <c r="D53" t="inlineStr">
        <is>
          <t>Required for validated metric score</t>
        </is>
      </c>
      <c r="E53" t="inlineStr">
        <is>
          <t>E1</t>
        </is>
      </c>
      <c r="F53" t="inlineStr">
        <is>
          <t>Institutional artifact + operational evidence</t>
        </is>
      </c>
      <c r="G53" t="inlineStr">
        <is>
          <t>Evidence must directly substantiate the construct; prefer operational and outcome evidence where logically applicable</t>
        </is>
      </c>
      <c r="H53" t="inlineStr">
        <is>
          <t>Current assessment cycle preferred; stale evidence requires justification</t>
        </is>
      </c>
      <c r="I53" t="inlineStr">
        <is>
          <t>2 corroborating sources for high-consequence or high-score claims</t>
        </is>
      </c>
      <c r="J53" t="inlineStr">
        <is>
          <t>Independent source preferred for E3/E4 and high-score claims</t>
        </is>
      </c>
      <c r="K53" t="inlineStr">
        <is>
          <t>Reuse allowed only with construct-specific field mapping; otherwise flag</t>
        </is>
      </c>
      <c r="L53" t="inlineStr">
        <is>
          <t>Policy/ops 12–24 months; outcomes 24–36 months unless metric-specific</t>
        </is>
      </c>
      <c r="M53" t="inlineStr">
        <is>
          <t>Only where observable outcome logically belongs to the construct</t>
        </is>
      </c>
      <c r="N53" t="inlineStr">
        <is>
          <t>Claim-only, policy-only, duplicate or unverifiable evidence cannot create strong confidence</t>
        </is>
      </c>
      <c r="O53" t="inlineStr">
        <is>
          <t>Check P0-5 linked-domain contradictions/dependencies</t>
        </is>
      </c>
      <c r="P53" t="inlineStr">
        <is>
          <t>Report confidence separately; never multiply capability score by confidence</t>
        </is>
      </c>
      <c r="Q53" t="inlineStr">
        <is>
          <t>Assessment / Verification Lead</t>
        </is>
      </c>
      <c r="R53" t="inlineStr">
        <is>
          <t>GREEN</t>
        </is>
      </c>
    </row>
    <row r="54">
      <c r="A54" t="inlineStr">
        <is>
          <t>D04</t>
        </is>
      </c>
      <c r="B54" t="inlineStr">
        <is>
          <t>I12</t>
        </is>
      </c>
      <c r="C54" t="inlineStr">
        <is>
          <t>Portfolio Foresight</t>
        </is>
      </c>
      <c r="D54" t="inlineStr">
        <is>
          <t>Required for validated metric score</t>
        </is>
      </c>
      <c r="E54" t="inlineStr">
        <is>
          <t>E1</t>
        </is>
      </c>
      <c r="F54" t="inlineStr">
        <is>
          <t>Institutional artifact + operational evidence</t>
        </is>
      </c>
      <c r="G54" t="inlineStr">
        <is>
          <t>Evidence must directly substantiate the construct; prefer operational and outcome evidence where logically applicable</t>
        </is>
      </c>
      <c r="H54" t="inlineStr">
        <is>
          <t>Current assessment cycle preferred; stale evidence requires justification</t>
        </is>
      </c>
      <c r="I54" t="inlineStr">
        <is>
          <t>2 corroborating sources for high-consequence or high-score claims</t>
        </is>
      </c>
      <c r="J54" t="inlineStr">
        <is>
          <t>Independent source preferred for E3/E4 and high-score claims</t>
        </is>
      </c>
      <c r="K54" t="inlineStr">
        <is>
          <t>Reuse allowed only with construct-specific field mapping; otherwise flag</t>
        </is>
      </c>
      <c r="L54" t="inlineStr">
        <is>
          <t>Policy/ops 12–24 months; outcomes 24–36 months unless metric-specific</t>
        </is>
      </c>
      <c r="M54" t="inlineStr">
        <is>
          <t>Only where observable outcome logically belongs to the construct</t>
        </is>
      </c>
      <c r="N54" t="inlineStr">
        <is>
          <t>Claim-only, policy-only, duplicate or unverifiable evidence cannot create strong confidence</t>
        </is>
      </c>
      <c r="O54" t="inlineStr">
        <is>
          <t>Check P0-5 linked-domain contradictions/dependencies</t>
        </is>
      </c>
      <c r="P54" t="inlineStr">
        <is>
          <t>Report confidence separately; never multiply capability score by confidence</t>
        </is>
      </c>
      <c r="Q54" t="inlineStr">
        <is>
          <t>Assessment / Verification Lead</t>
        </is>
      </c>
      <c r="R54" t="inlineStr">
        <is>
          <t>GREEN</t>
        </is>
      </c>
    </row>
    <row r="55">
      <c r="A55" t="inlineStr">
        <is>
          <t>D05</t>
        </is>
      </c>
      <c r="B55" t="inlineStr">
        <is>
          <t>I01</t>
        </is>
      </c>
      <c r="C55" t="inlineStr">
        <is>
          <t>Faculty AI Literacy Maturity</t>
        </is>
      </c>
      <c r="D55" t="inlineStr">
        <is>
          <t>Required for validated metric score</t>
        </is>
      </c>
      <c r="E55" t="inlineStr">
        <is>
          <t>E1</t>
        </is>
      </c>
      <c r="F55" t="inlineStr">
        <is>
          <t>Institutional artifact + operational evidence</t>
        </is>
      </c>
      <c r="G55" t="inlineStr">
        <is>
          <t>Evidence must directly substantiate the construct; prefer operational and outcome evidence where logically applicable</t>
        </is>
      </c>
      <c r="H55" t="inlineStr">
        <is>
          <t>Current assessment cycle preferred; stale evidence requires justification</t>
        </is>
      </c>
      <c r="I55" t="inlineStr">
        <is>
          <t>2 corroborating sources for high-consequence or high-score claims</t>
        </is>
      </c>
      <c r="J55" t="inlineStr">
        <is>
          <t>Independent source preferred for E3/E4 and high-score claims</t>
        </is>
      </c>
      <c r="K55" t="inlineStr">
        <is>
          <t>Reuse allowed only with construct-specific field mapping; otherwise flag</t>
        </is>
      </c>
      <c r="L55" t="inlineStr">
        <is>
          <t>Policy/ops 12–24 months; outcomes 24–36 months unless metric-specific</t>
        </is>
      </c>
      <c r="M55" t="inlineStr">
        <is>
          <t>Only where observable outcome logically belongs to the construct</t>
        </is>
      </c>
      <c r="N55" t="inlineStr">
        <is>
          <t>Claim-only, policy-only, duplicate or unverifiable evidence cannot create strong confidence</t>
        </is>
      </c>
      <c r="O55" t="inlineStr">
        <is>
          <t>Check P0-5 linked-domain contradictions/dependencies</t>
        </is>
      </c>
      <c r="P55" t="inlineStr">
        <is>
          <t>Report confidence separately; never multiply capability score by confidence</t>
        </is>
      </c>
      <c r="Q55" t="inlineStr">
        <is>
          <t>Assessment / Verification Lead</t>
        </is>
      </c>
      <c r="R55" t="inlineStr">
        <is>
          <t>GREEN</t>
        </is>
      </c>
    </row>
    <row r="56">
      <c r="A56" t="inlineStr">
        <is>
          <t>D05</t>
        </is>
      </c>
      <c r="B56" t="inlineStr">
        <is>
          <t>I02</t>
        </is>
      </c>
      <c r="C56" t="inlineStr">
        <is>
          <t>Discipline-Specific AI Practice</t>
        </is>
      </c>
      <c r="D56" t="inlineStr">
        <is>
          <t>Required for validated metric score</t>
        </is>
      </c>
      <c r="E56" t="inlineStr">
        <is>
          <t>E1</t>
        </is>
      </c>
      <c r="F56" t="inlineStr">
        <is>
          <t>Institutional artifact + operational evidence</t>
        </is>
      </c>
      <c r="G56" t="inlineStr">
        <is>
          <t>Evidence must directly substantiate the construct; prefer operational and outcome evidence where logically applicable</t>
        </is>
      </c>
      <c r="H56" t="inlineStr">
        <is>
          <t>Current assessment cycle preferred; stale evidence requires justification</t>
        </is>
      </c>
      <c r="I56" t="inlineStr">
        <is>
          <t>2 corroborating sources for high-consequence or high-score claims</t>
        </is>
      </c>
      <c r="J56" t="inlineStr">
        <is>
          <t>Independent source preferred for E3/E4 and high-score claims</t>
        </is>
      </c>
      <c r="K56" t="inlineStr">
        <is>
          <t>Reuse allowed only with construct-specific field mapping; otherwise flag</t>
        </is>
      </c>
      <c r="L56" t="inlineStr">
        <is>
          <t>Policy/ops 12–24 months; outcomes 24–36 months unless metric-specific</t>
        </is>
      </c>
      <c r="M56" t="inlineStr">
        <is>
          <t>Only where observable outcome logically belongs to the construct</t>
        </is>
      </c>
      <c r="N56" t="inlineStr">
        <is>
          <t>Claim-only, policy-only, duplicate or unverifiable evidence cannot create strong confidence</t>
        </is>
      </c>
      <c r="O56" t="inlineStr">
        <is>
          <t>Check P0-5 linked-domain contradictions/dependencies</t>
        </is>
      </c>
      <c r="P56" t="inlineStr">
        <is>
          <t>Report confidence separately; never multiply capability score by confidence</t>
        </is>
      </c>
      <c r="Q56" t="inlineStr">
        <is>
          <t>Assessment / Verification Lead</t>
        </is>
      </c>
      <c r="R56" t="inlineStr">
        <is>
          <t>GREEN</t>
        </is>
      </c>
    </row>
    <row r="57">
      <c r="A57" t="inlineStr">
        <is>
          <t>D05</t>
        </is>
      </c>
      <c r="B57" t="inlineStr">
        <is>
          <t>I03</t>
        </is>
      </c>
      <c r="C57" t="inlineStr">
        <is>
          <t>AI-Enhanced Pedagogy</t>
        </is>
      </c>
      <c r="D57" t="inlineStr">
        <is>
          <t>Required for validated metric score</t>
        </is>
      </c>
      <c r="E57" t="inlineStr">
        <is>
          <t>E1</t>
        </is>
      </c>
      <c r="F57" t="inlineStr">
        <is>
          <t>Institutional artifact + operational evidence</t>
        </is>
      </c>
      <c r="G57" t="inlineStr">
        <is>
          <t>Evidence must directly substantiate the construct; prefer operational and outcome evidence where logically applicable</t>
        </is>
      </c>
      <c r="H57" t="inlineStr">
        <is>
          <t>Current assessment cycle preferred; stale evidence requires justification</t>
        </is>
      </c>
      <c r="I57" t="inlineStr">
        <is>
          <t>2 corroborating sources for high-consequence or high-score claims</t>
        </is>
      </c>
      <c r="J57" t="inlineStr">
        <is>
          <t>Independent source preferred for E3/E4 and high-score claims</t>
        </is>
      </c>
      <c r="K57" t="inlineStr">
        <is>
          <t>Reuse allowed only with construct-specific field mapping; otherwise flag</t>
        </is>
      </c>
      <c r="L57" t="inlineStr">
        <is>
          <t>Policy/ops 12–24 months; outcomes 24–36 months unless metric-specific</t>
        </is>
      </c>
      <c r="M57" t="inlineStr">
        <is>
          <t>Only where observable outcome logically belongs to the construct</t>
        </is>
      </c>
      <c r="N57" t="inlineStr">
        <is>
          <t>Claim-only, policy-only, duplicate or unverifiable evidence cannot create strong confidence</t>
        </is>
      </c>
      <c r="O57" t="inlineStr">
        <is>
          <t>Check P0-5 linked-domain contradictions/dependencies</t>
        </is>
      </c>
      <c r="P57" t="inlineStr">
        <is>
          <t>Report confidence separately; never multiply capability score by confidence</t>
        </is>
      </c>
      <c r="Q57" t="inlineStr">
        <is>
          <t>Assessment / Verification Lead</t>
        </is>
      </c>
      <c r="R57" t="inlineStr">
        <is>
          <t>GREEN</t>
        </is>
      </c>
    </row>
    <row r="58">
      <c r="A58" t="inlineStr">
        <is>
          <t>D05</t>
        </is>
      </c>
      <c r="B58" t="inlineStr">
        <is>
          <t>I04</t>
        </is>
      </c>
      <c r="C58" t="inlineStr">
        <is>
          <t>Assessment Redesign Capability</t>
        </is>
      </c>
      <c r="D58" t="inlineStr">
        <is>
          <t>Required for validated metric score</t>
        </is>
      </c>
      <c r="E58" t="inlineStr">
        <is>
          <t>E1</t>
        </is>
      </c>
      <c r="F58" t="inlineStr">
        <is>
          <t>Institutional artifact + operational evidence</t>
        </is>
      </c>
      <c r="G58" t="inlineStr">
        <is>
          <t>Evidence must directly substantiate the construct; prefer operational and outcome evidence where logically applicable</t>
        </is>
      </c>
      <c r="H58" t="inlineStr">
        <is>
          <t>Current assessment cycle preferred; stale evidence requires justification</t>
        </is>
      </c>
      <c r="I58" t="inlineStr">
        <is>
          <t>2 corroborating sources for high-consequence or high-score claims</t>
        </is>
      </c>
      <c r="J58" t="inlineStr">
        <is>
          <t>Independent source preferred for E3/E4 and high-score claims</t>
        </is>
      </c>
      <c r="K58" t="inlineStr">
        <is>
          <t>Reuse allowed only with construct-specific field mapping; otherwise flag</t>
        </is>
      </c>
      <c r="L58" t="inlineStr">
        <is>
          <t>Policy/ops 12–24 months; outcomes 24–36 months unless metric-specific</t>
        </is>
      </c>
      <c r="M58" t="inlineStr">
        <is>
          <t>Only where observable outcome logically belongs to the construct</t>
        </is>
      </c>
      <c r="N58" t="inlineStr">
        <is>
          <t>Claim-only, policy-only, duplicate or unverifiable evidence cannot create strong confidence</t>
        </is>
      </c>
      <c r="O58" t="inlineStr">
        <is>
          <t>Check P0-5 linked-domain contradictions/dependencies</t>
        </is>
      </c>
      <c r="P58" t="inlineStr">
        <is>
          <t>Report confidence separately; never multiply capability score by confidence</t>
        </is>
      </c>
      <c r="Q58" t="inlineStr">
        <is>
          <t>Assessment / Verification Lead</t>
        </is>
      </c>
      <c r="R58" t="inlineStr">
        <is>
          <t>GREEN</t>
        </is>
      </c>
    </row>
    <row r="59">
      <c r="A59" t="inlineStr">
        <is>
          <t>D05</t>
        </is>
      </c>
      <c r="B59" t="inlineStr">
        <is>
          <t>I05</t>
        </is>
      </c>
      <c r="C59" t="inlineStr">
        <is>
          <t>Faculty Learning &amp; Development Effectiveness</t>
        </is>
      </c>
      <c r="D59" t="inlineStr">
        <is>
          <t>Required for validated metric score</t>
        </is>
      </c>
      <c r="E59" t="inlineStr">
        <is>
          <t>E1</t>
        </is>
      </c>
      <c r="F59" t="inlineStr">
        <is>
          <t>Institutional artifact + operational evidence</t>
        </is>
      </c>
      <c r="G59" t="inlineStr">
        <is>
          <t>Evidence must directly substantiate the construct; prefer operational and outcome evidence where logically applicable</t>
        </is>
      </c>
      <c r="H59" t="inlineStr">
        <is>
          <t>Current assessment cycle preferred; stale evidence requires justification</t>
        </is>
      </c>
      <c r="I59" t="inlineStr">
        <is>
          <t>2 corroborating sources for high-consequence or high-score claims</t>
        </is>
      </c>
      <c r="J59" t="inlineStr">
        <is>
          <t>Independent source preferred for E3/E4 and high-score claims</t>
        </is>
      </c>
      <c r="K59" t="inlineStr">
        <is>
          <t>Reuse allowed only with construct-specific field mapping; otherwise flag</t>
        </is>
      </c>
      <c r="L59" t="inlineStr">
        <is>
          <t>Policy/ops 12–24 months; outcomes 24–36 months unless metric-specific</t>
        </is>
      </c>
      <c r="M59" t="inlineStr">
        <is>
          <t>Only where observable outcome logically belongs to the construct</t>
        </is>
      </c>
      <c r="N59" t="inlineStr">
        <is>
          <t>Claim-only, policy-only, duplicate or unverifiable evidence cannot create strong confidence</t>
        </is>
      </c>
      <c r="O59" t="inlineStr">
        <is>
          <t>Check P0-5 linked-domain contradictions/dependencies</t>
        </is>
      </c>
      <c r="P59" t="inlineStr">
        <is>
          <t>Report confidence separately; never multiply capability score by confidence</t>
        </is>
      </c>
      <c r="Q59" t="inlineStr">
        <is>
          <t>Assessment / Verification Lead</t>
        </is>
      </c>
      <c r="R59" t="inlineStr">
        <is>
          <t>GREEN</t>
        </is>
      </c>
    </row>
    <row r="60">
      <c r="A60" t="inlineStr">
        <is>
          <t>D05</t>
        </is>
      </c>
      <c r="B60" t="inlineStr">
        <is>
          <t>I06</t>
        </is>
      </c>
      <c r="C60" t="inlineStr">
        <is>
          <t>Peer Learning &amp; Communities</t>
        </is>
      </c>
      <c r="D60" t="inlineStr">
        <is>
          <t>Required for validated metric score</t>
        </is>
      </c>
      <c r="E60" t="inlineStr">
        <is>
          <t>E1</t>
        </is>
      </c>
      <c r="F60" t="inlineStr">
        <is>
          <t>Institutional artifact + operational evidence</t>
        </is>
      </c>
      <c r="G60" t="inlineStr">
        <is>
          <t>Evidence must directly substantiate the construct; prefer operational and outcome evidence where logically applicable</t>
        </is>
      </c>
      <c r="H60" t="inlineStr">
        <is>
          <t>Current assessment cycle preferred; stale evidence requires justification</t>
        </is>
      </c>
      <c r="I60" t="inlineStr">
        <is>
          <t>2 corroborating sources for high-consequence or high-score claims</t>
        </is>
      </c>
      <c r="J60" t="inlineStr">
        <is>
          <t>Independent source preferred for E3/E4 and high-score claims</t>
        </is>
      </c>
      <c r="K60" t="inlineStr">
        <is>
          <t>Reuse allowed only with construct-specific field mapping; otherwise flag</t>
        </is>
      </c>
      <c r="L60" t="inlineStr">
        <is>
          <t>Policy/ops 12–24 months; outcomes 24–36 months unless metric-specific</t>
        </is>
      </c>
      <c r="M60" t="inlineStr">
        <is>
          <t>Only where observable outcome logically belongs to the construct</t>
        </is>
      </c>
      <c r="N60" t="inlineStr">
        <is>
          <t>Claim-only, policy-only, duplicate or unverifiable evidence cannot create strong confidence</t>
        </is>
      </c>
      <c r="O60" t="inlineStr">
        <is>
          <t>Check P0-5 linked-domain contradictions/dependencies</t>
        </is>
      </c>
      <c r="P60" t="inlineStr">
        <is>
          <t>Report confidence separately; never multiply capability score by confidence</t>
        </is>
      </c>
      <c r="Q60" t="inlineStr">
        <is>
          <t>Assessment / Verification Lead</t>
        </is>
      </c>
      <c r="R60" t="inlineStr">
        <is>
          <t>GREEN</t>
        </is>
      </c>
    </row>
    <row r="61">
      <c r="A61" t="inlineStr">
        <is>
          <t>D05</t>
        </is>
      </c>
      <c r="B61" t="inlineStr">
        <is>
          <t>I07</t>
        </is>
      </c>
      <c r="C61" t="inlineStr">
        <is>
          <t>AI Research &amp; Knowledge Creation</t>
        </is>
      </c>
      <c r="D61" t="inlineStr">
        <is>
          <t>Required for validated metric score</t>
        </is>
      </c>
      <c r="E61" t="inlineStr">
        <is>
          <t>E1</t>
        </is>
      </c>
      <c r="F61" t="inlineStr">
        <is>
          <t>Institutional artifact + operational evidence</t>
        </is>
      </c>
      <c r="G61" t="inlineStr">
        <is>
          <t>Evidence must directly substantiate the construct; prefer operational and outcome evidence where logically applicable</t>
        </is>
      </c>
      <c r="H61" t="inlineStr">
        <is>
          <t>Current assessment cycle preferred; stale evidence requires justification</t>
        </is>
      </c>
      <c r="I61" t="inlineStr">
        <is>
          <t>2 corroborating sources for high-consequence or high-score claims</t>
        </is>
      </c>
      <c r="J61" t="inlineStr">
        <is>
          <t>Independent source preferred for E3/E4 and high-score claims</t>
        </is>
      </c>
      <c r="K61" t="inlineStr">
        <is>
          <t>Reuse allowed only with construct-specific field mapping; otherwise flag</t>
        </is>
      </c>
      <c r="L61" t="inlineStr">
        <is>
          <t>Policy/ops 12–24 months; outcomes 24–36 months unless metric-specific</t>
        </is>
      </c>
      <c r="M61" t="inlineStr">
        <is>
          <t>Only where observable outcome logically belongs to the construct</t>
        </is>
      </c>
      <c r="N61" t="inlineStr">
        <is>
          <t>Claim-only, policy-only, duplicate or unverifiable evidence cannot create strong confidence</t>
        </is>
      </c>
      <c r="O61" t="inlineStr">
        <is>
          <t>Check P0-5 linked-domain contradictions/dependencies</t>
        </is>
      </c>
      <c r="P61" t="inlineStr">
        <is>
          <t>Report confidence separately; never multiply capability score by confidence</t>
        </is>
      </c>
      <c r="Q61" t="inlineStr">
        <is>
          <t>Assessment / Verification Lead</t>
        </is>
      </c>
      <c r="R61" t="inlineStr">
        <is>
          <t>GREEN</t>
        </is>
      </c>
    </row>
    <row r="62">
      <c r="A62" t="inlineStr">
        <is>
          <t>D05</t>
        </is>
      </c>
      <c r="B62" t="inlineStr">
        <is>
          <t>I08</t>
        </is>
      </c>
      <c r="C62" t="inlineStr">
        <is>
          <t>Academic Role Redesign</t>
        </is>
      </c>
      <c r="D62" t="inlineStr">
        <is>
          <t>Required for validated metric score</t>
        </is>
      </c>
      <c r="E62" t="inlineStr">
        <is>
          <t>E1</t>
        </is>
      </c>
      <c r="F62" t="inlineStr">
        <is>
          <t>Institutional artifact + operational evidence</t>
        </is>
      </c>
      <c r="G62" t="inlineStr">
        <is>
          <t>Evidence must directly substantiate the construct; prefer operational and outcome evidence where logically applicable</t>
        </is>
      </c>
      <c r="H62" t="inlineStr">
        <is>
          <t>Current assessment cycle preferred; stale evidence requires justification</t>
        </is>
      </c>
      <c r="I62" t="inlineStr">
        <is>
          <t>2 corroborating sources for high-consequence or high-score claims</t>
        </is>
      </c>
      <c r="J62" t="inlineStr">
        <is>
          <t>Independent source preferred for E3/E4 and high-score claims</t>
        </is>
      </c>
      <c r="K62" t="inlineStr">
        <is>
          <t>Reuse allowed only with construct-specific field mapping; otherwise flag</t>
        </is>
      </c>
      <c r="L62" t="inlineStr">
        <is>
          <t>Policy/ops 12–24 months; outcomes 24–36 months unless metric-specific</t>
        </is>
      </c>
      <c r="M62" t="inlineStr">
        <is>
          <t>Only where observable outcome logically belongs to the construct</t>
        </is>
      </c>
      <c r="N62" t="inlineStr">
        <is>
          <t>Claim-only, policy-only, duplicate or unverifiable evidence cannot create strong confidence</t>
        </is>
      </c>
      <c r="O62" t="inlineStr">
        <is>
          <t>Check P0-5 linked-domain contradictions/dependencies</t>
        </is>
      </c>
      <c r="P62" t="inlineStr">
        <is>
          <t>Report confidence separately; never multiply capability score by confidence</t>
        </is>
      </c>
      <c r="Q62" t="inlineStr">
        <is>
          <t>Assessment / Verification Lead</t>
        </is>
      </c>
      <c r="R62" t="inlineStr">
        <is>
          <t>GREEN</t>
        </is>
      </c>
    </row>
    <row r="63">
      <c r="A63" t="inlineStr">
        <is>
          <t>D05</t>
        </is>
      </c>
      <c r="B63" t="inlineStr">
        <is>
          <t>I09</t>
        </is>
      </c>
      <c r="C63" t="inlineStr">
        <is>
          <t>Workload &amp; Workflow Transformation</t>
        </is>
      </c>
      <c r="D63" t="inlineStr">
        <is>
          <t>Required for validated metric score</t>
        </is>
      </c>
      <c r="E63" t="inlineStr">
        <is>
          <t>E1</t>
        </is>
      </c>
      <c r="F63" t="inlineStr">
        <is>
          <t>Institutional artifact + operational evidence</t>
        </is>
      </c>
      <c r="G63" t="inlineStr">
        <is>
          <t>Evidence must directly substantiate the construct; prefer operational and outcome evidence where logically applicable</t>
        </is>
      </c>
      <c r="H63" t="inlineStr">
        <is>
          <t>Current assessment cycle preferred; stale evidence requires justification</t>
        </is>
      </c>
      <c r="I63" t="inlineStr">
        <is>
          <t>2 corroborating sources for high-consequence or high-score claims</t>
        </is>
      </c>
      <c r="J63" t="inlineStr">
        <is>
          <t>Independent source preferred for E3/E4 and high-score claims</t>
        </is>
      </c>
      <c r="K63" t="inlineStr">
        <is>
          <t>Reuse allowed only with construct-specific field mapping; otherwise flag</t>
        </is>
      </c>
      <c r="L63" t="inlineStr">
        <is>
          <t>Policy/ops 12–24 months; outcomes 24–36 months unless metric-specific</t>
        </is>
      </c>
      <c r="M63" t="inlineStr">
        <is>
          <t>Only where observable outcome logically belongs to the construct</t>
        </is>
      </c>
      <c r="N63" t="inlineStr">
        <is>
          <t>Claim-only, policy-only, duplicate or unverifiable evidence cannot create strong confidence</t>
        </is>
      </c>
      <c r="O63" t="inlineStr">
        <is>
          <t>Check P0-5 linked-domain contradictions/dependencies</t>
        </is>
      </c>
      <c r="P63" t="inlineStr">
        <is>
          <t>Report confidence separately; never multiply capability score by confidence</t>
        </is>
      </c>
      <c r="Q63" t="inlineStr">
        <is>
          <t>Assessment / Verification Lead</t>
        </is>
      </c>
      <c r="R63" t="inlineStr">
        <is>
          <t>GREEN</t>
        </is>
      </c>
    </row>
    <row r="64">
      <c r="A64" t="inlineStr">
        <is>
          <t>D05</t>
        </is>
      </c>
      <c r="B64" t="inlineStr">
        <is>
          <t>I10</t>
        </is>
      </c>
      <c r="C64" t="inlineStr">
        <is>
          <t>Faculty Support Infrastructure</t>
        </is>
      </c>
      <c r="D64" t="inlineStr">
        <is>
          <t>Required for validated metric score</t>
        </is>
      </c>
      <c r="E64" t="inlineStr">
        <is>
          <t>E1</t>
        </is>
      </c>
      <c r="F64" t="inlineStr">
        <is>
          <t>Institutional artifact + operational evidence</t>
        </is>
      </c>
      <c r="G64" t="inlineStr">
        <is>
          <t>Evidence must directly substantiate the construct; prefer operational and outcome evidence where logically applicable</t>
        </is>
      </c>
      <c r="H64" t="inlineStr">
        <is>
          <t>Current assessment cycle preferred; stale evidence requires justification</t>
        </is>
      </c>
      <c r="I64" t="inlineStr">
        <is>
          <t>2 corroborating sources for high-consequence or high-score claims</t>
        </is>
      </c>
      <c r="J64" t="inlineStr">
        <is>
          <t>Independent source preferred for E3/E4 and high-score claims</t>
        </is>
      </c>
      <c r="K64" t="inlineStr">
        <is>
          <t>Reuse allowed only with construct-specific field mapping; otherwise flag</t>
        </is>
      </c>
      <c r="L64" t="inlineStr">
        <is>
          <t>Policy/ops 12–24 months; outcomes 24–36 months unless metric-specific</t>
        </is>
      </c>
      <c r="M64" t="inlineStr">
        <is>
          <t>Only where observable outcome logically belongs to the construct</t>
        </is>
      </c>
      <c r="N64" t="inlineStr">
        <is>
          <t>Claim-only, policy-only, duplicate or unverifiable evidence cannot create strong confidence</t>
        </is>
      </c>
      <c r="O64" t="inlineStr">
        <is>
          <t>Check P0-5 linked-domain contradictions/dependencies</t>
        </is>
      </c>
      <c r="P64" t="inlineStr">
        <is>
          <t>Report confidence separately; never multiply capability score by confidence</t>
        </is>
      </c>
      <c r="Q64" t="inlineStr">
        <is>
          <t>Assessment / Verification Lead</t>
        </is>
      </c>
      <c r="R64" t="inlineStr">
        <is>
          <t>GREEN</t>
        </is>
      </c>
    </row>
    <row r="65">
      <c r="A65" t="inlineStr">
        <is>
          <t>D05</t>
        </is>
      </c>
      <c r="B65" t="inlineStr">
        <is>
          <t>I11</t>
        </is>
      </c>
      <c r="C65" t="inlineStr">
        <is>
          <t>Academic Leadership for AI</t>
        </is>
      </c>
      <c r="D65" t="inlineStr">
        <is>
          <t>Required for validated metric score</t>
        </is>
      </c>
      <c r="E65" t="inlineStr">
        <is>
          <t>E1</t>
        </is>
      </c>
      <c r="F65" t="inlineStr">
        <is>
          <t>Institutional artifact + operational evidence</t>
        </is>
      </c>
      <c r="G65" t="inlineStr">
        <is>
          <t>Evidence must directly substantiate the construct; prefer operational and outcome evidence where logically applicable</t>
        </is>
      </c>
      <c r="H65" t="inlineStr">
        <is>
          <t>Current assessment cycle preferred; stale evidence requires justification</t>
        </is>
      </c>
      <c r="I65" t="inlineStr">
        <is>
          <t>2 corroborating sources for high-consequence or high-score claims</t>
        </is>
      </c>
      <c r="J65" t="inlineStr">
        <is>
          <t>Independent source preferred for E3/E4 and high-score claims</t>
        </is>
      </c>
      <c r="K65" t="inlineStr">
        <is>
          <t>Reuse allowed only with construct-specific field mapping; otherwise flag</t>
        </is>
      </c>
      <c r="L65" t="inlineStr">
        <is>
          <t>Policy/ops 12–24 months; outcomes 24–36 months unless metric-specific</t>
        </is>
      </c>
      <c r="M65" t="inlineStr">
        <is>
          <t>Only where observable outcome logically belongs to the construct</t>
        </is>
      </c>
      <c r="N65" t="inlineStr">
        <is>
          <t>Claim-only, policy-only, duplicate or unverifiable evidence cannot create strong confidence</t>
        </is>
      </c>
      <c r="O65" t="inlineStr">
        <is>
          <t>Check P0-5 linked-domain contradictions/dependencies</t>
        </is>
      </c>
      <c r="P65" t="inlineStr">
        <is>
          <t>Report confidence separately; never multiply capability score by confidence</t>
        </is>
      </c>
      <c r="Q65" t="inlineStr">
        <is>
          <t>Assessment / Verification Lead</t>
        </is>
      </c>
      <c r="R65" t="inlineStr">
        <is>
          <t>GREEN</t>
        </is>
      </c>
    </row>
    <row r="66">
      <c r="A66" t="inlineStr">
        <is>
          <t>D05</t>
        </is>
      </c>
      <c r="B66" t="inlineStr">
        <is>
          <t>I12</t>
        </is>
      </c>
      <c r="C66" t="inlineStr">
        <is>
          <t>Faculty Adoption Learning Loop</t>
        </is>
      </c>
      <c r="D66" t="inlineStr">
        <is>
          <t>Required for validated metric score</t>
        </is>
      </c>
      <c r="E66" t="inlineStr">
        <is>
          <t>E1</t>
        </is>
      </c>
      <c r="F66" t="inlineStr">
        <is>
          <t>Institutional artifact + operational evidence</t>
        </is>
      </c>
      <c r="G66" t="inlineStr">
        <is>
          <t>Evidence must directly substantiate the construct; prefer operational and outcome evidence where logically applicable</t>
        </is>
      </c>
      <c r="H66" t="inlineStr">
        <is>
          <t>Current assessment cycle preferred; stale evidence requires justification</t>
        </is>
      </c>
      <c r="I66" t="inlineStr">
        <is>
          <t>2 corroborating sources for high-consequence or high-score claims</t>
        </is>
      </c>
      <c r="J66" t="inlineStr">
        <is>
          <t>Independent source preferred for E3/E4 and high-score claims</t>
        </is>
      </c>
      <c r="K66" t="inlineStr">
        <is>
          <t>Reuse allowed only with construct-specific field mapping; otherwise flag</t>
        </is>
      </c>
      <c r="L66" t="inlineStr">
        <is>
          <t>Policy/ops 12–24 months; outcomes 24–36 months unless metric-specific</t>
        </is>
      </c>
      <c r="M66" t="inlineStr">
        <is>
          <t>Only where observable outcome logically belongs to the construct</t>
        </is>
      </c>
      <c r="N66" t="inlineStr">
        <is>
          <t>Claim-only, policy-only, duplicate or unverifiable evidence cannot create strong confidence</t>
        </is>
      </c>
      <c r="O66" t="inlineStr">
        <is>
          <t>Check P0-5 linked-domain contradictions/dependencies</t>
        </is>
      </c>
      <c r="P66" t="inlineStr">
        <is>
          <t>Report confidence separately; never multiply capability score by confidence</t>
        </is>
      </c>
      <c r="Q66" t="inlineStr">
        <is>
          <t>Assessment / Verification Lead</t>
        </is>
      </c>
      <c r="R66" t="inlineStr">
        <is>
          <t>GREEN</t>
        </is>
      </c>
    </row>
    <row r="67">
      <c r="A67" t="inlineStr">
        <is>
          <t>D06</t>
        </is>
      </c>
      <c r="B67" t="inlineStr">
        <is>
          <t>I01</t>
        </is>
      </c>
      <c r="C67" t="inlineStr">
        <is>
          <t>Student AI Literacy</t>
        </is>
      </c>
      <c r="D67" t="inlineStr">
        <is>
          <t>Required for validated metric score</t>
        </is>
      </c>
      <c r="E67" t="inlineStr">
        <is>
          <t>E1</t>
        </is>
      </c>
      <c r="F67" t="inlineStr">
        <is>
          <t>Institutional artifact + operational evidence</t>
        </is>
      </c>
      <c r="G67" t="inlineStr">
        <is>
          <t>Evidence must directly substantiate the construct; prefer operational and outcome evidence where logically applicable</t>
        </is>
      </c>
      <c r="H67" t="inlineStr">
        <is>
          <t>Current assessment cycle preferred; stale evidence requires justification</t>
        </is>
      </c>
      <c r="I67" t="inlineStr">
        <is>
          <t>2 corroborating sources for high-consequence or high-score claims</t>
        </is>
      </c>
      <c r="J67" t="inlineStr">
        <is>
          <t>Independent source preferred for E3/E4 and high-score claims</t>
        </is>
      </c>
      <c r="K67" t="inlineStr">
        <is>
          <t>Reuse allowed only with construct-specific field mapping; otherwise flag</t>
        </is>
      </c>
      <c r="L67" t="inlineStr">
        <is>
          <t>Policy/ops 12–24 months; outcomes 24–36 months unless metric-specific</t>
        </is>
      </c>
      <c r="M67" t="inlineStr">
        <is>
          <t>Only where observable outcome logically belongs to the construct</t>
        </is>
      </c>
      <c r="N67" t="inlineStr">
        <is>
          <t>Claim-only, policy-only, duplicate or unverifiable evidence cannot create strong confidence</t>
        </is>
      </c>
      <c r="O67" t="inlineStr">
        <is>
          <t>Check P0-5 linked-domain contradictions/dependencies</t>
        </is>
      </c>
      <c r="P67" t="inlineStr">
        <is>
          <t>Report confidence separately; never multiply capability score by confidence</t>
        </is>
      </c>
      <c r="Q67" t="inlineStr">
        <is>
          <t>Assessment / Verification Lead</t>
        </is>
      </c>
      <c r="R67" t="inlineStr">
        <is>
          <t>GREEN</t>
        </is>
      </c>
    </row>
    <row r="68">
      <c r="A68" t="inlineStr">
        <is>
          <t>D06</t>
        </is>
      </c>
      <c r="B68" t="inlineStr">
        <is>
          <t>I02</t>
        </is>
      </c>
      <c r="C68" t="inlineStr">
        <is>
          <t>Critical AI Evaluation</t>
        </is>
      </c>
      <c r="D68" t="inlineStr">
        <is>
          <t>Required for validated metric score</t>
        </is>
      </c>
      <c r="E68" t="inlineStr">
        <is>
          <t>E1</t>
        </is>
      </c>
      <c r="F68" t="inlineStr">
        <is>
          <t>Institutional artifact + operational evidence</t>
        </is>
      </c>
      <c r="G68" t="inlineStr">
        <is>
          <t>Evidence must directly substantiate the construct; prefer operational and outcome evidence where logically applicable</t>
        </is>
      </c>
      <c r="H68" t="inlineStr">
        <is>
          <t>Current assessment cycle preferred; stale evidence requires justification</t>
        </is>
      </c>
      <c r="I68" t="inlineStr">
        <is>
          <t>2 corroborating sources for high-consequence or high-score claims</t>
        </is>
      </c>
      <c r="J68" t="inlineStr">
        <is>
          <t>Independent source preferred for E3/E4 and high-score claims</t>
        </is>
      </c>
      <c r="K68" t="inlineStr">
        <is>
          <t>Reuse allowed only with construct-specific field mapping; otherwise flag</t>
        </is>
      </c>
      <c r="L68" t="inlineStr">
        <is>
          <t>Policy/ops 12–24 months; outcomes 24–36 months unless metric-specific</t>
        </is>
      </c>
      <c r="M68" t="inlineStr">
        <is>
          <t>Only where observable outcome logically belongs to the construct</t>
        </is>
      </c>
      <c r="N68" t="inlineStr">
        <is>
          <t>Claim-only, policy-only, duplicate or unverifiable evidence cannot create strong confidence</t>
        </is>
      </c>
      <c r="O68" t="inlineStr">
        <is>
          <t>Check P0-5 linked-domain contradictions/dependencies</t>
        </is>
      </c>
      <c r="P68" t="inlineStr">
        <is>
          <t>Report confidence separately; never multiply capability score by confidence</t>
        </is>
      </c>
      <c r="Q68" t="inlineStr">
        <is>
          <t>Assessment / Verification Lead</t>
        </is>
      </c>
      <c r="R68" t="inlineStr">
        <is>
          <t>GREEN</t>
        </is>
      </c>
    </row>
    <row r="69">
      <c r="A69" t="inlineStr">
        <is>
          <t>D06</t>
        </is>
      </c>
      <c r="B69" t="inlineStr">
        <is>
          <t>I03</t>
        </is>
      </c>
      <c r="C69" t="inlineStr">
        <is>
          <t>Learning Agency</t>
        </is>
      </c>
      <c r="D69" t="inlineStr">
        <is>
          <t>Required for validated metric score</t>
        </is>
      </c>
      <c r="E69" t="inlineStr">
        <is>
          <t>E1</t>
        </is>
      </c>
      <c r="F69" t="inlineStr">
        <is>
          <t>Institutional artifact + operational evidence</t>
        </is>
      </c>
      <c r="G69" t="inlineStr">
        <is>
          <t>Evidence must directly substantiate the construct; prefer operational and outcome evidence where logically applicable</t>
        </is>
      </c>
      <c r="H69" t="inlineStr">
        <is>
          <t>Current assessment cycle preferred; stale evidence requires justification</t>
        </is>
      </c>
      <c r="I69" t="inlineStr">
        <is>
          <t>2 corroborating sources for high-consequence or high-score claims</t>
        </is>
      </c>
      <c r="J69" t="inlineStr">
        <is>
          <t>Independent source preferred for E3/E4 and high-score claims</t>
        </is>
      </c>
      <c r="K69" t="inlineStr">
        <is>
          <t>Reuse allowed only with construct-specific field mapping; otherwise flag</t>
        </is>
      </c>
      <c r="L69" t="inlineStr">
        <is>
          <t>Policy/ops 12–24 months; outcomes 24–36 months unless metric-specific</t>
        </is>
      </c>
      <c r="M69" t="inlineStr">
        <is>
          <t>Only where observable outcome logically belongs to the construct</t>
        </is>
      </c>
      <c r="N69" t="inlineStr">
        <is>
          <t>Claim-only, policy-only, duplicate or unverifiable evidence cannot create strong confidence</t>
        </is>
      </c>
      <c r="O69" t="inlineStr">
        <is>
          <t>Check P0-5 linked-domain contradictions/dependencies</t>
        </is>
      </c>
      <c r="P69" t="inlineStr">
        <is>
          <t>Report confidence separately; never multiply capability score by confidence</t>
        </is>
      </c>
      <c r="Q69" t="inlineStr">
        <is>
          <t>Assessment / Verification Lead</t>
        </is>
      </c>
      <c r="R69" t="inlineStr">
        <is>
          <t>GREEN</t>
        </is>
      </c>
    </row>
    <row r="70">
      <c r="A70" t="inlineStr">
        <is>
          <t>D06</t>
        </is>
      </c>
      <c r="B70" t="inlineStr">
        <is>
          <t>I04</t>
        </is>
      </c>
      <c r="C70" t="inlineStr">
        <is>
          <t>Independent Intellectual Agency</t>
        </is>
      </c>
      <c r="D70" t="inlineStr">
        <is>
          <t>Required for validated metric score</t>
        </is>
      </c>
      <c r="E70" t="inlineStr">
        <is>
          <t>E1</t>
        </is>
      </c>
      <c r="F70" t="inlineStr">
        <is>
          <t>Institutional artifact + operational evidence</t>
        </is>
      </c>
      <c r="G70" t="inlineStr">
        <is>
          <t>Evidence must directly substantiate the construct; prefer operational and outcome evidence where logically applicable</t>
        </is>
      </c>
      <c r="H70" t="inlineStr">
        <is>
          <t>Current assessment cycle preferred; stale evidence requires justification</t>
        </is>
      </c>
      <c r="I70" t="inlineStr">
        <is>
          <t>2 corroborating sources for high-consequence or high-score claims</t>
        </is>
      </c>
      <c r="J70" t="inlineStr">
        <is>
          <t>Independent source preferred for E3/E4 and high-score claims</t>
        </is>
      </c>
      <c r="K70" t="inlineStr">
        <is>
          <t>Reuse allowed only with construct-specific field mapping; otherwise flag</t>
        </is>
      </c>
      <c r="L70" t="inlineStr">
        <is>
          <t>Policy/ops 12–24 months; outcomes 24–36 months unless metric-specific</t>
        </is>
      </c>
      <c r="M70" t="inlineStr">
        <is>
          <t>Only where observable outcome logically belongs to the construct</t>
        </is>
      </c>
      <c r="N70" t="inlineStr">
        <is>
          <t>Claim-only, policy-only, duplicate or unverifiable evidence cannot create strong confidence</t>
        </is>
      </c>
      <c r="O70" t="inlineStr">
        <is>
          <t>Check P0-5 linked-domain contradictions/dependencies</t>
        </is>
      </c>
      <c r="P70" t="inlineStr">
        <is>
          <t>Report confidence separately; never multiply capability score by confidence</t>
        </is>
      </c>
      <c r="Q70" t="inlineStr">
        <is>
          <t>Assessment / Verification Lead</t>
        </is>
      </c>
      <c r="R70" t="inlineStr">
        <is>
          <t>GREEN</t>
        </is>
      </c>
    </row>
    <row r="71">
      <c r="A71" t="inlineStr">
        <is>
          <t>D06</t>
        </is>
      </c>
      <c r="B71" t="inlineStr">
        <is>
          <t>I05</t>
        </is>
      </c>
      <c r="C71" t="inlineStr">
        <is>
          <t>Communication &amp; Defence</t>
        </is>
      </c>
      <c r="D71" t="inlineStr">
        <is>
          <t>Required for validated metric score</t>
        </is>
      </c>
      <c r="E71" t="inlineStr">
        <is>
          <t>E1</t>
        </is>
      </c>
      <c r="F71" t="inlineStr">
        <is>
          <t>Institutional artifact + operational evidence</t>
        </is>
      </c>
      <c r="G71" t="inlineStr">
        <is>
          <t>Evidence must directly substantiate the construct; prefer operational and outcome evidence where logically applicable</t>
        </is>
      </c>
      <c r="H71" t="inlineStr">
        <is>
          <t>Current assessment cycle preferred; stale evidence requires justification</t>
        </is>
      </c>
      <c r="I71" t="inlineStr">
        <is>
          <t>2 corroborating sources for high-consequence or high-score claims</t>
        </is>
      </c>
      <c r="J71" t="inlineStr">
        <is>
          <t>Independent source preferred for E3/E4 and high-score claims</t>
        </is>
      </c>
      <c r="K71" t="inlineStr">
        <is>
          <t>Reuse allowed only with construct-specific field mapping; otherwise flag</t>
        </is>
      </c>
      <c r="L71" t="inlineStr">
        <is>
          <t>Policy/ops 12–24 months; outcomes 24–36 months unless metric-specific</t>
        </is>
      </c>
      <c r="M71" t="inlineStr">
        <is>
          <t>Only where observable outcome logically belongs to the construct</t>
        </is>
      </c>
      <c r="N71" t="inlineStr">
        <is>
          <t>Claim-only, policy-only, duplicate or unverifiable evidence cannot create strong confidence</t>
        </is>
      </c>
      <c r="O71" t="inlineStr">
        <is>
          <t>Check P0-5 linked-domain contradictions/dependencies</t>
        </is>
      </c>
      <c r="P71" t="inlineStr">
        <is>
          <t>Report confidence separately; never multiply capability score by confidence</t>
        </is>
      </c>
      <c r="Q71" t="inlineStr">
        <is>
          <t>Assessment / Verification Lead</t>
        </is>
      </c>
      <c r="R71" t="inlineStr">
        <is>
          <t>GREEN</t>
        </is>
      </c>
    </row>
    <row r="72">
      <c r="A72" t="inlineStr">
        <is>
          <t>D06</t>
        </is>
      </c>
      <c r="B72" t="inlineStr">
        <is>
          <t>I06</t>
        </is>
      </c>
      <c r="C72" t="inlineStr">
        <is>
          <t>Collaboration Capability</t>
        </is>
      </c>
      <c r="D72" t="inlineStr">
        <is>
          <t>Required for validated metric score</t>
        </is>
      </c>
      <c r="E72" t="inlineStr">
        <is>
          <t>E1</t>
        </is>
      </c>
      <c r="F72" t="inlineStr">
        <is>
          <t>Institutional artifact + operational evidence</t>
        </is>
      </c>
      <c r="G72" t="inlineStr">
        <is>
          <t>Evidence must directly substantiate the construct; prefer operational and outcome evidence where logically applicable</t>
        </is>
      </c>
      <c r="H72" t="inlineStr">
        <is>
          <t>Current assessment cycle preferred; stale evidence requires justification</t>
        </is>
      </c>
      <c r="I72" t="inlineStr">
        <is>
          <t>2 corroborating sources for high-consequence or high-score claims</t>
        </is>
      </c>
      <c r="J72" t="inlineStr">
        <is>
          <t>Independent source preferred for E3/E4 and high-score claims</t>
        </is>
      </c>
      <c r="K72" t="inlineStr">
        <is>
          <t>Reuse allowed only with construct-specific field mapping; otherwise flag</t>
        </is>
      </c>
      <c r="L72" t="inlineStr">
        <is>
          <t>Policy/ops 12–24 months; outcomes 24–36 months unless metric-specific</t>
        </is>
      </c>
      <c r="M72" t="inlineStr">
        <is>
          <t>Only where observable outcome logically belongs to the construct</t>
        </is>
      </c>
      <c r="N72" t="inlineStr">
        <is>
          <t>Claim-only, policy-only, duplicate or unverifiable evidence cannot create strong confidence</t>
        </is>
      </c>
      <c r="O72" t="inlineStr">
        <is>
          <t>Check P0-5 linked-domain contradictions/dependencies</t>
        </is>
      </c>
      <c r="P72" t="inlineStr">
        <is>
          <t>Report confidence separately; never multiply capability score by confidence</t>
        </is>
      </c>
      <c r="Q72" t="inlineStr">
        <is>
          <t>Assessment / Verification Lead</t>
        </is>
      </c>
      <c r="R72" t="inlineStr">
        <is>
          <t>GREEN</t>
        </is>
      </c>
    </row>
    <row r="73">
      <c r="A73" t="inlineStr">
        <is>
          <t>D06</t>
        </is>
      </c>
      <c r="B73" t="inlineStr">
        <is>
          <t>I07</t>
        </is>
      </c>
      <c r="C73" t="inlineStr">
        <is>
          <t>Practical Capability</t>
        </is>
      </c>
      <c r="D73" t="inlineStr">
        <is>
          <t>Required for validated metric score</t>
        </is>
      </c>
      <c r="E73" t="inlineStr">
        <is>
          <t>E1</t>
        </is>
      </c>
      <c r="F73" t="inlineStr">
        <is>
          <t>Institutional artifact + operational evidence</t>
        </is>
      </c>
      <c r="G73" t="inlineStr">
        <is>
          <t>Evidence must directly substantiate the construct; prefer operational and outcome evidence where logically applicable</t>
        </is>
      </c>
      <c r="H73" t="inlineStr">
        <is>
          <t>Current assessment cycle preferred; stale evidence requires justification</t>
        </is>
      </c>
      <c r="I73" t="inlineStr">
        <is>
          <t>2 corroborating sources for high-consequence or high-score claims</t>
        </is>
      </c>
      <c r="J73" t="inlineStr">
        <is>
          <t>Independent source preferred for E3/E4 and high-score claims</t>
        </is>
      </c>
      <c r="K73" t="inlineStr">
        <is>
          <t>Reuse allowed only with construct-specific field mapping; otherwise flag</t>
        </is>
      </c>
      <c r="L73" t="inlineStr">
        <is>
          <t>Policy/ops 12–24 months; outcomes 24–36 months unless metric-specific</t>
        </is>
      </c>
      <c r="M73" t="inlineStr">
        <is>
          <t>Only where observable outcome logically belongs to the construct</t>
        </is>
      </c>
      <c r="N73" t="inlineStr">
        <is>
          <t>Claim-only, policy-only, duplicate or unverifiable evidence cannot create strong confidence</t>
        </is>
      </c>
      <c r="O73" t="inlineStr">
        <is>
          <t>Check P0-5 linked-domain contradictions/dependencies</t>
        </is>
      </c>
      <c r="P73" t="inlineStr">
        <is>
          <t>Report confidence separately; never multiply capability score by confidence</t>
        </is>
      </c>
      <c r="Q73" t="inlineStr">
        <is>
          <t>Assessment / Verification Lead</t>
        </is>
      </c>
      <c r="R73" t="inlineStr">
        <is>
          <t>GREEN</t>
        </is>
      </c>
    </row>
    <row r="74">
      <c r="A74" t="inlineStr">
        <is>
          <t>D06</t>
        </is>
      </c>
      <c r="B74" t="inlineStr">
        <is>
          <t>I08</t>
        </is>
      </c>
      <c r="C74" t="inlineStr">
        <is>
          <t>Career Adaptability</t>
        </is>
      </c>
      <c r="D74" t="inlineStr">
        <is>
          <t>Required for validated metric score</t>
        </is>
      </c>
      <c r="E74" t="inlineStr">
        <is>
          <t>E1</t>
        </is>
      </c>
      <c r="F74" t="inlineStr">
        <is>
          <t>Institutional artifact + operational evidence</t>
        </is>
      </c>
      <c r="G74" t="inlineStr">
        <is>
          <t>Evidence must directly substantiate the construct; prefer operational and outcome evidence where logically applicable</t>
        </is>
      </c>
      <c r="H74" t="inlineStr">
        <is>
          <t>Current assessment cycle preferred; stale evidence requires justification</t>
        </is>
      </c>
      <c r="I74" t="inlineStr">
        <is>
          <t>2 corroborating sources for high-consequence or high-score claims</t>
        </is>
      </c>
      <c r="J74" t="inlineStr">
        <is>
          <t>Independent source preferred for E3/E4 and high-score claims</t>
        </is>
      </c>
      <c r="K74" t="inlineStr">
        <is>
          <t>Reuse allowed only with construct-specific field mapping; otherwise flag</t>
        </is>
      </c>
      <c r="L74" t="inlineStr">
        <is>
          <t>Policy/ops 12–24 months; outcomes 24–36 months unless metric-specific</t>
        </is>
      </c>
      <c r="M74" t="inlineStr">
        <is>
          <t>Only where observable outcome logically belongs to the construct</t>
        </is>
      </c>
      <c r="N74" t="inlineStr">
        <is>
          <t>Claim-only, policy-only, duplicate or unverifiable evidence cannot create strong confidence</t>
        </is>
      </c>
      <c r="O74" t="inlineStr">
        <is>
          <t>Check P0-5 linked-domain contradictions/dependencies</t>
        </is>
      </c>
      <c r="P74" t="inlineStr">
        <is>
          <t>Report confidence separately; never multiply capability score by confidence</t>
        </is>
      </c>
      <c r="Q74" t="inlineStr">
        <is>
          <t>Assessment / Verification Lead</t>
        </is>
      </c>
      <c r="R74" t="inlineStr">
        <is>
          <t>GREEN</t>
        </is>
      </c>
    </row>
    <row r="75">
      <c r="A75" t="inlineStr">
        <is>
          <t>D06</t>
        </is>
      </c>
      <c r="B75" t="inlineStr">
        <is>
          <t>I09</t>
        </is>
      </c>
      <c r="C75" t="inlineStr">
        <is>
          <t>Portfolio &amp; Capability Signalling</t>
        </is>
      </c>
      <c r="D75" t="inlineStr">
        <is>
          <t>Required for validated metric score</t>
        </is>
      </c>
      <c r="E75" t="inlineStr">
        <is>
          <t>E1</t>
        </is>
      </c>
      <c r="F75" t="inlineStr">
        <is>
          <t>Institutional artifact + operational evidence</t>
        </is>
      </c>
      <c r="G75" t="inlineStr">
        <is>
          <t>Evidence must directly substantiate the construct; prefer operational and outcome evidence where logically applicable</t>
        </is>
      </c>
      <c r="H75" t="inlineStr">
        <is>
          <t>Current assessment cycle preferred; stale evidence requires justification</t>
        </is>
      </c>
      <c r="I75" t="inlineStr">
        <is>
          <t>2 corroborating sources for high-consequence or high-score claims</t>
        </is>
      </c>
      <c r="J75" t="inlineStr">
        <is>
          <t>Independent source preferred for E3/E4 and high-score claims</t>
        </is>
      </c>
      <c r="K75" t="inlineStr">
        <is>
          <t>Reuse allowed only with construct-specific field mapping; otherwise flag</t>
        </is>
      </c>
      <c r="L75" t="inlineStr">
        <is>
          <t>Policy/ops 12–24 months; outcomes 24–36 months unless metric-specific</t>
        </is>
      </c>
      <c r="M75" t="inlineStr">
        <is>
          <t>Only where observable outcome logically belongs to the construct</t>
        </is>
      </c>
      <c r="N75" t="inlineStr">
        <is>
          <t>Claim-only, policy-only, duplicate or unverifiable evidence cannot create strong confidence</t>
        </is>
      </c>
      <c r="O75" t="inlineStr">
        <is>
          <t>Check P0-5 linked-domain contradictions/dependencies</t>
        </is>
      </c>
      <c r="P75" t="inlineStr">
        <is>
          <t>Report confidence separately; never multiply capability score by confidence</t>
        </is>
      </c>
      <c r="Q75" t="inlineStr">
        <is>
          <t>Assessment / Verification Lead</t>
        </is>
      </c>
      <c r="R75" t="inlineStr">
        <is>
          <t>GREEN</t>
        </is>
      </c>
    </row>
    <row r="76">
      <c r="A76" t="inlineStr">
        <is>
          <t>D06</t>
        </is>
      </c>
      <c r="B76" t="inlineStr">
        <is>
          <t>I10</t>
        </is>
      </c>
      <c r="C76" t="inlineStr">
        <is>
          <t>Problem Solving &amp; Transfer</t>
        </is>
      </c>
      <c r="D76" t="inlineStr">
        <is>
          <t>Required for validated metric score</t>
        </is>
      </c>
      <c r="E76" t="inlineStr">
        <is>
          <t>E1</t>
        </is>
      </c>
      <c r="F76" t="inlineStr">
        <is>
          <t>Institutional artifact + operational evidence</t>
        </is>
      </c>
      <c r="G76" t="inlineStr">
        <is>
          <t>Evidence must directly substantiate the construct; prefer operational and outcome evidence where logically applicable</t>
        </is>
      </c>
      <c r="H76" t="inlineStr">
        <is>
          <t>Current assessment cycle preferred; stale evidence requires justification</t>
        </is>
      </c>
      <c r="I76" t="inlineStr">
        <is>
          <t>2 corroborating sources for high-consequence or high-score claims</t>
        </is>
      </c>
      <c r="J76" t="inlineStr">
        <is>
          <t>Independent source preferred for E3/E4 and high-score claims</t>
        </is>
      </c>
      <c r="K76" t="inlineStr">
        <is>
          <t>Reuse allowed only with construct-specific field mapping; otherwise flag</t>
        </is>
      </c>
      <c r="L76" t="inlineStr">
        <is>
          <t>Policy/ops 12–24 months; outcomes 24–36 months unless metric-specific</t>
        </is>
      </c>
      <c r="M76" t="inlineStr">
        <is>
          <t>Only where observable outcome logically belongs to the construct</t>
        </is>
      </c>
      <c r="N76" t="inlineStr">
        <is>
          <t>Claim-only, policy-only, duplicate or unverifiable evidence cannot create strong confidence</t>
        </is>
      </c>
      <c r="O76" t="inlineStr">
        <is>
          <t>Check P0-5 linked-domain contradictions/dependencies</t>
        </is>
      </c>
      <c r="P76" t="inlineStr">
        <is>
          <t>Report confidence separately; never multiply capability score by confidence</t>
        </is>
      </c>
      <c r="Q76" t="inlineStr">
        <is>
          <t>Assessment / Verification Lead</t>
        </is>
      </c>
      <c r="R76" t="inlineStr">
        <is>
          <t>GREEN</t>
        </is>
      </c>
    </row>
    <row r="77">
      <c r="A77" t="inlineStr">
        <is>
          <t>D06</t>
        </is>
      </c>
      <c r="B77" t="inlineStr">
        <is>
          <t>I11</t>
        </is>
      </c>
      <c r="C77" t="inlineStr">
        <is>
          <t>Creator &amp; Entrepreneurial Agency</t>
        </is>
      </c>
      <c r="D77" t="inlineStr">
        <is>
          <t>Required for validated metric score</t>
        </is>
      </c>
      <c r="E77" t="inlineStr">
        <is>
          <t>E1</t>
        </is>
      </c>
      <c r="F77" t="inlineStr">
        <is>
          <t>Institutional artifact + operational evidence</t>
        </is>
      </c>
      <c r="G77" t="inlineStr">
        <is>
          <t>Evidence must directly substantiate the construct; prefer operational and outcome evidence where logically applicable</t>
        </is>
      </c>
      <c r="H77" t="inlineStr">
        <is>
          <t>Current assessment cycle preferred; stale evidence requires justification</t>
        </is>
      </c>
      <c r="I77" t="inlineStr">
        <is>
          <t>2 corroborating sources for high-consequence or high-score claims</t>
        </is>
      </c>
      <c r="J77" t="inlineStr">
        <is>
          <t>Independent source preferred for E3/E4 and high-score claims</t>
        </is>
      </c>
      <c r="K77" t="inlineStr">
        <is>
          <t>Reuse allowed only with construct-specific field mapping; otherwise flag</t>
        </is>
      </c>
      <c r="L77" t="inlineStr">
        <is>
          <t>Policy/ops 12–24 months; outcomes 24–36 months unless metric-specific</t>
        </is>
      </c>
      <c r="M77" t="inlineStr">
        <is>
          <t>Only where observable outcome logically belongs to the construct</t>
        </is>
      </c>
      <c r="N77" t="inlineStr">
        <is>
          <t>Claim-only, policy-only, duplicate or unverifiable evidence cannot create strong confidence</t>
        </is>
      </c>
      <c r="O77" t="inlineStr">
        <is>
          <t>Check P0-5 linked-domain contradictions/dependencies</t>
        </is>
      </c>
      <c r="P77" t="inlineStr">
        <is>
          <t>Report confidence separately; never multiply capability score by confidence</t>
        </is>
      </c>
      <c r="Q77" t="inlineStr">
        <is>
          <t>Assessment / Verification Lead</t>
        </is>
      </c>
      <c r="R77" t="inlineStr">
        <is>
          <t>GREEN</t>
        </is>
      </c>
    </row>
    <row r="78">
      <c r="A78" t="inlineStr">
        <is>
          <t>D06</t>
        </is>
      </c>
      <c r="B78" t="inlineStr">
        <is>
          <t>I12</t>
        </is>
      </c>
      <c r="C78" t="inlineStr">
        <is>
          <t>Digital Citizenship &amp; Responsible Use</t>
        </is>
      </c>
      <c r="D78" t="inlineStr">
        <is>
          <t>Required for validated metric score</t>
        </is>
      </c>
      <c r="E78" t="inlineStr">
        <is>
          <t>E1</t>
        </is>
      </c>
      <c r="F78" t="inlineStr">
        <is>
          <t>Institutional artifact + operational evidence</t>
        </is>
      </c>
      <c r="G78" t="inlineStr">
        <is>
          <t>Evidence must directly substantiate the construct; prefer operational and outcome evidence where logically applicable</t>
        </is>
      </c>
      <c r="H78" t="inlineStr">
        <is>
          <t>Current assessment cycle preferred; stale evidence requires justification</t>
        </is>
      </c>
      <c r="I78" t="inlineStr">
        <is>
          <t>2 corroborating sources for high-consequence or high-score claims</t>
        </is>
      </c>
      <c r="J78" t="inlineStr">
        <is>
          <t>Independent source preferred for E3/E4 and high-score claims</t>
        </is>
      </c>
      <c r="K78" t="inlineStr">
        <is>
          <t>Reuse allowed only with construct-specific field mapping; otherwise flag</t>
        </is>
      </c>
      <c r="L78" t="inlineStr">
        <is>
          <t>Policy/ops 12–24 months; outcomes 24–36 months unless metric-specific</t>
        </is>
      </c>
      <c r="M78" t="inlineStr">
        <is>
          <t>Only where observable outcome logically belongs to the construct</t>
        </is>
      </c>
      <c r="N78" t="inlineStr">
        <is>
          <t>Claim-only, policy-only, duplicate or unverifiable evidence cannot create strong confidence</t>
        </is>
      </c>
      <c r="O78" t="inlineStr">
        <is>
          <t>Check P0-5 linked-domain contradictions/dependencies</t>
        </is>
      </c>
      <c r="P78" t="inlineStr">
        <is>
          <t>Report confidence separately; never multiply capability score by confidence</t>
        </is>
      </c>
      <c r="Q78" t="inlineStr">
        <is>
          <t>Assessment / Verification Lead</t>
        </is>
      </c>
      <c r="R78" t="inlineStr">
        <is>
          <t>GREEN</t>
        </is>
      </c>
    </row>
    <row r="79">
      <c r="A79" t="inlineStr">
        <is>
          <t>D06</t>
        </is>
      </c>
      <c r="B79" t="inlineStr">
        <is>
          <t>I13</t>
        </is>
      </c>
      <c r="C79" t="inlineStr">
        <is>
          <t>Equitable AI Access</t>
        </is>
      </c>
      <c r="D79" t="inlineStr">
        <is>
          <t>Required for validated metric score</t>
        </is>
      </c>
      <c r="E79" t="inlineStr">
        <is>
          <t>E1</t>
        </is>
      </c>
      <c r="F79" t="inlineStr">
        <is>
          <t>Institutional artifact + operational evidence</t>
        </is>
      </c>
      <c r="G79" t="inlineStr">
        <is>
          <t>Evidence must directly substantiate the construct; prefer operational and outcome evidence where logically applicable</t>
        </is>
      </c>
      <c r="H79" t="inlineStr">
        <is>
          <t>Current assessment cycle preferred; stale evidence requires justification</t>
        </is>
      </c>
      <c r="I79" t="inlineStr">
        <is>
          <t>2 corroborating sources for high-consequence or high-score claims</t>
        </is>
      </c>
      <c r="J79" t="inlineStr">
        <is>
          <t>Independent source preferred for E3/E4 and high-score claims</t>
        </is>
      </c>
      <c r="K79" t="inlineStr">
        <is>
          <t>Reuse allowed only with construct-specific field mapping; otherwise flag</t>
        </is>
      </c>
      <c r="L79" t="inlineStr">
        <is>
          <t>Policy/ops 12–24 months; outcomes 24–36 months unless metric-specific</t>
        </is>
      </c>
      <c r="M79" t="inlineStr">
        <is>
          <t>Only where observable outcome logically belongs to the construct</t>
        </is>
      </c>
      <c r="N79" t="inlineStr">
        <is>
          <t>Claim-only, policy-only, duplicate or unverifiable evidence cannot create strong confidence</t>
        </is>
      </c>
      <c r="O79" t="inlineStr">
        <is>
          <t>Check P0-5 linked-domain contradictions/dependencies</t>
        </is>
      </c>
      <c r="P79" t="inlineStr">
        <is>
          <t>Report confidence separately; never multiply capability score by confidence</t>
        </is>
      </c>
      <c r="Q79" t="inlineStr">
        <is>
          <t>Assessment / Verification Lead</t>
        </is>
      </c>
      <c r="R79" t="inlineStr">
        <is>
          <t>GREEN</t>
        </is>
      </c>
    </row>
    <row r="80">
      <c r="A80" t="inlineStr">
        <is>
          <t>D06</t>
        </is>
      </c>
      <c r="B80" t="inlineStr">
        <is>
          <t>I14</t>
        </is>
      </c>
      <c r="C80" t="inlineStr">
        <is>
          <t>Student Voice &amp; Feedback Loop</t>
        </is>
      </c>
      <c r="D80" t="inlineStr">
        <is>
          <t>Required for validated metric score</t>
        </is>
      </c>
      <c r="E80" t="inlineStr">
        <is>
          <t>E1</t>
        </is>
      </c>
      <c r="F80" t="inlineStr">
        <is>
          <t>Institutional artifact + operational evidence</t>
        </is>
      </c>
      <c r="G80" t="inlineStr">
        <is>
          <t>Evidence must directly substantiate the construct; prefer operational and outcome evidence where logically applicable</t>
        </is>
      </c>
      <c r="H80" t="inlineStr">
        <is>
          <t>Current assessment cycle preferred; stale evidence requires justification</t>
        </is>
      </c>
      <c r="I80" t="inlineStr">
        <is>
          <t>2 corroborating sources for high-consequence or high-score claims</t>
        </is>
      </c>
      <c r="J80" t="inlineStr">
        <is>
          <t>Independent source preferred for E3/E4 and high-score claims</t>
        </is>
      </c>
      <c r="K80" t="inlineStr">
        <is>
          <t>Reuse allowed only with construct-specific field mapping; otherwise flag</t>
        </is>
      </c>
      <c r="L80" t="inlineStr">
        <is>
          <t>Policy/ops 12–24 months; outcomes 24–36 months unless metric-specific</t>
        </is>
      </c>
      <c r="M80" t="inlineStr">
        <is>
          <t>Only where observable outcome logically belongs to the construct</t>
        </is>
      </c>
      <c r="N80" t="inlineStr">
        <is>
          <t>Claim-only, policy-only, duplicate or unverifiable evidence cannot create strong confidence</t>
        </is>
      </c>
      <c r="O80" t="inlineStr">
        <is>
          <t>Check P0-5 linked-domain contradictions/dependencies</t>
        </is>
      </c>
      <c r="P80" t="inlineStr">
        <is>
          <t>Report confidence separately; never multiply capability score by confidence</t>
        </is>
      </c>
      <c r="Q80" t="inlineStr">
        <is>
          <t>Assessment / Verification Lead</t>
        </is>
      </c>
      <c r="R80" t="inlineStr">
        <is>
          <t>GREEN</t>
        </is>
      </c>
    </row>
    <row r="81">
      <c r="A81" t="inlineStr">
        <is>
          <t>D07</t>
        </is>
      </c>
      <c r="B81" t="inlineStr">
        <is>
          <t>I01</t>
        </is>
      </c>
      <c r="C81" t="inlineStr">
        <is>
          <t>Assessment Design Maturity</t>
        </is>
      </c>
      <c r="D81" t="inlineStr">
        <is>
          <t>Required for validated metric score</t>
        </is>
      </c>
      <c r="E81" t="inlineStr">
        <is>
          <t>E1</t>
        </is>
      </c>
      <c r="F81" t="inlineStr">
        <is>
          <t>Institutional artifact + operational evidence</t>
        </is>
      </c>
      <c r="G81" t="inlineStr">
        <is>
          <t>Evidence must directly substantiate the construct; prefer operational and outcome evidence where logically applicable</t>
        </is>
      </c>
      <c r="H81" t="inlineStr">
        <is>
          <t>Current assessment cycle preferred; stale evidence requires justification</t>
        </is>
      </c>
      <c r="I81" t="inlineStr">
        <is>
          <t>2 corroborating sources for high-consequence or high-score claims</t>
        </is>
      </c>
      <c r="J81" t="inlineStr">
        <is>
          <t>Independent source preferred for E3/E4 and high-score claims</t>
        </is>
      </c>
      <c r="K81" t="inlineStr">
        <is>
          <t>Reuse allowed only with construct-specific field mapping; otherwise flag</t>
        </is>
      </c>
      <c r="L81" t="inlineStr">
        <is>
          <t>Policy/ops 12–24 months; outcomes 24–36 months unless metric-specific</t>
        </is>
      </c>
      <c r="M81" t="inlineStr">
        <is>
          <t>Only where observable outcome logically belongs to the construct</t>
        </is>
      </c>
      <c r="N81" t="inlineStr">
        <is>
          <t>Claim-only, policy-only, duplicate or unverifiable evidence cannot create strong confidence</t>
        </is>
      </c>
      <c r="O81" t="inlineStr">
        <is>
          <t>Check P0-5 linked-domain contradictions/dependencies</t>
        </is>
      </c>
      <c r="P81" t="inlineStr">
        <is>
          <t>Report confidence separately; never multiply capability score by confidence</t>
        </is>
      </c>
      <c r="Q81" t="inlineStr">
        <is>
          <t>Assessment / Verification Lead</t>
        </is>
      </c>
      <c r="R81" t="inlineStr">
        <is>
          <t>GREEN</t>
        </is>
      </c>
    </row>
    <row r="82">
      <c r="A82" t="inlineStr">
        <is>
          <t>D07</t>
        </is>
      </c>
      <c r="B82" t="inlineStr">
        <is>
          <t>I02</t>
        </is>
      </c>
      <c r="C82" t="inlineStr">
        <is>
          <t>Cognitive Demonstration Depth</t>
        </is>
      </c>
      <c r="D82" t="inlineStr">
        <is>
          <t>Required for validated metric score</t>
        </is>
      </c>
      <c r="E82" t="inlineStr">
        <is>
          <t>E1</t>
        </is>
      </c>
      <c r="F82" t="inlineStr">
        <is>
          <t>Institutional artifact + operational evidence</t>
        </is>
      </c>
      <c r="G82" t="inlineStr">
        <is>
          <t>Evidence must directly substantiate the construct; prefer operational and outcome evidence where logically applicable</t>
        </is>
      </c>
      <c r="H82" t="inlineStr">
        <is>
          <t>Current assessment cycle preferred; stale evidence requires justification</t>
        </is>
      </c>
      <c r="I82" t="inlineStr">
        <is>
          <t>2 corroborating sources for high-consequence or high-score claims</t>
        </is>
      </c>
      <c r="J82" t="inlineStr">
        <is>
          <t>Independent source preferred for E3/E4 and high-score claims</t>
        </is>
      </c>
      <c r="K82" t="inlineStr">
        <is>
          <t>Reuse allowed only with construct-specific field mapping; otherwise flag</t>
        </is>
      </c>
      <c r="L82" t="inlineStr">
        <is>
          <t>Policy/ops 12–24 months; outcomes 24–36 months unless metric-specific</t>
        </is>
      </c>
      <c r="M82" t="inlineStr">
        <is>
          <t>Only where observable outcome logically belongs to the construct</t>
        </is>
      </c>
      <c r="N82" t="inlineStr">
        <is>
          <t>Claim-only, policy-only, duplicate or unverifiable evidence cannot create strong confidence</t>
        </is>
      </c>
      <c r="O82" t="inlineStr">
        <is>
          <t>Check P0-5 linked-domain contradictions/dependencies</t>
        </is>
      </c>
      <c r="P82" t="inlineStr">
        <is>
          <t>Report confidence separately; never multiply capability score by confidence</t>
        </is>
      </c>
      <c r="Q82" t="inlineStr">
        <is>
          <t>Assessment / Verification Lead</t>
        </is>
      </c>
      <c r="R82" t="inlineStr">
        <is>
          <t>GREEN</t>
        </is>
      </c>
    </row>
    <row r="83">
      <c r="A83" t="inlineStr">
        <is>
          <t>D07</t>
        </is>
      </c>
      <c r="B83" t="inlineStr">
        <is>
          <t>I03</t>
        </is>
      </c>
      <c r="C83" t="inlineStr">
        <is>
          <t>Authenticity of Demonstration</t>
        </is>
      </c>
      <c r="D83" t="inlineStr">
        <is>
          <t>Required for validated metric score</t>
        </is>
      </c>
      <c r="E83" t="inlineStr">
        <is>
          <t>E1</t>
        </is>
      </c>
      <c r="F83" t="inlineStr">
        <is>
          <t>Institutional artifact + operational evidence</t>
        </is>
      </c>
      <c r="G83" t="inlineStr">
        <is>
          <t>Evidence must directly substantiate the construct; prefer operational and outcome evidence where logically applicable</t>
        </is>
      </c>
      <c r="H83" t="inlineStr">
        <is>
          <t>Current assessment cycle preferred; stale evidence requires justification</t>
        </is>
      </c>
      <c r="I83" t="inlineStr">
        <is>
          <t>2 corroborating sources for high-consequence or high-score claims</t>
        </is>
      </c>
      <c r="J83" t="inlineStr">
        <is>
          <t>Independent source preferred for E3/E4 and high-score claims</t>
        </is>
      </c>
      <c r="K83" t="inlineStr">
        <is>
          <t>Reuse allowed only with construct-specific field mapping; otherwise flag</t>
        </is>
      </c>
      <c r="L83" t="inlineStr">
        <is>
          <t>Policy/ops 12–24 months; outcomes 24–36 months unless metric-specific</t>
        </is>
      </c>
      <c r="M83" t="inlineStr">
        <is>
          <t>Only where observable outcome logically belongs to the construct</t>
        </is>
      </c>
      <c r="N83" t="inlineStr">
        <is>
          <t>Claim-only, policy-only, duplicate or unverifiable evidence cannot create strong confidence</t>
        </is>
      </c>
      <c r="O83" t="inlineStr">
        <is>
          <t>Check P0-5 linked-domain contradictions/dependencies</t>
        </is>
      </c>
      <c r="P83" t="inlineStr">
        <is>
          <t>Report confidence separately; never multiply capability score by confidence</t>
        </is>
      </c>
      <c r="Q83" t="inlineStr">
        <is>
          <t>Assessment / Verification Lead</t>
        </is>
      </c>
      <c r="R83" t="inlineStr">
        <is>
          <t>GREEN</t>
        </is>
      </c>
    </row>
    <row r="84">
      <c r="A84" t="inlineStr">
        <is>
          <t>D07</t>
        </is>
      </c>
      <c r="B84" t="inlineStr">
        <is>
          <t>I04</t>
        </is>
      </c>
      <c r="C84" t="inlineStr">
        <is>
          <t>AI-Aware Assessment Maturity</t>
        </is>
      </c>
      <c r="D84" t="inlineStr">
        <is>
          <t>Required for validated metric score</t>
        </is>
      </c>
      <c r="E84" t="inlineStr">
        <is>
          <t>E1</t>
        </is>
      </c>
      <c r="F84" t="inlineStr">
        <is>
          <t>Institutional artifact + operational evidence</t>
        </is>
      </c>
      <c r="G84" t="inlineStr">
        <is>
          <t>Evidence must directly substantiate the construct; prefer operational and outcome evidence where logically applicable</t>
        </is>
      </c>
      <c r="H84" t="inlineStr">
        <is>
          <t>Current assessment cycle preferred; stale evidence requires justification</t>
        </is>
      </c>
      <c r="I84" t="inlineStr">
        <is>
          <t>2 corroborating sources for high-consequence or high-score claims</t>
        </is>
      </c>
      <c r="J84" t="inlineStr">
        <is>
          <t>Independent source preferred for E3/E4 and high-score claims</t>
        </is>
      </c>
      <c r="K84" t="inlineStr">
        <is>
          <t>Reuse allowed only with construct-specific field mapping; otherwise flag</t>
        </is>
      </c>
      <c r="L84" t="inlineStr">
        <is>
          <t>Policy/ops 12–24 months; outcomes 24–36 months unless metric-specific</t>
        </is>
      </c>
      <c r="M84" t="inlineStr">
        <is>
          <t>Only where observable outcome logically belongs to the construct</t>
        </is>
      </c>
      <c r="N84" t="inlineStr">
        <is>
          <t>Claim-only, policy-only, duplicate or unverifiable evidence cannot create strong confidence</t>
        </is>
      </c>
      <c r="O84" t="inlineStr">
        <is>
          <t>Check P0-5 linked-domain contradictions/dependencies</t>
        </is>
      </c>
      <c r="P84" t="inlineStr">
        <is>
          <t>Report confidence separately; never multiply capability score by confidence</t>
        </is>
      </c>
      <c r="Q84" t="inlineStr">
        <is>
          <t>Assessment / Verification Lead</t>
        </is>
      </c>
      <c r="R84" t="inlineStr">
        <is>
          <t>GREEN</t>
        </is>
      </c>
    </row>
    <row r="85">
      <c r="A85" t="inlineStr">
        <is>
          <t>D07</t>
        </is>
      </c>
      <c r="B85" t="inlineStr">
        <is>
          <t>I05</t>
        </is>
      </c>
      <c r="C85" t="inlineStr">
        <is>
          <t>Verification &amp; Defence</t>
        </is>
      </c>
      <c r="D85" t="inlineStr">
        <is>
          <t>Required for validated metric score</t>
        </is>
      </c>
      <c r="E85" t="inlineStr">
        <is>
          <t>E1</t>
        </is>
      </c>
      <c r="F85" t="inlineStr">
        <is>
          <t>Institutional artifact + operational evidence</t>
        </is>
      </c>
      <c r="G85" t="inlineStr">
        <is>
          <t>Evidence must directly substantiate the construct; prefer operational and outcome evidence where logically applicable</t>
        </is>
      </c>
      <c r="H85" t="inlineStr">
        <is>
          <t>Current assessment cycle preferred; stale evidence requires justification</t>
        </is>
      </c>
      <c r="I85" t="inlineStr">
        <is>
          <t>2 corroborating sources for high-consequence or high-score claims</t>
        </is>
      </c>
      <c r="J85" t="inlineStr">
        <is>
          <t>Independent source preferred for E3/E4 and high-score claims</t>
        </is>
      </c>
      <c r="K85" t="inlineStr">
        <is>
          <t>Reuse allowed only with construct-specific field mapping; otherwise flag</t>
        </is>
      </c>
      <c r="L85" t="inlineStr">
        <is>
          <t>Policy/ops 12–24 months; outcomes 24–36 months unless metric-specific</t>
        </is>
      </c>
      <c r="M85" t="inlineStr">
        <is>
          <t>Only where observable outcome logically belongs to the construct</t>
        </is>
      </c>
      <c r="N85" t="inlineStr">
        <is>
          <t>Claim-only, policy-only, duplicate or unverifiable evidence cannot create strong confidence</t>
        </is>
      </c>
      <c r="O85" t="inlineStr">
        <is>
          <t>Check P0-5 linked-domain contradictions/dependencies</t>
        </is>
      </c>
      <c r="P85" t="inlineStr">
        <is>
          <t>Report confidence separately; never multiply capability score by confidence</t>
        </is>
      </c>
      <c r="Q85" t="inlineStr">
        <is>
          <t>Assessment / Verification Lead</t>
        </is>
      </c>
      <c r="R85" t="inlineStr">
        <is>
          <t>GREEN</t>
        </is>
      </c>
    </row>
    <row r="86">
      <c r="A86" t="inlineStr">
        <is>
          <t>D07</t>
        </is>
      </c>
      <c r="B86" t="inlineStr">
        <is>
          <t>I06</t>
        </is>
      </c>
      <c r="C86" t="inlineStr">
        <is>
          <t>Feedback Intelligence</t>
        </is>
      </c>
      <c r="D86" t="inlineStr">
        <is>
          <t>Required for validated metric score</t>
        </is>
      </c>
      <c r="E86" t="inlineStr">
        <is>
          <t>E1</t>
        </is>
      </c>
      <c r="F86" t="inlineStr">
        <is>
          <t>Institutional artifact + operational evidence</t>
        </is>
      </c>
      <c r="G86" t="inlineStr">
        <is>
          <t>Evidence must directly substantiate the construct; prefer operational and outcome evidence where logically applicable</t>
        </is>
      </c>
      <c r="H86" t="inlineStr">
        <is>
          <t>Current assessment cycle preferred; stale evidence requires justification</t>
        </is>
      </c>
      <c r="I86" t="inlineStr">
        <is>
          <t>2 corroborating sources for high-consequence or high-score claims</t>
        </is>
      </c>
      <c r="J86" t="inlineStr">
        <is>
          <t>Independent source preferred for E3/E4 and high-score claims</t>
        </is>
      </c>
      <c r="K86" t="inlineStr">
        <is>
          <t>Reuse allowed only with construct-specific field mapping; otherwise flag</t>
        </is>
      </c>
      <c r="L86" t="inlineStr">
        <is>
          <t>Policy/ops 12–24 months; outcomes 24–36 months unless metric-specific</t>
        </is>
      </c>
      <c r="M86" t="inlineStr">
        <is>
          <t>Only where observable outcome logically belongs to the construct</t>
        </is>
      </c>
      <c r="N86" t="inlineStr">
        <is>
          <t>Claim-only, policy-only, duplicate or unverifiable evidence cannot create strong confidence</t>
        </is>
      </c>
      <c r="O86" t="inlineStr">
        <is>
          <t>Check P0-5 linked-domain contradictions/dependencies</t>
        </is>
      </c>
      <c r="P86" t="inlineStr">
        <is>
          <t>Report confidence separately; never multiply capability score by confidence</t>
        </is>
      </c>
      <c r="Q86" t="inlineStr">
        <is>
          <t>Assessment / Verification Lead</t>
        </is>
      </c>
      <c r="R86" t="inlineStr">
        <is>
          <t>GREEN</t>
        </is>
      </c>
    </row>
    <row r="87">
      <c r="A87" t="inlineStr">
        <is>
          <t>D07</t>
        </is>
      </c>
      <c r="B87" t="inlineStr">
        <is>
          <t>I07</t>
        </is>
      </c>
      <c r="C87" t="inlineStr">
        <is>
          <t>Evidence of Learning</t>
        </is>
      </c>
      <c r="D87" t="inlineStr">
        <is>
          <t>Required for validated metric score</t>
        </is>
      </c>
      <c r="E87" t="inlineStr">
        <is>
          <t>E1</t>
        </is>
      </c>
      <c r="F87" t="inlineStr">
        <is>
          <t>Institutional artifact + operational evidence</t>
        </is>
      </c>
      <c r="G87" t="inlineStr">
        <is>
          <t>Evidence must directly substantiate the construct; prefer operational and outcome evidence where logically applicable</t>
        </is>
      </c>
      <c r="H87" t="inlineStr">
        <is>
          <t>Current assessment cycle preferred; stale evidence requires justification</t>
        </is>
      </c>
      <c r="I87" t="inlineStr">
        <is>
          <t>2 corroborating sources for high-consequence or high-score claims</t>
        </is>
      </c>
      <c r="J87" t="inlineStr">
        <is>
          <t>Independent source preferred for E3/E4 and high-score claims</t>
        </is>
      </c>
      <c r="K87" t="inlineStr">
        <is>
          <t>Reuse allowed only with construct-specific field mapping; otherwise flag</t>
        </is>
      </c>
      <c r="L87" t="inlineStr">
        <is>
          <t>Policy/ops 12–24 months; outcomes 24–36 months unless metric-specific</t>
        </is>
      </c>
      <c r="M87" t="inlineStr">
        <is>
          <t>Only where observable outcome logically belongs to the construct</t>
        </is>
      </c>
      <c r="N87" t="inlineStr">
        <is>
          <t>Claim-only, policy-only, duplicate or unverifiable evidence cannot create strong confidence</t>
        </is>
      </c>
      <c r="O87" t="inlineStr">
        <is>
          <t>Check P0-5 linked-domain contradictions/dependencies</t>
        </is>
      </c>
      <c r="P87" t="inlineStr">
        <is>
          <t>Report confidence separately; never multiply capability score by confidence</t>
        </is>
      </c>
      <c r="Q87" t="inlineStr">
        <is>
          <t>Assessment / Verification Lead</t>
        </is>
      </c>
      <c r="R87" t="inlineStr">
        <is>
          <t>GREEN</t>
        </is>
      </c>
    </row>
    <row r="88">
      <c r="A88" t="inlineStr">
        <is>
          <t>D07</t>
        </is>
      </c>
      <c r="B88" t="inlineStr">
        <is>
          <t>I08</t>
        </is>
      </c>
      <c r="C88" t="inlineStr">
        <is>
          <t>Capability Outcome Measurement</t>
        </is>
      </c>
      <c r="D88" t="inlineStr">
        <is>
          <t>Required for validated metric score</t>
        </is>
      </c>
      <c r="E88" t="inlineStr">
        <is>
          <t>E1</t>
        </is>
      </c>
      <c r="F88" t="inlineStr">
        <is>
          <t>Institutional artifact + operational evidence</t>
        </is>
      </c>
      <c r="G88" t="inlineStr">
        <is>
          <t>Evidence must directly substantiate the construct; prefer operational and outcome evidence where logically applicable</t>
        </is>
      </c>
      <c r="H88" t="inlineStr">
        <is>
          <t>Current assessment cycle preferred; stale evidence requires justification</t>
        </is>
      </c>
      <c r="I88" t="inlineStr">
        <is>
          <t>2 corroborating sources for high-consequence or high-score claims</t>
        </is>
      </c>
      <c r="J88" t="inlineStr">
        <is>
          <t>Independent source preferred for E3/E4 and high-score claims</t>
        </is>
      </c>
      <c r="K88" t="inlineStr">
        <is>
          <t>Reuse allowed only with construct-specific field mapping; otherwise flag</t>
        </is>
      </c>
      <c r="L88" t="inlineStr">
        <is>
          <t>Policy/ops 12–24 months; outcomes 24–36 months unless metric-specific</t>
        </is>
      </c>
      <c r="M88" t="inlineStr">
        <is>
          <t>Only where observable outcome logically belongs to the construct</t>
        </is>
      </c>
      <c r="N88" t="inlineStr">
        <is>
          <t>Claim-only, policy-only, duplicate or unverifiable evidence cannot create strong confidence</t>
        </is>
      </c>
      <c r="O88" t="inlineStr">
        <is>
          <t>Check P0-5 linked-domain contradictions/dependencies</t>
        </is>
      </c>
      <c r="P88" t="inlineStr">
        <is>
          <t>Report confidence separately; never multiply capability score by confidence</t>
        </is>
      </c>
      <c r="Q88" t="inlineStr">
        <is>
          <t>Assessment / Verification Lead</t>
        </is>
      </c>
      <c r="R88" t="inlineStr">
        <is>
          <t>GREEN</t>
        </is>
      </c>
    </row>
    <row r="89">
      <c r="A89" t="inlineStr">
        <is>
          <t>D07</t>
        </is>
      </c>
      <c r="B89" t="inlineStr">
        <is>
          <t>I09</t>
        </is>
      </c>
      <c r="C89" t="inlineStr">
        <is>
          <t>Assessment Equity &amp; Access</t>
        </is>
      </c>
      <c r="D89" t="inlineStr">
        <is>
          <t>Required for validated metric score</t>
        </is>
      </c>
      <c r="E89" t="inlineStr">
        <is>
          <t>E1</t>
        </is>
      </c>
      <c r="F89" t="inlineStr">
        <is>
          <t>Institutional artifact + operational evidence</t>
        </is>
      </c>
      <c r="G89" t="inlineStr">
        <is>
          <t>Evidence must directly substantiate the construct; prefer operational and outcome evidence where logically applicable</t>
        </is>
      </c>
      <c r="H89" t="inlineStr">
        <is>
          <t>Current assessment cycle preferred; stale evidence requires justification</t>
        </is>
      </c>
      <c r="I89" t="inlineStr">
        <is>
          <t>2 corroborating sources for high-consequence or high-score claims</t>
        </is>
      </c>
      <c r="J89" t="inlineStr">
        <is>
          <t>Independent source preferred for E3/E4 and high-score claims</t>
        </is>
      </c>
      <c r="K89" t="inlineStr">
        <is>
          <t>Reuse allowed only with construct-specific field mapping; otherwise flag</t>
        </is>
      </c>
      <c r="L89" t="inlineStr">
        <is>
          <t>Policy/ops 12–24 months; outcomes 24–36 months unless metric-specific</t>
        </is>
      </c>
      <c r="M89" t="inlineStr">
        <is>
          <t>Only where observable outcome logically belongs to the construct</t>
        </is>
      </c>
      <c r="N89" t="inlineStr">
        <is>
          <t>Claim-only, policy-only, duplicate or unverifiable evidence cannot create strong confidence</t>
        </is>
      </c>
      <c r="O89" t="inlineStr">
        <is>
          <t>Check P0-5 linked-domain contradictions/dependencies</t>
        </is>
      </c>
      <c r="P89" t="inlineStr">
        <is>
          <t>Report confidence separately; never multiply capability score by confidence</t>
        </is>
      </c>
      <c r="Q89" t="inlineStr">
        <is>
          <t>Assessment / Verification Lead</t>
        </is>
      </c>
      <c r="R89" t="inlineStr">
        <is>
          <t>GREEN</t>
        </is>
      </c>
    </row>
    <row r="90">
      <c r="A90" t="inlineStr">
        <is>
          <t>D07</t>
        </is>
      </c>
      <c r="B90" t="inlineStr">
        <is>
          <t>I10</t>
        </is>
      </c>
      <c r="C90" t="inlineStr">
        <is>
          <t>Assessment Governance</t>
        </is>
      </c>
      <c r="D90" t="inlineStr">
        <is>
          <t>Required for validated metric score</t>
        </is>
      </c>
      <c r="E90" t="inlineStr">
        <is>
          <t>E1</t>
        </is>
      </c>
      <c r="F90" t="inlineStr">
        <is>
          <t>Institutional artifact + operational evidence</t>
        </is>
      </c>
      <c r="G90" t="inlineStr">
        <is>
          <t>Evidence must directly substantiate the construct; prefer operational and outcome evidence where logically applicable</t>
        </is>
      </c>
      <c r="H90" t="inlineStr">
        <is>
          <t>Current assessment cycle preferred; stale evidence requires justification</t>
        </is>
      </c>
      <c r="I90" t="inlineStr">
        <is>
          <t>2 corroborating sources for high-consequence or high-score claims</t>
        </is>
      </c>
      <c r="J90" t="inlineStr">
        <is>
          <t>Independent source preferred for E3/E4 and high-score claims</t>
        </is>
      </c>
      <c r="K90" t="inlineStr">
        <is>
          <t>Reuse allowed only with construct-specific field mapping; otherwise flag</t>
        </is>
      </c>
      <c r="L90" t="inlineStr">
        <is>
          <t>Policy/ops 12–24 months; outcomes 24–36 months unless metric-specific</t>
        </is>
      </c>
      <c r="M90" t="inlineStr">
        <is>
          <t>Only where observable outcome logically belongs to the construct</t>
        </is>
      </c>
      <c r="N90" t="inlineStr">
        <is>
          <t>Claim-only, policy-only, duplicate or unverifiable evidence cannot create strong confidence</t>
        </is>
      </c>
      <c r="O90" t="inlineStr">
        <is>
          <t>Check P0-5 linked-domain contradictions/dependencies</t>
        </is>
      </c>
      <c r="P90" t="inlineStr">
        <is>
          <t>Report confidence separately; never multiply capability score by confidence</t>
        </is>
      </c>
      <c r="Q90" t="inlineStr">
        <is>
          <t>Assessment / Verification Lead</t>
        </is>
      </c>
      <c r="R90" t="inlineStr">
        <is>
          <t>GREEN</t>
        </is>
      </c>
    </row>
    <row r="91">
      <c r="A91" t="inlineStr">
        <is>
          <t>D07</t>
        </is>
      </c>
      <c r="B91" t="inlineStr">
        <is>
          <t>I11</t>
        </is>
      </c>
      <c r="C91" t="inlineStr">
        <is>
          <t>Assessment Innovation</t>
        </is>
      </c>
      <c r="D91" t="inlineStr">
        <is>
          <t>Required for validated metric score</t>
        </is>
      </c>
      <c r="E91" t="inlineStr">
        <is>
          <t>E1</t>
        </is>
      </c>
      <c r="F91" t="inlineStr">
        <is>
          <t>Institutional artifact + operational evidence</t>
        </is>
      </c>
      <c r="G91" t="inlineStr">
        <is>
          <t>Evidence must directly substantiate the construct; prefer operational and outcome evidence where logically applicable</t>
        </is>
      </c>
      <c r="H91" t="inlineStr">
        <is>
          <t>Current assessment cycle preferred; stale evidence requires justification</t>
        </is>
      </c>
      <c r="I91" t="inlineStr">
        <is>
          <t>2 corroborating sources for high-consequence or high-score claims</t>
        </is>
      </c>
      <c r="J91" t="inlineStr">
        <is>
          <t>Independent source preferred for E3/E4 and high-score claims</t>
        </is>
      </c>
      <c r="K91" t="inlineStr">
        <is>
          <t>Reuse allowed only with construct-specific field mapping; otherwise flag</t>
        </is>
      </c>
      <c r="L91" t="inlineStr">
        <is>
          <t>Policy/ops 12–24 months; outcomes 24–36 months unless metric-specific</t>
        </is>
      </c>
      <c r="M91" t="inlineStr">
        <is>
          <t>Only where observable outcome logically belongs to the construct</t>
        </is>
      </c>
      <c r="N91" t="inlineStr">
        <is>
          <t>Claim-only, policy-only, duplicate or unverifiable evidence cannot create strong confidence</t>
        </is>
      </c>
      <c r="O91" t="inlineStr">
        <is>
          <t>Check P0-5 linked-domain contradictions/dependencies</t>
        </is>
      </c>
      <c r="P91" t="inlineStr">
        <is>
          <t>Report confidence separately; never multiply capability score by confidence</t>
        </is>
      </c>
      <c r="Q91" t="inlineStr">
        <is>
          <t>Assessment / Verification Lead</t>
        </is>
      </c>
      <c r="R91" t="inlineStr">
        <is>
          <t>GREEN</t>
        </is>
      </c>
    </row>
    <row r="92">
      <c r="A92" t="inlineStr">
        <is>
          <t>D07</t>
        </is>
      </c>
      <c r="B92" t="inlineStr">
        <is>
          <t>I12</t>
        </is>
      </c>
      <c r="C92" t="inlineStr">
        <is>
          <t>Learning Evidence Analytics</t>
        </is>
      </c>
      <c r="D92" t="inlineStr">
        <is>
          <t>Required for validated metric score</t>
        </is>
      </c>
      <c r="E92" t="inlineStr">
        <is>
          <t>E1</t>
        </is>
      </c>
      <c r="F92" t="inlineStr">
        <is>
          <t>Institutional artifact + operational evidence</t>
        </is>
      </c>
      <c r="G92" t="inlineStr">
        <is>
          <t>Evidence must directly substantiate the construct; prefer operational and outcome evidence where logically applicable</t>
        </is>
      </c>
      <c r="H92" t="inlineStr">
        <is>
          <t>Current assessment cycle preferred; stale evidence requires justification</t>
        </is>
      </c>
      <c r="I92" t="inlineStr">
        <is>
          <t>2 corroborating sources for high-consequence or high-score claims</t>
        </is>
      </c>
      <c r="J92" t="inlineStr">
        <is>
          <t>Independent source preferred for E3/E4 and high-score claims</t>
        </is>
      </c>
      <c r="K92" t="inlineStr">
        <is>
          <t>Reuse allowed only with construct-specific field mapping; otherwise flag</t>
        </is>
      </c>
      <c r="L92" t="inlineStr">
        <is>
          <t>Policy/ops 12–24 months; outcomes 24–36 months unless metric-specific</t>
        </is>
      </c>
      <c r="M92" t="inlineStr">
        <is>
          <t>Only where observable outcome logically belongs to the construct</t>
        </is>
      </c>
      <c r="N92" t="inlineStr">
        <is>
          <t>Claim-only, policy-only, duplicate or unverifiable evidence cannot create strong confidence</t>
        </is>
      </c>
      <c r="O92" t="inlineStr">
        <is>
          <t>Check P0-5 linked-domain contradictions/dependencies</t>
        </is>
      </c>
      <c r="P92" t="inlineStr">
        <is>
          <t>Report confidence separately; never multiply capability score by confidence</t>
        </is>
      </c>
      <c r="Q92" t="inlineStr">
        <is>
          <t>Assessment / Verification Lead</t>
        </is>
      </c>
      <c r="R92" t="inlineStr">
        <is>
          <t>GREEN</t>
        </is>
      </c>
    </row>
    <row r="93">
      <c r="A93" t="inlineStr">
        <is>
          <t>D08</t>
        </is>
      </c>
      <c r="B93" t="inlineStr">
        <is>
          <t>I01</t>
        </is>
      </c>
      <c r="C93" t="inlineStr">
        <is>
          <t>Digital Environment Readiness</t>
        </is>
      </c>
      <c r="D93" t="inlineStr">
        <is>
          <t>Required for validated metric score</t>
        </is>
      </c>
      <c r="E93" t="inlineStr">
        <is>
          <t>E1</t>
        </is>
      </c>
      <c r="F93" t="inlineStr">
        <is>
          <t>Institutional artifact + operational evidence</t>
        </is>
      </c>
      <c r="G93" t="inlineStr">
        <is>
          <t>Evidence must directly substantiate the construct; prefer operational and outcome evidence where logically applicable</t>
        </is>
      </c>
      <c r="H93" t="inlineStr">
        <is>
          <t>Current assessment cycle preferred; stale evidence requires justification</t>
        </is>
      </c>
      <c r="I93" t="inlineStr">
        <is>
          <t>2 corroborating sources for high-consequence or high-score claims</t>
        </is>
      </c>
      <c r="J93" t="inlineStr">
        <is>
          <t>Independent source preferred for E3/E4 and high-score claims</t>
        </is>
      </c>
      <c r="K93" t="inlineStr">
        <is>
          <t>Reuse allowed only with construct-specific field mapping; otherwise flag</t>
        </is>
      </c>
      <c r="L93" t="inlineStr">
        <is>
          <t>Policy/ops 12–24 months; outcomes 24–36 months unless metric-specific</t>
        </is>
      </c>
      <c r="M93" t="inlineStr">
        <is>
          <t>Only where observable outcome logically belongs to the construct</t>
        </is>
      </c>
      <c r="N93" t="inlineStr">
        <is>
          <t>Claim-only, policy-only, duplicate or unverifiable evidence cannot create strong confidence</t>
        </is>
      </c>
      <c r="O93" t="inlineStr">
        <is>
          <t>Check P0-5 linked-domain contradictions/dependencies</t>
        </is>
      </c>
      <c r="P93" t="inlineStr">
        <is>
          <t>Report confidence separately; never multiply capability score by confidence</t>
        </is>
      </c>
      <c r="Q93" t="inlineStr">
        <is>
          <t>Assessment / Verification Lead</t>
        </is>
      </c>
      <c r="R93" t="inlineStr">
        <is>
          <t>GREEN</t>
        </is>
      </c>
    </row>
    <row r="94">
      <c r="A94" t="inlineStr">
        <is>
          <t>D08</t>
        </is>
      </c>
      <c r="B94" t="inlineStr">
        <is>
          <t>I02</t>
        </is>
      </c>
      <c r="C94" t="inlineStr">
        <is>
          <t>Institutional Data Architecture</t>
        </is>
      </c>
      <c r="D94" t="inlineStr">
        <is>
          <t>Required for validated metric score</t>
        </is>
      </c>
      <c r="E94" t="inlineStr">
        <is>
          <t>E1</t>
        </is>
      </c>
      <c r="F94" t="inlineStr">
        <is>
          <t>Institutional artifact + operational evidence</t>
        </is>
      </c>
      <c r="G94" t="inlineStr">
        <is>
          <t>Evidence must directly substantiate the construct; prefer operational and outcome evidence where logically applicable</t>
        </is>
      </c>
      <c r="H94" t="inlineStr">
        <is>
          <t>Current assessment cycle preferred; stale evidence requires justification</t>
        </is>
      </c>
      <c r="I94" t="inlineStr">
        <is>
          <t>2 corroborating sources for high-consequence or high-score claims</t>
        </is>
      </c>
      <c r="J94" t="inlineStr">
        <is>
          <t>Independent source preferred for E3/E4 and high-score claims</t>
        </is>
      </c>
      <c r="K94" t="inlineStr">
        <is>
          <t>Reuse allowed only with construct-specific field mapping; otherwise flag</t>
        </is>
      </c>
      <c r="L94" t="inlineStr">
        <is>
          <t>Policy/ops 12–24 months; outcomes 24–36 months unless metric-specific</t>
        </is>
      </c>
      <c r="M94" t="inlineStr">
        <is>
          <t>Only where observable outcome logically belongs to the construct</t>
        </is>
      </c>
      <c r="N94" t="inlineStr">
        <is>
          <t>Claim-only, policy-only, duplicate or unverifiable evidence cannot create strong confidence</t>
        </is>
      </c>
      <c r="O94" t="inlineStr">
        <is>
          <t>Check P0-5 linked-domain contradictions/dependencies</t>
        </is>
      </c>
      <c r="P94" t="inlineStr">
        <is>
          <t>Report confidence separately; never multiply capability score by confidence</t>
        </is>
      </c>
      <c r="Q94" t="inlineStr">
        <is>
          <t>Assessment / Verification Lead</t>
        </is>
      </c>
      <c r="R94" t="inlineStr">
        <is>
          <t>GREEN</t>
        </is>
      </c>
    </row>
    <row r="95">
      <c r="A95" t="inlineStr">
        <is>
          <t>D08</t>
        </is>
      </c>
      <c r="B95" t="inlineStr">
        <is>
          <t>I03</t>
        </is>
      </c>
      <c r="C95" t="inlineStr">
        <is>
          <t>Data Quality &amp; Integrity</t>
        </is>
      </c>
      <c r="D95" t="inlineStr">
        <is>
          <t>Required for validated metric score</t>
        </is>
      </c>
      <c r="E95" t="inlineStr">
        <is>
          <t>E1</t>
        </is>
      </c>
      <c r="F95" t="inlineStr">
        <is>
          <t>Institutional artifact + operational evidence</t>
        </is>
      </c>
      <c r="G95" t="inlineStr">
        <is>
          <t>Evidence must directly substantiate the construct; prefer operational and outcome evidence where logically applicable</t>
        </is>
      </c>
      <c r="H95" t="inlineStr">
        <is>
          <t>Current assessment cycle preferred; stale evidence requires justification</t>
        </is>
      </c>
      <c r="I95" t="inlineStr">
        <is>
          <t>2 corroborating sources for high-consequence or high-score claims</t>
        </is>
      </c>
      <c r="J95" t="inlineStr">
        <is>
          <t>Independent source preferred for E3/E4 and high-score claims</t>
        </is>
      </c>
      <c r="K95" t="inlineStr">
        <is>
          <t>Reuse allowed only with construct-specific field mapping; otherwise flag</t>
        </is>
      </c>
      <c r="L95" t="inlineStr">
        <is>
          <t>Policy/ops 12–24 months; outcomes 24–36 months unless metric-specific</t>
        </is>
      </c>
      <c r="M95" t="inlineStr">
        <is>
          <t>Only where observable outcome logically belongs to the construct</t>
        </is>
      </c>
      <c r="N95" t="inlineStr">
        <is>
          <t>Claim-only, policy-only, duplicate or unverifiable evidence cannot create strong confidence</t>
        </is>
      </c>
      <c r="O95" t="inlineStr">
        <is>
          <t>Check P0-5 linked-domain contradictions/dependencies</t>
        </is>
      </c>
      <c r="P95" t="inlineStr">
        <is>
          <t>Report confidence separately; never multiply capability score by confidence</t>
        </is>
      </c>
      <c r="Q95" t="inlineStr">
        <is>
          <t>Assessment / Verification Lead</t>
        </is>
      </c>
      <c r="R95" t="inlineStr">
        <is>
          <t>GREEN</t>
        </is>
      </c>
    </row>
    <row r="96">
      <c r="A96" t="inlineStr">
        <is>
          <t>D08</t>
        </is>
      </c>
      <c r="B96" t="inlineStr">
        <is>
          <t>I04</t>
        </is>
      </c>
      <c r="C96" t="inlineStr">
        <is>
          <t>System Interoperability</t>
        </is>
      </c>
      <c r="D96" t="inlineStr">
        <is>
          <t>Required for validated metric score</t>
        </is>
      </c>
      <c r="E96" t="inlineStr">
        <is>
          <t>E1</t>
        </is>
      </c>
      <c r="F96" t="inlineStr">
        <is>
          <t>Institutional artifact + operational evidence</t>
        </is>
      </c>
      <c r="G96" t="inlineStr">
        <is>
          <t>Evidence must directly substantiate the construct; prefer operational and outcome evidence where logically applicable</t>
        </is>
      </c>
      <c r="H96" t="inlineStr">
        <is>
          <t>Current assessment cycle preferred; stale evidence requires justification</t>
        </is>
      </c>
      <c r="I96" t="inlineStr">
        <is>
          <t>2 corroborating sources for high-consequence or high-score claims</t>
        </is>
      </c>
      <c r="J96" t="inlineStr">
        <is>
          <t>Independent source preferred for E3/E4 and high-score claims</t>
        </is>
      </c>
      <c r="K96" t="inlineStr">
        <is>
          <t>Reuse allowed only with construct-specific field mapping; otherwise flag</t>
        </is>
      </c>
      <c r="L96" t="inlineStr">
        <is>
          <t>Policy/ops 12–24 months; outcomes 24–36 months unless metric-specific</t>
        </is>
      </c>
      <c r="M96" t="inlineStr">
        <is>
          <t>Only where observable outcome logically belongs to the construct</t>
        </is>
      </c>
      <c r="N96" t="inlineStr">
        <is>
          <t>Claim-only, policy-only, duplicate or unverifiable evidence cannot create strong confidence</t>
        </is>
      </c>
      <c r="O96" t="inlineStr">
        <is>
          <t>Check P0-5 linked-domain contradictions/dependencies</t>
        </is>
      </c>
      <c r="P96" t="inlineStr">
        <is>
          <t>Report confidence separately; never multiply capability score by confidence</t>
        </is>
      </c>
      <c r="Q96" t="inlineStr">
        <is>
          <t>Assessment / Verification Lead</t>
        </is>
      </c>
      <c r="R96" t="inlineStr">
        <is>
          <t>GREEN</t>
        </is>
      </c>
    </row>
    <row r="97">
      <c r="A97" t="inlineStr">
        <is>
          <t>D08</t>
        </is>
      </c>
      <c r="B97" t="inlineStr">
        <is>
          <t>I05</t>
        </is>
      </c>
      <c r="C97" t="inlineStr">
        <is>
          <t>Decision Intelligence</t>
        </is>
      </c>
      <c r="D97" t="inlineStr">
        <is>
          <t>Required for validated metric score</t>
        </is>
      </c>
      <c r="E97" t="inlineStr">
        <is>
          <t>E1</t>
        </is>
      </c>
      <c r="F97" t="inlineStr">
        <is>
          <t>Institutional artifact + operational evidence</t>
        </is>
      </c>
      <c r="G97" t="inlineStr">
        <is>
          <t>Evidence must directly substantiate the construct; prefer operational and outcome evidence where logically applicable</t>
        </is>
      </c>
      <c r="H97" t="inlineStr">
        <is>
          <t>Current assessment cycle preferred; stale evidence requires justification</t>
        </is>
      </c>
      <c r="I97" t="inlineStr">
        <is>
          <t>2 corroborating sources for high-consequence or high-score claims</t>
        </is>
      </c>
      <c r="J97" t="inlineStr">
        <is>
          <t>Independent source preferred for E3/E4 and high-score claims</t>
        </is>
      </c>
      <c r="K97" t="inlineStr">
        <is>
          <t>Reuse allowed only with construct-specific field mapping; otherwise flag</t>
        </is>
      </c>
      <c r="L97" t="inlineStr">
        <is>
          <t>Policy/ops 12–24 months; outcomes 24–36 months unless metric-specific</t>
        </is>
      </c>
      <c r="M97" t="inlineStr">
        <is>
          <t>Only where observable outcome logically belongs to the construct</t>
        </is>
      </c>
      <c r="N97" t="inlineStr">
        <is>
          <t>Claim-only, policy-only, duplicate or unverifiable evidence cannot create strong confidence</t>
        </is>
      </c>
      <c r="O97" t="inlineStr">
        <is>
          <t>Check P0-5 linked-domain contradictions/dependencies</t>
        </is>
      </c>
      <c r="P97" t="inlineStr">
        <is>
          <t>Report confidence separately; never multiply capability score by confidence</t>
        </is>
      </c>
      <c r="Q97" t="inlineStr">
        <is>
          <t>Assessment / Verification Lead</t>
        </is>
      </c>
      <c r="R97" t="inlineStr">
        <is>
          <t>GREEN</t>
        </is>
      </c>
    </row>
    <row r="98">
      <c r="A98" t="inlineStr">
        <is>
          <t>D08</t>
        </is>
      </c>
      <c r="B98" t="inlineStr">
        <is>
          <t>I06</t>
        </is>
      </c>
      <c r="C98" t="inlineStr">
        <is>
          <t>AI Enablement Readiness</t>
        </is>
      </c>
      <c r="D98" t="inlineStr">
        <is>
          <t>Required for validated metric score</t>
        </is>
      </c>
      <c r="E98" t="inlineStr">
        <is>
          <t>E1</t>
        </is>
      </c>
      <c r="F98" t="inlineStr">
        <is>
          <t>Institutional artifact + operational evidence</t>
        </is>
      </c>
      <c r="G98" t="inlineStr">
        <is>
          <t>Evidence must directly substantiate the construct; prefer operational and outcome evidence where logically applicable</t>
        </is>
      </c>
      <c r="H98" t="inlineStr">
        <is>
          <t>Current assessment cycle preferred; stale evidence requires justification</t>
        </is>
      </c>
      <c r="I98" t="inlineStr">
        <is>
          <t>2 corroborating sources for high-consequence or high-score claims</t>
        </is>
      </c>
      <c r="J98" t="inlineStr">
        <is>
          <t>Independent source preferred for E3/E4 and high-score claims</t>
        </is>
      </c>
      <c r="K98" t="inlineStr">
        <is>
          <t>Reuse allowed only with construct-specific field mapping; otherwise flag</t>
        </is>
      </c>
      <c r="L98" t="inlineStr">
        <is>
          <t>Policy/ops 12–24 months; outcomes 24–36 months unless metric-specific</t>
        </is>
      </c>
      <c r="M98" t="inlineStr">
        <is>
          <t>Only where observable outcome logically belongs to the construct</t>
        </is>
      </c>
      <c r="N98" t="inlineStr">
        <is>
          <t>Claim-only, policy-only, duplicate or unverifiable evidence cannot create strong confidence</t>
        </is>
      </c>
      <c r="O98" t="inlineStr">
        <is>
          <t>Check P0-5 linked-domain contradictions/dependencies</t>
        </is>
      </c>
      <c r="P98" t="inlineStr">
        <is>
          <t>Report confidence separately; never multiply capability score by confidence</t>
        </is>
      </c>
      <c r="Q98" t="inlineStr">
        <is>
          <t>Assessment / Verification Lead</t>
        </is>
      </c>
      <c r="R98" t="inlineStr">
        <is>
          <t>GREEN</t>
        </is>
      </c>
    </row>
    <row r="99">
      <c r="A99" t="inlineStr">
        <is>
          <t>D08</t>
        </is>
      </c>
      <c r="B99" t="inlineStr">
        <is>
          <t>I07</t>
        </is>
      </c>
      <c r="C99" t="inlineStr">
        <is>
          <t>Cyber &amp; Information Security</t>
        </is>
      </c>
      <c r="D99" t="inlineStr">
        <is>
          <t>Required for validated metric score</t>
        </is>
      </c>
      <c r="E99" t="inlineStr">
        <is>
          <t>E1</t>
        </is>
      </c>
      <c r="F99" t="inlineStr">
        <is>
          <t>Institutional artifact + operational evidence</t>
        </is>
      </c>
      <c r="G99" t="inlineStr">
        <is>
          <t>Evidence must directly substantiate the construct; prefer operational and outcome evidence where logically applicable</t>
        </is>
      </c>
      <c r="H99" t="inlineStr">
        <is>
          <t>Current assessment cycle preferred; stale evidence requires justification</t>
        </is>
      </c>
      <c r="I99" t="inlineStr">
        <is>
          <t>2 corroborating sources for high-consequence or high-score claims</t>
        </is>
      </c>
      <c r="J99" t="inlineStr">
        <is>
          <t>Independent source preferred for E3/E4 and high-score claims</t>
        </is>
      </c>
      <c r="K99" t="inlineStr">
        <is>
          <t>Reuse allowed only with construct-specific field mapping; otherwise flag</t>
        </is>
      </c>
      <c r="L99" t="inlineStr">
        <is>
          <t>Policy/ops 12–24 months; outcomes 24–36 months unless metric-specific</t>
        </is>
      </c>
      <c r="M99" t="inlineStr">
        <is>
          <t>Only where observable outcome logically belongs to the construct</t>
        </is>
      </c>
      <c r="N99" t="inlineStr">
        <is>
          <t>Claim-only, policy-only, duplicate or unverifiable evidence cannot create strong confidence</t>
        </is>
      </c>
      <c r="O99" t="inlineStr">
        <is>
          <t>Check P0-5 linked-domain contradictions/dependencies</t>
        </is>
      </c>
      <c r="P99" t="inlineStr">
        <is>
          <t>Report confidence separately; never multiply capability score by confidence</t>
        </is>
      </c>
      <c r="Q99" t="inlineStr">
        <is>
          <t>Assessment / Verification Lead</t>
        </is>
      </c>
      <c r="R99" t="inlineStr">
        <is>
          <t>GREEN</t>
        </is>
      </c>
    </row>
    <row r="100">
      <c r="A100" t="inlineStr">
        <is>
          <t>D08</t>
        </is>
      </c>
      <c r="B100" t="inlineStr">
        <is>
          <t>I08</t>
        </is>
      </c>
      <c r="C100" t="inlineStr">
        <is>
          <t>Data Privacy Readiness</t>
        </is>
      </c>
      <c r="D100" t="inlineStr">
        <is>
          <t>Required for validated metric score</t>
        </is>
      </c>
      <c r="E100" t="inlineStr">
        <is>
          <t>E1</t>
        </is>
      </c>
      <c r="F100" t="inlineStr">
        <is>
          <t>Institutional artifact + operational evidence</t>
        </is>
      </c>
      <c r="G100" t="inlineStr">
        <is>
          <t>Evidence must directly substantiate the construct; prefer operational and outcome evidence where logically applicable</t>
        </is>
      </c>
      <c r="H100" t="inlineStr">
        <is>
          <t>Current assessment cycle preferred; stale evidence requires justification</t>
        </is>
      </c>
      <c r="I100" t="inlineStr">
        <is>
          <t>2 corroborating sources for high-consequence or high-score claims</t>
        </is>
      </c>
      <c r="J100" t="inlineStr">
        <is>
          <t>Independent source preferred for E3/E4 and high-score claims</t>
        </is>
      </c>
      <c r="K100" t="inlineStr">
        <is>
          <t>Reuse allowed only with construct-specific field mapping; otherwise flag</t>
        </is>
      </c>
      <c r="L100" t="inlineStr">
        <is>
          <t>Policy/ops 12–24 months; outcomes 24–36 months unless metric-specific</t>
        </is>
      </c>
      <c r="M100" t="inlineStr">
        <is>
          <t>Only where observable outcome logically belongs to the construct</t>
        </is>
      </c>
      <c r="N100" t="inlineStr">
        <is>
          <t>Claim-only, policy-only, duplicate or unverifiable evidence cannot create strong confidence</t>
        </is>
      </c>
      <c r="O100" t="inlineStr">
        <is>
          <t>Check P0-5 linked-domain contradictions/dependencies</t>
        </is>
      </c>
      <c r="P100" t="inlineStr">
        <is>
          <t>Report confidence separately; never multiply capability score by confidence</t>
        </is>
      </c>
      <c r="Q100" t="inlineStr">
        <is>
          <t>Assessment / Verification Lead</t>
        </is>
      </c>
      <c r="R100" t="inlineStr">
        <is>
          <t>GREEN</t>
        </is>
      </c>
    </row>
    <row r="101">
      <c r="A101" t="inlineStr">
        <is>
          <t>D08</t>
        </is>
      </c>
      <c r="B101" t="inlineStr">
        <is>
          <t>I09</t>
        </is>
      </c>
      <c r="C101" t="inlineStr">
        <is>
          <t>Digital Equity &amp; Access</t>
        </is>
      </c>
      <c r="D101" t="inlineStr">
        <is>
          <t>Required for validated metric score</t>
        </is>
      </c>
      <c r="E101" t="inlineStr">
        <is>
          <t>E1</t>
        </is>
      </c>
      <c r="F101" t="inlineStr">
        <is>
          <t>Institutional artifact + operational evidence</t>
        </is>
      </c>
      <c r="G101" t="inlineStr">
        <is>
          <t>Evidence must directly substantiate the construct; prefer operational and outcome evidence where logically applicable</t>
        </is>
      </c>
      <c r="H101" t="inlineStr">
        <is>
          <t>Current assessment cycle preferred; stale evidence requires justification</t>
        </is>
      </c>
      <c r="I101" t="inlineStr">
        <is>
          <t>2 corroborating sources for high-consequence or high-score claims</t>
        </is>
      </c>
      <c r="J101" t="inlineStr">
        <is>
          <t>Independent source preferred for E3/E4 and high-score claims</t>
        </is>
      </c>
      <c r="K101" t="inlineStr">
        <is>
          <t>Reuse allowed only with construct-specific field mapping; otherwise flag</t>
        </is>
      </c>
      <c r="L101" t="inlineStr">
        <is>
          <t>Policy/ops 12–24 months; outcomes 24–36 months unless metric-specific</t>
        </is>
      </c>
      <c r="M101" t="inlineStr">
        <is>
          <t>Only where observable outcome logically belongs to the construct</t>
        </is>
      </c>
      <c r="N101" t="inlineStr">
        <is>
          <t>Claim-only, policy-only, duplicate or unverifiable evidence cannot create strong confidence</t>
        </is>
      </c>
      <c r="O101" t="inlineStr">
        <is>
          <t>Check P0-5 linked-domain contradictions/dependencies</t>
        </is>
      </c>
      <c r="P101" t="inlineStr">
        <is>
          <t>Report confidence separately; never multiply capability score by confidence</t>
        </is>
      </c>
      <c r="Q101" t="inlineStr">
        <is>
          <t>Assessment / Verification Lead</t>
        </is>
      </c>
      <c r="R101" t="inlineStr">
        <is>
          <t>GREEN</t>
        </is>
      </c>
    </row>
    <row r="102">
      <c r="A102" t="inlineStr">
        <is>
          <t>D08</t>
        </is>
      </c>
      <c r="B102" t="inlineStr">
        <is>
          <t>I10</t>
        </is>
      </c>
      <c r="C102" t="inlineStr">
        <is>
          <t>Technology Decision Governance</t>
        </is>
      </c>
      <c r="D102" t="inlineStr">
        <is>
          <t>Required for validated metric score</t>
        </is>
      </c>
      <c r="E102" t="inlineStr">
        <is>
          <t>E1</t>
        </is>
      </c>
      <c r="F102" t="inlineStr">
        <is>
          <t>Institutional artifact + operational evidence</t>
        </is>
      </c>
      <c r="G102" t="inlineStr">
        <is>
          <t>Evidence must directly substantiate the construct; prefer operational and outcome evidence where logically applicable</t>
        </is>
      </c>
      <c r="H102" t="inlineStr">
        <is>
          <t>Current assessment cycle preferred; stale evidence requires justification</t>
        </is>
      </c>
      <c r="I102" t="inlineStr">
        <is>
          <t>2 corroborating sources for high-consequence or high-score claims</t>
        </is>
      </c>
      <c r="J102" t="inlineStr">
        <is>
          <t>Independent source preferred for E3/E4 and high-score claims</t>
        </is>
      </c>
      <c r="K102" t="inlineStr">
        <is>
          <t>Reuse allowed only with construct-specific field mapping; otherwise flag</t>
        </is>
      </c>
      <c r="L102" t="inlineStr">
        <is>
          <t>Policy/ops 12–24 months; outcomes 24–36 months unless metric-specific</t>
        </is>
      </c>
      <c r="M102" t="inlineStr">
        <is>
          <t>Only where observable outcome logically belongs to the construct</t>
        </is>
      </c>
      <c r="N102" t="inlineStr">
        <is>
          <t>Claim-only, policy-only, duplicate or unverifiable evidence cannot create strong confidence</t>
        </is>
      </c>
      <c r="O102" t="inlineStr">
        <is>
          <t>Check P0-5 linked-domain contradictions/dependencies</t>
        </is>
      </c>
      <c r="P102" t="inlineStr">
        <is>
          <t>Report confidence separately; never multiply capability score by confidence</t>
        </is>
      </c>
      <c r="Q102" t="inlineStr">
        <is>
          <t>Assessment / Verification Lead</t>
        </is>
      </c>
      <c r="R102" t="inlineStr">
        <is>
          <t>GREEN</t>
        </is>
      </c>
    </row>
    <row r="103">
      <c r="A103" t="inlineStr">
        <is>
          <t>D08</t>
        </is>
      </c>
      <c r="B103" t="inlineStr">
        <is>
          <t>I11</t>
        </is>
      </c>
      <c r="C103" t="inlineStr">
        <is>
          <t>Digital Process Maturity</t>
        </is>
      </c>
      <c r="D103" t="inlineStr">
        <is>
          <t>Required for validated metric score</t>
        </is>
      </c>
      <c r="E103" t="inlineStr">
        <is>
          <t>E1</t>
        </is>
      </c>
      <c r="F103" t="inlineStr">
        <is>
          <t>Institutional artifact + operational evidence</t>
        </is>
      </c>
      <c r="G103" t="inlineStr">
        <is>
          <t>Evidence must directly substantiate the construct; prefer operational and outcome evidence where logically applicable</t>
        </is>
      </c>
      <c r="H103" t="inlineStr">
        <is>
          <t>Current assessment cycle preferred; stale evidence requires justification</t>
        </is>
      </c>
      <c r="I103" t="inlineStr">
        <is>
          <t>2 corroborating sources for high-consequence or high-score claims</t>
        </is>
      </c>
      <c r="J103" t="inlineStr">
        <is>
          <t>Independent source preferred for E3/E4 and high-score claims</t>
        </is>
      </c>
      <c r="K103" t="inlineStr">
        <is>
          <t>Reuse allowed only with construct-specific field mapping; otherwise flag</t>
        </is>
      </c>
      <c r="L103" t="inlineStr">
        <is>
          <t>Policy/ops 12–24 months; outcomes 24–36 months unless metric-specific</t>
        </is>
      </c>
      <c r="M103" t="inlineStr">
        <is>
          <t>Only where observable outcome logically belongs to the construct</t>
        </is>
      </c>
      <c r="N103" t="inlineStr">
        <is>
          <t>Claim-only, policy-only, duplicate or unverifiable evidence cannot create strong confidence</t>
        </is>
      </c>
      <c r="O103" t="inlineStr">
        <is>
          <t>Check P0-5 linked-domain contradictions/dependencies</t>
        </is>
      </c>
      <c r="P103" t="inlineStr">
        <is>
          <t>Report confidence separately; never multiply capability score by confidence</t>
        </is>
      </c>
      <c r="Q103" t="inlineStr">
        <is>
          <t>Assessment / Verification Lead</t>
        </is>
      </c>
      <c r="R103" t="inlineStr">
        <is>
          <t>GREEN</t>
        </is>
      </c>
    </row>
    <row r="104">
      <c r="A104" t="inlineStr">
        <is>
          <t>D08</t>
        </is>
      </c>
      <c r="B104" t="inlineStr">
        <is>
          <t>I12</t>
        </is>
      </c>
      <c r="C104" t="inlineStr">
        <is>
          <t>Institutional Intelligence Capability</t>
        </is>
      </c>
      <c r="D104" t="inlineStr">
        <is>
          <t>Required for validated metric score</t>
        </is>
      </c>
      <c r="E104" t="inlineStr">
        <is>
          <t>E1</t>
        </is>
      </c>
      <c r="F104" t="inlineStr">
        <is>
          <t>Institutional artifact + operational evidence</t>
        </is>
      </c>
      <c r="G104" t="inlineStr">
        <is>
          <t>Evidence must directly substantiate the construct; prefer operational and outcome evidence where logically applicable</t>
        </is>
      </c>
      <c r="H104" t="inlineStr">
        <is>
          <t>Current assessment cycle preferred; stale evidence requires justification</t>
        </is>
      </c>
      <c r="I104" t="inlineStr">
        <is>
          <t>2 corroborating sources for high-consequence or high-score claims</t>
        </is>
      </c>
      <c r="J104" t="inlineStr">
        <is>
          <t>Independent source preferred for E3/E4 and high-score claims</t>
        </is>
      </c>
      <c r="K104" t="inlineStr">
        <is>
          <t>Reuse allowed only with construct-specific field mapping; otherwise flag</t>
        </is>
      </c>
      <c r="L104" t="inlineStr">
        <is>
          <t>Policy/ops 12–24 months; outcomes 24–36 months unless metric-specific</t>
        </is>
      </c>
      <c r="M104" t="inlineStr">
        <is>
          <t>Only where observable outcome logically belongs to the construct</t>
        </is>
      </c>
      <c r="N104" t="inlineStr">
        <is>
          <t>Claim-only, policy-only, duplicate or unverifiable evidence cannot create strong confidence</t>
        </is>
      </c>
      <c r="O104" t="inlineStr">
        <is>
          <t>Check P0-5 linked-domain contradictions/dependencies</t>
        </is>
      </c>
      <c r="P104" t="inlineStr">
        <is>
          <t>Report confidence separately; never multiply capability score by confidence</t>
        </is>
      </c>
      <c r="Q104" t="inlineStr">
        <is>
          <t>Assessment / Verification Lead</t>
        </is>
      </c>
      <c r="R104" t="inlineStr">
        <is>
          <t>GREEN</t>
        </is>
      </c>
    </row>
    <row r="105">
      <c r="A105" t="inlineStr">
        <is>
          <t>D09</t>
        </is>
      </c>
      <c r="B105" t="inlineStr">
        <is>
          <t>I01</t>
        </is>
      </c>
      <c r="C105" t="inlineStr">
        <is>
          <t>Employer Demand Sensing</t>
        </is>
      </c>
      <c r="D105" t="inlineStr">
        <is>
          <t>Required for validated metric score</t>
        </is>
      </c>
      <c r="E105" t="inlineStr">
        <is>
          <t>E1</t>
        </is>
      </c>
      <c r="F105" t="inlineStr">
        <is>
          <t>Institutional artifact + operational evidence</t>
        </is>
      </c>
      <c r="G105" t="inlineStr">
        <is>
          <t>Evidence must directly substantiate the construct; prefer operational and outcome evidence where logically applicable</t>
        </is>
      </c>
      <c r="H105" t="inlineStr">
        <is>
          <t>Current assessment cycle preferred; stale evidence requires justification</t>
        </is>
      </c>
      <c r="I105" t="inlineStr">
        <is>
          <t>2 corroborating sources for high-consequence or high-score claims</t>
        </is>
      </c>
      <c r="J105" t="inlineStr">
        <is>
          <t>Independent source preferred for E3/E4 and high-score claims</t>
        </is>
      </c>
      <c r="K105" t="inlineStr">
        <is>
          <t>Reuse allowed only with construct-specific field mapping; otherwise flag</t>
        </is>
      </c>
      <c r="L105" t="inlineStr">
        <is>
          <t>Policy/ops 12–24 months; outcomes 24–36 months unless metric-specific</t>
        </is>
      </c>
      <c r="M105" t="inlineStr">
        <is>
          <t>Only where observable outcome logically belongs to the construct</t>
        </is>
      </c>
      <c r="N105" t="inlineStr">
        <is>
          <t>Claim-only, policy-only, duplicate or unverifiable evidence cannot create strong confidence</t>
        </is>
      </c>
      <c r="O105" t="inlineStr">
        <is>
          <t>Check P0-5 linked-domain contradictions/dependencies</t>
        </is>
      </c>
      <c r="P105" t="inlineStr">
        <is>
          <t>Report confidence separately; never multiply capability score by confidence</t>
        </is>
      </c>
      <c r="Q105" t="inlineStr">
        <is>
          <t>Assessment / Verification Lead</t>
        </is>
      </c>
      <c r="R105" t="inlineStr">
        <is>
          <t>GREEN</t>
        </is>
      </c>
    </row>
    <row r="106">
      <c r="A106" t="inlineStr">
        <is>
          <t>D09</t>
        </is>
      </c>
      <c r="B106" t="inlineStr">
        <is>
          <t>I02</t>
        </is>
      </c>
      <c r="C106" t="inlineStr">
        <is>
          <t>Employability Capability Architecture</t>
        </is>
      </c>
      <c r="D106" t="inlineStr">
        <is>
          <t>Required for validated metric score</t>
        </is>
      </c>
      <c r="E106" t="inlineStr">
        <is>
          <t>E1</t>
        </is>
      </c>
      <c r="F106" t="inlineStr">
        <is>
          <t>Institutional artifact + operational evidence</t>
        </is>
      </c>
      <c r="G106" t="inlineStr">
        <is>
          <t>Evidence must directly substantiate the construct; prefer operational and outcome evidence where logically applicable</t>
        </is>
      </c>
      <c r="H106" t="inlineStr">
        <is>
          <t>Current assessment cycle preferred; stale evidence requires justification</t>
        </is>
      </c>
      <c r="I106" t="inlineStr">
        <is>
          <t>2 corroborating sources for high-consequence or high-score claims</t>
        </is>
      </c>
      <c r="J106" t="inlineStr">
        <is>
          <t>Independent source preferred for E3/E4 and high-score claims</t>
        </is>
      </c>
      <c r="K106" t="inlineStr">
        <is>
          <t>Reuse allowed only with construct-specific field mapping; otherwise flag</t>
        </is>
      </c>
      <c r="L106" t="inlineStr">
        <is>
          <t>Policy/ops 12–24 months; outcomes 24–36 months unless metric-specific</t>
        </is>
      </c>
      <c r="M106" t="inlineStr">
        <is>
          <t>Only where observable outcome logically belongs to the construct</t>
        </is>
      </c>
      <c r="N106" t="inlineStr">
        <is>
          <t>Claim-only, policy-only, duplicate or unverifiable evidence cannot create strong confidence</t>
        </is>
      </c>
      <c r="O106" t="inlineStr">
        <is>
          <t>Check P0-5 linked-domain contradictions/dependencies</t>
        </is>
      </c>
      <c r="P106" t="inlineStr">
        <is>
          <t>Report confidence separately; never multiply capability score by confidence</t>
        </is>
      </c>
      <c r="Q106" t="inlineStr">
        <is>
          <t>Assessment / Verification Lead</t>
        </is>
      </c>
      <c r="R106" t="inlineStr">
        <is>
          <t>GREEN</t>
        </is>
      </c>
    </row>
    <row r="107">
      <c r="A107" t="inlineStr">
        <is>
          <t>D09</t>
        </is>
      </c>
      <c r="B107" t="inlineStr">
        <is>
          <t>I03</t>
        </is>
      </c>
      <c r="C107" t="inlineStr">
        <is>
          <t>Industry-Validated Curriculum</t>
        </is>
      </c>
      <c r="D107" t="inlineStr">
        <is>
          <t>Required for validated metric score</t>
        </is>
      </c>
      <c r="E107" t="inlineStr">
        <is>
          <t>E1</t>
        </is>
      </c>
      <c r="F107" t="inlineStr">
        <is>
          <t>Institutional artifact + operational evidence</t>
        </is>
      </c>
      <c r="G107" t="inlineStr">
        <is>
          <t>Evidence must directly substantiate the construct; prefer operational and outcome evidence where logically applicable</t>
        </is>
      </c>
      <c r="H107" t="inlineStr">
        <is>
          <t>Current assessment cycle preferred; stale evidence requires justification</t>
        </is>
      </c>
      <c r="I107" t="inlineStr">
        <is>
          <t>2 corroborating sources for high-consequence or high-score claims</t>
        </is>
      </c>
      <c r="J107" t="inlineStr">
        <is>
          <t>Independent source preferred for E3/E4 and high-score claims</t>
        </is>
      </c>
      <c r="K107" t="inlineStr">
        <is>
          <t>Reuse allowed only with construct-specific field mapping; otherwise flag</t>
        </is>
      </c>
      <c r="L107" t="inlineStr">
        <is>
          <t>Policy/ops 12–24 months; outcomes 24–36 months unless metric-specific</t>
        </is>
      </c>
      <c r="M107" t="inlineStr">
        <is>
          <t>Only where observable outcome logically belongs to the construct</t>
        </is>
      </c>
      <c r="N107" t="inlineStr">
        <is>
          <t>Claim-only, policy-only, duplicate or unverifiable evidence cannot create strong confidence</t>
        </is>
      </c>
      <c r="O107" t="inlineStr">
        <is>
          <t>Check P0-5 linked-domain contradictions/dependencies</t>
        </is>
      </c>
      <c r="P107" t="inlineStr">
        <is>
          <t>Report confidence separately; never multiply capability score by confidence</t>
        </is>
      </c>
      <c r="Q107" t="inlineStr">
        <is>
          <t>Assessment / Verification Lead</t>
        </is>
      </c>
      <c r="R107" t="inlineStr">
        <is>
          <t>GREEN</t>
        </is>
      </c>
    </row>
    <row r="108">
      <c r="A108" t="inlineStr">
        <is>
          <t>D09</t>
        </is>
      </c>
      <c r="B108" t="inlineStr">
        <is>
          <t>I04</t>
        </is>
      </c>
      <c r="C108" t="inlineStr">
        <is>
          <t>Practice-Based Learning</t>
        </is>
      </c>
      <c r="D108" t="inlineStr">
        <is>
          <t>Required for validated metric score</t>
        </is>
      </c>
      <c r="E108" t="inlineStr">
        <is>
          <t>E1</t>
        </is>
      </c>
      <c r="F108" t="inlineStr">
        <is>
          <t>Institutional artifact + operational evidence</t>
        </is>
      </c>
      <c r="G108" t="inlineStr">
        <is>
          <t>Evidence must directly substantiate the construct; prefer operational and outcome evidence where logically applicable</t>
        </is>
      </c>
      <c r="H108" t="inlineStr">
        <is>
          <t>Current assessment cycle preferred; stale evidence requires justification</t>
        </is>
      </c>
      <c r="I108" t="inlineStr">
        <is>
          <t>2 corroborating sources for high-consequence or high-score claims</t>
        </is>
      </c>
      <c r="J108" t="inlineStr">
        <is>
          <t>Independent source preferred for E3/E4 and high-score claims</t>
        </is>
      </c>
      <c r="K108" t="inlineStr">
        <is>
          <t>Reuse allowed only with construct-specific field mapping; otherwise flag</t>
        </is>
      </c>
      <c r="L108" t="inlineStr">
        <is>
          <t>Policy/ops 12–24 months; outcomes 24–36 months unless metric-specific</t>
        </is>
      </c>
      <c r="M108" t="inlineStr">
        <is>
          <t>Only where observable outcome logically belongs to the construct</t>
        </is>
      </c>
      <c r="N108" t="inlineStr">
        <is>
          <t>Claim-only, policy-only, duplicate or unverifiable evidence cannot create strong confidence</t>
        </is>
      </c>
      <c r="O108" t="inlineStr">
        <is>
          <t>Check P0-5 linked-domain contradictions/dependencies</t>
        </is>
      </c>
      <c r="P108" t="inlineStr">
        <is>
          <t>Report confidence separately; never multiply capability score by confidence</t>
        </is>
      </c>
      <c r="Q108" t="inlineStr">
        <is>
          <t>Assessment / Verification Lead</t>
        </is>
      </c>
      <c r="R108" t="inlineStr">
        <is>
          <t>GREEN</t>
        </is>
      </c>
    </row>
    <row r="109">
      <c r="A109" t="inlineStr">
        <is>
          <t>D09</t>
        </is>
      </c>
      <c r="B109" t="inlineStr">
        <is>
          <t>I05</t>
        </is>
      </c>
      <c r="C109" t="inlineStr">
        <is>
          <t>Recruiter Confidence</t>
        </is>
      </c>
      <c r="D109" t="inlineStr">
        <is>
          <t>Required for validated metric score</t>
        </is>
      </c>
      <c r="E109" t="inlineStr">
        <is>
          <t>E1</t>
        </is>
      </c>
      <c r="F109" t="inlineStr">
        <is>
          <t>Institutional artifact + operational evidence</t>
        </is>
      </c>
      <c r="G109" t="inlineStr">
        <is>
          <t>Evidence must directly substantiate the construct; prefer operational and outcome evidence where logically applicable</t>
        </is>
      </c>
      <c r="H109" t="inlineStr">
        <is>
          <t>Current assessment cycle preferred; stale evidence requires justification</t>
        </is>
      </c>
      <c r="I109" t="inlineStr">
        <is>
          <t>2 corroborating sources for high-consequence or high-score claims</t>
        </is>
      </c>
      <c r="J109" t="inlineStr">
        <is>
          <t>Independent source preferred for E3/E4 and high-score claims</t>
        </is>
      </c>
      <c r="K109" t="inlineStr">
        <is>
          <t>Reuse allowed only with construct-specific field mapping; otherwise flag</t>
        </is>
      </c>
      <c r="L109" t="inlineStr">
        <is>
          <t>Policy/ops 12–24 months; outcomes 24–36 months unless metric-specific</t>
        </is>
      </c>
      <c r="M109" t="inlineStr">
        <is>
          <t>Only where observable outcome logically belongs to the construct</t>
        </is>
      </c>
      <c r="N109" t="inlineStr">
        <is>
          <t>Claim-only, policy-only, duplicate or unverifiable evidence cannot create strong confidence</t>
        </is>
      </c>
      <c r="O109" t="inlineStr">
        <is>
          <t>Check P0-5 linked-domain contradictions/dependencies</t>
        </is>
      </c>
      <c r="P109" t="inlineStr">
        <is>
          <t>Report confidence separately; never multiply capability score by confidence</t>
        </is>
      </c>
      <c r="Q109" t="inlineStr">
        <is>
          <t>Assessment / Verification Lead</t>
        </is>
      </c>
      <c r="R109" t="inlineStr">
        <is>
          <t>GREEN</t>
        </is>
      </c>
    </row>
    <row r="110">
      <c r="A110" t="inlineStr">
        <is>
          <t>D09</t>
        </is>
      </c>
      <c r="B110" t="inlineStr">
        <is>
          <t>I06</t>
        </is>
      </c>
      <c r="C110" t="inlineStr">
        <is>
          <t>Placement Outcome Quality</t>
        </is>
      </c>
      <c r="D110" t="inlineStr">
        <is>
          <t>Required for validated metric score</t>
        </is>
      </c>
      <c r="E110" t="inlineStr">
        <is>
          <t>E1</t>
        </is>
      </c>
      <c r="F110" t="inlineStr">
        <is>
          <t>Institutional artifact + operational evidence</t>
        </is>
      </c>
      <c r="G110" t="inlineStr">
        <is>
          <t>Evidence must directly substantiate the construct; prefer operational and outcome evidence where logically applicable</t>
        </is>
      </c>
      <c r="H110" t="inlineStr">
        <is>
          <t>Current assessment cycle preferred; stale evidence requires justification</t>
        </is>
      </c>
      <c r="I110" t="inlineStr">
        <is>
          <t>2 corroborating sources for high-consequence or high-score claims</t>
        </is>
      </c>
      <c r="J110" t="inlineStr">
        <is>
          <t>Independent source preferred for E3/E4 and high-score claims</t>
        </is>
      </c>
      <c r="K110" t="inlineStr">
        <is>
          <t>Reuse allowed only with construct-specific field mapping; otherwise flag</t>
        </is>
      </c>
      <c r="L110" t="inlineStr">
        <is>
          <t>Policy/ops 12–24 months; outcomes 24–36 months unless metric-specific</t>
        </is>
      </c>
      <c r="M110" t="inlineStr">
        <is>
          <t>Only where observable outcome logically belongs to the construct</t>
        </is>
      </c>
      <c r="N110" t="inlineStr">
        <is>
          <t>Claim-only, policy-only, duplicate or unverifiable evidence cannot create strong confidence</t>
        </is>
      </c>
      <c r="O110" t="inlineStr">
        <is>
          <t>Check P0-5 linked-domain contradictions/dependencies</t>
        </is>
      </c>
      <c r="P110" t="inlineStr">
        <is>
          <t>Report confidence separately; never multiply capability score by confidence</t>
        </is>
      </c>
      <c r="Q110" t="inlineStr">
        <is>
          <t>Assessment / Verification Lead</t>
        </is>
      </c>
      <c r="R110" t="inlineStr">
        <is>
          <t>GREEN</t>
        </is>
      </c>
    </row>
    <row r="111">
      <c r="A111" t="inlineStr">
        <is>
          <t>D09</t>
        </is>
      </c>
      <c r="B111" t="inlineStr">
        <is>
          <t>I07</t>
        </is>
      </c>
      <c r="C111" t="inlineStr">
        <is>
          <t>Career Adaptability</t>
        </is>
      </c>
      <c r="D111" t="inlineStr">
        <is>
          <t>Required for validated metric score</t>
        </is>
      </c>
      <c r="E111" t="inlineStr">
        <is>
          <t>E1</t>
        </is>
      </c>
      <c r="F111" t="inlineStr">
        <is>
          <t>Institutional artifact + operational evidence</t>
        </is>
      </c>
      <c r="G111" t="inlineStr">
        <is>
          <t>Evidence must directly substantiate the construct; prefer operational and outcome evidence where logically applicable</t>
        </is>
      </c>
      <c r="H111" t="inlineStr">
        <is>
          <t>Current assessment cycle preferred; stale evidence requires justification</t>
        </is>
      </c>
      <c r="I111" t="inlineStr">
        <is>
          <t>2 corroborating sources for high-consequence or high-score claims</t>
        </is>
      </c>
      <c r="J111" t="inlineStr">
        <is>
          <t>Independent source preferred for E3/E4 and high-score claims</t>
        </is>
      </c>
      <c r="K111" t="inlineStr">
        <is>
          <t>Reuse allowed only with construct-specific field mapping; otherwise flag</t>
        </is>
      </c>
      <c r="L111" t="inlineStr">
        <is>
          <t>Policy/ops 12–24 months; outcomes 24–36 months unless metric-specific</t>
        </is>
      </c>
      <c r="M111" t="inlineStr">
        <is>
          <t>Only where observable outcome logically belongs to the construct</t>
        </is>
      </c>
      <c r="N111" t="inlineStr">
        <is>
          <t>Claim-only, policy-only, duplicate or unverifiable evidence cannot create strong confidence</t>
        </is>
      </c>
      <c r="O111" t="inlineStr">
        <is>
          <t>Check P0-5 linked-domain contradictions/dependencies</t>
        </is>
      </c>
      <c r="P111" t="inlineStr">
        <is>
          <t>Report confidence separately; never multiply capability score by confidence</t>
        </is>
      </c>
      <c r="Q111" t="inlineStr">
        <is>
          <t>Assessment / Verification Lead</t>
        </is>
      </c>
      <c r="R111" t="inlineStr">
        <is>
          <t>GREEN</t>
        </is>
      </c>
    </row>
    <row r="112">
      <c r="A112" t="inlineStr">
        <is>
          <t>D09</t>
        </is>
      </c>
      <c r="B112" t="inlineStr">
        <is>
          <t>I08</t>
        </is>
      </c>
      <c r="C112" t="inlineStr">
        <is>
          <t>AI-Era Employability Readiness</t>
        </is>
      </c>
      <c r="D112" t="inlineStr">
        <is>
          <t>Required for validated metric score</t>
        </is>
      </c>
      <c r="E112" t="inlineStr">
        <is>
          <t>E1</t>
        </is>
      </c>
      <c r="F112" t="inlineStr">
        <is>
          <t>Institutional artifact + operational evidence</t>
        </is>
      </c>
      <c r="G112" t="inlineStr">
        <is>
          <t>Evidence must directly substantiate the construct; prefer operational and outcome evidence where logically applicable</t>
        </is>
      </c>
      <c r="H112" t="inlineStr">
        <is>
          <t>Current assessment cycle preferred; stale evidence requires justification</t>
        </is>
      </c>
      <c r="I112" t="inlineStr">
        <is>
          <t>2 corroborating sources for high-consequence or high-score claims</t>
        </is>
      </c>
      <c r="J112" t="inlineStr">
        <is>
          <t>Independent source preferred for E3/E4 and high-score claims</t>
        </is>
      </c>
      <c r="K112" t="inlineStr">
        <is>
          <t>Reuse allowed only with construct-specific field mapping; otherwise flag</t>
        </is>
      </c>
      <c r="L112" t="inlineStr">
        <is>
          <t>Policy/ops 12–24 months; outcomes 24–36 months unless metric-specific</t>
        </is>
      </c>
      <c r="M112" t="inlineStr">
        <is>
          <t>Only where observable outcome logically belongs to the construct</t>
        </is>
      </c>
      <c r="N112" t="inlineStr">
        <is>
          <t>Claim-only, policy-only, duplicate or unverifiable evidence cannot create strong confidence</t>
        </is>
      </c>
      <c r="O112" t="inlineStr">
        <is>
          <t>Check P0-5 linked-domain contradictions/dependencies</t>
        </is>
      </c>
      <c r="P112" t="inlineStr">
        <is>
          <t>Report confidence separately; never multiply capability score by confidence</t>
        </is>
      </c>
      <c r="Q112" t="inlineStr">
        <is>
          <t>Assessment / Verification Lead</t>
        </is>
      </c>
      <c r="R112" t="inlineStr">
        <is>
          <t>GREEN</t>
        </is>
      </c>
    </row>
    <row r="113">
      <c r="A113" t="inlineStr">
        <is>
          <t>D09</t>
        </is>
      </c>
      <c r="B113" t="inlineStr">
        <is>
          <t>I09</t>
        </is>
      </c>
      <c r="C113" t="inlineStr">
        <is>
          <t>Capability Signalling</t>
        </is>
      </c>
      <c r="D113" t="inlineStr">
        <is>
          <t>Required for validated metric score</t>
        </is>
      </c>
      <c r="E113" t="inlineStr">
        <is>
          <t>E1</t>
        </is>
      </c>
      <c r="F113" t="inlineStr">
        <is>
          <t>Institutional artifact + operational evidence</t>
        </is>
      </c>
      <c r="G113" t="inlineStr">
        <is>
          <t>Evidence must directly substantiate the construct; prefer operational and outcome evidence where logically applicable</t>
        </is>
      </c>
      <c r="H113" t="inlineStr">
        <is>
          <t>Current assessment cycle preferred; stale evidence requires justification</t>
        </is>
      </c>
      <c r="I113" t="inlineStr">
        <is>
          <t>2 corroborating sources for high-consequence or high-score claims</t>
        </is>
      </c>
      <c r="J113" t="inlineStr">
        <is>
          <t>Independent source preferred for E3/E4 and high-score claims</t>
        </is>
      </c>
      <c r="K113" t="inlineStr">
        <is>
          <t>Reuse allowed only with construct-specific field mapping; otherwise flag</t>
        </is>
      </c>
      <c r="L113" t="inlineStr">
        <is>
          <t>Policy/ops 12–24 months; outcomes 24–36 months unless metric-specific</t>
        </is>
      </c>
      <c r="M113" t="inlineStr">
        <is>
          <t>Only where observable outcome logically belongs to the construct</t>
        </is>
      </c>
      <c r="N113" t="inlineStr">
        <is>
          <t>Claim-only, policy-only, duplicate or unverifiable evidence cannot create strong confidence</t>
        </is>
      </c>
      <c r="O113" t="inlineStr">
        <is>
          <t>Check P0-5 linked-domain contradictions/dependencies</t>
        </is>
      </c>
      <c r="P113" t="inlineStr">
        <is>
          <t>Report confidence separately; never multiply capability score by confidence</t>
        </is>
      </c>
      <c r="Q113" t="inlineStr">
        <is>
          <t>Assessment / Verification Lead</t>
        </is>
      </c>
      <c r="R113" t="inlineStr">
        <is>
          <t>GREEN</t>
        </is>
      </c>
    </row>
    <row r="114">
      <c r="A114" t="inlineStr">
        <is>
          <t>D09</t>
        </is>
      </c>
      <c r="B114" t="inlineStr">
        <is>
          <t>I10</t>
        </is>
      </c>
      <c r="C114" t="inlineStr">
        <is>
          <t>Industry Co-Creation</t>
        </is>
      </c>
      <c r="D114" t="inlineStr">
        <is>
          <t>Required for validated metric score</t>
        </is>
      </c>
      <c r="E114" t="inlineStr">
        <is>
          <t>E1</t>
        </is>
      </c>
      <c r="F114" t="inlineStr">
        <is>
          <t>Institutional artifact + operational evidence</t>
        </is>
      </c>
      <c r="G114" t="inlineStr">
        <is>
          <t>Evidence must directly substantiate the construct; prefer operational and outcome evidence where logically applicable</t>
        </is>
      </c>
      <c r="H114" t="inlineStr">
        <is>
          <t>Current assessment cycle preferred; stale evidence requires justification</t>
        </is>
      </c>
      <c r="I114" t="inlineStr">
        <is>
          <t>2 corroborating sources for high-consequence or high-score claims</t>
        </is>
      </c>
      <c r="J114" t="inlineStr">
        <is>
          <t>Independent source preferred for E3/E4 and high-score claims</t>
        </is>
      </c>
      <c r="K114" t="inlineStr">
        <is>
          <t>Reuse allowed only with construct-specific field mapping; otherwise flag</t>
        </is>
      </c>
      <c r="L114" t="inlineStr">
        <is>
          <t>Policy/ops 12–24 months; outcomes 24–36 months unless metric-specific</t>
        </is>
      </c>
      <c r="M114" t="inlineStr">
        <is>
          <t>Only where observable outcome logically belongs to the construct</t>
        </is>
      </c>
      <c r="N114" t="inlineStr">
        <is>
          <t>Claim-only, policy-only, duplicate or unverifiable evidence cannot create strong confidence</t>
        </is>
      </c>
      <c r="O114" t="inlineStr">
        <is>
          <t>Check P0-5 linked-domain contradictions/dependencies</t>
        </is>
      </c>
      <c r="P114" t="inlineStr">
        <is>
          <t>Report confidence separately; never multiply capability score by confidence</t>
        </is>
      </c>
      <c r="Q114" t="inlineStr">
        <is>
          <t>Assessment / Verification Lead</t>
        </is>
      </c>
      <c r="R114" t="inlineStr">
        <is>
          <t>GREEN</t>
        </is>
      </c>
    </row>
    <row r="115">
      <c r="A115" t="inlineStr">
        <is>
          <t>D09</t>
        </is>
      </c>
      <c r="B115" t="inlineStr">
        <is>
          <t>I11</t>
        </is>
      </c>
      <c r="C115" t="inlineStr">
        <is>
          <t>Regional/Economic Relevance</t>
        </is>
      </c>
      <c r="D115" t="inlineStr">
        <is>
          <t>Required for validated metric score</t>
        </is>
      </c>
      <c r="E115" t="inlineStr">
        <is>
          <t>E1</t>
        </is>
      </c>
      <c r="F115" t="inlineStr">
        <is>
          <t>Institutional artifact + operational evidence</t>
        </is>
      </c>
      <c r="G115" t="inlineStr">
        <is>
          <t>Evidence must directly substantiate the construct; prefer operational and outcome evidence where logically applicable</t>
        </is>
      </c>
      <c r="H115" t="inlineStr">
        <is>
          <t>Current assessment cycle preferred; stale evidence requires justification</t>
        </is>
      </c>
      <c r="I115" t="inlineStr">
        <is>
          <t>2 corroborating sources for high-consequence or high-score claims</t>
        </is>
      </c>
      <c r="J115" t="inlineStr">
        <is>
          <t>Independent source preferred for E3/E4 and high-score claims</t>
        </is>
      </c>
      <c r="K115" t="inlineStr">
        <is>
          <t>Reuse allowed only with construct-specific field mapping; otherwise flag</t>
        </is>
      </c>
      <c r="L115" t="inlineStr">
        <is>
          <t>Policy/ops 12–24 months; outcomes 24–36 months unless metric-specific</t>
        </is>
      </c>
      <c r="M115" t="inlineStr">
        <is>
          <t>Only where observable outcome logically belongs to the construct</t>
        </is>
      </c>
      <c r="N115" t="inlineStr">
        <is>
          <t>Claim-only, policy-only, duplicate or unverifiable evidence cannot create strong confidence</t>
        </is>
      </c>
      <c r="O115" t="inlineStr">
        <is>
          <t>Check P0-5 linked-domain contradictions/dependencies</t>
        </is>
      </c>
      <c r="P115" t="inlineStr">
        <is>
          <t>Report confidence separately; never multiply capability score by confidence</t>
        </is>
      </c>
      <c r="Q115" t="inlineStr">
        <is>
          <t>Assessment / Verification Lead</t>
        </is>
      </c>
      <c r="R115" t="inlineStr">
        <is>
          <t>GREEN</t>
        </is>
      </c>
    </row>
    <row r="116">
      <c r="A116" t="inlineStr">
        <is>
          <t>D09</t>
        </is>
      </c>
      <c r="B116" t="inlineStr">
        <is>
          <t>I12</t>
        </is>
      </c>
      <c r="C116" t="inlineStr">
        <is>
          <t>Alumni Career Intelligence</t>
        </is>
      </c>
      <c r="D116" t="inlineStr">
        <is>
          <t>Required for validated metric score</t>
        </is>
      </c>
      <c r="E116" t="inlineStr">
        <is>
          <t>E1</t>
        </is>
      </c>
      <c r="F116" t="inlineStr">
        <is>
          <t>Institutional artifact + operational evidence</t>
        </is>
      </c>
      <c r="G116" t="inlineStr">
        <is>
          <t>Evidence must directly substantiate the construct; prefer operational and outcome evidence where logically applicable</t>
        </is>
      </c>
      <c r="H116" t="inlineStr">
        <is>
          <t>Current assessment cycle preferred; stale evidence requires justification</t>
        </is>
      </c>
      <c r="I116" t="inlineStr">
        <is>
          <t>2 corroborating sources for high-consequence or high-score claims</t>
        </is>
      </c>
      <c r="J116" t="inlineStr">
        <is>
          <t>Independent source preferred for E3/E4 and high-score claims</t>
        </is>
      </c>
      <c r="K116" t="inlineStr">
        <is>
          <t>Reuse allowed only with construct-specific field mapping; otherwise flag</t>
        </is>
      </c>
      <c r="L116" t="inlineStr">
        <is>
          <t>Policy/ops 12–24 months; outcomes 24–36 months unless metric-specific</t>
        </is>
      </c>
      <c r="M116" t="inlineStr">
        <is>
          <t>Only where observable outcome logically belongs to the construct</t>
        </is>
      </c>
      <c r="N116" t="inlineStr">
        <is>
          <t>Claim-only, policy-only, duplicate or unverifiable evidence cannot create strong confidence</t>
        </is>
      </c>
      <c r="O116" t="inlineStr">
        <is>
          <t>Check P0-5 linked-domain contradictions/dependencies</t>
        </is>
      </c>
      <c r="P116" t="inlineStr">
        <is>
          <t>Report confidence separately; never multiply capability score by confidence</t>
        </is>
      </c>
      <c r="Q116" t="inlineStr">
        <is>
          <t>Assessment / Verification Lead</t>
        </is>
      </c>
      <c r="R116" t="inlineStr">
        <is>
          <t>GREEN</t>
        </is>
      </c>
    </row>
    <row r="117">
      <c r="A117" t="inlineStr">
        <is>
          <t>D10</t>
        </is>
      </c>
      <c r="B117" t="inlineStr">
        <is>
          <t>I01</t>
        </is>
      </c>
      <c r="C117" t="inlineStr">
        <is>
          <t>Research Strategy Maturity</t>
        </is>
      </c>
      <c r="D117" t="inlineStr">
        <is>
          <t>Required for validated metric score</t>
        </is>
      </c>
      <c r="E117" t="inlineStr">
        <is>
          <t>E1</t>
        </is>
      </c>
      <c r="F117" t="inlineStr">
        <is>
          <t>Institutional artifact + operational evidence</t>
        </is>
      </c>
      <c r="G117" t="inlineStr">
        <is>
          <t>Evidence must directly substantiate the construct; prefer operational and outcome evidence where logically applicable</t>
        </is>
      </c>
      <c r="H117" t="inlineStr">
        <is>
          <t>Current assessment cycle preferred; stale evidence requires justification</t>
        </is>
      </c>
      <c r="I117" t="inlineStr">
        <is>
          <t>2 corroborating sources for high-consequence or high-score claims</t>
        </is>
      </c>
      <c r="J117" t="inlineStr">
        <is>
          <t>Independent source preferred for E3/E4 and high-score claims</t>
        </is>
      </c>
      <c r="K117" t="inlineStr">
        <is>
          <t>Reuse allowed only with construct-specific field mapping; otherwise flag</t>
        </is>
      </c>
      <c r="L117" t="inlineStr">
        <is>
          <t>Policy/ops 12–24 months; outcomes 24–36 months unless metric-specific</t>
        </is>
      </c>
      <c r="M117" t="inlineStr">
        <is>
          <t>Only where observable outcome logically belongs to the construct</t>
        </is>
      </c>
      <c r="N117" t="inlineStr">
        <is>
          <t>Claim-only, policy-only, duplicate or unverifiable evidence cannot create strong confidence</t>
        </is>
      </c>
      <c r="O117" t="inlineStr">
        <is>
          <t>Check P0-5 linked-domain contradictions/dependencies</t>
        </is>
      </c>
      <c r="P117" t="inlineStr">
        <is>
          <t>Report confidence separately; never multiply capability score by confidence</t>
        </is>
      </c>
      <c r="Q117" t="inlineStr">
        <is>
          <t>Assessment / Verification Lead</t>
        </is>
      </c>
      <c r="R117" t="inlineStr">
        <is>
          <t>GREEN</t>
        </is>
      </c>
    </row>
    <row r="118">
      <c r="A118" t="inlineStr">
        <is>
          <t>D10</t>
        </is>
      </c>
      <c r="B118" t="inlineStr">
        <is>
          <t>I02</t>
        </is>
      </c>
      <c r="C118" t="inlineStr">
        <is>
          <t>Research Portfolio Balance</t>
        </is>
      </c>
      <c r="D118" t="inlineStr">
        <is>
          <t>Required for validated metric score</t>
        </is>
      </c>
      <c r="E118" t="inlineStr">
        <is>
          <t>E1</t>
        </is>
      </c>
      <c r="F118" t="inlineStr">
        <is>
          <t>Institutional artifact + operational evidence</t>
        </is>
      </c>
      <c r="G118" t="inlineStr">
        <is>
          <t>Evidence must directly substantiate the construct; prefer operational and outcome evidence where logically applicable</t>
        </is>
      </c>
      <c r="H118" t="inlineStr">
        <is>
          <t>Current assessment cycle preferred; stale evidence requires justification</t>
        </is>
      </c>
      <c r="I118" t="inlineStr">
        <is>
          <t>2 corroborating sources for high-consequence or high-score claims</t>
        </is>
      </c>
      <c r="J118" t="inlineStr">
        <is>
          <t>Independent source preferred for E3/E4 and high-score claims</t>
        </is>
      </c>
      <c r="K118" t="inlineStr">
        <is>
          <t>Reuse allowed only with construct-specific field mapping; otherwise flag</t>
        </is>
      </c>
      <c r="L118" t="inlineStr">
        <is>
          <t>Policy/ops 12–24 months; outcomes 24–36 months unless metric-specific</t>
        </is>
      </c>
      <c r="M118" t="inlineStr">
        <is>
          <t>Only where observable outcome logically belongs to the construct</t>
        </is>
      </c>
      <c r="N118" t="inlineStr">
        <is>
          <t>Claim-only, policy-only, duplicate or unverifiable evidence cannot create strong confidence</t>
        </is>
      </c>
      <c r="O118" t="inlineStr">
        <is>
          <t>Check P0-5 linked-domain contradictions/dependencies</t>
        </is>
      </c>
      <c r="P118" t="inlineStr">
        <is>
          <t>Report confidence separately; never multiply capability score by confidence</t>
        </is>
      </c>
      <c r="Q118" t="inlineStr">
        <is>
          <t>Assessment / Verification Lead</t>
        </is>
      </c>
      <c r="R118" t="inlineStr">
        <is>
          <t>GREEN</t>
        </is>
      </c>
    </row>
    <row r="119">
      <c r="A119" t="inlineStr">
        <is>
          <t>D10</t>
        </is>
      </c>
      <c r="B119" t="inlineStr">
        <is>
          <t>I03</t>
        </is>
      </c>
      <c r="C119" t="inlineStr">
        <is>
          <t>Interdisciplinary Research Capability</t>
        </is>
      </c>
      <c r="D119" t="inlineStr">
        <is>
          <t>Required for validated metric score</t>
        </is>
      </c>
      <c r="E119" t="inlineStr">
        <is>
          <t>E1</t>
        </is>
      </c>
      <c r="F119" t="inlineStr">
        <is>
          <t>Institutional artifact + operational evidence</t>
        </is>
      </c>
      <c r="G119" t="inlineStr">
        <is>
          <t>Evidence must directly substantiate the construct; prefer operational and outcome evidence where logically applicable</t>
        </is>
      </c>
      <c r="H119" t="inlineStr">
        <is>
          <t>Current assessment cycle preferred; stale evidence requires justification</t>
        </is>
      </c>
      <c r="I119" t="inlineStr">
        <is>
          <t>2 corroborating sources for high-consequence or high-score claims</t>
        </is>
      </c>
      <c r="J119" t="inlineStr">
        <is>
          <t>Independent source preferred for E3/E4 and high-score claims</t>
        </is>
      </c>
      <c r="K119" t="inlineStr">
        <is>
          <t>Reuse allowed only with construct-specific field mapping; otherwise flag</t>
        </is>
      </c>
      <c r="L119" t="inlineStr">
        <is>
          <t>Policy/ops 12–24 months; outcomes 24–36 months unless metric-specific</t>
        </is>
      </c>
      <c r="M119" t="inlineStr">
        <is>
          <t>Only where observable outcome logically belongs to the construct</t>
        </is>
      </c>
      <c r="N119" t="inlineStr">
        <is>
          <t>Claim-only, policy-only, duplicate or unverifiable evidence cannot create strong confidence</t>
        </is>
      </c>
      <c r="O119" t="inlineStr">
        <is>
          <t>Check P0-5 linked-domain contradictions/dependencies</t>
        </is>
      </c>
      <c r="P119" t="inlineStr">
        <is>
          <t>Report confidence separately; never multiply capability score by confidence</t>
        </is>
      </c>
      <c r="Q119" t="inlineStr">
        <is>
          <t>Assessment / Verification Lead</t>
        </is>
      </c>
      <c r="R119" t="inlineStr">
        <is>
          <t>GREEN</t>
        </is>
      </c>
    </row>
    <row r="120">
      <c r="A120" t="inlineStr">
        <is>
          <t>D10</t>
        </is>
      </c>
      <c r="B120" t="inlineStr">
        <is>
          <t>I04</t>
        </is>
      </c>
      <c r="C120" t="inlineStr">
        <is>
          <t>AI-Enabled Research Capability</t>
        </is>
      </c>
      <c r="D120" t="inlineStr">
        <is>
          <t>Required for validated metric score</t>
        </is>
      </c>
      <c r="E120" t="inlineStr">
        <is>
          <t>E1</t>
        </is>
      </c>
      <c r="F120" t="inlineStr">
        <is>
          <t>Institutional artifact + operational evidence</t>
        </is>
      </c>
      <c r="G120" t="inlineStr">
        <is>
          <t>Evidence must directly substantiate the construct; prefer operational and outcome evidence where logically applicable</t>
        </is>
      </c>
      <c r="H120" t="inlineStr">
        <is>
          <t>Current assessment cycle preferred; stale evidence requires justification</t>
        </is>
      </c>
      <c r="I120" t="inlineStr">
        <is>
          <t>2 corroborating sources for high-consequence or high-score claims</t>
        </is>
      </c>
      <c r="J120" t="inlineStr">
        <is>
          <t>Independent source preferred for E3/E4 and high-score claims</t>
        </is>
      </c>
      <c r="K120" t="inlineStr">
        <is>
          <t>Reuse allowed only with construct-specific field mapping; otherwise flag</t>
        </is>
      </c>
      <c r="L120" t="inlineStr">
        <is>
          <t>Policy/ops 12–24 months; outcomes 24–36 months unless metric-specific</t>
        </is>
      </c>
      <c r="M120" t="inlineStr">
        <is>
          <t>Only where observable outcome logically belongs to the construct</t>
        </is>
      </c>
      <c r="N120" t="inlineStr">
        <is>
          <t>Claim-only, policy-only, duplicate or unverifiable evidence cannot create strong confidence</t>
        </is>
      </c>
      <c r="O120" t="inlineStr">
        <is>
          <t>Check P0-5 linked-domain contradictions/dependencies</t>
        </is>
      </c>
      <c r="P120" t="inlineStr">
        <is>
          <t>Report confidence separately; never multiply capability score by confidence</t>
        </is>
      </c>
      <c r="Q120" t="inlineStr">
        <is>
          <t>Assessment / Verification Lead</t>
        </is>
      </c>
      <c r="R120" t="inlineStr">
        <is>
          <t>GREEN</t>
        </is>
      </c>
    </row>
    <row r="121">
      <c r="A121" t="inlineStr">
        <is>
          <t>D10</t>
        </is>
      </c>
      <c r="B121" t="inlineStr">
        <is>
          <t>I05</t>
        </is>
      </c>
      <c r="C121" t="inlineStr">
        <is>
          <t>Research Infrastructure Readiness</t>
        </is>
      </c>
      <c r="D121" t="inlineStr">
        <is>
          <t>Required for validated metric score</t>
        </is>
      </c>
      <c r="E121" t="inlineStr">
        <is>
          <t>E1</t>
        </is>
      </c>
      <c r="F121" t="inlineStr">
        <is>
          <t>Institutional artifact + operational evidence</t>
        </is>
      </c>
      <c r="G121" t="inlineStr">
        <is>
          <t>Evidence must directly substantiate the construct; prefer operational and outcome evidence where logically applicable</t>
        </is>
      </c>
      <c r="H121" t="inlineStr">
        <is>
          <t>Current assessment cycle preferred; stale evidence requires justification</t>
        </is>
      </c>
      <c r="I121" t="inlineStr">
        <is>
          <t>2 corroborating sources for high-consequence or high-score claims</t>
        </is>
      </c>
      <c r="J121" t="inlineStr">
        <is>
          <t>Independent source preferred for E3/E4 and high-score claims</t>
        </is>
      </c>
      <c r="K121" t="inlineStr">
        <is>
          <t>Reuse allowed only with construct-specific field mapping; otherwise flag</t>
        </is>
      </c>
      <c r="L121" t="inlineStr">
        <is>
          <t>Policy/ops 12–24 months; outcomes 24–36 months unless metric-specific</t>
        </is>
      </c>
      <c r="M121" t="inlineStr">
        <is>
          <t>Only where observable outcome logically belongs to the construct</t>
        </is>
      </c>
      <c r="N121" t="inlineStr">
        <is>
          <t>Claim-only, policy-only, duplicate or unverifiable evidence cannot create strong confidence</t>
        </is>
      </c>
      <c r="O121" t="inlineStr">
        <is>
          <t>Check P0-5 linked-domain contradictions/dependencies</t>
        </is>
      </c>
      <c r="P121" t="inlineStr">
        <is>
          <t>Report confidence separately; never multiply capability score by confidence</t>
        </is>
      </c>
      <c r="Q121" t="inlineStr">
        <is>
          <t>Assessment / Verification Lead</t>
        </is>
      </c>
      <c r="R121" t="inlineStr">
        <is>
          <t>GREEN</t>
        </is>
      </c>
    </row>
    <row r="122">
      <c r="A122" t="inlineStr">
        <is>
          <t>D10</t>
        </is>
      </c>
      <c r="B122" t="inlineStr">
        <is>
          <t>I06</t>
        </is>
      </c>
      <c r="C122" t="inlineStr">
        <is>
          <t>Researcher Capability</t>
        </is>
      </c>
      <c r="D122" t="inlineStr">
        <is>
          <t>Required for validated metric score</t>
        </is>
      </c>
      <c r="E122" t="inlineStr">
        <is>
          <t>E1</t>
        </is>
      </c>
      <c r="F122" t="inlineStr">
        <is>
          <t>Institutional artifact + operational evidence</t>
        </is>
      </c>
      <c r="G122" t="inlineStr">
        <is>
          <t>Evidence must directly substantiate the construct; prefer operational and outcome evidence where logically applicable</t>
        </is>
      </c>
      <c r="H122" t="inlineStr">
        <is>
          <t>Current assessment cycle preferred; stale evidence requires justification</t>
        </is>
      </c>
      <c r="I122" t="inlineStr">
        <is>
          <t>2 corroborating sources for high-consequence or high-score claims</t>
        </is>
      </c>
      <c r="J122" t="inlineStr">
        <is>
          <t>Independent source preferred for E3/E4 and high-score claims</t>
        </is>
      </c>
      <c r="K122" t="inlineStr">
        <is>
          <t>Reuse allowed only with construct-specific field mapping; otherwise flag</t>
        </is>
      </c>
      <c r="L122" t="inlineStr">
        <is>
          <t>Policy/ops 12–24 months; outcomes 24–36 months unless metric-specific</t>
        </is>
      </c>
      <c r="M122" t="inlineStr">
        <is>
          <t>Only where observable outcome logically belongs to the construct</t>
        </is>
      </c>
      <c r="N122" t="inlineStr">
        <is>
          <t>Claim-only, policy-only, duplicate or unverifiable evidence cannot create strong confidence</t>
        </is>
      </c>
      <c r="O122" t="inlineStr">
        <is>
          <t>Check P0-5 linked-domain contradictions/dependencies</t>
        </is>
      </c>
      <c r="P122" t="inlineStr">
        <is>
          <t>Report confidence separately; never multiply capability score by confidence</t>
        </is>
      </c>
      <c r="Q122" t="inlineStr">
        <is>
          <t>Assessment / Verification Lead</t>
        </is>
      </c>
      <c r="R122" t="inlineStr">
        <is>
          <t>GREEN</t>
        </is>
      </c>
    </row>
    <row r="123">
      <c r="A123" t="inlineStr">
        <is>
          <t>D10</t>
        </is>
      </c>
      <c r="B123" t="inlineStr">
        <is>
          <t>I07</t>
        </is>
      </c>
      <c r="C123" t="inlineStr">
        <is>
          <t>Research Funding Capability</t>
        </is>
      </c>
      <c r="D123" t="inlineStr">
        <is>
          <t>Required for validated metric score</t>
        </is>
      </c>
      <c r="E123" t="inlineStr">
        <is>
          <t>E1</t>
        </is>
      </c>
      <c r="F123" t="inlineStr">
        <is>
          <t>Institutional artifact + operational evidence</t>
        </is>
      </c>
      <c r="G123" t="inlineStr">
        <is>
          <t>Evidence must directly substantiate the construct; prefer operational and outcome evidence where logically applicable</t>
        </is>
      </c>
      <c r="H123" t="inlineStr">
        <is>
          <t>Current assessment cycle preferred; stale evidence requires justification</t>
        </is>
      </c>
      <c r="I123" t="inlineStr">
        <is>
          <t>2 corroborating sources for high-consequence or high-score claims</t>
        </is>
      </c>
      <c r="J123" t="inlineStr">
        <is>
          <t>Independent source preferred for E3/E4 and high-score claims</t>
        </is>
      </c>
      <c r="K123" t="inlineStr">
        <is>
          <t>Reuse allowed only with construct-specific field mapping; otherwise flag</t>
        </is>
      </c>
      <c r="L123" t="inlineStr">
        <is>
          <t>Policy/ops 12–24 months; outcomes 24–36 months unless metric-specific</t>
        </is>
      </c>
      <c r="M123" t="inlineStr">
        <is>
          <t>Only where observable outcome logically belongs to the construct</t>
        </is>
      </c>
      <c r="N123" t="inlineStr">
        <is>
          <t>Claim-only, policy-only, duplicate or unverifiable evidence cannot create strong confidence</t>
        </is>
      </c>
      <c r="O123" t="inlineStr">
        <is>
          <t>Check P0-5 linked-domain contradictions/dependencies</t>
        </is>
      </c>
      <c r="P123" t="inlineStr">
        <is>
          <t>Report confidence separately; never multiply capability score by confidence</t>
        </is>
      </c>
      <c r="Q123" t="inlineStr">
        <is>
          <t>Assessment / Verification Lead</t>
        </is>
      </c>
      <c r="R123" t="inlineStr">
        <is>
          <t>GREEN</t>
        </is>
      </c>
    </row>
    <row r="124">
      <c r="A124" t="inlineStr">
        <is>
          <t>D10</t>
        </is>
      </c>
      <c r="B124" t="inlineStr">
        <is>
          <t>I08</t>
        </is>
      </c>
      <c r="C124" t="inlineStr">
        <is>
          <t>Knowledge Translation Capability</t>
        </is>
      </c>
      <c r="D124" t="inlineStr">
        <is>
          <t>Required for validated metric score</t>
        </is>
      </c>
      <c r="E124" t="inlineStr">
        <is>
          <t>E1</t>
        </is>
      </c>
      <c r="F124" t="inlineStr">
        <is>
          <t>Institutional artifact + operational evidence</t>
        </is>
      </c>
      <c r="G124" t="inlineStr">
        <is>
          <t>Evidence must directly substantiate the construct; prefer operational and outcome evidence where logically applicable</t>
        </is>
      </c>
      <c r="H124" t="inlineStr">
        <is>
          <t>Current assessment cycle preferred; stale evidence requires justification</t>
        </is>
      </c>
      <c r="I124" t="inlineStr">
        <is>
          <t>2 corroborating sources for high-consequence or high-score claims</t>
        </is>
      </c>
      <c r="J124" t="inlineStr">
        <is>
          <t>Independent source preferred for E3/E4 and high-score claims</t>
        </is>
      </c>
      <c r="K124" t="inlineStr">
        <is>
          <t>Reuse allowed only with construct-specific field mapping; otherwise flag</t>
        </is>
      </c>
      <c r="L124" t="inlineStr">
        <is>
          <t>Policy/ops 12–24 months; outcomes 24–36 months unless metric-specific</t>
        </is>
      </c>
      <c r="M124" t="inlineStr">
        <is>
          <t>Only where observable outcome logically belongs to the construct</t>
        </is>
      </c>
      <c r="N124" t="inlineStr">
        <is>
          <t>Claim-only, policy-only, duplicate or unverifiable evidence cannot create strong confidence</t>
        </is>
      </c>
      <c r="O124" t="inlineStr">
        <is>
          <t>Check P0-5 linked-domain contradictions/dependencies</t>
        </is>
      </c>
      <c r="P124" t="inlineStr">
        <is>
          <t>Report confidence separately; never multiply capability score by confidence</t>
        </is>
      </c>
      <c r="Q124" t="inlineStr">
        <is>
          <t>Assessment / Verification Lead</t>
        </is>
      </c>
      <c r="R124" t="inlineStr">
        <is>
          <t>GREEN</t>
        </is>
      </c>
    </row>
    <row r="125">
      <c r="A125" t="inlineStr">
        <is>
          <t>D10</t>
        </is>
      </c>
      <c r="B125" t="inlineStr">
        <is>
          <t>I09</t>
        </is>
      </c>
      <c r="C125" t="inlineStr">
        <is>
          <t>Industry-Linked Research</t>
        </is>
      </c>
      <c r="D125" t="inlineStr">
        <is>
          <t>Required for validated metric score</t>
        </is>
      </c>
      <c r="E125" t="inlineStr">
        <is>
          <t>E1</t>
        </is>
      </c>
      <c r="F125" t="inlineStr">
        <is>
          <t>Institutional artifact + operational evidence</t>
        </is>
      </c>
      <c r="G125" t="inlineStr">
        <is>
          <t>Evidence must directly substantiate the construct; prefer operational and outcome evidence where logically applicable</t>
        </is>
      </c>
      <c r="H125" t="inlineStr">
        <is>
          <t>Current assessment cycle preferred; stale evidence requires justification</t>
        </is>
      </c>
      <c r="I125" t="inlineStr">
        <is>
          <t>2 corroborating sources for high-consequence or high-score claims</t>
        </is>
      </c>
      <c r="J125" t="inlineStr">
        <is>
          <t>Independent source preferred for E3/E4 and high-score claims</t>
        </is>
      </c>
      <c r="K125" t="inlineStr">
        <is>
          <t>Reuse allowed only with construct-specific field mapping; otherwise flag</t>
        </is>
      </c>
      <c r="L125" t="inlineStr">
        <is>
          <t>Policy/ops 12–24 months; outcomes 24–36 months unless metric-specific</t>
        </is>
      </c>
      <c r="M125" t="inlineStr">
        <is>
          <t>Only where observable outcome logically belongs to the construct</t>
        </is>
      </c>
      <c r="N125" t="inlineStr">
        <is>
          <t>Claim-only, policy-only, duplicate or unverifiable evidence cannot create strong confidence</t>
        </is>
      </c>
      <c r="O125" t="inlineStr">
        <is>
          <t>Check P0-5 linked-domain contradictions/dependencies</t>
        </is>
      </c>
      <c r="P125" t="inlineStr">
        <is>
          <t>Report confidence separately; never multiply capability score by confidence</t>
        </is>
      </c>
      <c r="Q125" t="inlineStr">
        <is>
          <t>Assessment / Verification Lead</t>
        </is>
      </c>
      <c r="R125" t="inlineStr">
        <is>
          <t>GREEN</t>
        </is>
      </c>
    </row>
    <row r="126">
      <c r="A126" t="inlineStr">
        <is>
          <t>D10</t>
        </is>
      </c>
      <c r="B126" t="inlineStr">
        <is>
          <t>I10</t>
        </is>
      </c>
      <c r="C126" t="inlineStr">
        <is>
          <t>Research-to-Innovation Pipeline</t>
        </is>
      </c>
      <c r="D126" t="inlineStr">
        <is>
          <t>Required for validated metric score</t>
        </is>
      </c>
      <c r="E126" t="inlineStr">
        <is>
          <t>E1</t>
        </is>
      </c>
      <c r="F126" t="inlineStr">
        <is>
          <t>Institutional artifact + operational evidence</t>
        </is>
      </c>
      <c r="G126" t="inlineStr">
        <is>
          <t>Evidence must directly substantiate the construct; prefer operational and outcome evidence where logically applicable</t>
        </is>
      </c>
      <c r="H126" t="inlineStr">
        <is>
          <t>Current assessment cycle preferred; stale evidence requires justification</t>
        </is>
      </c>
      <c r="I126" t="inlineStr">
        <is>
          <t>2 corroborating sources for high-consequence or high-score claims</t>
        </is>
      </c>
      <c r="J126" t="inlineStr">
        <is>
          <t>Independent source preferred for E3/E4 and high-score claims</t>
        </is>
      </c>
      <c r="K126" t="inlineStr">
        <is>
          <t>Reuse allowed only with construct-specific field mapping; otherwise flag</t>
        </is>
      </c>
      <c r="L126" t="inlineStr">
        <is>
          <t>Policy/ops 12–24 months; outcomes 24–36 months unless metric-specific</t>
        </is>
      </c>
      <c r="M126" t="inlineStr">
        <is>
          <t>Only where observable outcome logically belongs to the construct</t>
        </is>
      </c>
      <c r="N126" t="inlineStr">
        <is>
          <t>Claim-only, policy-only, duplicate or unverifiable evidence cannot create strong confidence</t>
        </is>
      </c>
      <c r="O126" t="inlineStr">
        <is>
          <t>Check P0-5 linked-domain contradictions/dependencies</t>
        </is>
      </c>
      <c r="P126" t="inlineStr">
        <is>
          <t>Report confidence separately; never multiply capability score by confidence</t>
        </is>
      </c>
      <c r="Q126" t="inlineStr">
        <is>
          <t>Assessment / Verification Lead</t>
        </is>
      </c>
      <c r="R126" t="inlineStr">
        <is>
          <t>GREEN</t>
        </is>
      </c>
    </row>
    <row r="127">
      <c r="A127" t="inlineStr">
        <is>
          <t>D10</t>
        </is>
      </c>
      <c r="B127" t="inlineStr">
        <is>
          <t>I11</t>
        </is>
      </c>
      <c r="C127" t="inlineStr">
        <is>
          <t>IP &amp; Knowledge Assets</t>
        </is>
      </c>
      <c r="D127" t="inlineStr">
        <is>
          <t>Required for validated metric score</t>
        </is>
      </c>
      <c r="E127" t="inlineStr">
        <is>
          <t>E1</t>
        </is>
      </c>
      <c r="F127" t="inlineStr">
        <is>
          <t>Institutional artifact + operational evidence</t>
        </is>
      </c>
      <c r="G127" t="inlineStr">
        <is>
          <t>Evidence must directly substantiate the construct; prefer operational and outcome evidence where logically applicable</t>
        </is>
      </c>
      <c r="H127" t="inlineStr">
        <is>
          <t>Current assessment cycle preferred; stale evidence requires justification</t>
        </is>
      </c>
      <c r="I127" t="inlineStr">
        <is>
          <t>2 corroborating sources for high-consequence or high-score claims</t>
        </is>
      </c>
      <c r="J127" t="inlineStr">
        <is>
          <t>Independent source preferred for E3/E4 and high-score claims</t>
        </is>
      </c>
      <c r="K127" t="inlineStr">
        <is>
          <t>Reuse allowed only with construct-specific field mapping; otherwise flag</t>
        </is>
      </c>
      <c r="L127" t="inlineStr">
        <is>
          <t>Policy/ops 12–24 months; outcomes 24–36 months unless metric-specific</t>
        </is>
      </c>
      <c r="M127" t="inlineStr">
        <is>
          <t>Only where observable outcome logically belongs to the construct</t>
        </is>
      </c>
      <c r="N127" t="inlineStr">
        <is>
          <t>Claim-only, policy-only, duplicate or unverifiable evidence cannot create strong confidence</t>
        </is>
      </c>
      <c r="O127" t="inlineStr">
        <is>
          <t>Check P0-5 linked-domain contradictions/dependencies</t>
        </is>
      </c>
      <c r="P127" t="inlineStr">
        <is>
          <t>Report confidence separately; never multiply capability score by confidence</t>
        </is>
      </c>
      <c r="Q127" t="inlineStr">
        <is>
          <t>Assessment / Verification Lead</t>
        </is>
      </c>
      <c r="R127" t="inlineStr">
        <is>
          <t>GREEN</t>
        </is>
      </c>
    </row>
    <row r="128">
      <c r="A128" t="inlineStr">
        <is>
          <t>D10</t>
        </is>
      </c>
      <c r="B128" t="inlineStr">
        <is>
          <t>I12</t>
        </is>
      </c>
      <c r="C128" t="inlineStr">
        <is>
          <t>Research Integrity &amp; Responsible AI</t>
        </is>
      </c>
      <c r="D128" t="inlineStr">
        <is>
          <t>Required for validated metric score</t>
        </is>
      </c>
      <c r="E128" t="inlineStr">
        <is>
          <t>E1</t>
        </is>
      </c>
      <c r="F128" t="inlineStr">
        <is>
          <t>Institutional artifact + operational evidence</t>
        </is>
      </c>
      <c r="G128" t="inlineStr">
        <is>
          <t>Evidence must directly substantiate the construct; prefer operational and outcome evidence where logically applicable</t>
        </is>
      </c>
      <c r="H128" t="inlineStr">
        <is>
          <t>Current assessment cycle preferred; stale evidence requires justification</t>
        </is>
      </c>
      <c r="I128" t="inlineStr">
        <is>
          <t>2 corroborating sources for high-consequence or high-score claims</t>
        </is>
      </c>
      <c r="J128" t="inlineStr">
        <is>
          <t>Independent source preferred for E3/E4 and high-score claims</t>
        </is>
      </c>
      <c r="K128" t="inlineStr">
        <is>
          <t>Reuse allowed only with construct-specific field mapping; otherwise flag</t>
        </is>
      </c>
      <c r="L128" t="inlineStr">
        <is>
          <t>Policy/ops 12–24 months; outcomes 24–36 months unless metric-specific</t>
        </is>
      </c>
      <c r="M128" t="inlineStr">
        <is>
          <t>Only where observable outcome logically belongs to the construct</t>
        </is>
      </c>
      <c r="N128" t="inlineStr">
        <is>
          <t>Claim-only, policy-only, duplicate or unverifiable evidence cannot create strong confidence</t>
        </is>
      </c>
      <c r="O128" t="inlineStr">
        <is>
          <t>Check P0-5 linked-domain contradictions/dependencies</t>
        </is>
      </c>
      <c r="P128" t="inlineStr">
        <is>
          <t>Report confidence separately; never multiply capability score by confidence</t>
        </is>
      </c>
      <c r="Q128" t="inlineStr">
        <is>
          <t>Assessment / Verification Lead</t>
        </is>
      </c>
      <c r="R128" t="inlineStr">
        <is>
          <t>GREEN</t>
        </is>
      </c>
    </row>
    <row r="129">
      <c r="A129" t="inlineStr">
        <is>
          <t>D10</t>
        </is>
      </c>
      <c r="B129" t="inlineStr">
        <is>
          <t>I13</t>
        </is>
      </c>
      <c r="C129" t="inlineStr">
        <is>
          <t>Research Impact Evidence</t>
        </is>
      </c>
      <c r="D129" t="inlineStr">
        <is>
          <t>Required for validated metric score</t>
        </is>
      </c>
      <c r="E129" t="inlineStr">
        <is>
          <t>E1</t>
        </is>
      </c>
      <c r="F129" t="inlineStr">
        <is>
          <t>Institutional artifact + operational evidence</t>
        </is>
      </c>
      <c r="G129" t="inlineStr">
        <is>
          <t>Evidence must directly substantiate the construct; prefer operational and outcome evidence where logically applicable</t>
        </is>
      </c>
      <c r="H129" t="inlineStr">
        <is>
          <t>Current assessment cycle preferred; stale evidence requires justification</t>
        </is>
      </c>
      <c r="I129" t="inlineStr">
        <is>
          <t>2 corroborating sources for high-consequence or high-score claims</t>
        </is>
      </c>
      <c r="J129" t="inlineStr">
        <is>
          <t>Independent source preferred for E3/E4 and high-score claims</t>
        </is>
      </c>
      <c r="K129" t="inlineStr">
        <is>
          <t>Reuse allowed only with construct-specific field mapping; otherwise flag</t>
        </is>
      </c>
      <c r="L129" t="inlineStr">
        <is>
          <t>Policy/ops 12–24 months; outcomes 24–36 months unless metric-specific</t>
        </is>
      </c>
      <c r="M129" t="inlineStr">
        <is>
          <t>Only where observable outcome logically belongs to the construct</t>
        </is>
      </c>
      <c r="N129" t="inlineStr">
        <is>
          <t>Claim-only, policy-only, duplicate or unverifiable evidence cannot create strong confidence</t>
        </is>
      </c>
      <c r="O129" t="inlineStr">
        <is>
          <t>Check P0-5 linked-domain contradictions/dependencies</t>
        </is>
      </c>
      <c r="P129" t="inlineStr">
        <is>
          <t>Report confidence separately; never multiply capability score by confidence</t>
        </is>
      </c>
      <c r="Q129" t="inlineStr">
        <is>
          <t>Assessment / Verification Lead</t>
        </is>
      </c>
      <c r="R129" t="inlineStr">
        <is>
          <t>GREEN</t>
        </is>
      </c>
    </row>
    <row r="130">
      <c r="A130" t="inlineStr">
        <is>
          <t>D10</t>
        </is>
      </c>
      <c r="B130" t="inlineStr">
        <is>
          <t>I14</t>
        </is>
      </c>
      <c r="C130" t="inlineStr">
        <is>
          <t>Student Research Capability</t>
        </is>
      </c>
      <c r="D130" t="inlineStr">
        <is>
          <t>Required for validated metric score</t>
        </is>
      </c>
      <c r="E130" t="inlineStr">
        <is>
          <t>E1</t>
        </is>
      </c>
      <c r="F130" t="inlineStr">
        <is>
          <t>Institutional artifact + operational evidence</t>
        </is>
      </c>
      <c r="G130" t="inlineStr">
        <is>
          <t>Evidence must directly substantiate the construct; prefer operational and outcome evidence where logically applicable</t>
        </is>
      </c>
      <c r="H130" t="inlineStr">
        <is>
          <t>Current assessment cycle preferred; stale evidence requires justification</t>
        </is>
      </c>
      <c r="I130" t="inlineStr">
        <is>
          <t>2 corroborating sources for high-consequence or high-score claims</t>
        </is>
      </c>
      <c r="J130" t="inlineStr">
        <is>
          <t>Independent source preferred for E3/E4 and high-score claims</t>
        </is>
      </c>
      <c r="K130" t="inlineStr">
        <is>
          <t>Reuse allowed only with construct-specific field mapping; otherwise flag</t>
        </is>
      </c>
      <c r="L130" t="inlineStr">
        <is>
          <t>Policy/ops 12–24 months; outcomes 24–36 months unless metric-specific</t>
        </is>
      </c>
      <c r="M130" t="inlineStr">
        <is>
          <t>Only where observable outcome logically belongs to the construct</t>
        </is>
      </c>
      <c r="N130" t="inlineStr">
        <is>
          <t>Claim-only, policy-only, duplicate or unverifiable evidence cannot create strong confidence</t>
        </is>
      </c>
      <c r="O130" t="inlineStr">
        <is>
          <t>Check P0-5 linked-domain contradictions/dependencies</t>
        </is>
      </c>
      <c r="P130" t="inlineStr">
        <is>
          <t>Report confidence separately; never multiply capability score by confidence</t>
        </is>
      </c>
      <c r="Q130" t="inlineStr">
        <is>
          <t>Assessment / Verification Lead</t>
        </is>
      </c>
      <c r="R130" t="inlineStr">
        <is>
          <t>GREEN</t>
        </is>
      </c>
    </row>
    <row r="131">
      <c r="A131" t="inlineStr">
        <is>
          <t>D11</t>
        </is>
      </c>
      <c r="B131" t="inlineStr">
        <is>
          <t>I01</t>
        </is>
      </c>
      <c r="C131" t="inlineStr">
        <is>
          <t>External Change Sensing</t>
        </is>
      </c>
      <c r="D131" t="inlineStr">
        <is>
          <t>Required for validated metric score</t>
        </is>
      </c>
      <c r="E131" t="inlineStr">
        <is>
          <t>E1</t>
        </is>
      </c>
      <c r="F131" t="inlineStr">
        <is>
          <t>Institutional artifact + operational evidence</t>
        </is>
      </c>
      <c r="G131" t="inlineStr">
        <is>
          <t>Evidence must directly substantiate the construct; prefer operational and outcome evidence where logically applicable</t>
        </is>
      </c>
      <c r="H131" t="inlineStr">
        <is>
          <t>Current assessment cycle preferred; stale evidence requires justification</t>
        </is>
      </c>
      <c r="I131" t="inlineStr">
        <is>
          <t>2 corroborating sources for high-consequence or high-score claims</t>
        </is>
      </c>
      <c r="J131" t="inlineStr">
        <is>
          <t>Independent source preferred for E3/E4 and high-score claims</t>
        </is>
      </c>
      <c r="K131" t="inlineStr">
        <is>
          <t>Reuse allowed only with construct-specific field mapping; otherwise flag</t>
        </is>
      </c>
      <c r="L131" t="inlineStr">
        <is>
          <t>Policy/ops 12–24 months; outcomes 24–36 months unless metric-specific</t>
        </is>
      </c>
      <c r="M131" t="inlineStr">
        <is>
          <t>Only where observable outcome logically belongs to the construct</t>
        </is>
      </c>
      <c r="N131" t="inlineStr">
        <is>
          <t>Claim-only, policy-only, duplicate or unverifiable evidence cannot create strong confidence</t>
        </is>
      </c>
      <c r="O131" t="inlineStr">
        <is>
          <t>Check P0-5 linked-domain contradictions/dependencies</t>
        </is>
      </c>
      <c r="P131" t="inlineStr">
        <is>
          <t>Report confidence separately; never multiply capability score by confidence</t>
        </is>
      </c>
      <c r="Q131" t="inlineStr">
        <is>
          <t>Assessment / Verification Lead</t>
        </is>
      </c>
      <c r="R131" t="inlineStr">
        <is>
          <t>GREEN</t>
        </is>
      </c>
    </row>
    <row r="132">
      <c r="A132" t="inlineStr">
        <is>
          <t>D11</t>
        </is>
      </c>
      <c r="B132" t="inlineStr">
        <is>
          <t>I02</t>
        </is>
      </c>
      <c r="C132" t="inlineStr">
        <is>
          <t>Strategic Response Agility</t>
        </is>
      </c>
      <c r="D132" t="inlineStr">
        <is>
          <t>Required for validated metric score</t>
        </is>
      </c>
      <c r="E132" t="inlineStr">
        <is>
          <t>E1</t>
        </is>
      </c>
      <c r="F132" t="inlineStr">
        <is>
          <t>Institutional artifact + operational evidence</t>
        </is>
      </c>
      <c r="G132" t="inlineStr">
        <is>
          <t>Evidence must directly substantiate the construct; prefer operational and outcome evidence where logically applicable</t>
        </is>
      </c>
      <c r="H132" t="inlineStr">
        <is>
          <t>Current assessment cycle preferred; stale evidence requires justification</t>
        </is>
      </c>
      <c r="I132" t="inlineStr">
        <is>
          <t>2 corroborating sources for high-consequence or high-score claims</t>
        </is>
      </c>
      <c r="J132" t="inlineStr">
        <is>
          <t>Independent source preferred for E3/E4 and high-score claims</t>
        </is>
      </c>
      <c r="K132" t="inlineStr">
        <is>
          <t>Reuse allowed only with construct-specific field mapping; otherwise flag</t>
        </is>
      </c>
      <c r="L132" t="inlineStr">
        <is>
          <t>Policy/ops 12–24 months; outcomes 24–36 months unless metric-specific</t>
        </is>
      </c>
      <c r="M132" t="inlineStr">
        <is>
          <t>Only where observable outcome logically belongs to the construct</t>
        </is>
      </c>
      <c r="N132" t="inlineStr">
        <is>
          <t>Claim-only, policy-only, duplicate or unverifiable evidence cannot create strong confidence</t>
        </is>
      </c>
      <c r="O132" t="inlineStr">
        <is>
          <t>Check P0-5 linked-domain contradictions/dependencies</t>
        </is>
      </c>
      <c r="P132" t="inlineStr">
        <is>
          <t>Report confidence separately; never multiply capability score by confidence</t>
        </is>
      </c>
      <c r="Q132" t="inlineStr">
        <is>
          <t>Assessment / Verification Lead</t>
        </is>
      </c>
      <c r="R132" t="inlineStr">
        <is>
          <t>GREEN</t>
        </is>
      </c>
    </row>
    <row r="133">
      <c r="A133" t="inlineStr">
        <is>
          <t>D11</t>
        </is>
      </c>
      <c r="B133" t="inlineStr">
        <is>
          <t>I03</t>
        </is>
      </c>
      <c r="C133" t="inlineStr">
        <is>
          <t>Adaptive Decision Architecture</t>
        </is>
      </c>
      <c r="D133" t="inlineStr">
        <is>
          <t>Required for validated metric score</t>
        </is>
      </c>
      <c r="E133" t="inlineStr">
        <is>
          <t>E1</t>
        </is>
      </c>
      <c r="F133" t="inlineStr">
        <is>
          <t>Institutional artifact + operational evidence</t>
        </is>
      </c>
      <c r="G133" t="inlineStr">
        <is>
          <t>Evidence must directly substantiate the construct; prefer operational and outcome evidence where logically applicable</t>
        </is>
      </c>
      <c r="H133" t="inlineStr">
        <is>
          <t>Current assessment cycle preferred; stale evidence requires justification</t>
        </is>
      </c>
      <c r="I133" t="inlineStr">
        <is>
          <t>2 corroborating sources for high-consequence or high-score claims</t>
        </is>
      </c>
      <c r="J133" t="inlineStr">
        <is>
          <t>Independent source preferred for E3/E4 and high-score claims</t>
        </is>
      </c>
      <c r="K133" t="inlineStr">
        <is>
          <t>Reuse allowed only with construct-specific field mapping; otherwise flag</t>
        </is>
      </c>
      <c r="L133" t="inlineStr">
        <is>
          <t>Policy/ops 12–24 months; outcomes 24–36 months unless metric-specific</t>
        </is>
      </c>
      <c r="M133" t="inlineStr">
        <is>
          <t>Only where observable outcome logically belongs to the construct</t>
        </is>
      </c>
      <c r="N133" t="inlineStr">
        <is>
          <t>Claim-only, policy-only, duplicate or unverifiable evidence cannot create strong confidence</t>
        </is>
      </c>
      <c r="O133" t="inlineStr">
        <is>
          <t>Check P0-5 linked-domain contradictions/dependencies</t>
        </is>
      </c>
      <c r="P133" t="inlineStr">
        <is>
          <t>Report confidence separately; never multiply capability score by confidence</t>
        </is>
      </c>
      <c r="Q133" t="inlineStr">
        <is>
          <t>Assessment / Verification Lead</t>
        </is>
      </c>
      <c r="R133" t="inlineStr">
        <is>
          <t>GREEN</t>
        </is>
      </c>
    </row>
    <row r="134">
      <c r="A134" t="inlineStr">
        <is>
          <t>D11</t>
        </is>
      </c>
      <c r="B134" t="inlineStr">
        <is>
          <t>I04</t>
        </is>
      </c>
      <c r="C134" t="inlineStr">
        <is>
          <t>Resource Reallocation Agility</t>
        </is>
      </c>
      <c r="D134" t="inlineStr">
        <is>
          <t>Required for validated metric score</t>
        </is>
      </c>
      <c r="E134" t="inlineStr">
        <is>
          <t>E1</t>
        </is>
      </c>
      <c r="F134" t="inlineStr">
        <is>
          <t>Institutional artifact + operational evidence</t>
        </is>
      </c>
      <c r="G134" t="inlineStr">
        <is>
          <t>Evidence must directly substantiate the construct; prefer operational and outcome evidence where logically applicable</t>
        </is>
      </c>
      <c r="H134" t="inlineStr">
        <is>
          <t>Current assessment cycle preferred; stale evidence requires justification</t>
        </is>
      </c>
      <c r="I134" t="inlineStr">
        <is>
          <t>2 corroborating sources for high-consequence or high-score claims</t>
        </is>
      </c>
      <c r="J134" t="inlineStr">
        <is>
          <t>Independent source preferred for E3/E4 and high-score claims</t>
        </is>
      </c>
      <c r="K134" t="inlineStr">
        <is>
          <t>Reuse allowed only with construct-specific field mapping; otherwise flag</t>
        </is>
      </c>
      <c r="L134" t="inlineStr">
        <is>
          <t>Policy/ops 12–24 months; outcomes 24–36 months unless metric-specific</t>
        </is>
      </c>
      <c r="M134" t="inlineStr">
        <is>
          <t>Only where observable outcome logically belongs to the construct</t>
        </is>
      </c>
      <c r="N134" t="inlineStr">
        <is>
          <t>Claim-only, policy-only, duplicate or unverifiable evidence cannot create strong confidence</t>
        </is>
      </c>
      <c r="O134" t="inlineStr">
        <is>
          <t>Check P0-5 linked-domain contradictions/dependencies</t>
        </is>
      </c>
      <c r="P134" t="inlineStr">
        <is>
          <t>Report confidence separately; never multiply capability score by confidence</t>
        </is>
      </c>
      <c r="Q134" t="inlineStr">
        <is>
          <t>Assessment / Verification Lead</t>
        </is>
      </c>
      <c r="R134" t="inlineStr">
        <is>
          <t>GREEN</t>
        </is>
      </c>
    </row>
    <row r="135">
      <c r="A135" t="inlineStr">
        <is>
          <t>D11</t>
        </is>
      </c>
      <c r="B135" t="inlineStr">
        <is>
          <t>I05</t>
        </is>
      </c>
      <c r="C135" t="inlineStr">
        <is>
          <t>Institutional Experimentation</t>
        </is>
      </c>
      <c r="D135" t="inlineStr">
        <is>
          <t>Required for validated metric score</t>
        </is>
      </c>
      <c r="E135" t="inlineStr">
        <is>
          <t>E1</t>
        </is>
      </c>
      <c r="F135" t="inlineStr">
        <is>
          <t>Institutional artifact + operational evidence</t>
        </is>
      </c>
      <c r="G135" t="inlineStr">
        <is>
          <t>Evidence must directly substantiate the construct; prefer operational and outcome evidence where logically applicable</t>
        </is>
      </c>
      <c r="H135" t="inlineStr">
        <is>
          <t>Current assessment cycle preferred; stale evidence requires justification</t>
        </is>
      </c>
      <c r="I135" t="inlineStr">
        <is>
          <t>2 corroborating sources for high-consequence or high-score claims</t>
        </is>
      </c>
      <c r="J135" t="inlineStr">
        <is>
          <t>Independent source preferred for E3/E4 and high-score claims</t>
        </is>
      </c>
      <c r="K135" t="inlineStr">
        <is>
          <t>Reuse allowed only with construct-specific field mapping; otherwise flag</t>
        </is>
      </c>
      <c r="L135" t="inlineStr">
        <is>
          <t>Policy/ops 12–24 months; outcomes 24–36 months unless metric-specific</t>
        </is>
      </c>
      <c r="M135" t="inlineStr">
        <is>
          <t>Only where observable outcome logically belongs to the construct</t>
        </is>
      </c>
      <c r="N135" t="inlineStr">
        <is>
          <t>Claim-only, policy-only, duplicate or unverifiable evidence cannot create strong confidence</t>
        </is>
      </c>
      <c r="O135" t="inlineStr">
        <is>
          <t>Check P0-5 linked-domain contradictions/dependencies</t>
        </is>
      </c>
      <c r="P135" t="inlineStr">
        <is>
          <t>Report confidence separately; never multiply capability score by confidence</t>
        </is>
      </c>
      <c r="Q135" t="inlineStr">
        <is>
          <t>Assessment / Verification Lead</t>
        </is>
      </c>
      <c r="R135" t="inlineStr">
        <is>
          <t>GREEN</t>
        </is>
      </c>
    </row>
    <row r="136">
      <c r="A136" t="inlineStr">
        <is>
          <t>D11</t>
        </is>
      </c>
      <c r="B136" t="inlineStr">
        <is>
          <t>I06</t>
        </is>
      </c>
      <c r="C136" t="inlineStr">
        <is>
          <t>Failure-to-Learning Capability</t>
        </is>
      </c>
      <c r="D136" t="inlineStr">
        <is>
          <t>Required for validated metric score</t>
        </is>
      </c>
      <c r="E136" t="inlineStr">
        <is>
          <t>E1</t>
        </is>
      </c>
      <c r="F136" t="inlineStr">
        <is>
          <t>Institutional artifact + operational evidence</t>
        </is>
      </c>
      <c r="G136" t="inlineStr">
        <is>
          <t>Evidence must directly substantiate the construct; prefer operational and outcome evidence where logically applicable</t>
        </is>
      </c>
      <c r="H136" t="inlineStr">
        <is>
          <t>Current assessment cycle preferred; stale evidence requires justification</t>
        </is>
      </c>
      <c r="I136" t="inlineStr">
        <is>
          <t>2 corroborating sources for high-consequence or high-score claims</t>
        </is>
      </c>
      <c r="J136" t="inlineStr">
        <is>
          <t>Independent source preferred for E3/E4 and high-score claims</t>
        </is>
      </c>
      <c r="K136" t="inlineStr">
        <is>
          <t>Reuse allowed only with construct-specific field mapping; otherwise flag</t>
        </is>
      </c>
      <c r="L136" t="inlineStr">
        <is>
          <t>Policy/ops 12–24 months; outcomes 24–36 months unless metric-specific</t>
        </is>
      </c>
      <c r="M136" t="inlineStr">
        <is>
          <t>Only where observable outcome logically belongs to the construct</t>
        </is>
      </c>
      <c r="N136" t="inlineStr">
        <is>
          <t>Claim-only, policy-only, duplicate or unverifiable evidence cannot create strong confidence</t>
        </is>
      </c>
      <c r="O136" t="inlineStr">
        <is>
          <t>Check P0-5 linked-domain contradictions/dependencies</t>
        </is>
      </c>
      <c r="P136" t="inlineStr">
        <is>
          <t>Report confidence separately; never multiply capability score by confidence</t>
        </is>
      </c>
      <c r="Q136" t="inlineStr">
        <is>
          <t>Assessment / Verification Lead</t>
        </is>
      </c>
      <c r="R136" t="inlineStr">
        <is>
          <t>GREEN</t>
        </is>
      </c>
    </row>
    <row r="137">
      <c r="A137" t="inlineStr">
        <is>
          <t>D11</t>
        </is>
      </c>
      <c r="B137" t="inlineStr">
        <is>
          <t>I07</t>
        </is>
      </c>
      <c r="C137" t="inlineStr">
        <is>
          <t>Change Management Capacity</t>
        </is>
      </c>
      <c r="D137" t="inlineStr">
        <is>
          <t>Required for validated metric score</t>
        </is>
      </c>
      <c r="E137" t="inlineStr">
        <is>
          <t>E1</t>
        </is>
      </c>
      <c r="F137" t="inlineStr">
        <is>
          <t>Institutional artifact + operational evidence</t>
        </is>
      </c>
      <c r="G137" t="inlineStr">
        <is>
          <t>Evidence must directly substantiate the construct; prefer operational and outcome evidence where logically applicable</t>
        </is>
      </c>
      <c r="H137" t="inlineStr">
        <is>
          <t>Current assessment cycle preferred; stale evidence requires justification</t>
        </is>
      </c>
      <c r="I137" t="inlineStr">
        <is>
          <t>2 corroborating sources for high-consequence or high-score claims</t>
        </is>
      </c>
      <c r="J137" t="inlineStr">
        <is>
          <t>Independent source preferred for E3/E4 and high-score claims</t>
        </is>
      </c>
      <c r="K137" t="inlineStr">
        <is>
          <t>Reuse allowed only with construct-specific field mapping; otherwise flag</t>
        </is>
      </c>
      <c r="L137" t="inlineStr">
        <is>
          <t>Policy/ops 12–24 months; outcomes 24–36 months unless metric-specific</t>
        </is>
      </c>
      <c r="M137" t="inlineStr">
        <is>
          <t>Only where observable outcome logically belongs to the construct</t>
        </is>
      </c>
      <c r="N137" t="inlineStr">
        <is>
          <t>Claim-only, policy-only, duplicate or unverifiable evidence cannot create strong confidence</t>
        </is>
      </c>
      <c r="O137" t="inlineStr">
        <is>
          <t>Check P0-5 linked-domain contradictions/dependencies</t>
        </is>
      </c>
      <c r="P137" t="inlineStr">
        <is>
          <t>Report confidence separately; never multiply capability score by confidence</t>
        </is>
      </c>
      <c r="Q137" t="inlineStr">
        <is>
          <t>Assessment / Verification Lead</t>
        </is>
      </c>
      <c r="R137" t="inlineStr">
        <is>
          <t>GREEN</t>
        </is>
      </c>
    </row>
    <row r="138">
      <c r="A138" t="inlineStr">
        <is>
          <t>D11</t>
        </is>
      </c>
      <c r="B138" t="inlineStr">
        <is>
          <t>I08</t>
        </is>
      </c>
      <c r="C138" t="inlineStr">
        <is>
          <t>Adaptive Leadership Alignment</t>
        </is>
      </c>
      <c r="D138" t="inlineStr">
        <is>
          <t>Required for validated metric score</t>
        </is>
      </c>
      <c r="E138" t="inlineStr">
        <is>
          <t>E1</t>
        </is>
      </c>
      <c r="F138" t="inlineStr">
        <is>
          <t>Institutional artifact + operational evidence</t>
        </is>
      </c>
      <c r="G138" t="inlineStr">
        <is>
          <t>Evidence must directly substantiate the construct; prefer operational and outcome evidence where logically applicable</t>
        </is>
      </c>
      <c r="H138" t="inlineStr">
        <is>
          <t>Current assessment cycle preferred; stale evidence requires justification</t>
        </is>
      </c>
      <c r="I138" t="inlineStr">
        <is>
          <t>2 corroborating sources for high-consequence or high-score claims</t>
        </is>
      </c>
      <c r="J138" t="inlineStr">
        <is>
          <t>Independent source preferred for E3/E4 and high-score claims</t>
        </is>
      </c>
      <c r="K138" t="inlineStr">
        <is>
          <t>Reuse allowed only with construct-specific field mapping; otherwise flag</t>
        </is>
      </c>
      <c r="L138" t="inlineStr">
        <is>
          <t>Policy/ops 12–24 months; outcomes 24–36 months unless metric-specific</t>
        </is>
      </c>
      <c r="M138" t="inlineStr">
        <is>
          <t>Only where observable outcome logically belongs to the construct</t>
        </is>
      </c>
      <c r="N138" t="inlineStr">
        <is>
          <t>Claim-only, policy-only, duplicate or unverifiable evidence cannot create strong confidence</t>
        </is>
      </c>
      <c r="O138" t="inlineStr">
        <is>
          <t>Check P0-5 linked-domain contradictions/dependencies</t>
        </is>
      </c>
      <c r="P138" t="inlineStr">
        <is>
          <t>Report confidence separately; never multiply capability score by confidence</t>
        </is>
      </c>
      <c r="Q138" t="inlineStr">
        <is>
          <t>Assessment / Verification Lead</t>
        </is>
      </c>
      <c r="R138" t="inlineStr">
        <is>
          <t>GREEN</t>
        </is>
      </c>
    </row>
    <row r="139">
      <c r="A139" t="inlineStr">
        <is>
          <t>D11</t>
        </is>
      </c>
      <c r="B139" t="inlineStr">
        <is>
          <t>I09</t>
        </is>
      </c>
      <c r="C139" t="inlineStr">
        <is>
          <t>Learner Signal Responsiveness</t>
        </is>
      </c>
      <c r="D139" t="inlineStr">
        <is>
          <t>Required for validated metric score</t>
        </is>
      </c>
      <c r="E139" t="inlineStr">
        <is>
          <t>E1</t>
        </is>
      </c>
      <c r="F139" t="inlineStr">
        <is>
          <t>Institutional artifact + operational evidence</t>
        </is>
      </c>
      <c r="G139" t="inlineStr">
        <is>
          <t>Evidence must directly substantiate the construct; prefer operational and outcome evidence where logically applicable</t>
        </is>
      </c>
      <c r="H139" t="inlineStr">
        <is>
          <t>Current assessment cycle preferred; stale evidence requires justification</t>
        </is>
      </c>
      <c r="I139" t="inlineStr">
        <is>
          <t>2 corroborating sources for high-consequence or high-score claims</t>
        </is>
      </c>
      <c r="J139" t="inlineStr">
        <is>
          <t>Independent source preferred for E3/E4 and high-score claims</t>
        </is>
      </c>
      <c r="K139" t="inlineStr">
        <is>
          <t>Reuse allowed only with construct-specific field mapping; otherwise flag</t>
        </is>
      </c>
      <c r="L139" t="inlineStr">
        <is>
          <t>Policy/ops 12–24 months; outcomes 24–36 months unless metric-specific</t>
        </is>
      </c>
      <c r="M139" t="inlineStr">
        <is>
          <t>Only where observable outcome logically belongs to the construct</t>
        </is>
      </c>
      <c r="N139" t="inlineStr">
        <is>
          <t>Claim-only, policy-only, duplicate or unverifiable evidence cannot create strong confidence</t>
        </is>
      </c>
      <c r="O139" t="inlineStr">
        <is>
          <t>Check P0-5 linked-domain contradictions/dependencies</t>
        </is>
      </c>
      <c r="P139" t="inlineStr">
        <is>
          <t>Report confidence separately; never multiply capability score by confidence</t>
        </is>
      </c>
      <c r="Q139" t="inlineStr">
        <is>
          <t>Assessment / Verification Lead</t>
        </is>
      </c>
      <c r="R139" t="inlineStr">
        <is>
          <t>GREEN</t>
        </is>
      </c>
    </row>
    <row r="140">
      <c r="A140" t="inlineStr">
        <is>
          <t>D11</t>
        </is>
      </c>
      <c r="B140" t="inlineStr">
        <is>
          <t>I10</t>
        </is>
      </c>
      <c r="C140" t="inlineStr">
        <is>
          <t>Economic &amp; Workforce Responsiveness</t>
        </is>
      </c>
      <c r="D140" t="inlineStr">
        <is>
          <t>Required for validated metric score</t>
        </is>
      </c>
      <c r="E140" t="inlineStr">
        <is>
          <t>E1</t>
        </is>
      </c>
      <c r="F140" t="inlineStr">
        <is>
          <t>Institutional artifact + operational evidence</t>
        </is>
      </c>
      <c r="G140" t="inlineStr">
        <is>
          <t>Evidence must directly substantiate the construct; prefer operational and outcome evidence where logically applicable</t>
        </is>
      </c>
      <c r="H140" t="inlineStr">
        <is>
          <t>Current assessment cycle preferred; stale evidence requires justification</t>
        </is>
      </c>
      <c r="I140" t="inlineStr">
        <is>
          <t>2 corroborating sources for high-consequence or high-score claims</t>
        </is>
      </c>
      <c r="J140" t="inlineStr">
        <is>
          <t>Independent source preferred for E3/E4 and high-score claims</t>
        </is>
      </c>
      <c r="K140" t="inlineStr">
        <is>
          <t>Reuse allowed only with construct-specific field mapping; otherwise flag</t>
        </is>
      </c>
      <c r="L140" t="inlineStr">
        <is>
          <t>Policy/ops 12–24 months; outcomes 24–36 months unless metric-specific</t>
        </is>
      </c>
      <c r="M140" t="inlineStr">
        <is>
          <t>Only where observable outcome logically belongs to the construct</t>
        </is>
      </c>
      <c r="N140" t="inlineStr">
        <is>
          <t>Claim-only, policy-only, duplicate or unverifiable evidence cannot create strong confidence</t>
        </is>
      </c>
      <c r="O140" t="inlineStr">
        <is>
          <t>Check P0-5 linked-domain contradictions/dependencies</t>
        </is>
      </c>
      <c r="P140" t="inlineStr">
        <is>
          <t>Report confidence separately; never multiply capability score by confidence</t>
        </is>
      </c>
      <c r="Q140" t="inlineStr">
        <is>
          <t>Assessment / Verification Lead</t>
        </is>
      </c>
      <c r="R140" t="inlineStr">
        <is>
          <t>GREEN</t>
        </is>
      </c>
    </row>
    <row r="141">
      <c r="A141" t="inlineStr">
        <is>
          <t>D11</t>
        </is>
      </c>
      <c r="B141" t="inlineStr">
        <is>
          <t>I11</t>
        </is>
      </c>
      <c r="C141" t="inlineStr">
        <is>
          <t>Scenario Planning Capability</t>
        </is>
      </c>
      <c r="D141" t="inlineStr">
        <is>
          <t>Required for validated metric score</t>
        </is>
      </c>
      <c r="E141" t="inlineStr">
        <is>
          <t>E1</t>
        </is>
      </c>
      <c r="F141" t="inlineStr">
        <is>
          <t>Institutional artifact + operational evidence</t>
        </is>
      </c>
      <c r="G141" t="inlineStr">
        <is>
          <t>Evidence must directly substantiate the construct; prefer operational and outcome evidence where logically applicable</t>
        </is>
      </c>
      <c r="H141" t="inlineStr">
        <is>
          <t>Current assessment cycle preferred; stale evidence requires justification</t>
        </is>
      </c>
      <c r="I141" t="inlineStr">
        <is>
          <t>2 corroborating sources for high-consequence or high-score claims</t>
        </is>
      </c>
      <c r="J141" t="inlineStr">
        <is>
          <t>Independent source preferred for E3/E4 and high-score claims</t>
        </is>
      </c>
      <c r="K141" t="inlineStr">
        <is>
          <t>Reuse allowed only with construct-specific field mapping; otherwise flag</t>
        </is>
      </c>
      <c r="L141" t="inlineStr">
        <is>
          <t>Policy/ops 12–24 months; outcomes 24–36 months unless metric-specific</t>
        </is>
      </c>
      <c r="M141" t="inlineStr">
        <is>
          <t>Only where observable outcome logically belongs to the construct</t>
        </is>
      </c>
      <c r="N141" t="inlineStr">
        <is>
          <t>Claim-only, policy-only, duplicate or unverifiable evidence cannot create strong confidence</t>
        </is>
      </c>
      <c r="O141" t="inlineStr">
        <is>
          <t>Check P0-5 linked-domain contradictions/dependencies</t>
        </is>
      </c>
      <c r="P141" t="inlineStr">
        <is>
          <t>Report confidence separately; never multiply capability score by confidence</t>
        </is>
      </c>
      <c r="Q141" t="inlineStr">
        <is>
          <t>Assessment / Verification Lead</t>
        </is>
      </c>
      <c r="R141" t="inlineStr">
        <is>
          <t>GREEN</t>
        </is>
      </c>
    </row>
    <row r="142">
      <c r="A142" t="inlineStr">
        <is>
          <t>D11</t>
        </is>
      </c>
      <c r="B142" t="inlineStr">
        <is>
          <t>I12</t>
        </is>
      </c>
      <c r="C142" t="inlineStr">
        <is>
          <t>Institutional Resilience</t>
        </is>
      </c>
      <c r="D142" t="inlineStr">
        <is>
          <t>Required for validated metric score</t>
        </is>
      </c>
      <c r="E142" t="inlineStr">
        <is>
          <t>E1</t>
        </is>
      </c>
      <c r="F142" t="inlineStr">
        <is>
          <t>Institutional artifact + operational evidence</t>
        </is>
      </c>
      <c r="G142" t="inlineStr">
        <is>
          <t>Evidence must directly substantiate the construct; prefer operational and outcome evidence where logically applicable</t>
        </is>
      </c>
      <c r="H142" t="inlineStr">
        <is>
          <t>Current assessment cycle preferred; stale evidence requires justification</t>
        </is>
      </c>
      <c r="I142" t="inlineStr">
        <is>
          <t>2 corroborating sources for high-consequence or high-score claims</t>
        </is>
      </c>
      <c r="J142" t="inlineStr">
        <is>
          <t>Independent source preferred for E3/E4 and high-score claims</t>
        </is>
      </c>
      <c r="K142" t="inlineStr">
        <is>
          <t>Reuse allowed only with construct-specific field mapping; otherwise flag</t>
        </is>
      </c>
      <c r="L142" t="inlineStr">
        <is>
          <t>Policy/ops 12–24 months; outcomes 24–36 months unless metric-specific</t>
        </is>
      </c>
      <c r="M142" t="inlineStr">
        <is>
          <t>Only where observable outcome logically belongs to the construct</t>
        </is>
      </c>
      <c r="N142" t="inlineStr">
        <is>
          <t>Claim-only, policy-only, duplicate or unverifiable evidence cannot create strong confidence</t>
        </is>
      </c>
      <c r="O142" t="inlineStr">
        <is>
          <t>Check P0-5 linked-domain contradictions/dependencies</t>
        </is>
      </c>
      <c r="P142" t="inlineStr">
        <is>
          <t>Report confidence separately; never multiply capability score by confidence</t>
        </is>
      </c>
      <c r="Q142" t="inlineStr">
        <is>
          <t>Assessment / Verification Lead</t>
        </is>
      </c>
      <c r="R142" t="inlineStr">
        <is>
          <t>GREEN</t>
        </is>
      </c>
    </row>
    <row r="143">
      <c r="A143" t="inlineStr">
        <is>
          <t>D11</t>
        </is>
      </c>
      <c r="B143" t="inlineStr">
        <is>
          <t>I13</t>
        </is>
      </c>
      <c r="C143" t="inlineStr">
        <is>
          <t>Institutional Learning System</t>
        </is>
      </c>
      <c r="D143" t="inlineStr">
        <is>
          <t>Required for validated metric score</t>
        </is>
      </c>
      <c r="E143" t="inlineStr">
        <is>
          <t>E1</t>
        </is>
      </c>
      <c r="F143" t="inlineStr">
        <is>
          <t>Institutional artifact + operational evidence</t>
        </is>
      </c>
      <c r="G143" t="inlineStr">
        <is>
          <t>Evidence must directly substantiate the construct; prefer operational and outcome evidence where logically applicable</t>
        </is>
      </c>
      <c r="H143" t="inlineStr">
        <is>
          <t>Current assessment cycle preferred; stale evidence requires justification</t>
        </is>
      </c>
      <c r="I143" t="inlineStr">
        <is>
          <t>2 corroborating sources for high-consequence or high-score claims</t>
        </is>
      </c>
      <c r="J143" t="inlineStr">
        <is>
          <t>Independent source preferred for E3/E4 and high-score claims</t>
        </is>
      </c>
      <c r="K143" t="inlineStr">
        <is>
          <t>Reuse allowed only with construct-specific field mapping; otherwise flag</t>
        </is>
      </c>
      <c r="L143" t="inlineStr">
        <is>
          <t>Policy/ops 12–24 months; outcomes 24–36 months unless metric-specific</t>
        </is>
      </c>
      <c r="M143" t="inlineStr">
        <is>
          <t>Only where observable outcome logically belongs to the construct</t>
        </is>
      </c>
      <c r="N143" t="inlineStr">
        <is>
          <t>Claim-only, policy-only, duplicate or unverifiable evidence cannot create strong confidence</t>
        </is>
      </c>
      <c r="O143" t="inlineStr">
        <is>
          <t>Check P0-5 linked-domain contradictions/dependencies</t>
        </is>
      </c>
      <c r="P143" t="inlineStr">
        <is>
          <t>Report confidence separately; never multiply capability score by confidence</t>
        </is>
      </c>
      <c r="Q143" t="inlineStr">
        <is>
          <t>Assessment / Verification Lead</t>
        </is>
      </c>
      <c r="R143" t="inlineStr">
        <is>
          <t>GREEN</t>
        </is>
      </c>
    </row>
    <row r="144">
      <c r="A144" t="inlineStr">
        <is>
          <t>D11</t>
        </is>
      </c>
      <c r="B144" t="inlineStr">
        <is>
          <t>I14</t>
        </is>
      </c>
      <c r="C144" t="inlineStr">
        <is>
          <t>Future Transformation Capacity</t>
        </is>
      </c>
      <c r="D144" t="inlineStr">
        <is>
          <t>Required for validated metric score</t>
        </is>
      </c>
      <c r="E144" t="inlineStr">
        <is>
          <t>E1</t>
        </is>
      </c>
      <c r="F144" t="inlineStr">
        <is>
          <t>Institutional artifact + operational evidence</t>
        </is>
      </c>
      <c r="G144" t="inlineStr">
        <is>
          <t>Evidence must directly substantiate the construct; prefer operational and outcome evidence where logically applicable</t>
        </is>
      </c>
      <c r="H144" t="inlineStr">
        <is>
          <t>Current assessment cycle preferred; stale evidence requires justification</t>
        </is>
      </c>
      <c r="I144" t="inlineStr">
        <is>
          <t>2 corroborating sources for high-consequence or high-score claims</t>
        </is>
      </c>
      <c r="J144" t="inlineStr">
        <is>
          <t>Independent source preferred for E3/E4 and high-score claims</t>
        </is>
      </c>
      <c r="K144" t="inlineStr">
        <is>
          <t>Reuse allowed only with construct-specific field mapping; otherwise flag</t>
        </is>
      </c>
      <c r="L144" t="inlineStr">
        <is>
          <t>Policy/ops 12–24 months; outcomes 24–36 months unless metric-specific</t>
        </is>
      </c>
      <c r="M144" t="inlineStr">
        <is>
          <t>Only where observable outcome logically belongs to the construct</t>
        </is>
      </c>
      <c r="N144" t="inlineStr">
        <is>
          <t>Claim-only, policy-only, duplicate or unverifiable evidence cannot create strong confidence</t>
        </is>
      </c>
      <c r="O144" t="inlineStr">
        <is>
          <t>Check P0-5 linked-domain contradictions/dependencies</t>
        </is>
      </c>
      <c r="P144" t="inlineStr">
        <is>
          <t>Report confidence separately; never multiply capability score by confidence</t>
        </is>
      </c>
      <c r="Q144" t="inlineStr">
        <is>
          <t>Assessment / Verification Lead</t>
        </is>
      </c>
      <c r="R144" t="inlineStr">
        <is>
          <t>GREEN</t>
        </is>
      </c>
    </row>
  </sheetData>
  <autoFilter ref="A1:R1"/>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R1"/>
  <sheetViews>
    <sheetView showGridLines="0"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15" customWidth="1" min="4" max="4"/>
    <col width="19" customWidth="1" min="5" max="5"/>
    <col width="14" customWidth="1" min="6" max="6"/>
    <col width="12" customWidth="1" min="7" max="7"/>
    <col width="12" customWidth="1" min="8" max="8"/>
    <col width="14" customWidth="1" min="9" max="9"/>
    <col width="12" customWidth="1" min="10" max="10"/>
    <col width="14" customWidth="1" min="11" max="11"/>
    <col width="15" customWidth="1" min="12" max="12"/>
    <col width="24" customWidth="1" min="13" max="13"/>
    <col width="21" customWidth="1" min="14" max="14"/>
    <col width="20" customWidth="1" min="15" max="15"/>
    <col width="18" customWidth="1" min="16" max="16"/>
    <col width="22" customWidth="1" min="17" max="17"/>
    <col width="12" customWidth="1" min="18" max="18"/>
  </cols>
  <sheetData>
    <row r="1">
      <c r="A1" s="29" t="inlineStr">
        <is>
          <t>Evidence ID</t>
        </is>
      </c>
      <c r="B1" s="29" t="inlineStr">
        <is>
          <t>Domain</t>
        </is>
      </c>
      <c r="C1" s="29" t="inlineStr">
        <is>
          <t>Metric ID</t>
        </is>
      </c>
      <c r="D1" s="29" t="inlineStr">
        <is>
          <t>Evidence Type</t>
        </is>
      </c>
      <c r="E1" s="29" t="inlineStr">
        <is>
          <t>Artifact / Source</t>
        </is>
      </c>
      <c r="F1" s="29" t="inlineStr">
        <is>
          <t>Period Start</t>
        </is>
      </c>
      <c r="G1" s="29" t="inlineStr">
        <is>
          <t>Period End</t>
        </is>
      </c>
      <c r="H1" s="29" t="inlineStr">
        <is>
          <t>Direct?</t>
        </is>
      </c>
      <c r="I1" s="29" t="inlineStr">
        <is>
          <t>Operational?</t>
        </is>
      </c>
      <c r="J1" s="29" t="inlineStr">
        <is>
          <t>Outcome?</t>
        </is>
      </c>
      <c r="K1" s="29" t="inlineStr">
        <is>
          <t>Independent?</t>
        </is>
      </c>
      <c r="L1" s="29" t="inlineStr">
        <is>
          <t>Corroborated?</t>
        </is>
      </c>
      <c r="M1" s="29" t="inlineStr">
        <is>
          <t>Used For Other Metrics</t>
        </is>
      </c>
      <c r="N1" s="29" t="inlineStr">
        <is>
          <t>Reuse Justification</t>
        </is>
      </c>
      <c r="O1" s="29" t="inlineStr">
        <is>
          <t>Authenticity Check</t>
        </is>
      </c>
      <c r="P1" s="29" t="inlineStr">
        <is>
          <t>Assessor Finding</t>
        </is>
      </c>
      <c r="Q1" s="29" t="inlineStr">
        <is>
          <t>Evidence Level E0-E4</t>
        </is>
      </c>
      <c r="R1" s="29" t="inlineStr">
        <is>
          <t>Notes</t>
        </is>
      </c>
    </row>
  </sheetData>
  <autoFilter ref="A1:R1"/>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N144"/>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21" customWidth="1" min="4" max="4"/>
    <col width="12" customWidth="1" min="5" max="5"/>
    <col width="16" customWidth="1" min="6" max="6"/>
    <col width="18" customWidth="1" min="7" max="7"/>
    <col width="14" customWidth="1" min="8" max="8"/>
    <col width="15" customWidth="1" min="9" max="9"/>
    <col width="12" customWidth="1" min="10" max="10"/>
    <col width="15" customWidth="1" min="11" max="11"/>
    <col width="13" customWidth="1" min="12" max="12"/>
    <col width="23" customWidth="1" min="13" max="13"/>
    <col width="55" customWidth="1" min="14" max="14"/>
  </cols>
  <sheetData>
    <row r="1">
      <c r="A1" s="29" t="inlineStr">
        <is>
          <t>Metric Row</t>
        </is>
      </c>
      <c r="B1" s="29" t="inlineStr">
        <is>
          <t>Domain</t>
        </is>
      </c>
      <c r="C1" s="29" t="inlineStr">
        <is>
          <t>Metric ID</t>
        </is>
      </c>
      <c r="D1" s="29" t="inlineStr">
        <is>
          <t>Evidence Level</t>
        </is>
      </c>
      <c r="E1" s="29" t="inlineStr">
        <is>
          <t>Directness</t>
        </is>
      </c>
      <c r="F1" s="29" t="inlineStr">
        <is>
          <t>Operationality</t>
        </is>
      </c>
      <c r="G1" s="29" t="inlineStr">
        <is>
          <t>Outcome Strength</t>
        </is>
      </c>
      <c r="H1" s="29" t="inlineStr">
        <is>
          <t>Independence</t>
        </is>
      </c>
      <c r="I1" s="29" t="inlineStr">
        <is>
          <t>Corroboration</t>
        </is>
      </c>
      <c r="J1" s="29" t="inlineStr">
        <is>
          <t>Recency</t>
        </is>
      </c>
      <c r="K1" s="29" t="inlineStr">
        <is>
          <t>Reuse Penalty</t>
        </is>
      </c>
      <c r="L1" s="29" t="inlineStr">
        <is>
          <t>Consistency</t>
        </is>
      </c>
      <c r="M1" s="29" t="inlineStr">
        <is>
          <t>Confidence Band</t>
        </is>
      </c>
      <c r="N1" s="29" t="inlineStr">
        <is>
          <t>Review Trigger</t>
        </is>
      </c>
    </row>
    <row r="2">
      <c r="A2" t="n">
        <v>2</v>
      </c>
      <c r="B2" t="inlineStr">
        <is>
          <t>D01</t>
        </is>
      </c>
      <c r="C2" t="inlineStr">
        <is>
          <t>I01</t>
        </is>
      </c>
      <c r="D2">
        <f>'P0-3_Scorecard'!H2</f>
        <v/>
      </c>
      <c r="E2" t="inlineStr">
        <is>
          <t>Input 0–1</t>
        </is>
      </c>
      <c r="F2" t="inlineStr">
        <is>
          <t>Input 0–1</t>
        </is>
      </c>
      <c r="G2" t="inlineStr">
        <is>
          <t>Input 0–1</t>
        </is>
      </c>
      <c r="H2" t="inlineStr">
        <is>
          <t>Input 0–1</t>
        </is>
      </c>
      <c r="I2" t="inlineStr">
        <is>
          <t>Input 0–1</t>
        </is>
      </c>
      <c r="J2" t="inlineStr">
        <is>
          <t>Input 0–1</t>
        </is>
      </c>
      <c r="K2" t="inlineStr">
        <is>
          <t>Input 0–1</t>
        </is>
      </c>
      <c r="L2" t="inlineStr">
        <is>
          <t>Input 0–1</t>
        </is>
      </c>
      <c r="M2" t="inlineStr">
        <is>
          <t>LOW / MODERATE / HIGH</t>
        </is>
      </c>
      <c r="N2" t="inlineStr">
        <is>
          <t>Review if high score + weak evidence or contradiction</t>
        </is>
      </c>
    </row>
    <row r="3">
      <c r="A3" t="n">
        <v>3</v>
      </c>
      <c r="B3" t="inlineStr">
        <is>
          <t>D01</t>
        </is>
      </c>
      <c r="C3" t="inlineStr">
        <is>
          <t>I02</t>
        </is>
      </c>
      <c r="D3">
        <f>'P0-3_Scorecard'!H3</f>
        <v/>
      </c>
      <c r="E3" t="inlineStr">
        <is>
          <t>Input 0–1</t>
        </is>
      </c>
      <c r="F3" t="inlineStr">
        <is>
          <t>Input 0–1</t>
        </is>
      </c>
      <c r="G3" t="inlineStr">
        <is>
          <t>Input 0–1</t>
        </is>
      </c>
      <c r="H3" t="inlineStr">
        <is>
          <t>Input 0–1</t>
        </is>
      </c>
      <c r="I3" t="inlineStr">
        <is>
          <t>Input 0–1</t>
        </is>
      </c>
      <c r="J3" t="inlineStr">
        <is>
          <t>Input 0–1</t>
        </is>
      </c>
      <c r="K3" t="inlineStr">
        <is>
          <t>Input 0–1</t>
        </is>
      </c>
      <c r="L3" t="inlineStr">
        <is>
          <t>Input 0–1</t>
        </is>
      </c>
      <c r="M3" t="inlineStr">
        <is>
          <t>LOW / MODERATE / HIGH</t>
        </is>
      </c>
      <c r="N3" t="inlineStr">
        <is>
          <t>Review if high score + weak evidence or contradiction</t>
        </is>
      </c>
    </row>
    <row r="4">
      <c r="A4" t="n">
        <v>4</v>
      </c>
      <c r="B4" t="inlineStr">
        <is>
          <t>D01</t>
        </is>
      </c>
      <c r="C4" t="inlineStr">
        <is>
          <t>I03</t>
        </is>
      </c>
      <c r="D4">
        <f>'P0-3_Scorecard'!H4</f>
        <v/>
      </c>
      <c r="E4" t="inlineStr">
        <is>
          <t>Input 0–1</t>
        </is>
      </c>
      <c r="F4" t="inlineStr">
        <is>
          <t>Input 0–1</t>
        </is>
      </c>
      <c r="G4" t="inlineStr">
        <is>
          <t>Input 0–1</t>
        </is>
      </c>
      <c r="H4" t="inlineStr">
        <is>
          <t>Input 0–1</t>
        </is>
      </c>
      <c r="I4" t="inlineStr">
        <is>
          <t>Input 0–1</t>
        </is>
      </c>
      <c r="J4" t="inlineStr">
        <is>
          <t>Input 0–1</t>
        </is>
      </c>
      <c r="K4" t="inlineStr">
        <is>
          <t>Input 0–1</t>
        </is>
      </c>
      <c r="L4" t="inlineStr">
        <is>
          <t>Input 0–1</t>
        </is>
      </c>
      <c r="M4" t="inlineStr">
        <is>
          <t>LOW / MODERATE / HIGH</t>
        </is>
      </c>
      <c r="N4" t="inlineStr">
        <is>
          <t>Review if high score + weak evidence or contradiction</t>
        </is>
      </c>
    </row>
    <row r="5">
      <c r="A5" t="n">
        <v>5</v>
      </c>
      <c r="B5" t="inlineStr">
        <is>
          <t>D01</t>
        </is>
      </c>
      <c r="C5" t="inlineStr">
        <is>
          <t>I04</t>
        </is>
      </c>
      <c r="D5">
        <f>'P0-3_Scorecard'!H5</f>
        <v/>
      </c>
      <c r="E5" t="inlineStr">
        <is>
          <t>Input 0–1</t>
        </is>
      </c>
      <c r="F5" t="inlineStr">
        <is>
          <t>Input 0–1</t>
        </is>
      </c>
      <c r="G5" t="inlineStr">
        <is>
          <t>Input 0–1</t>
        </is>
      </c>
      <c r="H5" t="inlineStr">
        <is>
          <t>Input 0–1</t>
        </is>
      </c>
      <c r="I5" t="inlineStr">
        <is>
          <t>Input 0–1</t>
        </is>
      </c>
      <c r="J5" t="inlineStr">
        <is>
          <t>Input 0–1</t>
        </is>
      </c>
      <c r="K5" t="inlineStr">
        <is>
          <t>Input 0–1</t>
        </is>
      </c>
      <c r="L5" t="inlineStr">
        <is>
          <t>Input 0–1</t>
        </is>
      </c>
      <c r="M5" t="inlineStr">
        <is>
          <t>LOW / MODERATE / HIGH</t>
        </is>
      </c>
      <c r="N5" t="inlineStr">
        <is>
          <t>Review if high score + weak evidence or contradiction</t>
        </is>
      </c>
    </row>
    <row r="6">
      <c r="A6" t="n">
        <v>6</v>
      </c>
      <c r="B6" t="inlineStr">
        <is>
          <t>D01</t>
        </is>
      </c>
      <c r="C6" t="inlineStr">
        <is>
          <t>I05</t>
        </is>
      </c>
      <c r="D6">
        <f>'P0-3_Scorecard'!H6</f>
        <v/>
      </c>
      <c r="E6" t="inlineStr">
        <is>
          <t>Input 0–1</t>
        </is>
      </c>
      <c r="F6" t="inlineStr">
        <is>
          <t>Input 0–1</t>
        </is>
      </c>
      <c r="G6" t="inlineStr">
        <is>
          <t>Input 0–1</t>
        </is>
      </c>
      <c r="H6" t="inlineStr">
        <is>
          <t>Input 0–1</t>
        </is>
      </c>
      <c r="I6" t="inlineStr">
        <is>
          <t>Input 0–1</t>
        </is>
      </c>
      <c r="J6" t="inlineStr">
        <is>
          <t>Input 0–1</t>
        </is>
      </c>
      <c r="K6" t="inlineStr">
        <is>
          <t>Input 0–1</t>
        </is>
      </c>
      <c r="L6" t="inlineStr">
        <is>
          <t>Input 0–1</t>
        </is>
      </c>
      <c r="M6" t="inlineStr">
        <is>
          <t>LOW / MODERATE / HIGH</t>
        </is>
      </c>
      <c r="N6" t="inlineStr">
        <is>
          <t>Review if high score + weak evidence or contradiction</t>
        </is>
      </c>
    </row>
    <row r="7">
      <c r="A7" t="n">
        <v>7</v>
      </c>
      <c r="B7" t="inlineStr">
        <is>
          <t>D01</t>
        </is>
      </c>
      <c r="C7" t="inlineStr">
        <is>
          <t>I06</t>
        </is>
      </c>
      <c r="D7">
        <f>'P0-3_Scorecard'!H7</f>
        <v/>
      </c>
      <c r="E7" t="inlineStr">
        <is>
          <t>Input 0–1</t>
        </is>
      </c>
      <c r="F7" t="inlineStr">
        <is>
          <t>Input 0–1</t>
        </is>
      </c>
      <c r="G7" t="inlineStr">
        <is>
          <t>Input 0–1</t>
        </is>
      </c>
      <c r="H7" t="inlineStr">
        <is>
          <t>Input 0–1</t>
        </is>
      </c>
      <c r="I7" t="inlineStr">
        <is>
          <t>Input 0–1</t>
        </is>
      </c>
      <c r="J7" t="inlineStr">
        <is>
          <t>Input 0–1</t>
        </is>
      </c>
      <c r="K7" t="inlineStr">
        <is>
          <t>Input 0–1</t>
        </is>
      </c>
      <c r="L7" t="inlineStr">
        <is>
          <t>Input 0–1</t>
        </is>
      </c>
      <c r="M7" t="inlineStr">
        <is>
          <t>LOW / MODERATE / HIGH</t>
        </is>
      </c>
      <c r="N7" t="inlineStr">
        <is>
          <t>Review if high score + weak evidence or contradiction</t>
        </is>
      </c>
    </row>
    <row r="8">
      <c r="A8" t="n">
        <v>8</v>
      </c>
      <c r="B8" t="inlineStr">
        <is>
          <t>D01</t>
        </is>
      </c>
      <c r="C8" t="inlineStr">
        <is>
          <t>I07</t>
        </is>
      </c>
      <c r="D8">
        <f>'P0-3_Scorecard'!H8</f>
        <v/>
      </c>
      <c r="E8" t="inlineStr">
        <is>
          <t>Input 0–1</t>
        </is>
      </c>
      <c r="F8" t="inlineStr">
        <is>
          <t>Input 0–1</t>
        </is>
      </c>
      <c r="G8" t="inlineStr">
        <is>
          <t>Input 0–1</t>
        </is>
      </c>
      <c r="H8" t="inlineStr">
        <is>
          <t>Input 0–1</t>
        </is>
      </c>
      <c r="I8" t="inlineStr">
        <is>
          <t>Input 0–1</t>
        </is>
      </c>
      <c r="J8" t="inlineStr">
        <is>
          <t>Input 0–1</t>
        </is>
      </c>
      <c r="K8" t="inlineStr">
        <is>
          <t>Input 0–1</t>
        </is>
      </c>
      <c r="L8" t="inlineStr">
        <is>
          <t>Input 0–1</t>
        </is>
      </c>
      <c r="M8" t="inlineStr">
        <is>
          <t>LOW / MODERATE / HIGH</t>
        </is>
      </c>
      <c r="N8" t="inlineStr">
        <is>
          <t>Review if high score + weak evidence or contradiction</t>
        </is>
      </c>
    </row>
    <row r="9">
      <c r="A9" t="n">
        <v>9</v>
      </c>
      <c r="B9" t="inlineStr">
        <is>
          <t>D01</t>
        </is>
      </c>
      <c r="C9" t="inlineStr">
        <is>
          <t>I08</t>
        </is>
      </c>
      <c r="D9">
        <f>'P0-3_Scorecard'!H9</f>
        <v/>
      </c>
      <c r="E9" t="inlineStr">
        <is>
          <t>Input 0–1</t>
        </is>
      </c>
      <c r="F9" t="inlineStr">
        <is>
          <t>Input 0–1</t>
        </is>
      </c>
      <c r="G9" t="inlineStr">
        <is>
          <t>Input 0–1</t>
        </is>
      </c>
      <c r="H9" t="inlineStr">
        <is>
          <t>Input 0–1</t>
        </is>
      </c>
      <c r="I9" t="inlineStr">
        <is>
          <t>Input 0–1</t>
        </is>
      </c>
      <c r="J9" t="inlineStr">
        <is>
          <t>Input 0–1</t>
        </is>
      </c>
      <c r="K9" t="inlineStr">
        <is>
          <t>Input 0–1</t>
        </is>
      </c>
      <c r="L9" t="inlineStr">
        <is>
          <t>Input 0–1</t>
        </is>
      </c>
      <c r="M9" t="inlineStr">
        <is>
          <t>LOW / MODERATE / HIGH</t>
        </is>
      </c>
      <c r="N9" t="inlineStr">
        <is>
          <t>Review if high score + weak evidence or contradiction</t>
        </is>
      </c>
    </row>
    <row r="10">
      <c r="A10" t="n">
        <v>10</v>
      </c>
      <c r="B10" t="inlineStr">
        <is>
          <t>D01</t>
        </is>
      </c>
      <c r="C10" t="inlineStr">
        <is>
          <t>I09</t>
        </is>
      </c>
      <c r="D10">
        <f>'P0-3_Scorecard'!H10</f>
        <v/>
      </c>
      <c r="E10" t="inlineStr">
        <is>
          <t>Input 0–1</t>
        </is>
      </c>
      <c r="F10" t="inlineStr">
        <is>
          <t>Input 0–1</t>
        </is>
      </c>
      <c r="G10" t="inlineStr">
        <is>
          <t>Input 0–1</t>
        </is>
      </c>
      <c r="H10" t="inlineStr">
        <is>
          <t>Input 0–1</t>
        </is>
      </c>
      <c r="I10" t="inlineStr">
        <is>
          <t>Input 0–1</t>
        </is>
      </c>
      <c r="J10" t="inlineStr">
        <is>
          <t>Input 0–1</t>
        </is>
      </c>
      <c r="K10" t="inlineStr">
        <is>
          <t>Input 0–1</t>
        </is>
      </c>
      <c r="L10" t="inlineStr">
        <is>
          <t>Input 0–1</t>
        </is>
      </c>
      <c r="M10" t="inlineStr">
        <is>
          <t>LOW / MODERATE / HIGH</t>
        </is>
      </c>
      <c r="N10" t="inlineStr">
        <is>
          <t>Review if high score + weak evidence or contradiction</t>
        </is>
      </c>
    </row>
    <row r="11">
      <c r="A11" t="n">
        <v>11</v>
      </c>
      <c r="B11" t="inlineStr">
        <is>
          <t>D01</t>
        </is>
      </c>
      <c r="C11" t="inlineStr">
        <is>
          <t>I10</t>
        </is>
      </c>
      <c r="D11">
        <f>'P0-3_Scorecard'!H11</f>
        <v/>
      </c>
      <c r="E11" t="inlineStr">
        <is>
          <t>Input 0–1</t>
        </is>
      </c>
      <c r="F11" t="inlineStr">
        <is>
          <t>Input 0–1</t>
        </is>
      </c>
      <c r="G11" t="inlineStr">
        <is>
          <t>Input 0–1</t>
        </is>
      </c>
      <c r="H11" t="inlineStr">
        <is>
          <t>Input 0–1</t>
        </is>
      </c>
      <c r="I11" t="inlineStr">
        <is>
          <t>Input 0–1</t>
        </is>
      </c>
      <c r="J11" t="inlineStr">
        <is>
          <t>Input 0–1</t>
        </is>
      </c>
      <c r="K11" t="inlineStr">
        <is>
          <t>Input 0–1</t>
        </is>
      </c>
      <c r="L11" t="inlineStr">
        <is>
          <t>Input 0–1</t>
        </is>
      </c>
      <c r="M11" t="inlineStr">
        <is>
          <t>LOW / MODERATE / HIGH</t>
        </is>
      </c>
      <c r="N11" t="inlineStr">
        <is>
          <t>Review if high score + weak evidence or contradiction</t>
        </is>
      </c>
    </row>
    <row r="12">
      <c r="A12" t="n">
        <v>12</v>
      </c>
      <c r="B12" t="inlineStr">
        <is>
          <t>D02</t>
        </is>
      </c>
      <c r="C12" t="inlineStr">
        <is>
          <t>I01</t>
        </is>
      </c>
      <c r="D12">
        <f>'P0-3_Scorecard'!H12</f>
        <v/>
      </c>
      <c r="E12" t="inlineStr">
        <is>
          <t>Input 0–1</t>
        </is>
      </c>
      <c r="F12" t="inlineStr">
        <is>
          <t>Input 0–1</t>
        </is>
      </c>
      <c r="G12" t="inlineStr">
        <is>
          <t>Input 0–1</t>
        </is>
      </c>
      <c r="H12" t="inlineStr">
        <is>
          <t>Input 0–1</t>
        </is>
      </c>
      <c r="I12" t="inlineStr">
        <is>
          <t>Input 0–1</t>
        </is>
      </c>
      <c r="J12" t="inlineStr">
        <is>
          <t>Input 0–1</t>
        </is>
      </c>
      <c r="K12" t="inlineStr">
        <is>
          <t>Input 0–1</t>
        </is>
      </c>
      <c r="L12" t="inlineStr">
        <is>
          <t>Input 0–1</t>
        </is>
      </c>
      <c r="M12" t="inlineStr">
        <is>
          <t>LOW / MODERATE / HIGH</t>
        </is>
      </c>
      <c r="N12" t="inlineStr">
        <is>
          <t>Review if high score + weak evidence or contradiction</t>
        </is>
      </c>
    </row>
    <row r="13">
      <c r="A13" t="n">
        <v>13</v>
      </c>
      <c r="B13" t="inlineStr">
        <is>
          <t>D02</t>
        </is>
      </c>
      <c r="C13" t="inlineStr">
        <is>
          <t>I02</t>
        </is>
      </c>
      <c r="D13">
        <f>'P0-3_Scorecard'!H13</f>
        <v/>
      </c>
      <c r="E13" t="inlineStr">
        <is>
          <t>Input 0–1</t>
        </is>
      </c>
      <c r="F13" t="inlineStr">
        <is>
          <t>Input 0–1</t>
        </is>
      </c>
      <c r="G13" t="inlineStr">
        <is>
          <t>Input 0–1</t>
        </is>
      </c>
      <c r="H13" t="inlineStr">
        <is>
          <t>Input 0–1</t>
        </is>
      </c>
      <c r="I13" t="inlineStr">
        <is>
          <t>Input 0–1</t>
        </is>
      </c>
      <c r="J13" t="inlineStr">
        <is>
          <t>Input 0–1</t>
        </is>
      </c>
      <c r="K13" t="inlineStr">
        <is>
          <t>Input 0–1</t>
        </is>
      </c>
      <c r="L13" t="inlineStr">
        <is>
          <t>Input 0–1</t>
        </is>
      </c>
      <c r="M13" t="inlineStr">
        <is>
          <t>LOW / MODERATE / HIGH</t>
        </is>
      </c>
      <c r="N13" t="inlineStr">
        <is>
          <t>Review if high score + weak evidence or contradiction</t>
        </is>
      </c>
    </row>
    <row r="14">
      <c r="A14" t="n">
        <v>14</v>
      </c>
      <c r="B14" t="inlineStr">
        <is>
          <t>D02</t>
        </is>
      </c>
      <c r="C14" t="inlineStr">
        <is>
          <t>I03</t>
        </is>
      </c>
      <c r="D14">
        <f>'P0-3_Scorecard'!H14</f>
        <v/>
      </c>
      <c r="E14" t="inlineStr">
        <is>
          <t>Input 0–1</t>
        </is>
      </c>
      <c r="F14" t="inlineStr">
        <is>
          <t>Input 0–1</t>
        </is>
      </c>
      <c r="G14" t="inlineStr">
        <is>
          <t>Input 0–1</t>
        </is>
      </c>
      <c r="H14" t="inlineStr">
        <is>
          <t>Input 0–1</t>
        </is>
      </c>
      <c r="I14" t="inlineStr">
        <is>
          <t>Input 0–1</t>
        </is>
      </c>
      <c r="J14" t="inlineStr">
        <is>
          <t>Input 0–1</t>
        </is>
      </c>
      <c r="K14" t="inlineStr">
        <is>
          <t>Input 0–1</t>
        </is>
      </c>
      <c r="L14" t="inlineStr">
        <is>
          <t>Input 0–1</t>
        </is>
      </c>
      <c r="M14" t="inlineStr">
        <is>
          <t>LOW / MODERATE / HIGH</t>
        </is>
      </c>
      <c r="N14" t="inlineStr">
        <is>
          <t>Review if high score + weak evidence or contradiction</t>
        </is>
      </c>
    </row>
    <row r="15">
      <c r="A15" t="n">
        <v>15</v>
      </c>
      <c r="B15" t="inlineStr">
        <is>
          <t>D02</t>
        </is>
      </c>
      <c r="C15" t="inlineStr">
        <is>
          <t>I04</t>
        </is>
      </c>
      <c r="D15">
        <f>'P0-3_Scorecard'!H15</f>
        <v/>
      </c>
      <c r="E15" t="inlineStr">
        <is>
          <t>Input 0–1</t>
        </is>
      </c>
      <c r="F15" t="inlineStr">
        <is>
          <t>Input 0–1</t>
        </is>
      </c>
      <c r="G15" t="inlineStr">
        <is>
          <t>Input 0–1</t>
        </is>
      </c>
      <c r="H15" t="inlineStr">
        <is>
          <t>Input 0–1</t>
        </is>
      </c>
      <c r="I15" t="inlineStr">
        <is>
          <t>Input 0–1</t>
        </is>
      </c>
      <c r="J15" t="inlineStr">
        <is>
          <t>Input 0–1</t>
        </is>
      </c>
      <c r="K15" t="inlineStr">
        <is>
          <t>Input 0–1</t>
        </is>
      </c>
      <c r="L15" t="inlineStr">
        <is>
          <t>Input 0–1</t>
        </is>
      </c>
      <c r="M15" t="inlineStr">
        <is>
          <t>LOW / MODERATE / HIGH</t>
        </is>
      </c>
      <c r="N15" t="inlineStr">
        <is>
          <t>Review if high score + weak evidence or contradiction</t>
        </is>
      </c>
    </row>
    <row r="16">
      <c r="A16" t="n">
        <v>16</v>
      </c>
      <c r="B16" t="inlineStr">
        <is>
          <t>D02</t>
        </is>
      </c>
      <c r="C16" t="inlineStr">
        <is>
          <t>I05</t>
        </is>
      </c>
      <c r="D16">
        <f>'P0-3_Scorecard'!H16</f>
        <v/>
      </c>
      <c r="E16" t="inlineStr">
        <is>
          <t>Input 0–1</t>
        </is>
      </c>
      <c r="F16" t="inlineStr">
        <is>
          <t>Input 0–1</t>
        </is>
      </c>
      <c r="G16" t="inlineStr">
        <is>
          <t>Input 0–1</t>
        </is>
      </c>
      <c r="H16" t="inlineStr">
        <is>
          <t>Input 0–1</t>
        </is>
      </c>
      <c r="I16" t="inlineStr">
        <is>
          <t>Input 0–1</t>
        </is>
      </c>
      <c r="J16" t="inlineStr">
        <is>
          <t>Input 0–1</t>
        </is>
      </c>
      <c r="K16" t="inlineStr">
        <is>
          <t>Input 0–1</t>
        </is>
      </c>
      <c r="L16" t="inlineStr">
        <is>
          <t>Input 0–1</t>
        </is>
      </c>
      <c r="M16" t="inlineStr">
        <is>
          <t>LOW / MODERATE / HIGH</t>
        </is>
      </c>
      <c r="N16" t="inlineStr">
        <is>
          <t>Review if high score + weak evidence or contradiction</t>
        </is>
      </c>
    </row>
    <row r="17">
      <c r="A17" t="n">
        <v>17</v>
      </c>
      <c r="B17" t="inlineStr">
        <is>
          <t>D02</t>
        </is>
      </c>
      <c r="C17" t="inlineStr">
        <is>
          <t>I06</t>
        </is>
      </c>
      <c r="D17">
        <f>'P0-3_Scorecard'!H17</f>
        <v/>
      </c>
      <c r="E17" t="inlineStr">
        <is>
          <t>Input 0–1</t>
        </is>
      </c>
      <c r="F17" t="inlineStr">
        <is>
          <t>Input 0–1</t>
        </is>
      </c>
      <c r="G17" t="inlineStr">
        <is>
          <t>Input 0–1</t>
        </is>
      </c>
      <c r="H17" t="inlineStr">
        <is>
          <t>Input 0–1</t>
        </is>
      </c>
      <c r="I17" t="inlineStr">
        <is>
          <t>Input 0–1</t>
        </is>
      </c>
      <c r="J17" t="inlineStr">
        <is>
          <t>Input 0–1</t>
        </is>
      </c>
      <c r="K17" t="inlineStr">
        <is>
          <t>Input 0–1</t>
        </is>
      </c>
      <c r="L17" t="inlineStr">
        <is>
          <t>Input 0–1</t>
        </is>
      </c>
      <c r="M17" t="inlineStr">
        <is>
          <t>LOW / MODERATE / HIGH</t>
        </is>
      </c>
      <c r="N17" t="inlineStr">
        <is>
          <t>Review if high score + weak evidence or contradiction</t>
        </is>
      </c>
    </row>
    <row r="18">
      <c r="A18" t="n">
        <v>18</v>
      </c>
      <c r="B18" t="inlineStr">
        <is>
          <t>D02</t>
        </is>
      </c>
      <c r="C18" t="inlineStr">
        <is>
          <t>I07</t>
        </is>
      </c>
      <c r="D18">
        <f>'P0-3_Scorecard'!H18</f>
        <v/>
      </c>
      <c r="E18" t="inlineStr">
        <is>
          <t>Input 0–1</t>
        </is>
      </c>
      <c r="F18" t="inlineStr">
        <is>
          <t>Input 0–1</t>
        </is>
      </c>
      <c r="G18" t="inlineStr">
        <is>
          <t>Input 0–1</t>
        </is>
      </c>
      <c r="H18" t="inlineStr">
        <is>
          <t>Input 0–1</t>
        </is>
      </c>
      <c r="I18" t="inlineStr">
        <is>
          <t>Input 0–1</t>
        </is>
      </c>
      <c r="J18" t="inlineStr">
        <is>
          <t>Input 0–1</t>
        </is>
      </c>
      <c r="K18" t="inlineStr">
        <is>
          <t>Input 0–1</t>
        </is>
      </c>
      <c r="L18" t="inlineStr">
        <is>
          <t>Input 0–1</t>
        </is>
      </c>
      <c r="M18" t="inlineStr">
        <is>
          <t>LOW / MODERATE / HIGH</t>
        </is>
      </c>
      <c r="N18" t="inlineStr">
        <is>
          <t>Review if high score + weak evidence or contradiction</t>
        </is>
      </c>
    </row>
    <row r="19">
      <c r="A19" t="n">
        <v>19</v>
      </c>
      <c r="B19" t="inlineStr">
        <is>
          <t>D02</t>
        </is>
      </c>
      <c r="C19" t="inlineStr">
        <is>
          <t>I08</t>
        </is>
      </c>
      <c r="D19">
        <f>'P0-3_Scorecard'!H19</f>
        <v/>
      </c>
      <c r="E19" t="inlineStr">
        <is>
          <t>Input 0–1</t>
        </is>
      </c>
      <c r="F19" t="inlineStr">
        <is>
          <t>Input 0–1</t>
        </is>
      </c>
      <c r="G19" t="inlineStr">
        <is>
          <t>Input 0–1</t>
        </is>
      </c>
      <c r="H19" t="inlineStr">
        <is>
          <t>Input 0–1</t>
        </is>
      </c>
      <c r="I19" t="inlineStr">
        <is>
          <t>Input 0–1</t>
        </is>
      </c>
      <c r="J19" t="inlineStr">
        <is>
          <t>Input 0–1</t>
        </is>
      </c>
      <c r="K19" t="inlineStr">
        <is>
          <t>Input 0–1</t>
        </is>
      </c>
      <c r="L19" t="inlineStr">
        <is>
          <t>Input 0–1</t>
        </is>
      </c>
      <c r="M19" t="inlineStr">
        <is>
          <t>LOW / MODERATE / HIGH</t>
        </is>
      </c>
      <c r="N19" t="inlineStr">
        <is>
          <t>Review if high score + weak evidence or contradiction</t>
        </is>
      </c>
    </row>
    <row r="20">
      <c r="A20" t="n">
        <v>20</v>
      </c>
      <c r="B20" t="inlineStr">
        <is>
          <t>D02</t>
        </is>
      </c>
      <c r="C20" t="inlineStr">
        <is>
          <t>I09</t>
        </is>
      </c>
      <c r="D20">
        <f>'P0-3_Scorecard'!H20</f>
        <v/>
      </c>
      <c r="E20" t="inlineStr">
        <is>
          <t>Input 0–1</t>
        </is>
      </c>
      <c r="F20" t="inlineStr">
        <is>
          <t>Input 0–1</t>
        </is>
      </c>
      <c r="G20" t="inlineStr">
        <is>
          <t>Input 0–1</t>
        </is>
      </c>
      <c r="H20" t="inlineStr">
        <is>
          <t>Input 0–1</t>
        </is>
      </c>
      <c r="I20" t="inlineStr">
        <is>
          <t>Input 0–1</t>
        </is>
      </c>
      <c r="J20" t="inlineStr">
        <is>
          <t>Input 0–1</t>
        </is>
      </c>
      <c r="K20" t="inlineStr">
        <is>
          <t>Input 0–1</t>
        </is>
      </c>
      <c r="L20" t="inlineStr">
        <is>
          <t>Input 0–1</t>
        </is>
      </c>
      <c r="M20" t="inlineStr">
        <is>
          <t>LOW / MODERATE / HIGH</t>
        </is>
      </c>
      <c r="N20" t="inlineStr">
        <is>
          <t>Review if high score + weak evidence or contradiction</t>
        </is>
      </c>
    </row>
    <row r="21">
      <c r="A21" t="n">
        <v>21</v>
      </c>
      <c r="B21" t="inlineStr">
        <is>
          <t>D02</t>
        </is>
      </c>
      <c r="C21" t="inlineStr">
        <is>
          <t>I10</t>
        </is>
      </c>
      <c r="D21">
        <f>'P0-3_Scorecard'!H21</f>
        <v/>
      </c>
      <c r="E21" t="inlineStr">
        <is>
          <t>Input 0–1</t>
        </is>
      </c>
      <c r="F21" t="inlineStr">
        <is>
          <t>Input 0–1</t>
        </is>
      </c>
      <c r="G21" t="inlineStr">
        <is>
          <t>Input 0–1</t>
        </is>
      </c>
      <c r="H21" t="inlineStr">
        <is>
          <t>Input 0–1</t>
        </is>
      </c>
      <c r="I21" t="inlineStr">
        <is>
          <t>Input 0–1</t>
        </is>
      </c>
      <c r="J21" t="inlineStr">
        <is>
          <t>Input 0–1</t>
        </is>
      </c>
      <c r="K21" t="inlineStr">
        <is>
          <t>Input 0–1</t>
        </is>
      </c>
      <c r="L21" t="inlineStr">
        <is>
          <t>Input 0–1</t>
        </is>
      </c>
      <c r="M21" t="inlineStr">
        <is>
          <t>LOW / MODERATE / HIGH</t>
        </is>
      </c>
      <c r="N21" t="inlineStr">
        <is>
          <t>Review if high score + weak evidence or contradiction</t>
        </is>
      </c>
    </row>
    <row r="22">
      <c r="A22" t="n">
        <v>22</v>
      </c>
      <c r="B22" t="inlineStr">
        <is>
          <t>D02</t>
        </is>
      </c>
      <c r="C22" t="inlineStr">
        <is>
          <t>I11</t>
        </is>
      </c>
      <c r="D22">
        <f>'P0-3_Scorecard'!H22</f>
        <v/>
      </c>
      <c r="E22" t="inlineStr">
        <is>
          <t>Input 0–1</t>
        </is>
      </c>
      <c r="F22" t="inlineStr">
        <is>
          <t>Input 0–1</t>
        </is>
      </c>
      <c r="G22" t="inlineStr">
        <is>
          <t>Input 0–1</t>
        </is>
      </c>
      <c r="H22" t="inlineStr">
        <is>
          <t>Input 0–1</t>
        </is>
      </c>
      <c r="I22" t="inlineStr">
        <is>
          <t>Input 0–1</t>
        </is>
      </c>
      <c r="J22" t="inlineStr">
        <is>
          <t>Input 0–1</t>
        </is>
      </c>
      <c r="K22" t="inlineStr">
        <is>
          <t>Input 0–1</t>
        </is>
      </c>
      <c r="L22" t="inlineStr">
        <is>
          <t>Input 0–1</t>
        </is>
      </c>
      <c r="M22" t="inlineStr">
        <is>
          <t>LOW / MODERATE / HIGH</t>
        </is>
      </c>
      <c r="N22" t="inlineStr">
        <is>
          <t>Review if high score + weak evidence or contradiction</t>
        </is>
      </c>
    </row>
    <row r="23">
      <c r="A23" t="n">
        <v>23</v>
      </c>
      <c r="B23" t="inlineStr">
        <is>
          <t>D02</t>
        </is>
      </c>
      <c r="C23" t="inlineStr">
        <is>
          <t>I12</t>
        </is>
      </c>
      <c r="D23">
        <f>'P0-3_Scorecard'!H23</f>
        <v/>
      </c>
      <c r="E23" t="inlineStr">
        <is>
          <t>Input 0–1</t>
        </is>
      </c>
      <c r="F23" t="inlineStr">
        <is>
          <t>Input 0–1</t>
        </is>
      </c>
      <c r="G23" t="inlineStr">
        <is>
          <t>Input 0–1</t>
        </is>
      </c>
      <c r="H23" t="inlineStr">
        <is>
          <t>Input 0–1</t>
        </is>
      </c>
      <c r="I23" t="inlineStr">
        <is>
          <t>Input 0–1</t>
        </is>
      </c>
      <c r="J23" t="inlineStr">
        <is>
          <t>Input 0–1</t>
        </is>
      </c>
      <c r="K23" t="inlineStr">
        <is>
          <t>Input 0–1</t>
        </is>
      </c>
      <c r="L23" t="inlineStr">
        <is>
          <t>Input 0–1</t>
        </is>
      </c>
      <c r="M23" t="inlineStr">
        <is>
          <t>LOW / MODERATE / HIGH</t>
        </is>
      </c>
      <c r="N23" t="inlineStr">
        <is>
          <t>Review if high score + weak evidence or contradiction</t>
        </is>
      </c>
    </row>
    <row r="24">
      <c r="A24" t="n">
        <v>24</v>
      </c>
      <c r="B24" t="inlineStr">
        <is>
          <t>D02</t>
        </is>
      </c>
      <c r="C24" t="inlineStr">
        <is>
          <t>I13</t>
        </is>
      </c>
      <c r="D24">
        <f>'P0-3_Scorecard'!H24</f>
        <v/>
      </c>
      <c r="E24" t="inlineStr">
        <is>
          <t>Input 0–1</t>
        </is>
      </c>
      <c r="F24" t="inlineStr">
        <is>
          <t>Input 0–1</t>
        </is>
      </c>
      <c r="G24" t="inlineStr">
        <is>
          <t>Input 0–1</t>
        </is>
      </c>
      <c r="H24" t="inlineStr">
        <is>
          <t>Input 0–1</t>
        </is>
      </c>
      <c r="I24" t="inlineStr">
        <is>
          <t>Input 0–1</t>
        </is>
      </c>
      <c r="J24" t="inlineStr">
        <is>
          <t>Input 0–1</t>
        </is>
      </c>
      <c r="K24" t="inlineStr">
        <is>
          <t>Input 0–1</t>
        </is>
      </c>
      <c r="L24" t="inlineStr">
        <is>
          <t>Input 0–1</t>
        </is>
      </c>
      <c r="M24" t="inlineStr">
        <is>
          <t>LOW / MODERATE / HIGH</t>
        </is>
      </c>
      <c r="N24" t="inlineStr">
        <is>
          <t>Review if high score + weak evidence or contradiction</t>
        </is>
      </c>
    </row>
    <row r="25">
      <c r="A25" t="n">
        <v>25</v>
      </c>
      <c r="B25" t="inlineStr">
        <is>
          <t>D02</t>
        </is>
      </c>
      <c r="C25" t="inlineStr">
        <is>
          <t>I14</t>
        </is>
      </c>
      <c r="D25">
        <f>'P0-3_Scorecard'!H25</f>
        <v/>
      </c>
      <c r="E25" t="inlineStr">
        <is>
          <t>Input 0–1</t>
        </is>
      </c>
      <c r="F25" t="inlineStr">
        <is>
          <t>Input 0–1</t>
        </is>
      </c>
      <c r="G25" t="inlineStr">
        <is>
          <t>Input 0–1</t>
        </is>
      </c>
      <c r="H25" t="inlineStr">
        <is>
          <t>Input 0–1</t>
        </is>
      </c>
      <c r="I25" t="inlineStr">
        <is>
          <t>Input 0–1</t>
        </is>
      </c>
      <c r="J25" t="inlineStr">
        <is>
          <t>Input 0–1</t>
        </is>
      </c>
      <c r="K25" t="inlineStr">
        <is>
          <t>Input 0–1</t>
        </is>
      </c>
      <c r="L25" t="inlineStr">
        <is>
          <t>Input 0–1</t>
        </is>
      </c>
      <c r="M25" t="inlineStr">
        <is>
          <t>LOW / MODERATE / HIGH</t>
        </is>
      </c>
      <c r="N25" t="inlineStr">
        <is>
          <t>Review if high score + weak evidence or contradiction</t>
        </is>
      </c>
    </row>
    <row r="26">
      <c r="A26" t="n">
        <v>26</v>
      </c>
      <c r="B26" t="inlineStr">
        <is>
          <t>D03</t>
        </is>
      </c>
      <c r="C26" t="inlineStr">
        <is>
          <t>I01</t>
        </is>
      </c>
      <c r="D26">
        <f>'P0-3_Scorecard'!H26</f>
        <v/>
      </c>
      <c r="E26" t="inlineStr">
        <is>
          <t>Input 0–1</t>
        </is>
      </c>
      <c r="F26" t="inlineStr">
        <is>
          <t>Input 0–1</t>
        </is>
      </c>
      <c r="G26" t="inlineStr">
        <is>
          <t>Input 0–1</t>
        </is>
      </c>
      <c r="H26" t="inlineStr">
        <is>
          <t>Input 0–1</t>
        </is>
      </c>
      <c r="I26" t="inlineStr">
        <is>
          <t>Input 0–1</t>
        </is>
      </c>
      <c r="J26" t="inlineStr">
        <is>
          <t>Input 0–1</t>
        </is>
      </c>
      <c r="K26" t="inlineStr">
        <is>
          <t>Input 0–1</t>
        </is>
      </c>
      <c r="L26" t="inlineStr">
        <is>
          <t>Input 0–1</t>
        </is>
      </c>
      <c r="M26" t="inlineStr">
        <is>
          <t>LOW / MODERATE / HIGH</t>
        </is>
      </c>
      <c r="N26" t="inlineStr">
        <is>
          <t>Review if high score + weak evidence or contradiction</t>
        </is>
      </c>
    </row>
    <row r="27">
      <c r="A27" t="n">
        <v>27</v>
      </c>
      <c r="B27" t="inlineStr">
        <is>
          <t>D03</t>
        </is>
      </c>
      <c r="C27" t="inlineStr">
        <is>
          <t>I02</t>
        </is>
      </c>
      <c r="D27">
        <f>'P0-3_Scorecard'!H27</f>
        <v/>
      </c>
      <c r="E27" t="inlineStr">
        <is>
          <t>Input 0–1</t>
        </is>
      </c>
      <c r="F27" t="inlineStr">
        <is>
          <t>Input 0–1</t>
        </is>
      </c>
      <c r="G27" t="inlineStr">
        <is>
          <t>Input 0–1</t>
        </is>
      </c>
      <c r="H27" t="inlineStr">
        <is>
          <t>Input 0–1</t>
        </is>
      </c>
      <c r="I27" t="inlineStr">
        <is>
          <t>Input 0–1</t>
        </is>
      </c>
      <c r="J27" t="inlineStr">
        <is>
          <t>Input 0–1</t>
        </is>
      </c>
      <c r="K27" t="inlineStr">
        <is>
          <t>Input 0–1</t>
        </is>
      </c>
      <c r="L27" t="inlineStr">
        <is>
          <t>Input 0–1</t>
        </is>
      </c>
      <c r="M27" t="inlineStr">
        <is>
          <t>LOW / MODERATE / HIGH</t>
        </is>
      </c>
      <c r="N27" t="inlineStr">
        <is>
          <t>Review if high score + weak evidence or contradiction</t>
        </is>
      </c>
    </row>
    <row r="28">
      <c r="A28" t="n">
        <v>28</v>
      </c>
      <c r="B28" t="inlineStr">
        <is>
          <t>D03</t>
        </is>
      </c>
      <c r="C28" t="inlineStr">
        <is>
          <t>I03</t>
        </is>
      </c>
      <c r="D28">
        <f>'P0-3_Scorecard'!H28</f>
        <v/>
      </c>
      <c r="E28" t="inlineStr">
        <is>
          <t>Input 0–1</t>
        </is>
      </c>
      <c r="F28" t="inlineStr">
        <is>
          <t>Input 0–1</t>
        </is>
      </c>
      <c r="G28" t="inlineStr">
        <is>
          <t>Input 0–1</t>
        </is>
      </c>
      <c r="H28" t="inlineStr">
        <is>
          <t>Input 0–1</t>
        </is>
      </c>
      <c r="I28" t="inlineStr">
        <is>
          <t>Input 0–1</t>
        </is>
      </c>
      <c r="J28" t="inlineStr">
        <is>
          <t>Input 0–1</t>
        </is>
      </c>
      <c r="K28" t="inlineStr">
        <is>
          <t>Input 0–1</t>
        </is>
      </c>
      <c r="L28" t="inlineStr">
        <is>
          <t>Input 0–1</t>
        </is>
      </c>
      <c r="M28" t="inlineStr">
        <is>
          <t>LOW / MODERATE / HIGH</t>
        </is>
      </c>
      <c r="N28" t="inlineStr">
        <is>
          <t>Review if high score + weak evidence or contradiction</t>
        </is>
      </c>
    </row>
    <row r="29">
      <c r="A29" t="n">
        <v>29</v>
      </c>
      <c r="B29" t="inlineStr">
        <is>
          <t>D03</t>
        </is>
      </c>
      <c r="C29" t="inlineStr">
        <is>
          <t>I04</t>
        </is>
      </c>
      <c r="D29">
        <f>'P0-3_Scorecard'!H29</f>
        <v/>
      </c>
      <c r="E29" t="inlineStr">
        <is>
          <t>Input 0–1</t>
        </is>
      </c>
      <c r="F29" t="inlineStr">
        <is>
          <t>Input 0–1</t>
        </is>
      </c>
      <c r="G29" t="inlineStr">
        <is>
          <t>Input 0–1</t>
        </is>
      </c>
      <c r="H29" t="inlineStr">
        <is>
          <t>Input 0–1</t>
        </is>
      </c>
      <c r="I29" t="inlineStr">
        <is>
          <t>Input 0–1</t>
        </is>
      </c>
      <c r="J29" t="inlineStr">
        <is>
          <t>Input 0–1</t>
        </is>
      </c>
      <c r="K29" t="inlineStr">
        <is>
          <t>Input 0–1</t>
        </is>
      </c>
      <c r="L29" t="inlineStr">
        <is>
          <t>Input 0–1</t>
        </is>
      </c>
      <c r="M29" t="inlineStr">
        <is>
          <t>LOW / MODERATE / HIGH</t>
        </is>
      </c>
      <c r="N29" t="inlineStr">
        <is>
          <t>Review if high score + weak evidence or contradiction</t>
        </is>
      </c>
    </row>
    <row r="30">
      <c r="A30" t="n">
        <v>30</v>
      </c>
      <c r="B30" t="inlineStr">
        <is>
          <t>D03</t>
        </is>
      </c>
      <c r="C30" t="inlineStr">
        <is>
          <t>I05</t>
        </is>
      </c>
      <c r="D30">
        <f>'P0-3_Scorecard'!H30</f>
        <v/>
      </c>
      <c r="E30" t="inlineStr">
        <is>
          <t>Input 0–1</t>
        </is>
      </c>
      <c r="F30" t="inlineStr">
        <is>
          <t>Input 0–1</t>
        </is>
      </c>
      <c r="G30" t="inlineStr">
        <is>
          <t>Input 0–1</t>
        </is>
      </c>
      <c r="H30" t="inlineStr">
        <is>
          <t>Input 0–1</t>
        </is>
      </c>
      <c r="I30" t="inlineStr">
        <is>
          <t>Input 0–1</t>
        </is>
      </c>
      <c r="J30" t="inlineStr">
        <is>
          <t>Input 0–1</t>
        </is>
      </c>
      <c r="K30" t="inlineStr">
        <is>
          <t>Input 0–1</t>
        </is>
      </c>
      <c r="L30" t="inlineStr">
        <is>
          <t>Input 0–1</t>
        </is>
      </c>
      <c r="M30" t="inlineStr">
        <is>
          <t>LOW / MODERATE / HIGH</t>
        </is>
      </c>
      <c r="N30" t="inlineStr">
        <is>
          <t>Review if high score + weak evidence or contradiction</t>
        </is>
      </c>
    </row>
    <row r="31">
      <c r="A31" t="n">
        <v>31</v>
      </c>
      <c r="B31" t="inlineStr">
        <is>
          <t>D03</t>
        </is>
      </c>
      <c r="C31" t="inlineStr">
        <is>
          <t>I06</t>
        </is>
      </c>
      <c r="D31">
        <f>'P0-3_Scorecard'!H31</f>
        <v/>
      </c>
      <c r="E31" t="inlineStr">
        <is>
          <t>Input 0–1</t>
        </is>
      </c>
      <c r="F31" t="inlineStr">
        <is>
          <t>Input 0–1</t>
        </is>
      </c>
      <c r="G31" t="inlineStr">
        <is>
          <t>Input 0–1</t>
        </is>
      </c>
      <c r="H31" t="inlineStr">
        <is>
          <t>Input 0–1</t>
        </is>
      </c>
      <c r="I31" t="inlineStr">
        <is>
          <t>Input 0–1</t>
        </is>
      </c>
      <c r="J31" t="inlineStr">
        <is>
          <t>Input 0–1</t>
        </is>
      </c>
      <c r="K31" t="inlineStr">
        <is>
          <t>Input 0–1</t>
        </is>
      </c>
      <c r="L31" t="inlineStr">
        <is>
          <t>Input 0–1</t>
        </is>
      </c>
      <c r="M31" t="inlineStr">
        <is>
          <t>LOW / MODERATE / HIGH</t>
        </is>
      </c>
      <c r="N31" t="inlineStr">
        <is>
          <t>Review if high score + weak evidence or contradiction</t>
        </is>
      </c>
    </row>
    <row r="32">
      <c r="A32" t="n">
        <v>32</v>
      </c>
      <c r="B32" t="inlineStr">
        <is>
          <t>D03</t>
        </is>
      </c>
      <c r="C32" t="inlineStr">
        <is>
          <t>I07</t>
        </is>
      </c>
      <c r="D32">
        <f>'P0-3_Scorecard'!H32</f>
        <v/>
      </c>
      <c r="E32" t="inlineStr">
        <is>
          <t>Input 0–1</t>
        </is>
      </c>
      <c r="F32" t="inlineStr">
        <is>
          <t>Input 0–1</t>
        </is>
      </c>
      <c r="G32" t="inlineStr">
        <is>
          <t>Input 0–1</t>
        </is>
      </c>
      <c r="H32" t="inlineStr">
        <is>
          <t>Input 0–1</t>
        </is>
      </c>
      <c r="I32" t="inlineStr">
        <is>
          <t>Input 0–1</t>
        </is>
      </c>
      <c r="J32" t="inlineStr">
        <is>
          <t>Input 0–1</t>
        </is>
      </c>
      <c r="K32" t="inlineStr">
        <is>
          <t>Input 0–1</t>
        </is>
      </c>
      <c r="L32" t="inlineStr">
        <is>
          <t>Input 0–1</t>
        </is>
      </c>
      <c r="M32" t="inlineStr">
        <is>
          <t>LOW / MODERATE / HIGH</t>
        </is>
      </c>
      <c r="N32" t="inlineStr">
        <is>
          <t>Review if high score + weak evidence or contradiction</t>
        </is>
      </c>
    </row>
    <row r="33">
      <c r="A33" t="n">
        <v>33</v>
      </c>
      <c r="B33" t="inlineStr">
        <is>
          <t>D03</t>
        </is>
      </c>
      <c r="C33" t="inlineStr">
        <is>
          <t>I08</t>
        </is>
      </c>
      <c r="D33">
        <f>'P0-3_Scorecard'!H33</f>
        <v/>
      </c>
      <c r="E33" t="inlineStr">
        <is>
          <t>Input 0–1</t>
        </is>
      </c>
      <c r="F33" t="inlineStr">
        <is>
          <t>Input 0–1</t>
        </is>
      </c>
      <c r="G33" t="inlineStr">
        <is>
          <t>Input 0–1</t>
        </is>
      </c>
      <c r="H33" t="inlineStr">
        <is>
          <t>Input 0–1</t>
        </is>
      </c>
      <c r="I33" t="inlineStr">
        <is>
          <t>Input 0–1</t>
        </is>
      </c>
      <c r="J33" t="inlineStr">
        <is>
          <t>Input 0–1</t>
        </is>
      </c>
      <c r="K33" t="inlineStr">
        <is>
          <t>Input 0–1</t>
        </is>
      </c>
      <c r="L33" t="inlineStr">
        <is>
          <t>Input 0–1</t>
        </is>
      </c>
      <c r="M33" t="inlineStr">
        <is>
          <t>LOW / MODERATE / HIGH</t>
        </is>
      </c>
      <c r="N33" t="inlineStr">
        <is>
          <t>Review if high score + weak evidence or contradiction</t>
        </is>
      </c>
    </row>
    <row r="34">
      <c r="A34" t="n">
        <v>34</v>
      </c>
      <c r="B34" t="inlineStr">
        <is>
          <t>D03</t>
        </is>
      </c>
      <c r="C34" t="inlineStr">
        <is>
          <t>I09</t>
        </is>
      </c>
      <c r="D34">
        <f>'P0-3_Scorecard'!H34</f>
        <v/>
      </c>
      <c r="E34" t="inlineStr">
        <is>
          <t>Input 0–1</t>
        </is>
      </c>
      <c r="F34" t="inlineStr">
        <is>
          <t>Input 0–1</t>
        </is>
      </c>
      <c r="G34" t="inlineStr">
        <is>
          <t>Input 0–1</t>
        </is>
      </c>
      <c r="H34" t="inlineStr">
        <is>
          <t>Input 0–1</t>
        </is>
      </c>
      <c r="I34" t="inlineStr">
        <is>
          <t>Input 0–1</t>
        </is>
      </c>
      <c r="J34" t="inlineStr">
        <is>
          <t>Input 0–1</t>
        </is>
      </c>
      <c r="K34" t="inlineStr">
        <is>
          <t>Input 0–1</t>
        </is>
      </c>
      <c r="L34" t="inlineStr">
        <is>
          <t>Input 0–1</t>
        </is>
      </c>
      <c r="M34" t="inlineStr">
        <is>
          <t>LOW / MODERATE / HIGH</t>
        </is>
      </c>
      <c r="N34" t="inlineStr">
        <is>
          <t>Review if high score + weak evidence or contradiction</t>
        </is>
      </c>
    </row>
    <row r="35">
      <c r="A35" t="n">
        <v>35</v>
      </c>
      <c r="B35" t="inlineStr">
        <is>
          <t>D03</t>
        </is>
      </c>
      <c r="C35" t="inlineStr">
        <is>
          <t>I10</t>
        </is>
      </c>
      <c r="D35">
        <f>'P0-3_Scorecard'!H35</f>
        <v/>
      </c>
      <c r="E35" t="inlineStr">
        <is>
          <t>Input 0–1</t>
        </is>
      </c>
      <c r="F35" t="inlineStr">
        <is>
          <t>Input 0–1</t>
        </is>
      </c>
      <c r="G35" t="inlineStr">
        <is>
          <t>Input 0–1</t>
        </is>
      </c>
      <c r="H35" t="inlineStr">
        <is>
          <t>Input 0–1</t>
        </is>
      </c>
      <c r="I35" t="inlineStr">
        <is>
          <t>Input 0–1</t>
        </is>
      </c>
      <c r="J35" t="inlineStr">
        <is>
          <t>Input 0–1</t>
        </is>
      </c>
      <c r="K35" t="inlineStr">
        <is>
          <t>Input 0–1</t>
        </is>
      </c>
      <c r="L35" t="inlineStr">
        <is>
          <t>Input 0–1</t>
        </is>
      </c>
      <c r="M35" t="inlineStr">
        <is>
          <t>LOW / MODERATE / HIGH</t>
        </is>
      </c>
      <c r="N35" t="inlineStr">
        <is>
          <t>Review if high score + weak evidence or contradiction</t>
        </is>
      </c>
    </row>
    <row r="36">
      <c r="A36" t="n">
        <v>36</v>
      </c>
      <c r="B36" t="inlineStr">
        <is>
          <t>D03</t>
        </is>
      </c>
      <c r="C36" t="inlineStr">
        <is>
          <t>I11</t>
        </is>
      </c>
      <c r="D36">
        <f>'P0-3_Scorecard'!H36</f>
        <v/>
      </c>
      <c r="E36" t="inlineStr">
        <is>
          <t>Input 0–1</t>
        </is>
      </c>
      <c r="F36" t="inlineStr">
        <is>
          <t>Input 0–1</t>
        </is>
      </c>
      <c r="G36" t="inlineStr">
        <is>
          <t>Input 0–1</t>
        </is>
      </c>
      <c r="H36" t="inlineStr">
        <is>
          <t>Input 0–1</t>
        </is>
      </c>
      <c r="I36" t="inlineStr">
        <is>
          <t>Input 0–1</t>
        </is>
      </c>
      <c r="J36" t="inlineStr">
        <is>
          <t>Input 0–1</t>
        </is>
      </c>
      <c r="K36" t="inlineStr">
        <is>
          <t>Input 0–1</t>
        </is>
      </c>
      <c r="L36" t="inlineStr">
        <is>
          <t>Input 0–1</t>
        </is>
      </c>
      <c r="M36" t="inlineStr">
        <is>
          <t>LOW / MODERATE / HIGH</t>
        </is>
      </c>
      <c r="N36" t="inlineStr">
        <is>
          <t>Review if high score + weak evidence or contradiction</t>
        </is>
      </c>
    </row>
    <row r="37">
      <c r="A37" t="n">
        <v>37</v>
      </c>
      <c r="B37" t="inlineStr">
        <is>
          <t>D03</t>
        </is>
      </c>
      <c r="C37" t="inlineStr">
        <is>
          <t>I12</t>
        </is>
      </c>
      <c r="D37">
        <f>'P0-3_Scorecard'!H37</f>
        <v/>
      </c>
      <c r="E37" t="inlineStr">
        <is>
          <t>Input 0–1</t>
        </is>
      </c>
      <c r="F37" t="inlineStr">
        <is>
          <t>Input 0–1</t>
        </is>
      </c>
      <c r="G37" t="inlineStr">
        <is>
          <t>Input 0–1</t>
        </is>
      </c>
      <c r="H37" t="inlineStr">
        <is>
          <t>Input 0–1</t>
        </is>
      </c>
      <c r="I37" t="inlineStr">
        <is>
          <t>Input 0–1</t>
        </is>
      </c>
      <c r="J37" t="inlineStr">
        <is>
          <t>Input 0–1</t>
        </is>
      </c>
      <c r="K37" t="inlineStr">
        <is>
          <t>Input 0–1</t>
        </is>
      </c>
      <c r="L37" t="inlineStr">
        <is>
          <t>Input 0–1</t>
        </is>
      </c>
      <c r="M37" t="inlineStr">
        <is>
          <t>LOW / MODERATE / HIGH</t>
        </is>
      </c>
      <c r="N37" t="inlineStr">
        <is>
          <t>Review if high score + weak evidence or contradiction</t>
        </is>
      </c>
    </row>
    <row r="38">
      <c r="A38" t="n">
        <v>38</v>
      </c>
      <c r="B38" t="inlineStr">
        <is>
          <t>D03</t>
        </is>
      </c>
      <c r="C38" t="inlineStr">
        <is>
          <t>I13</t>
        </is>
      </c>
      <c r="D38">
        <f>'P0-3_Scorecard'!H38</f>
        <v/>
      </c>
      <c r="E38" t="inlineStr">
        <is>
          <t>Input 0–1</t>
        </is>
      </c>
      <c r="F38" t="inlineStr">
        <is>
          <t>Input 0–1</t>
        </is>
      </c>
      <c r="G38" t="inlineStr">
        <is>
          <t>Input 0–1</t>
        </is>
      </c>
      <c r="H38" t="inlineStr">
        <is>
          <t>Input 0–1</t>
        </is>
      </c>
      <c r="I38" t="inlineStr">
        <is>
          <t>Input 0–1</t>
        </is>
      </c>
      <c r="J38" t="inlineStr">
        <is>
          <t>Input 0–1</t>
        </is>
      </c>
      <c r="K38" t="inlineStr">
        <is>
          <t>Input 0–1</t>
        </is>
      </c>
      <c r="L38" t="inlineStr">
        <is>
          <t>Input 0–1</t>
        </is>
      </c>
      <c r="M38" t="inlineStr">
        <is>
          <t>LOW / MODERATE / HIGH</t>
        </is>
      </c>
      <c r="N38" t="inlineStr">
        <is>
          <t>Review if high score + weak evidence or contradiction</t>
        </is>
      </c>
    </row>
    <row r="39">
      <c r="A39" t="n">
        <v>39</v>
      </c>
      <c r="B39" t="inlineStr">
        <is>
          <t>D03</t>
        </is>
      </c>
      <c r="C39" t="inlineStr">
        <is>
          <t>I14</t>
        </is>
      </c>
      <c r="D39">
        <f>'P0-3_Scorecard'!H39</f>
        <v/>
      </c>
      <c r="E39" t="inlineStr">
        <is>
          <t>Input 0–1</t>
        </is>
      </c>
      <c r="F39" t="inlineStr">
        <is>
          <t>Input 0–1</t>
        </is>
      </c>
      <c r="G39" t="inlineStr">
        <is>
          <t>Input 0–1</t>
        </is>
      </c>
      <c r="H39" t="inlineStr">
        <is>
          <t>Input 0–1</t>
        </is>
      </c>
      <c r="I39" t="inlineStr">
        <is>
          <t>Input 0–1</t>
        </is>
      </c>
      <c r="J39" t="inlineStr">
        <is>
          <t>Input 0–1</t>
        </is>
      </c>
      <c r="K39" t="inlineStr">
        <is>
          <t>Input 0–1</t>
        </is>
      </c>
      <c r="L39" t="inlineStr">
        <is>
          <t>Input 0–1</t>
        </is>
      </c>
      <c r="M39" t="inlineStr">
        <is>
          <t>LOW / MODERATE / HIGH</t>
        </is>
      </c>
      <c r="N39" t="inlineStr">
        <is>
          <t>Review if high score + weak evidence or contradiction</t>
        </is>
      </c>
    </row>
    <row r="40">
      <c r="A40" t="n">
        <v>40</v>
      </c>
      <c r="B40" t="inlineStr">
        <is>
          <t>D03</t>
        </is>
      </c>
      <c r="C40" t="inlineStr">
        <is>
          <t>I15</t>
        </is>
      </c>
      <c r="D40">
        <f>'P0-3_Scorecard'!H40</f>
        <v/>
      </c>
      <c r="E40" t="inlineStr">
        <is>
          <t>Input 0–1</t>
        </is>
      </c>
      <c r="F40" t="inlineStr">
        <is>
          <t>Input 0–1</t>
        </is>
      </c>
      <c r="G40" t="inlineStr">
        <is>
          <t>Input 0–1</t>
        </is>
      </c>
      <c r="H40" t="inlineStr">
        <is>
          <t>Input 0–1</t>
        </is>
      </c>
      <c r="I40" t="inlineStr">
        <is>
          <t>Input 0–1</t>
        </is>
      </c>
      <c r="J40" t="inlineStr">
        <is>
          <t>Input 0–1</t>
        </is>
      </c>
      <c r="K40" t="inlineStr">
        <is>
          <t>Input 0–1</t>
        </is>
      </c>
      <c r="L40" t="inlineStr">
        <is>
          <t>Input 0–1</t>
        </is>
      </c>
      <c r="M40" t="inlineStr">
        <is>
          <t>LOW / MODERATE / HIGH</t>
        </is>
      </c>
      <c r="N40" t="inlineStr">
        <is>
          <t>Review if high score + weak evidence or contradiction</t>
        </is>
      </c>
    </row>
    <row r="41">
      <c r="A41" t="n">
        <v>41</v>
      </c>
      <c r="B41" t="inlineStr">
        <is>
          <t>D03</t>
        </is>
      </c>
      <c r="C41" t="inlineStr">
        <is>
          <t>I16</t>
        </is>
      </c>
      <c r="D41">
        <f>'P0-3_Scorecard'!H41</f>
        <v/>
      </c>
      <c r="E41" t="inlineStr">
        <is>
          <t>Input 0–1</t>
        </is>
      </c>
      <c r="F41" t="inlineStr">
        <is>
          <t>Input 0–1</t>
        </is>
      </c>
      <c r="G41" t="inlineStr">
        <is>
          <t>Input 0–1</t>
        </is>
      </c>
      <c r="H41" t="inlineStr">
        <is>
          <t>Input 0–1</t>
        </is>
      </c>
      <c r="I41" t="inlineStr">
        <is>
          <t>Input 0–1</t>
        </is>
      </c>
      <c r="J41" t="inlineStr">
        <is>
          <t>Input 0–1</t>
        </is>
      </c>
      <c r="K41" t="inlineStr">
        <is>
          <t>Input 0–1</t>
        </is>
      </c>
      <c r="L41" t="inlineStr">
        <is>
          <t>Input 0–1</t>
        </is>
      </c>
      <c r="M41" t="inlineStr">
        <is>
          <t>LOW / MODERATE / HIGH</t>
        </is>
      </c>
      <c r="N41" t="inlineStr">
        <is>
          <t>Review if high score + weak evidence or contradiction</t>
        </is>
      </c>
    </row>
    <row r="42">
      <c r="A42" t="n">
        <v>42</v>
      </c>
      <c r="B42" t="inlineStr">
        <is>
          <t>D03</t>
        </is>
      </c>
      <c r="C42" t="inlineStr">
        <is>
          <t>I17</t>
        </is>
      </c>
      <c r="D42">
        <f>'P0-3_Scorecard'!H42</f>
        <v/>
      </c>
      <c r="E42" t="inlineStr">
        <is>
          <t>Input 0–1</t>
        </is>
      </c>
      <c r="F42" t="inlineStr">
        <is>
          <t>Input 0–1</t>
        </is>
      </c>
      <c r="G42" t="inlineStr">
        <is>
          <t>Input 0–1</t>
        </is>
      </c>
      <c r="H42" t="inlineStr">
        <is>
          <t>Input 0–1</t>
        </is>
      </c>
      <c r="I42" t="inlineStr">
        <is>
          <t>Input 0–1</t>
        </is>
      </c>
      <c r="J42" t="inlineStr">
        <is>
          <t>Input 0–1</t>
        </is>
      </c>
      <c r="K42" t="inlineStr">
        <is>
          <t>Input 0–1</t>
        </is>
      </c>
      <c r="L42" t="inlineStr">
        <is>
          <t>Input 0–1</t>
        </is>
      </c>
      <c r="M42" t="inlineStr">
        <is>
          <t>LOW / MODERATE / HIGH</t>
        </is>
      </c>
      <c r="N42" t="inlineStr">
        <is>
          <t>Review if high score + weak evidence or contradiction</t>
        </is>
      </c>
    </row>
    <row r="43">
      <c r="A43" t="n">
        <v>43</v>
      </c>
      <c r="B43" t="inlineStr">
        <is>
          <t>D04</t>
        </is>
      </c>
      <c r="C43" t="inlineStr">
        <is>
          <t>I01</t>
        </is>
      </c>
      <c r="D43">
        <f>'P0-3_Scorecard'!H43</f>
        <v/>
      </c>
      <c r="E43" t="inlineStr">
        <is>
          <t>Input 0–1</t>
        </is>
      </c>
      <c r="F43" t="inlineStr">
        <is>
          <t>Input 0–1</t>
        </is>
      </c>
      <c r="G43" t="inlineStr">
        <is>
          <t>Input 0–1</t>
        </is>
      </c>
      <c r="H43" t="inlineStr">
        <is>
          <t>Input 0–1</t>
        </is>
      </c>
      <c r="I43" t="inlineStr">
        <is>
          <t>Input 0–1</t>
        </is>
      </c>
      <c r="J43" t="inlineStr">
        <is>
          <t>Input 0–1</t>
        </is>
      </c>
      <c r="K43" t="inlineStr">
        <is>
          <t>Input 0–1</t>
        </is>
      </c>
      <c r="L43" t="inlineStr">
        <is>
          <t>Input 0–1</t>
        </is>
      </c>
      <c r="M43" t="inlineStr">
        <is>
          <t>LOW / MODERATE / HIGH</t>
        </is>
      </c>
      <c r="N43" t="inlineStr">
        <is>
          <t>Review if high score + weak evidence or contradiction</t>
        </is>
      </c>
    </row>
    <row r="44">
      <c r="A44" t="n">
        <v>44</v>
      </c>
      <c r="B44" t="inlineStr">
        <is>
          <t>D04</t>
        </is>
      </c>
      <c r="C44" t="inlineStr">
        <is>
          <t>I02</t>
        </is>
      </c>
      <c r="D44">
        <f>'P0-3_Scorecard'!H44</f>
        <v/>
      </c>
      <c r="E44" t="inlineStr">
        <is>
          <t>Input 0–1</t>
        </is>
      </c>
      <c r="F44" t="inlineStr">
        <is>
          <t>Input 0–1</t>
        </is>
      </c>
      <c r="G44" t="inlineStr">
        <is>
          <t>Input 0–1</t>
        </is>
      </c>
      <c r="H44" t="inlineStr">
        <is>
          <t>Input 0–1</t>
        </is>
      </c>
      <c r="I44" t="inlineStr">
        <is>
          <t>Input 0–1</t>
        </is>
      </c>
      <c r="J44" t="inlineStr">
        <is>
          <t>Input 0–1</t>
        </is>
      </c>
      <c r="K44" t="inlineStr">
        <is>
          <t>Input 0–1</t>
        </is>
      </c>
      <c r="L44" t="inlineStr">
        <is>
          <t>Input 0–1</t>
        </is>
      </c>
      <c r="M44" t="inlineStr">
        <is>
          <t>LOW / MODERATE / HIGH</t>
        </is>
      </c>
      <c r="N44" t="inlineStr">
        <is>
          <t>Review if high score + weak evidence or contradiction</t>
        </is>
      </c>
    </row>
    <row r="45">
      <c r="A45" t="n">
        <v>45</v>
      </c>
      <c r="B45" t="inlineStr">
        <is>
          <t>D04</t>
        </is>
      </c>
      <c r="C45" t="inlineStr">
        <is>
          <t>I03</t>
        </is>
      </c>
      <c r="D45">
        <f>'P0-3_Scorecard'!H45</f>
        <v/>
      </c>
      <c r="E45" t="inlineStr">
        <is>
          <t>Input 0–1</t>
        </is>
      </c>
      <c r="F45" t="inlineStr">
        <is>
          <t>Input 0–1</t>
        </is>
      </c>
      <c r="G45" t="inlineStr">
        <is>
          <t>Input 0–1</t>
        </is>
      </c>
      <c r="H45" t="inlineStr">
        <is>
          <t>Input 0–1</t>
        </is>
      </c>
      <c r="I45" t="inlineStr">
        <is>
          <t>Input 0–1</t>
        </is>
      </c>
      <c r="J45" t="inlineStr">
        <is>
          <t>Input 0–1</t>
        </is>
      </c>
      <c r="K45" t="inlineStr">
        <is>
          <t>Input 0–1</t>
        </is>
      </c>
      <c r="L45" t="inlineStr">
        <is>
          <t>Input 0–1</t>
        </is>
      </c>
      <c r="M45" t="inlineStr">
        <is>
          <t>LOW / MODERATE / HIGH</t>
        </is>
      </c>
      <c r="N45" t="inlineStr">
        <is>
          <t>Review if high score + weak evidence or contradiction</t>
        </is>
      </c>
    </row>
    <row r="46">
      <c r="A46" t="n">
        <v>46</v>
      </c>
      <c r="B46" t="inlineStr">
        <is>
          <t>D04</t>
        </is>
      </c>
      <c r="C46" t="inlineStr">
        <is>
          <t>I04</t>
        </is>
      </c>
      <c r="D46">
        <f>'P0-3_Scorecard'!H46</f>
        <v/>
      </c>
      <c r="E46" t="inlineStr">
        <is>
          <t>Input 0–1</t>
        </is>
      </c>
      <c r="F46" t="inlineStr">
        <is>
          <t>Input 0–1</t>
        </is>
      </c>
      <c r="G46" t="inlineStr">
        <is>
          <t>Input 0–1</t>
        </is>
      </c>
      <c r="H46" t="inlineStr">
        <is>
          <t>Input 0–1</t>
        </is>
      </c>
      <c r="I46" t="inlineStr">
        <is>
          <t>Input 0–1</t>
        </is>
      </c>
      <c r="J46" t="inlineStr">
        <is>
          <t>Input 0–1</t>
        </is>
      </c>
      <c r="K46" t="inlineStr">
        <is>
          <t>Input 0–1</t>
        </is>
      </c>
      <c r="L46" t="inlineStr">
        <is>
          <t>Input 0–1</t>
        </is>
      </c>
      <c r="M46" t="inlineStr">
        <is>
          <t>LOW / MODERATE / HIGH</t>
        </is>
      </c>
      <c r="N46" t="inlineStr">
        <is>
          <t>Review if high score + weak evidence or contradiction</t>
        </is>
      </c>
    </row>
    <row r="47">
      <c r="A47" t="n">
        <v>47</v>
      </c>
      <c r="B47" t="inlineStr">
        <is>
          <t>D04</t>
        </is>
      </c>
      <c r="C47" t="inlineStr">
        <is>
          <t>I05</t>
        </is>
      </c>
      <c r="D47">
        <f>'P0-3_Scorecard'!H47</f>
        <v/>
      </c>
      <c r="E47" t="inlineStr">
        <is>
          <t>Input 0–1</t>
        </is>
      </c>
      <c r="F47" t="inlineStr">
        <is>
          <t>Input 0–1</t>
        </is>
      </c>
      <c r="G47" t="inlineStr">
        <is>
          <t>Input 0–1</t>
        </is>
      </c>
      <c r="H47" t="inlineStr">
        <is>
          <t>Input 0–1</t>
        </is>
      </c>
      <c r="I47" t="inlineStr">
        <is>
          <t>Input 0–1</t>
        </is>
      </c>
      <c r="J47" t="inlineStr">
        <is>
          <t>Input 0–1</t>
        </is>
      </c>
      <c r="K47" t="inlineStr">
        <is>
          <t>Input 0–1</t>
        </is>
      </c>
      <c r="L47" t="inlineStr">
        <is>
          <t>Input 0–1</t>
        </is>
      </c>
      <c r="M47" t="inlineStr">
        <is>
          <t>LOW / MODERATE / HIGH</t>
        </is>
      </c>
      <c r="N47" t="inlineStr">
        <is>
          <t>Review if high score + weak evidence or contradiction</t>
        </is>
      </c>
    </row>
    <row r="48">
      <c r="A48" t="n">
        <v>48</v>
      </c>
      <c r="B48" t="inlineStr">
        <is>
          <t>D04</t>
        </is>
      </c>
      <c r="C48" t="inlineStr">
        <is>
          <t>I06</t>
        </is>
      </c>
      <c r="D48">
        <f>'P0-3_Scorecard'!H48</f>
        <v/>
      </c>
      <c r="E48" t="inlineStr">
        <is>
          <t>Input 0–1</t>
        </is>
      </c>
      <c r="F48" t="inlineStr">
        <is>
          <t>Input 0–1</t>
        </is>
      </c>
      <c r="G48" t="inlineStr">
        <is>
          <t>Input 0–1</t>
        </is>
      </c>
      <c r="H48" t="inlineStr">
        <is>
          <t>Input 0–1</t>
        </is>
      </c>
      <c r="I48" t="inlineStr">
        <is>
          <t>Input 0–1</t>
        </is>
      </c>
      <c r="J48" t="inlineStr">
        <is>
          <t>Input 0–1</t>
        </is>
      </c>
      <c r="K48" t="inlineStr">
        <is>
          <t>Input 0–1</t>
        </is>
      </c>
      <c r="L48" t="inlineStr">
        <is>
          <t>Input 0–1</t>
        </is>
      </c>
      <c r="M48" t="inlineStr">
        <is>
          <t>LOW / MODERATE / HIGH</t>
        </is>
      </c>
      <c r="N48" t="inlineStr">
        <is>
          <t>Review if high score + weak evidence or contradiction</t>
        </is>
      </c>
    </row>
    <row r="49">
      <c r="A49" t="n">
        <v>49</v>
      </c>
      <c r="B49" t="inlineStr">
        <is>
          <t>D04</t>
        </is>
      </c>
      <c r="C49" t="inlineStr">
        <is>
          <t>I07</t>
        </is>
      </c>
      <c r="D49">
        <f>'P0-3_Scorecard'!H49</f>
        <v/>
      </c>
      <c r="E49" t="inlineStr">
        <is>
          <t>Input 0–1</t>
        </is>
      </c>
      <c r="F49" t="inlineStr">
        <is>
          <t>Input 0–1</t>
        </is>
      </c>
      <c r="G49" t="inlineStr">
        <is>
          <t>Input 0–1</t>
        </is>
      </c>
      <c r="H49" t="inlineStr">
        <is>
          <t>Input 0–1</t>
        </is>
      </c>
      <c r="I49" t="inlineStr">
        <is>
          <t>Input 0–1</t>
        </is>
      </c>
      <c r="J49" t="inlineStr">
        <is>
          <t>Input 0–1</t>
        </is>
      </c>
      <c r="K49" t="inlineStr">
        <is>
          <t>Input 0–1</t>
        </is>
      </c>
      <c r="L49" t="inlineStr">
        <is>
          <t>Input 0–1</t>
        </is>
      </c>
      <c r="M49" t="inlineStr">
        <is>
          <t>LOW / MODERATE / HIGH</t>
        </is>
      </c>
      <c r="N49" t="inlineStr">
        <is>
          <t>Review if high score + weak evidence or contradiction</t>
        </is>
      </c>
    </row>
    <row r="50">
      <c r="A50" t="n">
        <v>50</v>
      </c>
      <c r="B50" t="inlineStr">
        <is>
          <t>D04</t>
        </is>
      </c>
      <c r="C50" t="inlineStr">
        <is>
          <t>I08</t>
        </is>
      </c>
      <c r="D50">
        <f>'P0-3_Scorecard'!H50</f>
        <v/>
      </c>
      <c r="E50" t="inlineStr">
        <is>
          <t>Input 0–1</t>
        </is>
      </c>
      <c r="F50" t="inlineStr">
        <is>
          <t>Input 0–1</t>
        </is>
      </c>
      <c r="G50" t="inlineStr">
        <is>
          <t>Input 0–1</t>
        </is>
      </c>
      <c r="H50" t="inlineStr">
        <is>
          <t>Input 0–1</t>
        </is>
      </c>
      <c r="I50" t="inlineStr">
        <is>
          <t>Input 0–1</t>
        </is>
      </c>
      <c r="J50" t="inlineStr">
        <is>
          <t>Input 0–1</t>
        </is>
      </c>
      <c r="K50" t="inlineStr">
        <is>
          <t>Input 0–1</t>
        </is>
      </c>
      <c r="L50" t="inlineStr">
        <is>
          <t>Input 0–1</t>
        </is>
      </c>
      <c r="M50" t="inlineStr">
        <is>
          <t>LOW / MODERATE / HIGH</t>
        </is>
      </c>
      <c r="N50" t="inlineStr">
        <is>
          <t>Review if high score + weak evidence or contradiction</t>
        </is>
      </c>
    </row>
    <row r="51">
      <c r="A51" t="n">
        <v>51</v>
      </c>
      <c r="B51" t="inlineStr">
        <is>
          <t>D04</t>
        </is>
      </c>
      <c r="C51" t="inlineStr">
        <is>
          <t>I09</t>
        </is>
      </c>
      <c r="D51">
        <f>'P0-3_Scorecard'!H51</f>
        <v/>
      </c>
      <c r="E51" t="inlineStr">
        <is>
          <t>Input 0–1</t>
        </is>
      </c>
      <c r="F51" t="inlineStr">
        <is>
          <t>Input 0–1</t>
        </is>
      </c>
      <c r="G51" t="inlineStr">
        <is>
          <t>Input 0–1</t>
        </is>
      </c>
      <c r="H51" t="inlineStr">
        <is>
          <t>Input 0–1</t>
        </is>
      </c>
      <c r="I51" t="inlineStr">
        <is>
          <t>Input 0–1</t>
        </is>
      </c>
      <c r="J51" t="inlineStr">
        <is>
          <t>Input 0–1</t>
        </is>
      </c>
      <c r="K51" t="inlineStr">
        <is>
          <t>Input 0–1</t>
        </is>
      </c>
      <c r="L51" t="inlineStr">
        <is>
          <t>Input 0–1</t>
        </is>
      </c>
      <c r="M51" t="inlineStr">
        <is>
          <t>LOW / MODERATE / HIGH</t>
        </is>
      </c>
      <c r="N51" t="inlineStr">
        <is>
          <t>Review if high score + weak evidence or contradiction</t>
        </is>
      </c>
    </row>
    <row r="52">
      <c r="A52" t="n">
        <v>52</v>
      </c>
      <c r="B52" t="inlineStr">
        <is>
          <t>D04</t>
        </is>
      </c>
      <c r="C52" t="inlineStr">
        <is>
          <t>I10</t>
        </is>
      </c>
      <c r="D52">
        <f>'P0-3_Scorecard'!H52</f>
        <v/>
      </c>
      <c r="E52" t="inlineStr">
        <is>
          <t>Input 0–1</t>
        </is>
      </c>
      <c r="F52" t="inlineStr">
        <is>
          <t>Input 0–1</t>
        </is>
      </c>
      <c r="G52" t="inlineStr">
        <is>
          <t>Input 0–1</t>
        </is>
      </c>
      <c r="H52" t="inlineStr">
        <is>
          <t>Input 0–1</t>
        </is>
      </c>
      <c r="I52" t="inlineStr">
        <is>
          <t>Input 0–1</t>
        </is>
      </c>
      <c r="J52" t="inlineStr">
        <is>
          <t>Input 0–1</t>
        </is>
      </c>
      <c r="K52" t="inlineStr">
        <is>
          <t>Input 0–1</t>
        </is>
      </c>
      <c r="L52" t="inlineStr">
        <is>
          <t>Input 0–1</t>
        </is>
      </c>
      <c r="M52" t="inlineStr">
        <is>
          <t>LOW / MODERATE / HIGH</t>
        </is>
      </c>
      <c r="N52" t="inlineStr">
        <is>
          <t>Review if high score + weak evidence or contradiction</t>
        </is>
      </c>
    </row>
    <row r="53">
      <c r="A53" t="n">
        <v>53</v>
      </c>
      <c r="B53" t="inlineStr">
        <is>
          <t>D04</t>
        </is>
      </c>
      <c r="C53" t="inlineStr">
        <is>
          <t>I11</t>
        </is>
      </c>
      <c r="D53">
        <f>'P0-3_Scorecard'!H53</f>
        <v/>
      </c>
      <c r="E53" t="inlineStr">
        <is>
          <t>Input 0–1</t>
        </is>
      </c>
      <c r="F53" t="inlineStr">
        <is>
          <t>Input 0–1</t>
        </is>
      </c>
      <c r="G53" t="inlineStr">
        <is>
          <t>Input 0–1</t>
        </is>
      </c>
      <c r="H53" t="inlineStr">
        <is>
          <t>Input 0–1</t>
        </is>
      </c>
      <c r="I53" t="inlineStr">
        <is>
          <t>Input 0–1</t>
        </is>
      </c>
      <c r="J53" t="inlineStr">
        <is>
          <t>Input 0–1</t>
        </is>
      </c>
      <c r="K53" t="inlineStr">
        <is>
          <t>Input 0–1</t>
        </is>
      </c>
      <c r="L53" t="inlineStr">
        <is>
          <t>Input 0–1</t>
        </is>
      </c>
      <c r="M53" t="inlineStr">
        <is>
          <t>LOW / MODERATE / HIGH</t>
        </is>
      </c>
      <c r="N53" t="inlineStr">
        <is>
          <t>Review if high score + weak evidence or contradiction</t>
        </is>
      </c>
    </row>
    <row r="54">
      <c r="A54" t="n">
        <v>54</v>
      </c>
      <c r="B54" t="inlineStr">
        <is>
          <t>D04</t>
        </is>
      </c>
      <c r="C54" t="inlineStr">
        <is>
          <t>I12</t>
        </is>
      </c>
      <c r="D54">
        <f>'P0-3_Scorecard'!H54</f>
        <v/>
      </c>
      <c r="E54" t="inlineStr">
        <is>
          <t>Input 0–1</t>
        </is>
      </c>
      <c r="F54" t="inlineStr">
        <is>
          <t>Input 0–1</t>
        </is>
      </c>
      <c r="G54" t="inlineStr">
        <is>
          <t>Input 0–1</t>
        </is>
      </c>
      <c r="H54" t="inlineStr">
        <is>
          <t>Input 0–1</t>
        </is>
      </c>
      <c r="I54" t="inlineStr">
        <is>
          <t>Input 0–1</t>
        </is>
      </c>
      <c r="J54" t="inlineStr">
        <is>
          <t>Input 0–1</t>
        </is>
      </c>
      <c r="K54" t="inlineStr">
        <is>
          <t>Input 0–1</t>
        </is>
      </c>
      <c r="L54" t="inlineStr">
        <is>
          <t>Input 0–1</t>
        </is>
      </c>
      <c r="M54" t="inlineStr">
        <is>
          <t>LOW / MODERATE / HIGH</t>
        </is>
      </c>
      <c r="N54" t="inlineStr">
        <is>
          <t>Review if high score + weak evidence or contradiction</t>
        </is>
      </c>
    </row>
    <row r="55">
      <c r="A55" t="n">
        <v>55</v>
      </c>
      <c r="B55" t="inlineStr">
        <is>
          <t>D05</t>
        </is>
      </c>
      <c r="C55" t="inlineStr">
        <is>
          <t>I01</t>
        </is>
      </c>
      <c r="D55">
        <f>'P0-3_Scorecard'!H55</f>
        <v/>
      </c>
      <c r="E55" t="inlineStr">
        <is>
          <t>Input 0–1</t>
        </is>
      </c>
      <c r="F55" t="inlineStr">
        <is>
          <t>Input 0–1</t>
        </is>
      </c>
      <c r="G55" t="inlineStr">
        <is>
          <t>Input 0–1</t>
        </is>
      </c>
      <c r="H55" t="inlineStr">
        <is>
          <t>Input 0–1</t>
        </is>
      </c>
      <c r="I55" t="inlineStr">
        <is>
          <t>Input 0–1</t>
        </is>
      </c>
      <c r="J55" t="inlineStr">
        <is>
          <t>Input 0–1</t>
        </is>
      </c>
      <c r="K55" t="inlineStr">
        <is>
          <t>Input 0–1</t>
        </is>
      </c>
      <c r="L55" t="inlineStr">
        <is>
          <t>Input 0–1</t>
        </is>
      </c>
      <c r="M55" t="inlineStr">
        <is>
          <t>LOW / MODERATE / HIGH</t>
        </is>
      </c>
      <c r="N55" t="inlineStr">
        <is>
          <t>Review if high score + weak evidence or contradiction</t>
        </is>
      </c>
    </row>
    <row r="56">
      <c r="A56" t="n">
        <v>56</v>
      </c>
      <c r="B56" t="inlineStr">
        <is>
          <t>D05</t>
        </is>
      </c>
      <c r="C56" t="inlineStr">
        <is>
          <t>I02</t>
        </is>
      </c>
      <c r="D56">
        <f>'P0-3_Scorecard'!H56</f>
        <v/>
      </c>
      <c r="E56" t="inlineStr">
        <is>
          <t>Input 0–1</t>
        </is>
      </c>
      <c r="F56" t="inlineStr">
        <is>
          <t>Input 0–1</t>
        </is>
      </c>
      <c r="G56" t="inlineStr">
        <is>
          <t>Input 0–1</t>
        </is>
      </c>
      <c r="H56" t="inlineStr">
        <is>
          <t>Input 0–1</t>
        </is>
      </c>
      <c r="I56" t="inlineStr">
        <is>
          <t>Input 0–1</t>
        </is>
      </c>
      <c r="J56" t="inlineStr">
        <is>
          <t>Input 0–1</t>
        </is>
      </c>
      <c r="K56" t="inlineStr">
        <is>
          <t>Input 0–1</t>
        </is>
      </c>
      <c r="L56" t="inlineStr">
        <is>
          <t>Input 0–1</t>
        </is>
      </c>
      <c r="M56" t="inlineStr">
        <is>
          <t>LOW / MODERATE / HIGH</t>
        </is>
      </c>
      <c r="N56" t="inlineStr">
        <is>
          <t>Review if high score + weak evidence or contradiction</t>
        </is>
      </c>
    </row>
    <row r="57">
      <c r="A57" t="n">
        <v>57</v>
      </c>
      <c r="B57" t="inlineStr">
        <is>
          <t>D05</t>
        </is>
      </c>
      <c r="C57" t="inlineStr">
        <is>
          <t>I03</t>
        </is>
      </c>
      <c r="D57">
        <f>'P0-3_Scorecard'!H57</f>
        <v/>
      </c>
      <c r="E57" t="inlineStr">
        <is>
          <t>Input 0–1</t>
        </is>
      </c>
      <c r="F57" t="inlineStr">
        <is>
          <t>Input 0–1</t>
        </is>
      </c>
      <c r="G57" t="inlineStr">
        <is>
          <t>Input 0–1</t>
        </is>
      </c>
      <c r="H57" t="inlineStr">
        <is>
          <t>Input 0–1</t>
        </is>
      </c>
      <c r="I57" t="inlineStr">
        <is>
          <t>Input 0–1</t>
        </is>
      </c>
      <c r="J57" t="inlineStr">
        <is>
          <t>Input 0–1</t>
        </is>
      </c>
      <c r="K57" t="inlineStr">
        <is>
          <t>Input 0–1</t>
        </is>
      </c>
      <c r="L57" t="inlineStr">
        <is>
          <t>Input 0–1</t>
        </is>
      </c>
      <c r="M57" t="inlineStr">
        <is>
          <t>LOW / MODERATE / HIGH</t>
        </is>
      </c>
      <c r="N57" t="inlineStr">
        <is>
          <t>Review if high score + weak evidence or contradiction</t>
        </is>
      </c>
    </row>
    <row r="58">
      <c r="A58" t="n">
        <v>58</v>
      </c>
      <c r="B58" t="inlineStr">
        <is>
          <t>D05</t>
        </is>
      </c>
      <c r="C58" t="inlineStr">
        <is>
          <t>I04</t>
        </is>
      </c>
      <c r="D58">
        <f>'P0-3_Scorecard'!H58</f>
        <v/>
      </c>
      <c r="E58" t="inlineStr">
        <is>
          <t>Input 0–1</t>
        </is>
      </c>
      <c r="F58" t="inlineStr">
        <is>
          <t>Input 0–1</t>
        </is>
      </c>
      <c r="G58" t="inlineStr">
        <is>
          <t>Input 0–1</t>
        </is>
      </c>
      <c r="H58" t="inlineStr">
        <is>
          <t>Input 0–1</t>
        </is>
      </c>
      <c r="I58" t="inlineStr">
        <is>
          <t>Input 0–1</t>
        </is>
      </c>
      <c r="J58" t="inlineStr">
        <is>
          <t>Input 0–1</t>
        </is>
      </c>
      <c r="K58" t="inlineStr">
        <is>
          <t>Input 0–1</t>
        </is>
      </c>
      <c r="L58" t="inlineStr">
        <is>
          <t>Input 0–1</t>
        </is>
      </c>
      <c r="M58" t="inlineStr">
        <is>
          <t>LOW / MODERATE / HIGH</t>
        </is>
      </c>
      <c r="N58" t="inlineStr">
        <is>
          <t>Review if high score + weak evidence or contradiction</t>
        </is>
      </c>
    </row>
    <row r="59">
      <c r="A59" t="n">
        <v>59</v>
      </c>
      <c r="B59" t="inlineStr">
        <is>
          <t>D05</t>
        </is>
      </c>
      <c r="C59" t="inlineStr">
        <is>
          <t>I05</t>
        </is>
      </c>
      <c r="D59">
        <f>'P0-3_Scorecard'!H59</f>
        <v/>
      </c>
      <c r="E59" t="inlineStr">
        <is>
          <t>Input 0–1</t>
        </is>
      </c>
      <c r="F59" t="inlineStr">
        <is>
          <t>Input 0–1</t>
        </is>
      </c>
      <c r="G59" t="inlineStr">
        <is>
          <t>Input 0–1</t>
        </is>
      </c>
      <c r="H59" t="inlineStr">
        <is>
          <t>Input 0–1</t>
        </is>
      </c>
      <c r="I59" t="inlineStr">
        <is>
          <t>Input 0–1</t>
        </is>
      </c>
      <c r="J59" t="inlineStr">
        <is>
          <t>Input 0–1</t>
        </is>
      </c>
      <c r="K59" t="inlineStr">
        <is>
          <t>Input 0–1</t>
        </is>
      </c>
      <c r="L59" t="inlineStr">
        <is>
          <t>Input 0–1</t>
        </is>
      </c>
      <c r="M59" t="inlineStr">
        <is>
          <t>LOW / MODERATE / HIGH</t>
        </is>
      </c>
      <c r="N59" t="inlineStr">
        <is>
          <t>Review if high score + weak evidence or contradiction</t>
        </is>
      </c>
    </row>
    <row r="60">
      <c r="A60" t="n">
        <v>60</v>
      </c>
      <c r="B60" t="inlineStr">
        <is>
          <t>D05</t>
        </is>
      </c>
      <c r="C60" t="inlineStr">
        <is>
          <t>I06</t>
        </is>
      </c>
      <c r="D60">
        <f>'P0-3_Scorecard'!H60</f>
        <v/>
      </c>
      <c r="E60" t="inlineStr">
        <is>
          <t>Input 0–1</t>
        </is>
      </c>
      <c r="F60" t="inlineStr">
        <is>
          <t>Input 0–1</t>
        </is>
      </c>
      <c r="G60" t="inlineStr">
        <is>
          <t>Input 0–1</t>
        </is>
      </c>
      <c r="H60" t="inlineStr">
        <is>
          <t>Input 0–1</t>
        </is>
      </c>
      <c r="I60" t="inlineStr">
        <is>
          <t>Input 0–1</t>
        </is>
      </c>
      <c r="J60" t="inlineStr">
        <is>
          <t>Input 0–1</t>
        </is>
      </c>
      <c r="K60" t="inlineStr">
        <is>
          <t>Input 0–1</t>
        </is>
      </c>
      <c r="L60" t="inlineStr">
        <is>
          <t>Input 0–1</t>
        </is>
      </c>
      <c r="M60" t="inlineStr">
        <is>
          <t>LOW / MODERATE / HIGH</t>
        </is>
      </c>
      <c r="N60" t="inlineStr">
        <is>
          <t>Review if high score + weak evidence or contradiction</t>
        </is>
      </c>
    </row>
    <row r="61">
      <c r="A61" t="n">
        <v>61</v>
      </c>
      <c r="B61" t="inlineStr">
        <is>
          <t>D05</t>
        </is>
      </c>
      <c r="C61" t="inlineStr">
        <is>
          <t>I07</t>
        </is>
      </c>
      <c r="D61">
        <f>'P0-3_Scorecard'!H61</f>
        <v/>
      </c>
      <c r="E61" t="inlineStr">
        <is>
          <t>Input 0–1</t>
        </is>
      </c>
      <c r="F61" t="inlineStr">
        <is>
          <t>Input 0–1</t>
        </is>
      </c>
      <c r="G61" t="inlineStr">
        <is>
          <t>Input 0–1</t>
        </is>
      </c>
      <c r="H61" t="inlineStr">
        <is>
          <t>Input 0–1</t>
        </is>
      </c>
      <c r="I61" t="inlineStr">
        <is>
          <t>Input 0–1</t>
        </is>
      </c>
      <c r="J61" t="inlineStr">
        <is>
          <t>Input 0–1</t>
        </is>
      </c>
      <c r="K61" t="inlineStr">
        <is>
          <t>Input 0–1</t>
        </is>
      </c>
      <c r="L61" t="inlineStr">
        <is>
          <t>Input 0–1</t>
        </is>
      </c>
      <c r="M61" t="inlineStr">
        <is>
          <t>LOW / MODERATE / HIGH</t>
        </is>
      </c>
      <c r="N61" t="inlineStr">
        <is>
          <t>Review if high score + weak evidence or contradiction</t>
        </is>
      </c>
    </row>
    <row r="62">
      <c r="A62" t="n">
        <v>62</v>
      </c>
      <c r="B62" t="inlineStr">
        <is>
          <t>D05</t>
        </is>
      </c>
      <c r="C62" t="inlineStr">
        <is>
          <t>I08</t>
        </is>
      </c>
      <c r="D62">
        <f>'P0-3_Scorecard'!H62</f>
        <v/>
      </c>
      <c r="E62" t="inlineStr">
        <is>
          <t>Input 0–1</t>
        </is>
      </c>
      <c r="F62" t="inlineStr">
        <is>
          <t>Input 0–1</t>
        </is>
      </c>
      <c r="G62" t="inlineStr">
        <is>
          <t>Input 0–1</t>
        </is>
      </c>
      <c r="H62" t="inlineStr">
        <is>
          <t>Input 0–1</t>
        </is>
      </c>
      <c r="I62" t="inlineStr">
        <is>
          <t>Input 0–1</t>
        </is>
      </c>
      <c r="J62" t="inlineStr">
        <is>
          <t>Input 0–1</t>
        </is>
      </c>
      <c r="K62" t="inlineStr">
        <is>
          <t>Input 0–1</t>
        </is>
      </c>
      <c r="L62" t="inlineStr">
        <is>
          <t>Input 0–1</t>
        </is>
      </c>
      <c r="M62" t="inlineStr">
        <is>
          <t>LOW / MODERATE / HIGH</t>
        </is>
      </c>
      <c r="N62" t="inlineStr">
        <is>
          <t>Review if high score + weak evidence or contradiction</t>
        </is>
      </c>
    </row>
    <row r="63">
      <c r="A63" t="n">
        <v>63</v>
      </c>
      <c r="B63" t="inlineStr">
        <is>
          <t>D05</t>
        </is>
      </c>
      <c r="C63" t="inlineStr">
        <is>
          <t>I09</t>
        </is>
      </c>
      <c r="D63">
        <f>'P0-3_Scorecard'!H63</f>
        <v/>
      </c>
      <c r="E63" t="inlineStr">
        <is>
          <t>Input 0–1</t>
        </is>
      </c>
      <c r="F63" t="inlineStr">
        <is>
          <t>Input 0–1</t>
        </is>
      </c>
      <c r="G63" t="inlineStr">
        <is>
          <t>Input 0–1</t>
        </is>
      </c>
      <c r="H63" t="inlineStr">
        <is>
          <t>Input 0–1</t>
        </is>
      </c>
      <c r="I63" t="inlineStr">
        <is>
          <t>Input 0–1</t>
        </is>
      </c>
      <c r="J63" t="inlineStr">
        <is>
          <t>Input 0–1</t>
        </is>
      </c>
      <c r="K63" t="inlineStr">
        <is>
          <t>Input 0–1</t>
        </is>
      </c>
      <c r="L63" t="inlineStr">
        <is>
          <t>Input 0–1</t>
        </is>
      </c>
      <c r="M63" t="inlineStr">
        <is>
          <t>LOW / MODERATE / HIGH</t>
        </is>
      </c>
      <c r="N63" t="inlineStr">
        <is>
          <t>Review if high score + weak evidence or contradiction</t>
        </is>
      </c>
    </row>
    <row r="64">
      <c r="A64" t="n">
        <v>64</v>
      </c>
      <c r="B64" t="inlineStr">
        <is>
          <t>D05</t>
        </is>
      </c>
      <c r="C64" t="inlineStr">
        <is>
          <t>I10</t>
        </is>
      </c>
      <c r="D64">
        <f>'P0-3_Scorecard'!H64</f>
        <v/>
      </c>
      <c r="E64" t="inlineStr">
        <is>
          <t>Input 0–1</t>
        </is>
      </c>
      <c r="F64" t="inlineStr">
        <is>
          <t>Input 0–1</t>
        </is>
      </c>
      <c r="G64" t="inlineStr">
        <is>
          <t>Input 0–1</t>
        </is>
      </c>
      <c r="H64" t="inlineStr">
        <is>
          <t>Input 0–1</t>
        </is>
      </c>
      <c r="I64" t="inlineStr">
        <is>
          <t>Input 0–1</t>
        </is>
      </c>
      <c r="J64" t="inlineStr">
        <is>
          <t>Input 0–1</t>
        </is>
      </c>
      <c r="K64" t="inlineStr">
        <is>
          <t>Input 0–1</t>
        </is>
      </c>
      <c r="L64" t="inlineStr">
        <is>
          <t>Input 0–1</t>
        </is>
      </c>
      <c r="M64" t="inlineStr">
        <is>
          <t>LOW / MODERATE / HIGH</t>
        </is>
      </c>
      <c r="N64" t="inlineStr">
        <is>
          <t>Review if high score + weak evidence or contradiction</t>
        </is>
      </c>
    </row>
    <row r="65">
      <c r="A65" t="n">
        <v>65</v>
      </c>
      <c r="B65" t="inlineStr">
        <is>
          <t>D05</t>
        </is>
      </c>
      <c r="C65" t="inlineStr">
        <is>
          <t>I11</t>
        </is>
      </c>
      <c r="D65">
        <f>'P0-3_Scorecard'!H65</f>
        <v/>
      </c>
      <c r="E65" t="inlineStr">
        <is>
          <t>Input 0–1</t>
        </is>
      </c>
      <c r="F65" t="inlineStr">
        <is>
          <t>Input 0–1</t>
        </is>
      </c>
      <c r="G65" t="inlineStr">
        <is>
          <t>Input 0–1</t>
        </is>
      </c>
      <c r="H65" t="inlineStr">
        <is>
          <t>Input 0–1</t>
        </is>
      </c>
      <c r="I65" t="inlineStr">
        <is>
          <t>Input 0–1</t>
        </is>
      </c>
      <c r="J65" t="inlineStr">
        <is>
          <t>Input 0–1</t>
        </is>
      </c>
      <c r="K65" t="inlineStr">
        <is>
          <t>Input 0–1</t>
        </is>
      </c>
      <c r="L65" t="inlineStr">
        <is>
          <t>Input 0–1</t>
        </is>
      </c>
      <c r="M65" t="inlineStr">
        <is>
          <t>LOW / MODERATE / HIGH</t>
        </is>
      </c>
      <c r="N65" t="inlineStr">
        <is>
          <t>Review if high score + weak evidence or contradiction</t>
        </is>
      </c>
    </row>
    <row r="66">
      <c r="A66" t="n">
        <v>66</v>
      </c>
      <c r="B66" t="inlineStr">
        <is>
          <t>D05</t>
        </is>
      </c>
      <c r="C66" t="inlineStr">
        <is>
          <t>I12</t>
        </is>
      </c>
      <c r="D66">
        <f>'P0-3_Scorecard'!H66</f>
        <v/>
      </c>
      <c r="E66" t="inlineStr">
        <is>
          <t>Input 0–1</t>
        </is>
      </c>
      <c r="F66" t="inlineStr">
        <is>
          <t>Input 0–1</t>
        </is>
      </c>
      <c r="G66" t="inlineStr">
        <is>
          <t>Input 0–1</t>
        </is>
      </c>
      <c r="H66" t="inlineStr">
        <is>
          <t>Input 0–1</t>
        </is>
      </c>
      <c r="I66" t="inlineStr">
        <is>
          <t>Input 0–1</t>
        </is>
      </c>
      <c r="J66" t="inlineStr">
        <is>
          <t>Input 0–1</t>
        </is>
      </c>
      <c r="K66" t="inlineStr">
        <is>
          <t>Input 0–1</t>
        </is>
      </c>
      <c r="L66" t="inlineStr">
        <is>
          <t>Input 0–1</t>
        </is>
      </c>
      <c r="M66" t="inlineStr">
        <is>
          <t>LOW / MODERATE / HIGH</t>
        </is>
      </c>
      <c r="N66" t="inlineStr">
        <is>
          <t>Review if high score + weak evidence or contradiction</t>
        </is>
      </c>
    </row>
    <row r="67">
      <c r="A67" t="n">
        <v>67</v>
      </c>
      <c r="B67" t="inlineStr">
        <is>
          <t>D06</t>
        </is>
      </c>
      <c r="C67" t="inlineStr">
        <is>
          <t>I01</t>
        </is>
      </c>
      <c r="D67">
        <f>'P0-3_Scorecard'!H67</f>
        <v/>
      </c>
      <c r="E67" t="inlineStr">
        <is>
          <t>Input 0–1</t>
        </is>
      </c>
      <c r="F67" t="inlineStr">
        <is>
          <t>Input 0–1</t>
        </is>
      </c>
      <c r="G67" t="inlineStr">
        <is>
          <t>Input 0–1</t>
        </is>
      </c>
      <c r="H67" t="inlineStr">
        <is>
          <t>Input 0–1</t>
        </is>
      </c>
      <c r="I67" t="inlineStr">
        <is>
          <t>Input 0–1</t>
        </is>
      </c>
      <c r="J67" t="inlineStr">
        <is>
          <t>Input 0–1</t>
        </is>
      </c>
      <c r="K67" t="inlineStr">
        <is>
          <t>Input 0–1</t>
        </is>
      </c>
      <c r="L67" t="inlineStr">
        <is>
          <t>Input 0–1</t>
        </is>
      </c>
      <c r="M67" t="inlineStr">
        <is>
          <t>LOW / MODERATE / HIGH</t>
        </is>
      </c>
      <c r="N67" t="inlineStr">
        <is>
          <t>Review if high score + weak evidence or contradiction</t>
        </is>
      </c>
    </row>
    <row r="68">
      <c r="A68" t="n">
        <v>68</v>
      </c>
      <c r="B68" t="inlineStr">
        <is>
          <t>D06</t>
        </is>
      </c>
      <c r="C68" t="inlineStr">
        <is>
          <t>I02</t>
        </is>
      </c>
      <c r="D68">
        <f>'P0-3_Scorecard'!H68</f>
        <v/>
      </c>
      <c r="E68" t="inlineStr">
        <is>
          <t>Input 0–1</t>
        </is>
      </c>
      <c r="F68" t="inlineStr">
        <is>
          <t>Input 0–1</t>
        </is>
      </c>
      <c r="G68" t="inlineStr">
        <is>
          <t>Input 0–1</t>
        </is>
      </c>
      <c r="H68" t="inlineStr">
        <is>
          <t>Input 0–1</t>
        </is>
      </c>
      <c r="I68" t="inlineStr">
        <is>
          <t>Input 0–1</t>
        </is>
      </c>
      <c r="J68" t="inlineStr">
        <is>
          <t>Input 0–1</t>
        </is>
      </c>
      <c r="K68" t="inlineStr">
        <is>
          <t>Input 0–1</t>
        </is>
      </c>
      <c r="L68" t="inlineStr">
        <is>
          <t>Input 0–1</t>
        </is>
      </c>
      <c r="M68" t="inlineStr">
        <is>
          <t>LOW / MODERATE / HIGH</t>
        </is>
      </c>
      <c r="N68" t="inlineStr">
        <is>
          <t>Review if high score + weak evidence or contradiction</t>
        </is>
      </c>
    </row>
    <row r="69">
      <c r="A69" t="n">
        <v>69</v>
      </c>
      <c r="B69" t="inlineStr">
        <is>
          <t>D06</t>
        </is>
      </c>
      <c r="C69" t="inlineStr">
        <is>
          <t>I03</t>
        </is>
      </c>
      <c r="D69">
        <f>'P0-3_Scorecard'!H69</f>
        <v/>
      </c>
      <c r="E69" t="inlineStr">
        <is>
          <t>Input 0–1</t>
        </is>
      </c>
      <c r="F69" t="inlineStr">
        <is>
          <t>Input 0–1</t>
        </is>
      </c>
      <c r="G69" t="inlineStr">
        <is>
          <t>Input 0–1</t>
        </is>
      </c>
      <c r="H69" t="inlineStr">
        <is>
          <t>Input 0–1</t>
        </is>
      </c>
      <c r="I69" t="inlineStr">
        <is>
          <t>Input 0–1</t>
        </is>
      </c>
      <c r="J69" t="inlineStr">
        <is>
          <t>Input 0–1</t>
        </is>
      </c>
      <c r="K69" t="inlineStr">
        <is>
          <t>Input 0–1</t>
        </is>
      </c>
      <c r="L69" t="inlineStr">
        <is>
          <t>Input 0–1</t>
        </is>
      </c>
      <c r="M69" t="inlineStr">
        <is>
          <t>LOW / MODERATE / HIGH</t>
        </is>
      </c>
      <c r="N69" t="inlineStr">
        <is>
          <t>Review if high score + weak evidence or contradiction</t>
        </is>
      </c>
    </row>
    <row r="70">
      <c r="A70" t="n">
        <v>70</v>
      </c>
      <c r="B70" t="inlineStr">
        <is>
          <t>D06</t>
        </is>
      </c>
      <c r="C70" t="inlineStr">
        <is>
          <t>I04</t>
        </is>
      </c>
      <c r="D70">
        <f>'P0-3_Scorecard'!H70</f>
        <v/>
      </c>
      <c r="E70" t="inlineStr">
        <is>
          <t>Input 0–1</t>
        </is>
      </c>
      <c r="F70" t="inlineStr">
        <is>
          <t>Input 0–1</t>
        </is>
      </c>
      <c r="G70" t="inlineStr">
        <is>
          <t>Input 0–1</t>
        </is>
      </c>
      <c r="H70" t="inlineStr">
        <is>
          <t>Input 0–1</t>
        </is>
      </c>
      <c r="I70" t="inlineStr">
        <is>
          <t>Input 0–1</t>
        </is>
      </c>
      <c r="J70" t="inlineStr">
        <is>
          <t>Input 0–1</t>
        </is>
      </c>
      <c r="K70" t="inlineStr">
        <is>
          <t>Input 0–1</t>
        </is>
      </c>
      <c r="L70" t="inlineStr">
        <is>
          <t>Input 0–1</t>
        </is>
      </c>
      <c r="M70" t="inlineStr">
        <is>
          <t>LOW / MODERATE / HIGH</t>
        </is>
      </c>
      <c r="N70" t="inlineStr">
        <is>
          <t>Review if high score + weak evidence or contradiction</t>
        </is>
      </c>
    </row>
    <row r="71">
      <c r="A71" t="n">
        <v>71</v>
      </c>
      <c r="B71" t="inlineStr">
        <is>
          <t>D06</t>
        </is>
      </c>
      <c r="C71" t="inlineStr">
        <is>
          <t>I05</t>
        </is>
      </c>
      <c r="D71">
        <f>'P0-3_Scorecard'!H71</f>
        <v/>
      </c>
      <c r="E71" t="inlineStr">
        <is>
          <t>Input 0–1</t>
        </is>
      </c>
      <c r="F71" t="inlineStr">
        <is>
          <t>Input 0–1</t>
        </is>
      </c>
      <c r="G71" t="inlineStr">
        <is>
          <t>Input 0–1</t>
        </is>
      </c>
      <c r="H71" t="inlineStr">
        <is>
          <t>Input 0–1</t>
        </is>
      </c>
      <c r="I71" t="inlineStr">
        <is>
          <t>Input 0–1</t>
        </is>
      </c>
      <c r="J71" t="inlineStr">
        <is>
          <t>Input 0–1</t>
        </is>
      </c>
      <c r="K71" t="inlineStr">
        <is>
          <t>Input 0–1</t>
        </is>
      </c>
      <c r="L71" t="inlineStr">
        <is>
          <t>Input 0–1</t>
        </is>
      </c>
      <c r="M71" t="inlineStr">
        <is>
          <t>LOW / MODERATE / HIGH</t>
        </is>
      </c>
      <c r="N71" t="inlineStr">
        <is>
          <t>Review if high score + weak evidence or contradiction</t>
        </is>
      </c>
    </row>
    <row r="72">
      <c r="A72" t="n">
        <v>72</v>
      </c>
      <c r="B72" t="inlineStr">
        <is>
          <t>D06</t>
        </is>
      </c>
      <c r="C72" t="inlineStr">
        <is>
          <t>I06</t>
        </is>
      </c>
      <c r="D72">
        <f>'P0-3_Scorecard'!H72</f>
        <v/>
      </c>
      <c r="E72" t="inlineStr">
        <is>
          <t>Input 0–1</t>
        </is>
      </c>
      <c r="F72" t="inlineStr">
        <is>
          <t>Input 0–1</t>
        </is>
      </c>
      <c r="G72" t="inlineStr">
        <is>
          <t>Input 0–1</t>
        </is>
      </c>
      <c r="H72" t="inlineStr">
        <is>
          <t>Input 0–1</t>
        </is>
      </c>
      <c r="I72" t="inlineStr">
        <is>
          <t>Input 0–1</t>
        </is>
      </c>
      <c r="J72" t="inlineStr">
        <is>
          <t>Input 0–1</t>
        </is>
      </c>
      <c r="K72" t="inlineStr">
        <is>
          <t>Input 0–1</t>
        </is>
      </c>
      <c r="L72" t="inlineStr">
        <is>
          <t>Input 0–1</t>
        </is>
      </c>
      <c r="M72" t="inlineStr">
        <is>
          <t>LOW / MODERATE / HIGH</t>
        </is>
      </c>
      <c r="N72" t="inlineStr">
        <is>
          <t>Review if high score + weak evidence or contradiction</t>
        </is>
      </c>
    </row>
    <row r="73">
      <c r="A73" t="n">
        <v>73</v>
      </c>
      <c r="B73" t="inlineStr">
        <is>
          <t>D06</t>
        </is>
      </c>
      <c r="C73" t="inlineStr">
        <is>
          <t>I07</t>
        </is>
      </c>
      <c r="D73">
        <f>'P0-3_Scorecard'!H73</f>
        <v/>
      </c>
      <c r="E73" t="inlineStr">
        <is>
          <t>Input 0–1</t>
        </is>
      </c>
      <c r="F73" t="inlineStr">
        <is>
          <t>Input 0–1</t>
        </is>
      </c>
      <c r="G73" t="inlineStr">
        <is>
          <t>Input 0–1</t>
        </is>
      </c>
      <c r="H73" t="inlineStr">
        <is>
          <t>Input 0–1</t>
        </is>
      </c>
      <c r="I73" t="inlineStr">
        <is>
          <t>Input 0–1</t>
        </is>
      </c>
      <c r="J73" t="inlineStr">
        <is>
          <t>Input 0–1</t>
        </is>
      </c>
      <c r="K73" t="inlineStr">
        <is>
          <t>Input 0–1</t>
        </is>
      </c>
      <c r="L73" t="inlineStr">
        <is>
          <t>Input 0–1</t>
        </is>
      </c>
      <c r="M73" t="inlineStr">
        <is>
          <t>LOW / MODERATE / HIGH</t>
        </is>
      </c>
      <c r="N73" t="inlineStr">
        <is>
          <t>Review if high score + weak evidence or contradiction</t>
        </is>
      </c>
    </row>
    <row r="74">
      <c r="A74" t="n">
        <v>74</v>
      </c>
      <c r="B74" t="inlineStr">
        <is>
          <t>D06</t>
        </is>
      </c>
      <c r="C74" t="inlineStr">
        <is>
          <t>I08</t>
        </is>
      </c>
      <c r="D74">
        <f>'P0-3_Scorecard'!H74</f>
        <v/>
      </c>
      <c r="E74" t="inlineStr">
        <is>
          <t>Input 0–1</t>
        </is>
      </c>
      <c r="F74" t="inlineStr">
        <is>
          <t>Input 0–1</t>
        </is>
      </c>
      <c r="G74" t="inlineStr">
        <is>
          <t>Input 0–1</t>
        </is>
      </c>
      <c r="H74" t="inlineStr">
        <is>
          <t>Input 0–1</t>
        </is>
      </c>
      <c r="I74" t="inlineStr">
        <is>
          <t>Input 0–1</t>
        </is>
      </c>
      <c r="J74" t="inlineStr">
        <is>
          <t>Input 0–1</t>
        </is>
      </c>
      <c r="K74" t="inlineStr">
        <is>
          <t>Input 0–1</t>
        </is>
      </c>
      <c r="L74" t="inlineStr">
        <is>
          <t>Input 0–1</t>
        </is>
      </c>
      <c r="M74" t="inlineStr">
        <is>
          <t>LOW / MODERATE / HIGH</t>
        </is>
      </c>
      <c r="N74" t="inlineStr">
        <is>
          <t>Review if high score + weak evidence or contradiction</t>
        </is>
      </c>
    </row>
    <row r="75">
      <c r="A75" t="n">
        <v>75</v>
      </c>
      <c r="B75" t="inlineStr">
        <is>
          <t>D06</t>
        </is>
      </c>
      <c r="C75" t="inlineStr">
        <is>
          <t>I09</t>
        </is>
      </c>
      <c r="D75">
        <f>'P0-3_Scorecard'!H75</f>
        <v/>
      </c>
      <c r="E75" t="inlineStr">
        <is>
          <t>Input 0–1</t>
        </is>
      </c>
      <c r="F75" t="inlineStr">
        <is>
          <t>Input 0–1</t>
        </is>
      </c>
      <c r="G75" t="inlineStr">
        <is>
          <t>Input 0–1</t>
        </is>
      </c>
      <c r="H75" t="inlineStr">
        <is>
          <t>Input 0–1</t>
        </is>
      </c>
      <c r="I75" t="inlineStr">
        <is>
          <t>Input 0–1</t>
        </is>
      </c>
      <c r="J75" t="inlineStr">
        <is>
          <t>Input 0–1</t>
        </is>
      </c>
      <c r="K75" t="inlineStr">
        <is>
          <t>Input 0–1</t>
        </is>
      </c>
      <c r="L75" t="inlineStr">
        <is>
          <t>Input 0–1</t>
        </is>
      </c>
      <c r="M75" t="inlineStr">
        <is>
          <t>LOW / MODERATE / HIGH</t>
        </is>
      </c>
      <c r="N75" t="inlineStr">
        <is>
          <t>Review if high score + weak evidence or contradiction</t>
        </is>
      </c>
    </row>
    <row r="76">
      <c r="A76" t="n">
        <v>76</v>
      </c>
      <c r="B76" t="inlineStr">
        <is>
          <t>D06</t>
        </is>
      </c>
      <c r="C76" t="inlineStr">
        <is>
          <t>I10</t>
        </is>
      </c>
      <c r="D76">
        <f>'P0-3_Scorecard'!H76</f>
        <v/>
      </c>
      <c r="E76" t="inlineStr">
        <is>
          <t>Input 0–1</t>
        </is>
      </c>
      <c r="F76" t="inlineStr">
        <is>
          <t>Input 0–1</t>
        </is>
      </c>
      <c r="G76" t="inlineStr">
        <is>
          <t>Input 0–1</t>
        </is>
      </c>
      <c r="H76" t="inlineStr">
        <is>
          <t>Input 0–1</t>
        </is>
      </c>
      <c r="I76" t="inlineStr">
        <is>
          <t>Input 0–1</t>
        </is>
      </c>
      <c r="J76" t="inlineStr">
        <is>
          <t>Input 0–1</t>
        </is>
      </c>
      <c r="K76" t="inlineStr">
        <is>
          <t>Input 0–1</t>
        </is>
      </c>
      <c r="L76" t="inlineStr">
        <is>
          <t>Input 0–1</t>
        </is>
      </c>
      <c r="M76" t="inlineStr">
        <is>
          <t>LOW / MODERATE / HIGH</t>
        </is>
      </c>
      <c r="N76" t="inlineStr">
        <is>
          <t>Review if high score + weak evidence or contradiction</t>
        </is>
      </c>
    </row>
    <row r="77">
      <c r="A77" t="n">
        <v>77</v>
      </c>
      <c r="B77" t="inlineStr">
        <is>
          <t>D06</t>
        </is>
      </c>
      <c r="C77" t="inlineStr">
        <is>
          <t>I11</t>
        </is>
      </c>
      <c r="D77">
        <f>'P0-3_Scorecard'!H77</f>
        <v/>
      </c>
      <c r="E77" t="inlineStr">
        <is>
          <t>Input 0–1</t>
        </is>
      </c>
      <c r="F77" t="inlineStr">
        <is>
          <t>Input 0–1</t>
        </is>
      </c>
      <c r="G77" t="inlineStr">
        <is>
          <t>Input 0–1</t>
        </is>
      </c>
      <c r="H77" t="inlineStr">
        <is>
          <t>Input 0–1</t>
        </is>
      </c>
      <c r="I77" t="inlineStr">
        <is>
          <t>Input 0–1</t>
        </is>
      </c>
      <c r="J77" t="inlineStr">
        <is>
          <t>Input 0–1</t>
        </is>
      </c>
      <c r="K77" t="inlineStr">
        <is>
          <t>Input 0–1</t>
        </is>
      </c>
      <c r="L77" t="inlineStr">
        <is>
          <t>Input 0–1</t>
        </is>
      </c>
      <c r="M77" t="inlineStr">
        <is>
          <t>LOW / MODERATE / HIGH</t>
        </is>
      </c>
      <c r="N77" t="inlineStr">
        <is>
          <t>Review if high score + weak evidence or contradiction</t>
        </is>
      </c>
    </row>
    <row r="78">
      <c r="A78" t="n">
        <v>78</v>
      </c>
      <c r="B78" t="inlineStr">
        <is>
          <t>D06</t>
        </is>
      </c>
      <c r="C78" t="inlineStr">
        <is>
          <t>I12</t>
        </is>
      </c>
      <c r="D78">
        <f>'P0-3_Scorecard'!H78</f>
        <v/>
      </c>
      <c r="E78" t="inlineStr">
        <is>
          <t>Input 0–1</t>
        </is>
      </c>
      <c r="F78" t="inlineStr">
        <is>
          <t>Input 0–1</t>
        </is>
      </c>
      <c r="G78" t="inlineStr">
        <is>
          <t>Input 0–1</t>
        </is>
      </c>
      <c r="H78" t="inlineStr">
        <is>
          <t>Input 0–1</t>
        </is>
      </c>
      <c r="I78" t="inlineStr">
        <is>
          <t>Input 0–1</t>
        </is>
      </c>
      <c r="J78" t="inlineStr">
        <is>
          <t>Input 0–1</t>
        </is>
      </c>
      <c r="K78" t="inlineStr">
        <is>
          <t>Input 0–1</t>
        </is>
      </c>
      <c r="L78" t="inlineStr">
        <is>
          <t>Input 0–1</t>
        </is>
      </c>
      <c r="M78" t="inlineStr">
        <is>
          <t>LOW / MODERATE / HIGH</t>
        </is>
      </c>
      <c r="N78" t="inlineStr">
        <is>
          <t>Review if high score + weak evidence or contradiction</t>
        </is>
      </c>
    </row>
    <row r="79">
      <c r="A79" t="n">
        <v>79</v>
      </c>
      <c r="B79" t="inlineStr">
        <is>
          <t>D06</t>
        </is>
      </c>
      <c r="C79" t="inlineStr">
        <is>
          <t>I13</t>
        </is>
      </c>
      <c r="D79">
        <f>'P0-3_Scorecard'!H79</f>
        <v/>
      </c>
      <c r="E79" t="inlineStr">
        <is>
          <t>Input 0–1</t>
        </is>
      </c>
      <c r="F79" t="inlineStr">
        <is>
          <t>Input 0–1</t>
        </is>
      </c>
      <c r="G79" t="inlineStr">
        <is>
          <t>Input 0–1</t>
        </is>
      </c>
      <c r="H79" t="inlineStr">
        <is>
          <t>Input 0–1</t>
        </is>
      </c>
      <c r="I79" t="inlineStr">
        <is>
          <t>Input 0–1</t>
        </is>
      </c>
      <c r="J79" t="inlineStr">
        <is>
          <t>Input 0–1</t>
        </is>
      </c>
      <c r="K79" t="inlineStr">
        <is>
          <t>Input 0–1</t>
        </is>
      </c>
      <c r="L79" t="inlineStr">
        <is>
          <t>Input 0–1</t>
        </is>
      </c>
      <c r="M79" t="inlineStr">
        <is>
          <t>LOW / MODERATE / HIGH</t>
        </is>
      </c>
      <c r="N79" t="inlineStr">
        <is>
          <t>Review if high score + weak evidence or contradiction</t>
        </is>
      </c>
    </row>
    <row r="80">
      <c r="A80" t="n">
        <v>80</v>
      </c>
      <c r="B80" t="inlineStr">
        <is>
          <t>D06</t>
        </is>
      </c>
      <c r="C80" t="inlineStr">
        <is>
          <t>I14</t>
        </is>
      </c>
      <c r="D80">
        <f>'P0-3_Scorecard'!H80</f>
        <v/>
      </c>
      <c r="E80" t="inlineStr">
        <is>
          <t>Input 0–1</t>
        </is>
      </c>
      <c r="F80" t="inlineStr">
        <is>
          <t>Input 0–1</t>
        </is>
      </c>
      <c r="G80" t="inlineStr">
        <is>
          <t>Input 0–1</t>
        </is>
      </c>
      <c r="H80" t="inlineStr">
        <is>
          <t>Input 0–1</t>
        </is>
      </c>
      <c r="I80" t="inlineStr">
        <is>
          <t>Input 0–1</t>
        </is>
      </c>
      <c r="J80" t="inlineStr">
        <is>
          <t>Input 0–1</t>
        </is>
      </c>
      <c r="K80" t="inlineStr">
        <is>
          <t>Input 0–1</t>
        </is>
      </c>
      <c r="L80" t="inlineStr">
        <is>
          <t>Input 0–1</t>
        </is>
      </c>
      <c r="M80" t="inlineStr">
        <is>
          <t>LOW / MODERATE / HIGH</t>
        </is>
      </c>
      <c r="N80" t="inlineStr">
        <is>
          <t>Review if high score + weak evidence or contradiction</t>
        </is>
      </c>
    </row>
    <row r="81">
      <c r="A81" t="n">
        <v>81</v>
      </c>
      <c r="B81" t="inlineStr">
        <is>
          <t>D07</t>
        </is>
      </c>
      <c r="C81" t="inlineStr">
        <is>
          <t>I01</t>
        </is>
      </c>
      <c r="D81">
        <f>'P0-3_Scorecard'!H81</f>
        <v/>
      </c>
      <c r="E81" t="inlineStr">
        <is>
          <t>Input 0–1</t>
        </is>
      </c>
      <c r="F81" t="inlineStr">
        <is>
          <t>Input 0–1</t>
        </is>
      </c>
      <c r="G81" t="inlineStr">
        <is>
          <t>Input 0–1</t>
        </is>
      </c>
      <c r="H81" t="inlineStr">
        <is>
          <t>Input 0–1</t>
        </is>
      </c>
      <c r="I81" t="inlineStr">
        <is>
          <t>Input 0–1</t>
        </is>
      </c>
      <c r="J81" t="inlineStr">
        <is>
          <t>Input 0–1</t>
        </is>
      </c>
      <c r="K81" t="inlineStr">
        <is>
          <t>Input 0–1</t>
        </is>
      </c>
      <c r="L81" t="inlineStr">
        <is>
          <t>Input 0–1</t>
        </is>
      </c>
      <c r="M81" t="inlineStr">
        <is>
          <t>LOW / MODERATE / HIGH</t>
        </is>
      </c>
      <c r="N81" t="inlineStr">
        <is>
          <t>Review if high score + weak evidence or contradiction</t>
        </is>
      </c>
    </row>
    <row r="82">
      <c r="A82" t="n">
        <v>82</v>
      </c>
      <c r="B82" t="inlineStr">
        <is>
          <t>D07</t>
        </is>
      </c>
      <c r="C82" t="inlineStr">
        <is>
          <t>I02</t>
        </is>
      </c>
      <c r="D82">
        <f>'P0-3_Scorecard'!H82</f>
        <v/>
      </c>
      <c r="E82" t="inlineStr">
        <is>
          <t>Input 0–1</t>
        </is>
      </c>
      <c r="F82" t="inlineStr">
        <is>
          <t>Input 0–1</t>
        </is>
      </c>
      <c r="G82" t="inlineStr">
        <is>
          <t>Input 0–1</t>
        </is>
      </c>
      <c r="H82" t="inlineStr">
        <is>
          <t>Input 0–1</t>
        </is>
      </c>
      <c r="I82" t="inlineStr">
        <is>
          <t>Input 0–1</t>
        </is>
      </c>
      <c r="J82" t="inlineStr">
        <is>
          <t>Input 0–1</t>
        </is>
      </c>
      <c r="K82" t="inlineStr">
        <is>
          <t>Input 0–1</t>
        </is>
      </c>
      <c r="L82" t="inlineStr">
        <is>
          <t>Input 0–1</t>
        </is>
      </c>
      <c r="M82" t="inlineStr">
        <is>
          <t>LOW / MODERATE / HIGH</t>
        </is>
      </c>
      <c r="N82" t="inlineStr">
        <is>
          <t>Review if high score + weak evidence or contradiction</t>
        </is>
      </c>
    </row>
    <row r="83">
      <c r="A83" t="n">
        <v>83</v>
      </c>
      <c r="B83" t="inlineStr">
        <is>
          <t>D07</t>
        </is>
      </c>
      <c r="C83" t="inlineStr">
        <is>
          <t>I03</t>
        </is>
      </c>
      <c r="D83">
        <f>'P0-3_Scorecard'!H83</f>
        <v/>
      </c>
      <c r="E83" t="inlineStr">
        <is>
          <t>Input 0–1</t>
        </is>
      </c>
      <c r="F83" t="inlineStr">
        <is>
          <t>Input 0–1</t>
        </is>
      </c>
      <c r="G83" t="inlineStr">
        <is>
          <t>Input 0–1</t>
        </is>
      </c>
      <c r="H83" t="inlineStr">
        <is>
          <t>Input 0–1</t>
        </is>
      </c>
      <c r="I83" t="inlineStr">
        <is>
          <t>Input 0–1</t>
        </is>
      </c>
      <c r="J83" t="inlineStr">
        <is>
          <t>Input 0–1</t>
        </is>
      </c>
      <c r="K83" t="inlineStr">
        <is>
          <t>Input 0–1</t>
        </is>
      </c>
      <c r="L83" t="inlineStr">
        <is>
          <t>Input 0–1</t>
        </is>
      </c>
      <c r="M83" t="inlineStr">
        <is>
          <t>LOW / MODERATE / HIGH</t>
        </is>
      </c>
      <c r="N83" t="inlineStr">
        <is>
          <t>Review if high score + weak evidence or contradiction</t>
        </is>
      </c>
    </row>
    <row r="84">
      <c r="A84" t="n">
        <v>84</v>
      </c>
      <c r="B84" t="inlineStr">
        <is>
          <t>D07</t>
        </is>
      </c>
      <c r="C84" t="inlineStr">
        <is>
          <t>I04</t>
        </is>
      </c>
      <c r="D84">
        <f>'P0-3_Scorecard'!H84</f>
        <v/>
      </c>
      <c r="E84" t="inlineStr">
        <is>
          <t>Input 0–1</t>
        </is>
      </c>
      <c r="F84" t="inlineStr">
        <is>
          <t>Input 0–1</t>
        </is>
      </c>
      <c r="G84" t="inlineStr">
        <is>
          <t>Input 0–1</t>
        </is>
      </c>
      <c r="H84" t="inlineStr">
        <is>
          <t>Input 0–1</t>
        </is>
      </c>
      <c r="I84" t="inlineStr">
        <is>
          <t>Input 0–1</t>
        </is>
      </c>
      <c r="J84" t="inlineStr">
        <is>
          <t>Input 0–1</t>
        </is>
      </c>
      <c r="K84" t="inlineStr">
        <is>
          <t>Input 0–1</t>
        </is>
      </c>
      <c r="L84" t="inlineStr">
        <is>
          <t>Input 0–1</t>
        </is>
      </c>
      <c r="M84" t="inlineStr">
        <is>
          <t>LOW / MODERATE / HIGH</t>
        </is>
      </c>
      <c r="N84" t="inlineStr">
        <is>
          <t>Review if high score + weak evidence or contradiction</t>
        </is>
      </c>
    </row>
    <row r="85">
      <c r="A85" t="n">
        <v>85</v>
      </c>
      <c r="B85" t="inlineStr">
        <is>
          <t>D07</t>
        </is>
      </c>
      <c r="C85" t="inlineStr">
        <is>
          <t>I05</t>
        </is>
      </c>
      <c r="D85">
        <f>'P0-3_Scorecard'!H85</f>
        <v/>
      </c>
      <c r="E85" t="inlineStr">
        <is>
          <t>Input 0–1</t>
        </is>
      </c>
      <c r="F85" t="inlineStr">
        <is>
          <t>Input 0–1</t>
        </is>
      </c>
      <c r="G85" t="inlineStr">
        <is>
          <t>Input 0–1</t>
        </is>
      </c>
      <c r="H85" t="inlineStr">
        <is>
          <t>Input 0–1</t>
        </is>
      </c>
      <c r="I85" t="inlineStr">
        <is>
          <t>Input 0–1</t>
        </is>
      </c>
      <c r="J85" t="inlineStr">
        <is>
          <t>Input 0–1</t>
        </is>
      </c>
      <c r="K85" t="inlineStr">
        <is>
          <t>Input 0–1</t>
        </is>
      </c>
      <c r="L85" t="inlineStr">
        <is>
          <t>Input 0–1</t>
        </is>
      </c>
      <c r="M85" t="inlineStr">
        <is>
          <t>LOW / MODERATE / HIGH</t>
        </is>
      </c>
      <c r="N85" t="inlineStr">
        <is>
          <t>Review if high score + weak evidence or contradiction</t>
        </is>
      </c>
    </row>
    <row r="86">
      <c r="A86" t="n">
        <v>86</v>
      </c>
      <c r="B86" t="inlineStr">
        <is>
          <t>D07</t>
        </is>
      </c>
      <c r="C86" t="inlineStr">
        <is>
          <t>I06</t>
        </is>
      </c>
      <c r="D86">
        <f>'P0-3_Scorecard'!H86</f>
        <v/>
      </c>
      <c r="E86" t="inlineStr">
        <is>
          <t>Input 0–1</t>
        </is>
      </c>
      <c r="F86" t="inlineStr">
        <is>
          <t>Input 0–1</t>
        </is>
      </c>
      <c r="G86" t="inlineStr">
        <is>
          <t>Input 0–1</t>
        </is>
      </c>
      <c r="H86" t="inlineStr">
        <is>
          <t>Input 0–1</t>
        </is>
      </c>
      <c r="I86" t="inlineStr">
        <is>
          <t>Input 0–1</t>
        </is>
      </c>
      <c r="J86" t="inlineStr">
        <is>
          <t>Input 0–1</t>
        </is>
      </c>
      <c r="K86" t="inlineStr">
        <is>
          <t>Input 0–1</t>
        </is>
      </c>
      <c r="L86" t="inlineStr">
        <is>
          <t>Input 0–1</t>
        </is>
      </c>
      <c r="M86" t="inlineStr">
        <is>
          <t>LOW / MODERATE / HIGH</t>
        </is>
      </c>
      <c r="N86" t="inlineStr">
        <is>
          <t>Review if high score + weak evidence or contradiction</t>
        </is>
      </c>
    </row>
    <row r="87">
      <c r="A87" t="n">
        <v>87</v>
      </c>
      <c r="B87" t="inlineStr">
        <is>
          <t>D07</t>
        </is>
      </c>
      <c r="C87" t="inlineStr">
        <is>
          <t>I07</t>
        </is>
      </c>
      <c r="D87">
        <f>'P0-3_Scorecard'!H87</f>
        <v/>
      </c>
      <c r="E87" t="inlineStr">
        <is>
          <t>Input 0–1</t>
        </is>
      </c>
      <c r="F87" t="inlineStr">
        <is>
          <t>Input 0–1</t>
        </is>
      </c>
      <c r="G87" t="inlineStr">
        <is>
          <t>Input 0–1</t>
        </is>
      </c>
      <c r="H87" t="inlineStr">
        <is>
          <t>Input 0–1</t>
        </is>
      </c>
      <c r="I87" t="inlineStr">
        <is>
          <t>Input 0–1</t>
        </is>
      </c>
      <c r="J87" t="inlineStr">
        <is>
          <t>Input 0–1</t>
        </is>
      </c>
      <c r="K87" t="inlineStr">
        <is>
          <t>Input 0–1</t>
        </is>
      </c>
      <c r="L87" t="inlineStr">
        <is>
          <t>Input 0–1</t>
        </is>
      </c>
      <c r="M87" t="inlineStr">
        <is>
          <t>LOW / MODERATE / HIGH</t>
        </is>
      </c>
      <c r="N87" t="inlineStr">
        <is>
          <t>Review if high score + weak evidence or contradiction</t>
        </is>
      </c>
    </row>
    <row r="88">
      <c r="A88" t="n">
        <v>88</v>
      </c>
      <c r="B88" t="inlineStr">
        <is>
          <t>D07</t>
        </is>
      </c>
      <c r="C88" t="inlineStr">
        <is>
          <t>I08</t>
        </is>
      </c>
      <c r="D88">
        <f>'P0-3_Scorecard'!H88</f>
        <v/>
      </c>
      <c r="E88" t="inlineStr">
        <is>
          <t>Input 0–1</t>
        </is>
      </c>
      <c r="F88" t="inlineStr">
        <is>
          <t>Input 0–1</t>
        </is>
      </c>
      <c r="G88" t="inlineStr">
        <is>
          <t>Input 0–1</t>
        </is>
      </c>
      <c r="H88" t="inlineStr">
        <is>
          <t>Input 0–1</t>
        </is>
      </c>
      <c r="I88" t="inlineStr">
        <is>
          <t>Input 0–1</t>
        </is>
      </c>
      <c r="J88" t="inlineStr">
        <is>
          <t>Input 0–1</t>
        </is>
      </c>
      <c r="K88" t="inlineStr">
        <is>
          <t>Input 0–1</t>
        </is>
      </c>
      <c r="L88" t="inlineStr">
        <is>
          <t>Input 0–1</t>
        </is>
      </c>
      <c r="M88" t="inlineStr">
        <is>
          <t>LOW / MODERATE / HIGH</t>
        </is>
      </c>
      <c r="N88" t="inlineStr">
        <is>
          <t>Review if high score + weak evidence or contradiction</t>
        </is>
      </c>
    </row>
    <row r="89">
      <c r="A89" t="n">
        <v>89</v>
      </c>
      <c r="B89" t="inlineStr">
        <is>
          <t>D07</t>
        </is>
      </c>
      <c r="C89" t="inlineStr">
        <is>
          <t>I09</t>
        </is>
      </c>
      <c r="D89">
        <f>'P0-3_Scorecard'!H89</f>
        <v/>
      </c>
      <c r="E89" t="inlineStr">
        <is>
          <t>Input 0–1</t>
        </is>
      </c>
      <c r="F89" t="inlineStr">
        <is>
          <t>Input 0–1</t>
        </is>
      </c>
      <c r="G89" t="inlineStr">
        <is>
          <t>Input 0–1</t>
        </is>
      </c>
      <c r="H89" t="inlineStr">
        <is>
          <t>Input 0–1</t>
        </is>
      </c>
      <c r="I89" t="inlineStr">
        <is>
          <t>Input 0–1</t>
        </is>
      </c>
      <c r="J89" t="inlineStr">
        <is>
          <t>Input 0–1</t>
        </is>
      </c>
      <c r="K89" t="inlineStr">
        <is>
          <t>Input 0–1</t>
        </is>
      </c>
      <c r="L89" t="inlineStr">
        <is>
          <t>Input 0–1</t>
        </is>
      </c>
      <c r="M89" t="inlineStr">
        <is>
          <t>LOW / MODERATE / HIGH</t>
        </is>
      </c>
      <c r="N89" t="inlineStr">
        <is>
          <t>Review if high score + weak evidence or contradiction</t>
        </is>
      </c>
    </row>
    <row r="90">
      <c r="A90" t="n">
        <v>90</v>
      </c>
      <c r="B90" t="inlineStr">
        <is>
          <t>D07</t>
        </is>
      </c>
      <c r="C90" t="inlineStr">
        <is>
          <t>I10</t>
        </is>
      </c>
      <c r="D90">
        <f>'P0-3_Scorecard'!H90</f>
        <v/>
      </c>
      <c r="E90" t="inlineStr">
        <is>
          <t>Input 0–1</t>
        </is>
      </c>
      <c r="F90" t="inlineStr">
        <is>
          <t>Input 0–1</t>
        </is>
      </c>
      <c r="G90" t="inlineStr">
        <is>
          <t>Input 0–1</t>
        </is>
      </c>
      <c r="H90" t="inlineStr">
        <is>
          <t>Input 0–1</t>
        </is>
      </c>
      <c r="I90" t="inlineStr">
        <is>
          <t>Input 0–1</t>
        </is>
      </c>
      <c r="J90" t="inlineStr">
        <is>
          <t>Input 0–1</t>
        </is>
      </c>
      <c r="K90" t="inlineStr">
        <is>
          <t>Input 0–1</t>
        </is>
      </c>
      <c r="L90" t="inlineStr">
        <is>
          <t>Input 0–1</t>
        </is>
      </c>
      <c r="M90" t="inlineStr">
        <is>
          <t>LOW / MODERATE / HIGH</t>
        </is>
      </c>
      <c r="N90" t="inlineStr">
        <is>
          <t>Review if high score + weak evidence or contradiction</t>
        </is>
      </c>
    </row>
    <row r="91">
      <c r="A91" t="n">
        <v>91</v>
      </c>
      <c r="B91" t="inlineStr">
        <is>
          <t>D07</t>
        </is>
      </c>
      <c r="C91" t="inlineStr">
        <is>
          <t>I11</t>
        </is>
      </c>
      <c r="D91">
        <f>'P0-3_Scorecard'!H91</f>
        <v/>
      </c>
      <c r="E91" t="inlineStr">
        <is>
          <t>Input 0–1</t>
        </is>
      </c>
      <c r="F91" t="inlineStr">
        <is>
          <t>Input 0–1</t>
        </is>
      </c>
      <c r="G91" t="inlineStr">
        <is>
          <t>Input 0–1</t>
        </is>
      </c>
      <c r="H91" t="inlineStr">
        <is>
          <t>Input 0–1</t>
        </is>
      </c>
      <c r="I91" t="inlineStr">
        <is>
          <t>Input 0–1</t>
        </is>
      </c>
      <c r="J91" t="inlineStr">
        <is>
          <t>Input 0–1</t>
        </is>
      </c>
      <c r="K91" t="inlineStr">
        <is>
          <t>Input 0–1</t>
        </is>
      </c>
      <c r="L91" t="inlineStr">
        <is>
          <t>Input 0–1</t>
        </is>
      </c>
      <c r="M91" t="inlineStr">
        <is>
          <t>LOW / MODERATE / HIGH</t>
        </is>
      </c>
      <c r="N91" t="inlineStr">
        <is>
          <t>Review if high score + weak evidence or contradiction</t>
        </is>
      </c>
    </row>
    <row r="92">
      <c r="A92" t="n">
        <v>92</v>
      </c>
      <c r="B92" t="inlineStr">
        <is>
          <t>D07</t>
        </is>
      </c>
      <c r="C92" t="inlineStr">
        <is>
          <t>I12</t>
        </is>
      </c>
      <c r="D92">
        <f>'P0-3_Scorecard'!H92</f>
        <v/>
      </c>
      <c r="E92" t="inlineStr">
        <is>
          <t>Input 0–1</t>
        </is>
      </c>
      <c r="F92" t="inlineStr">
        <is>
          <t>Input 0–1</t>
        </is>
      </c>
      <c r="G92" t="inlineStr">
        <is>
          <t>Input 0–1</t>
        </is>
      </c>
      <c r="H92" t="inlineStr">
        <is>
          <t>Input 0–1</t>
        </is>
      </c>
      <c r="I92" t="inlineStr">
        <is>
          <t>Input 0–1</t>
        </is>
      </c>
      <c r="J92" t="inlineStr">
        <is>
          <t>Input 0–1</t>
        </is>
      </c>
      <c r="K92" t="inlineStr">
        <is>
          <t>Input 0–1</t>
        </is>
      </c>
      <c r="L92" t="inlineStr">
        <is>
          <t>Input 0–1</t>
        </is>
      </c>
      <c r="M92" t="inlineStr">
        <is>
          <t>LOW / MODERATE / HIGH</t>
        </is>
      </c>
      <c r="N92" t="inlineStr">
        <is>
          <t>Review if high score + weak evidence or contradiction</t>
        </is>
      </c>
    </row>
    <row r="93">
      <c r="A93" t="n">
        <v>93</v>
      </c>
      <c r="B93" t="inlineStr">
        <is>
          <t>D08</t>
        </is>
      </c>
      <c r="C93" t="inlineStr">
        <is>
          <t>I01</t>
        </is>
      </c>
      <c r="D93">
        <f>'P0-3_Scorecard'!H93</f>
        <v/>
      </c>
      <c r="E93" t="inlineStr">
        <is>
          <t>Input 0–1</t>
        </is>
      </c>
      <c r="F93" t="inlineStr">
        <is>
          <t>Input 0–1</t>
        </is>
      </c>
      <c r="G93" t="inlineStr">
        <is>
          <t>Input 0–1</t>
        </is>
      </c>
      <c r="H93" t="inlineStr">
        <is>
          <t>Input 0–1</t>
        </is>
      </c>
      <c r="I93" t="inlineStr">
        <is>
          <t>Input 0–1</t>
        </is>
      </c>
      <c r="J93" t="inlineStr">
        <is>
          <t>Input 0–1</t>
        </is>
      </c>
      <c r="K93" t="inlineStr">
        <is>
          <t>Input 0–1</t>
        </is>
      </c>
      <c r="L93" t="inlineStr">
        <is>
          <t>Input 0–1</t>
        </is>
      </c>
      <c r="M93" t="inlineStr">
        <is>
          <t>LOW / MODERATE / HIGH</t>
        </is>
      </c>
      <c r="N93" t="inlineStr">
        <is>
          <t>Review if high score + weak evidence or contradiction</t>
        </is>
      </c>
    </row>
    <row r="94">
      <c r="A94" t="n">
        <v>94</v>
      </c>
      <c r="B94" t="inlineStr">
        <is>
          <t>D08</t>
        </is>
      </c>
      <c r="C94" t="inlineStr">
        <is>
          <t>I02</t>
        </is>
      </c>
      <c r="D94">
        <f>'P0-3_Scorecard'!H94</f>
        <v/>
      </c>
      <c r="E94" t="inlineStr">
        <is>
          <t>Input 0–1</t>
        </is>
      </c>
      <c r="F94" t="inlineStr">
        <is>
          <t>Input 0–1</t>
        </is>
      </c>
      <c r="G94" t="inlineStr">
        <is>
          <t>Input 0–1</t>
        </is>
      </c>
      <c r="H94" t="inlineStr">
        <is>
          <t>Input 0–1</t>
        </is>
      </c>
      <c r="I94" t="inlineStr">
        <is>
          <t>Input 0–1</t>
        </is>
      </c>
      <c r="J94" t="inlineStr">
        <is>
          <t>Input 0–1</t>
        </is>
      </c>
      <c r="K94" t="inlineStr">
        <is>
          <t>Input 0–1</t>
        </is>
      </c>
      <c r="L94" t="inlineStr">
        <is>
          <t>Input 0–1</t>
        </is>
      </c>
      <c r="M94" t="inlineStr">
        <is>
          <t>LOW / MODERATE / HIGH</t>
        </is>
      </c>
      <c r="N94" t="inlineStr">
        <is>
          <t>Review if high score + weak evidence or contradiction</t>
        </is>
      </c>
    </row>
    <row r="95">
      <c r="A95" t="n">
        <v>95</v>
      </c>
      <c r="B95" t="inlineStr">
        <is>
          <t>D08</t>
        </is>
      </c>
      <c r="C95" t="inlineStr">
        <is>
          <t>I03</t>
        </is>
      </c>
      <c r="D95">
        <f>'P0-3_Scorecard'!H95</f>
        <v/>
      </c>
      <c r="E95" t="inlineStr">
        <is>
          <t>Input 0–1</t>
        </is>
      </c>
      <c r="F95" t="inlineStr">
        <is>
          <t>Input 0–1</t>
        </is>
      </c>
      <c r="G95" t="inlineStr">
        <is>
          <t>Input 0–1</t>
        </is>
      </c>
      <c r="H95" t="inlineStr">
        <is>
          <t>Input 0–1</t>
        </is>
      </c>
      <c r="I95" t="inlineStr">
        <is>
          <t>Input 0–1</t>
        </is>
      </c>
      <c r="J95" t="inlineStr">
        <is>
          <t>Input 0–1</t>
        </is>
      </c>
      <c r="K95" t="inlineStr">
        <is>
          <t>Input 0–1</t>
        </is>
      </c>
      <c r="L95" t="inlineStr">
        <is>
          <t>Input 0–1</t>
        </is>
      </c>
      <c r="M95" t="inlineStr">
        <is>
          <t>LOW / MODERATE / HIGH</t>
        </is>
      </c>
      <c r="N95" t="inlineStr">
        <is>
          <t>Review if high score + weak evidence or contradiction</t>
        </is>
      </c>
    </row>
    <row r="96">
      <c r="A96" t="n">
        <v>96</v>
      </c>
      <c r="B96" t="inlineStr">
        <is>
          <t>D08</t>
        </is>
      </c>
      <c r="C96" t="inlineStr">
        <is>
          <t>I04</t>
        </is>
      </c>
      <c r="D96">
        <f>'P0-3_Scorecard'!H96</f>
        <v/>
      </c>
      <c r="E96" t="inlineStr">
        <is>
          <t>Input 0–1</t>
        </is>
      </c>
      <c r="F96" t="inlineStr">
        <is>
          <t>Input 0–1</t>
        </is>
      </c>
      <c r="G96" t="inlineStr">
        <is>
          <t>Input 0–1</t>
        </is>
      </c>
      <c r="H96" t="inlineStr">
        <is>
          <t>Input 0–1</t>
        </is>
      </c>
      <c r="I96" t="inlineStr">
        <is>
          <t>Input 0–1</t>
        </is>
      </c>
      <c r="J96" t="inlineStr">
        <is>
          <t>Input 0–1</t>
        </is>
      </c>
      <c r="K96" t="inlineStr">
        <is>
          <t>Input 0–1</t>
        </is>
      </c>
      <c r="L96" t="inlineStr">
        <is>
          <t>Input 0–1</t>
        </is>
      </c>
      <c r="M96" t="inlineStr">
        <is>
          <t>LOW / MODERATE / HIGH</t>
        </is>
      </c>
      <c r="N96" t="inlineStr">
        <is>
          <t>Review if high score + weak evidence or contradiction</t>
        </is>
      </c>
    </row>
    <row r="97">
      <c r="A97" t="n">
        <v>97</v>
      </c>
      <c r="B97" t="inlineStr">
        <is>
          <t>D08</t>
        </is>
      </c>
      <c r="C97" t="inlineStr">
        <is>
          <t>I05</t>
        </is>
      </c>
      <c r="D97">
        <f>'P0-3_Scorecard'!H97</f>
        <v/>
      </c>
      <c r="E97" t="inlineStr">
        <is>
          <t>Input 0–1</t>
        </is>
      </c>
      <c r="F97" t="inlineStr">
        <is>
          <t>Input 0–1</t>
        </is>
      </c>
      <c r="G97" t="inlineStr">
        <is>
          <t>Input 0–1</t>
        </is>
      </c>
      <c r="H97" t="inlineStr">
        <is>
          <t>Input 0–1</t>
        </is>
      </c>
      <c r="I97" t="inlineStr">
        <is>
          <t>Input 0–1</t>
        </is>
      </c>
      <c r="J97" t="inlineStr">
        <is>
          <t>Input 0–1</t>
        </is>
      </c>
      <c r="K97" t="inlineStr">
        <is>
          <t>Input 0–1</t>
        </is>
      </c>
      <c r="L97" t="inlineStr">
        <is>
          <t>Input 0–1</t>
        </is>
      </c>
      <c r="M97" t="inlineStr">
        <is>
          <t>LOW / MODERATE / HIGH</t>
        </is>
      </c>
      <c r="N97" t="inlineStr">
        <is>
          <t>Review if high score + weak evidence or contradiction</t>
        </is>
      </c>
    </row>
    <row r="98">
      <c r="A98" t="n">
        <v>98</v>
      </c>
      <c r="B98" t="inlineStr">
        <is>
          <t>D08</t>
        </is>
      </c>
      <c r="C98" t="inlineStr">
        <is>
          <t>I06</t>
        </is>
      </c>
      <c r="D98">
        <f>'P0-3_Scorecard'!H98</f>
        <v/>
      </c>
      <c r="E98" t="inlineStr">
        <is>
          <t>Input 0–1</t>
        </is>
      </c>
      <c r="F98" t="inlineStr">
        <is>
          <t>Input 0–1</t>
        </is>
      </c>
      <c r="G98" t="inlineStr">
        <is>
          <t>Input 0–1</t>
        </is>
      </c>
      <c r="H98" t="inlineStr">
        <is>
          <t>Input 0–1</t>
        </is>
      </c>
      <c r="I98" t="inlineStr">
        <is>
          <t>Input 0–1</t>
        </is>
      </c>
      <c r="J98" t="inlineStr">
        <is>
          <t>Input 0–1</t>
        </is>
      </c>
      <c r="K98" t="inlineStr">
        <is>
          <t>Input 0–1</t>
        </is>
      </c>
      <c r="L98" t="inlineStr">
        <is>
          <t>Input 0–1</t>
        </is>
      </c>
      <c r="M98" t="inlineStr">
        <is>
          <t>LOW / MODERATE / HIGH</t>
        </is>
      </c>
      <c r="N98" t="inlineStr">
        <is>
          <t>Review if high score + weak evidence or contradiction</t>
        </is>
      </c>
    </row>
    <row r="99">
      <c r="A99" t="n">
        <v>99</v>
      </c>
      <c r="B99" t="inlineStr">
        <is>
          <t>D08</t>
        </is>
      </c>
      <c r="C99" t="inlineStr">
        <is>
          <t>I07</t>
        </is>
      </c>
      <c r="D99">
        <f>'P0-3_Scorecard'!H99</f>
        <v/>
      </c>
      <c r="E99" t="inlineStr">
        <is>
          <t>Input 0–1</t>
        </is>
      </c>
      <c r="F99" t="inlineStr">
        <is>
          <t>Input 0–1</t>
        </is>
      </c>
      <c r="G99" t="inlineStr">
        <is>
          <t>Input 0–1</t>
        </is>
      </c>
      <c r="H99" t="inlineStr">
        <is>
          <t>Input 0–1</t>
        </is>
      </c>
      <c r="I99" t="inlineStr">
        <is>
          <t>Input 0–1</t>
        </is>
      </c>
      <c r="J99" t="inlineStr">
        <is>
          <t>Input 0–1</t>
        </is>
      </c>
      <c r="K99" t="inlineStr">
        <is>
          <t>Input 0–1</t>
        </is>
      </c>
      <c r="L99" t="inlineStr">
        <is>
          <t>Input 0–1</t>
        </is>
      </c>
      <c r="M99" t="inlineStr">
        <is>
          <t>LOW / MODERATE / HIGH</t>
        </is>
      </c>
      <c r="N99" t="inlineStr">
        <is>
          <t>Review if high score + weak evidence or contradiction</t>
        </is>
      </c>
    </row>
    <row r="100">
      <c r="A100" t="n">
        <v>100</v>
      </c>
      <c r="B100" t="inlineStr">
        <is>
          <t>D08</t>
        </is>
      </c>
      <c r="C100" t="inlineStr">
        <is>
          <t>I08</t>
        </is>
      </c>
      <c r="D100">
        <f>'P0-3_Scorecard'!H100</f>
        <v/>
      </c>
      <c r="E100" t="inlineStr">
        <is>
          <t>Input 0–1</t>
        </is>
      </c>
      <c r="F100" t="inlineStr">
        <is>
          <t>Input 0–1</t>
        </is>
      </c>
      <c r="G100" t="inlineStr">
        <is>
          <t>Input 0–1</t>
        </is>
      </c>
      <c r="H100" t="inlineStr">
        <is>
          <t>Input 0–1</t>
        </is>
      </c>
      <c r="I100" t="inlineStr">
        <is>
          <t>Input 0–1</t>
        </is>
      </c>
      <c r="J100" t="inlineStr">
        <is>
          <t>Input 0–1</t>
        </is>
      </c>
      <c r="K100" t="inlineStr">
        <is>
          <t>Input 0–1</t>
        </is>
      </c>
      <c r="L100" t="inlineStr">
        <is>
          <t>Input 0–1</t>
        </is>
      </c>
      <c r="M100" t="inlineStr">
        <is>
          <t>LOW / MODERATE / HIGH</t>
        </is>
      </c>
      <c r="N100" t="inlineStr">
        <is>
          <t>Review if high score + weak evidence or contradiction</t>
        </is>
      </c>
    </row>
    <row r="101">
      <c r="A101" t="n">
        <v>101</v>
      </c>
      <c r="B101" t="inlineStr">
        <is>
          <t>D08</t>
        </is>
      </c>
      <c r="C101" t="inlineStr">
        <is>
          <t>I09</t>
        </is>
      </c>
      <c r="D101">
        <f>'P0-3_Scorecard'!H101</f>
        <v/>
      </c>
      <c r="E101" t="inlineStr">
        <is>
          <t>Input 0–1</t>
        </is>
      </c>
      <c r="F101" t="inlineStr">
        <is>
          <t>Input 0–1</t>
        </is>
      </c>
      <c r="G101" t="inlineStr">
        <is>
          <t>Input 0–1</t>
        </is>
      </c>
      <c r="H101" t="inlineStr">
        <is>
          <t>Input 0–1</t>
        </is>
      </c>
      <c r="I101" t="inlineStr">
        <is>
          <t>Input 0–1</t>
        </is>
      </c>
      <c r="J101" t="inlineStr">
        <is>
          <t>Input 0–1</t>
        </is>
      </c>
      <c r="K101" t="inlineStr">
        <is>
          <t>Input 0–1</t>
        </is>
      </c>
      <c r="L101" t="inlineStr">
        <is>
          <t>Input 0–1</t>
        </is>
      </c>
      <c r="M101" t="inlineStr">
        <is>
          <t>LOW / MODERATE / HIGH</t>
        </is>
      </c>
      <c r="N101" t="inlineStr">
        <is>
          <t>Review if high score + weak evidence or contradiction</t>
        </is>
      </c>
    </row>
    <row r="102">
      <c r="A102" t="n">
        <v>102</v>
      </c>
      <c r="B102" t="inlineStr">
        <is>
          <t>D08</t>
        </is>
      </c>
      <c r="C102" t="inlineStr">
        <is>
          <t>I10</t>
        </is>
      </c>
      <c r="D102">
        <f>'P0-3_Scorecard'!H102</f>
        <v/>
      </c>
      <c r="E102" t="inlineStr">
        <is>
          <t>Input 0–1</t>
        </is>
      </c>
      <c r="F102" t="inlineStr">
        <is>
          <t>Input 0–1</t>
        </is>
      </c>
      <c r="G102" t="inlineStr">
        <is>
          <t>Input 0–1</t>
        </is>
      </c>
      <c r="H102" t="inlineStr">
        <is>
          <t>Input 0–1</t>
        </is>
      </c>
      <c r="I102" t="inlineStr">
        <is>
          <t>Input 0–1</t>
        </is>
      </c>
      <c r="J102" t="inlineStr">
        <is>
          <t>Input 0–1</t>
        </is>
      </c>
      <c r="K102" t="inlineStr">
        <is>
          <t>Input 0–1</t>
        </is>
      </c>
      <c r="L102" t="inlineStr">
        <is>
          <t>Input 0–1</t>
        </is>
      </c>
      <c r="M102" t="inlineStr">
        <is>
          <t>LOW / MODERATE / HIGH</t>
        </is>
      </c>
      <c r="N102" t="inlineStr">
        <is>
          <t>Review if high score + weak evidence or contradiction</t>
        </is>
      </c>
    </row>
    <row r="103">
      <c r="A103" t="n">
        <v>103</v>
      </c>
      <c r="B103" t="inlineStr">
        <is>
          <t>D08</t>
        </is>
      </c>
      <c r="C103" t="inlineStr">
        <is>
          <t>I11</t>
        </is>
      </c>
      <c r="D103">
        <f>'P0-3_Scorecard'!H103</f>
        <v/>
      </c>
      <c r="E103" t="inlineStr">
        <is>
          <t>Input 0–1</t>
        </is>
      </c>
      <c r="F103" t="inlineStr">
        <is>
          <t>Input 0–1</t>
        </is>
      </c>
      <c r="G103" t="inlineStr">
        <is>
          <t>Input 0–1</t>
        </is>
      </c>
      <c r="H103" t="inlineStr">
        <is>
          <t>Input 0–1</t>
        </is>
      </c>
      <c r="I103" t="inlineStr">
        <is>
          <t>Input 0–1</t>
        </is>
      </c>
      <c r="J103" t="inlineStr">
        <is>
          <t>Input 0–1</t>
        </is>
      </c>
      <c r="K103" t="inlineStr">
        <is>
          <t>Input 0–1</t>
        </is>
      </c>
      <c r="L103" t="inlineStr">
        <is>
          <t>Input 0–1</t>
        </is>
      </c>
      <c r="M103" t="inlineStr">
        <is>
          <t>LOW / MODERATE / HIGH</t>
        </is>
      </c>
      <c r="N103" t="inlineStr">
        <is>
          <t>Review if high score + weak evidence or contradiction</t>
        </is>
      </c>
    </row>
    <row r="104">
      <c r="A104" t="n">
        <v>104</v>
      </c>
      <c r="B104" t="inlineStr">
        <is>
          <t>D08</t>
        </is>
      </c>
      <c r="C104" t="inlineStr">
        <is>
          <t>I12</t>
        </is>
      </c>
      <c r="D104">
        <f>'P0-3_Scorecard'!H104</f>
        <v/>
      </c>
      <c r="E104" t="inlineStr">
        <is>
          <t>Input 0–1</t>
        </is>
      </c>
      <c r="F104" t="inlineStr">
        <is>
          <t>Input 0–1</t>
        </is>
      </c>
      <c r="G104" t="inlineStr">
        <is>
          <t>Input 0–1</t>
        </is>
      </c>
      <c r="H104" t="inlineStr">
        <is>
          <t>Input 0–1</t>
        </is>
      </c>
      <c r="I104" t="inlineStr">
        <is>
          <t>Input 0–1</t>
        </is>
      </c>
      <c r="J104" t="inlineStr">
        <is>
          <t>Input 0–1</t>
        </is>
      </c>
      <c r="K104" t="inlineStr">
        <is>
          <t>Input 0–1</t>
        </is>
      </c>
      <c r="L104" t="inlineStr">
        <is>
          <t>Input 0–1</t>
        </is>
      </c>
      <c r="M104" t="inlineStr">
        <is>
          <t>LOW / MODERATE / HIGH</t>
        </is>
      </c>
      <c r="N104" t="inlineStr">
        <is>
          <t>Review if high score + weak evidence or contradiction</t>
        </is>
      </c>
    </row>
    <row r="105">
      <c r="A105" t="n">
        <v>105</v>
      </c>
      <c r="B105" t="inlineStr">
        <is>
          <t>D09</t>
        </is>
      </c>
      <c r="C105" t="inlineStr">
        <is>
          <t>I01</t>
        </is>
      </c>
      <c r="D105">
        <f>'P0-3_Scorecard'!H105</f>
        <v/>
      </c>
      <c r="E105" t="inlineStr">
        <is>
          <t>Input 0–1</t>
        </is>
      </c>
      <c r="F105" t="inlineStr">
        <is>
          <t>Input 0–1</t>
        </is>
      </c>
      <c r="G105" t="inlineStr">
        <is>
          <t>Input 0–1</t>
        </is>
      </c>
      <c r="H105" t="inlineStr">
        <is>
          <t>Input 0–1</t>
        </is>
      </c>
      <c r="I105" t="inlineStr">
        <is>
          <t>Input 0–1</t>
        </is>
      </c>
      <c r="J105" t="inlineStr">
        <is>
          <t>Input 0–1</t>
        </is>
      </c>
      <c r="K105" t="inlineStr">
        <is>
          <t>Input 0–1</t>
        </is>
      </c>
      <c r="L105" t="inlineStr">
        <is>
          <t>Input 0–1</t>
        </is>
      </c>
      <c r="M105" t="inlineStr">
        <is>
          <t>LOW / MODERATE / HIGH</t>
        </is>
      </c>
      <c r="N105" t="inlineStr">
        <is>
          <t>Review if high score + weak evidence or contradiction</t>
        </is>
      </c>
    </row>
    <row r="106">
      <c r="A106" t="n">
        <v>106</v>
      </c>
      <c r="B106" t="inlineStr">
        <is>
          <t>D09</t>
        </is>
      </c>
      <c r="C106" t="inlineStr">
        <is>
          <t>I02</t>
        </is>
      </c>
      <c r="D106">
        <f>'P0-3_Scorecard'!H106</f>
        <v/>
      </c>
      <c r="E106" t="inlineStr">
        <is>
          <t>Input 0–1</t>
        </is>
      </c>
      <c r="F106" t="inlineStr">
        <is>
          <t>Input 0–1</t>
        </is>
      </c>
      <c r="G106" t="inlineStr">
        <is>
          <t>Input 0–1</t>
        </is>
      </c>
      <c r="H106" t="inlineStr">
        <is>
          <t>Input 0–1</t>
        </is>
      </c>
      <c r="I106" t="inlineStr">
        <is>
          <t>Input 0–1</t>
        </is>
      </c>
      <c r="J106" t="inlineStr">
        <is>
          <t>Input 0–1</t>
        </is>
      </c>
      <c r="K106" t="inlineStr">
        <is>
          <t>Input 0–1</t>
        </is>
      </c>
      <c r="L106" t="inlineStr">
        <is>
          <t>Input 0–1</t>
        </is>
      </c>
      <c r="M106" t="inlineStr">
        <is>
          <t>LOW / MODERATE / HIGH</t>
        </is>
      </c>
      <c r="N106" t="inlineStr">
        <is>
          <t>Review if high score + weak evidence or contradiction</t>
        </is>
      </c>
    </row>
    <row r="107">
      <c r="A107" t="n">
        <v>107</v>
      </c>
      <c r="B107" t="inlineStr">
        <is>
          <t>D09</t>
        </is>
      </c>
      <c r="C107" t="inlineStr">
        <is>
          <t>I03</t>
        </is>
      </c>
      <c r="D107">
        <f>'P0-3_Scorecard'!H107</f>
        <v/>
      </c>
      <c r="E107" t="inlineStr">
        <is>
          <t>Input 0–1</t>
        </is>
      </c>
      <c r="F107" t="inlineStr">
        <is>
          <t>Input 0–1</t>
        </is>
      </c>
      <c r="G107" t="inlineStr">
        <is>
          <t>Input 0–1</t>
        </is>
      </c>
      <c r="H107" t="inlineStr">
        <is>
          <t>Input 0–1</t>
        </is>
      </c>
      <c r="I107" t="inlineStr">
        <is>
          <t>Input 0–1</t>
        </is>
      </c>
      <c r="J107" t="inlineStr">
        <is>
          <t>Input 0–1</t>
        </is>
      </c>
      <c r="K107" t="inlineStr">
        <is>
          <t>Input 0–1</t>
        </is>
      </c>
      <c r="L107" t="inlineStr">
        <is>
          <t>Input 0–1</t>
        </is>
      </c>
      <c r="M107" t="inlineStr">
        <is>
          <t>LOW / MODERATE / HIGH</t>
        </is>
      </c>
      <c r="N107" t="inlineStr">
        <is>
          <t>Review if high score + weak evidence or contradiction</t>
        </is>
      </c>
    </row>
    <row r="108">
      <c r="A108" t="n">
        <v>108</v>
      </c>
      <c r="B108" t="inlineStr">
        <is>
          <t>D09</t>
        </is>
      </c>
      <c r="C108" t="inlineStr">
        <is>
          <t>I04</t>
        </is>
      </c>
      <c r="D108">
        <f>'P0-3_Scorecard'!H108</f>
        <v/>
      </c>
      <c r="E108" t="inlineStr">
        <is>
          <t>Input 0–1</t>
        </is>
      </c>
      <c r="F108" t="inlineStr">
        <is>
          <t>Input 0–1</t>
        </is>
      </c>
      <c r="G108" t="inlineStr">
        <is>
          <t>Input 0–1</t>
        </is>
      </c>
      <c r="H108" t="inlineStr">
        <is>
          <t>Input 0–1</t>
        </is>
      </c>
      <c r="I108" t="inlineStr">
        <is>
          <t>Input 0–1</t>
        </is>
      </c>
      <c r="J108" t="inlineStr">
        <is>
          <t>Input 0–1</t>
        </is>
      </c>
      <c r="K108" t="inlineStr">
        <is>
          <t>Input 0–1</t>
        </is>
      </c>
      <c r="L108" t="inlineStr">
        <is>
          <t>Input 0–1</t>
        </is>
      </c>
      <c r="M108" t="inlineStr">
        <is>
          <t>LOW / MODERATE / HIGH</t>
        </is>
      </c>
      <c r="N108" t="inlineStr">
        <is>
          <t>Review if high score + weak evidence or contradiction</t>
        </is>
      </c>
    </row>
    <row r="109">
      <c r="A109" t="n">
        <v>109</v>
      </c>
      <c r="B109" t="inlineStr">
        <is>
          <t>D09</t>
        </is>
      </c>
      <c r="C109" t="inlineStr">
        <is>
          <t>I05</t>
        </is>
      </c>
      <c r="D109">
        <f>'P0-3_Scorecard'!H109</f>
        <v/>
      </c>
      <c r="E109" t="inlineStr">
        <is>
          <t>Input 0–1</t>
        </is>
      </c>
      <c r="F109" t="inlineStr">
        <is>
          <t>Input 0–1</t>
        </is>
      </c>
      <c r="G109" t="inlineStr">
        <is>
          <t>Input 0–1</t>
        </is>
      </c>
      <c r="H109" t="inlineStr">
        <is>
          <t>Input 0–1</t>
        </is>
      </c>
      <c r="I109" t="inlineStr">
        <is>
          <t>Input 0–1</t>
        </is>
      </c>
      <c r="J109" t="inlineStr">
        <is>
          <t>Input 0–1</t>
        </is>
      </c>
      <c r="K109" t="inlineStr">
        <is>
          <t>Input 0–1</t>
        </is>
      </c>
      <c r="L109" t="inlineStr">
        <is>
          <t>Input 0–1</t>
        </is>
      </c>
      <c r="M109" t="inlineStr">
        <is>
          <t>LOW / MODERATE / HIGH</t>
        </is>
      </c>
      <c r="N109" t="inlineStr">
        <is>
          <t>Review if high score + weak evidence or contradiction</t>
        </is>
      </c>
    </row>
    <row r="110">
      <c r="A110" t="n">
        <v>110</v>
      </c>
      <c r="B110" t="inlineStr">
        <is>
          <t>D09</t>
        </is>
      </c>
      <c r="C110" t="inlineStr">
        <is>
          <t>I06</t>
        </is>
      </c>
      <c r="D110">
        <f>'P0-3_Scorecard'!H110</f>
        <v/>
      </c>
      <c r="E110" t="inlineStr">
        <is>
          <t>Input 0–1</t>
        </is>
      </c>
      <c r="F110" t="inlineStr">
        <is>
          <t>Input 0–1</t>
        </is>
      </c>
      <c r="G110" t="inlineStr">
        <is>
          <t>Input 0–1</t>
        </is>
      </c>
      <c r="H110" t="inlineStr">
        <is>
          <t>Input 0–1</t>
        </is>
      </c>
      <c r="I110" t="inlineStr">
        <is>
          <t>Input 0–1</t>
        </is>
      </c>
      <c r="J110" t="inlineStr">
        <is>
          <t>Input 0–1</t>
        </is>
      </c>
      <c r="K110" t="inlineStr">
        <is>
          <t>Input 0–1</t>
        </is>
      </c>
      <c r="L110" t="inlineStr">
        <is>
          <t>Input 0–1</t>
        </is>
      </c>
      <c r="M110" t="inlineStr">
        <is>
          <t>LOW / MODERATE / HIGH</t>
        </is>
      </c>
      <c r="N110" t="inlineStr">
        <is>
          <t>Review if high score + weak evidence or contradiction</t>
        </is>
      </c>
    </row>
    <row r="111">
      <c r="A111" t="n">
        <v>111</v>
      </c>
      <c r="B111" t="inlineStr">
        <is>
          <t>D09</t>
        </is>
      </c>
      <c r="C111" t="inlineStr">
        <is>
          <t>I07</t>
        </is>
      </c>
      <c r="D111">
        <f>'P0-3_Scorecard'!H111</f>
        <v/>
      </c>
      <c r="E111" t="inlineStr">
        <is>
          <t>Input 0–1</t>
        </is>
      </c>
      <c r="F111" t="inlineStr">
        <is>
          <t>Input 0–1</t>
        </is>
      </c>
      <c r="G111" t="inlineStr">
        <is>
          <t>Input 0–1</t>
        </is>
      </c>
      <c r="H111" t="inlineStr">
        <is>
          <t>Input 0–1</t>
        </is>
      </c>
      <c r="I111" t="inlineStr">
        <is>
          <t>Input 0–1</t>
        </is>
      </c>
      <c r="J111" t="inlineStr">
        <is>
          <t>Input 0–1</t>
        </is>
      </c>
      <c r="K111" t="inlineStr">
        <is>
          <t>Input 0–1</t>
        </is>
      </c>
      <c r="L111" t="inlineStr">
        <is>
          <t>Input 0–1</t>
        </is>
      </c>
      <c r="M111" t="inlineStr">
        <is>
          <t>LOW / MODERATE / HIGH</t>
        </is>
      </c>
      <c r="N111" t="inlineStr">
        <is>
          <t>Review if high score + weak evidence or contradiction</t>
        </is>
      </c>
    </row>
    <row r="112">
      <c r="A112" t="n">
        <v>112</v>
      </c>
      <c r="B112" t="inlineStr">
        <is>
          <t>D09</t>
        </is>
      </c>
      <c r="C112" t="inlineStr">
        <is>
          <t>I08</t>
        </is>
      </c>
      <c r="D112">
        <f>'P0-3_Scorecard'!H112</f>
        <v/>
      </c>
      <c r="E112" t="inlineStr">
        <is>
          <t>Input 0–1</t>
        </is>
      </c>
      <c r="F112" t="inlineStr">
        <is>
          <t>Input 0–1</t>
        </is>
      </c>
      <c r="G112" t="inlineStr">
        <is>
          <t>Input 0–1</t>
        </is>
      </c>
      <c r="H112" t="inlineStr">
        <is>
          <t>Input 0–1</t>
        </is>
      </c>
      <c r="I112" t="inlineStr">
        <is>
          <t>Input 0–1</t>
        </is>
      </c>
      <c r="J112" t="inlineStr">
        <is>
          <t>Input 0–1</t>
        </is>
      </c>
      <c r="K112" t="inlineStr">
        <is>
          <t>Input 0–1</t>
        </is>
      </c>
      <c r="L112" t="inlineStr">
        <is>
          <t>Input 0–1</t>
        </is>
      </c>
      <c r="M112" t="inlineStr">
        <is>
          <t>LOW / MODERATE / HIGH</t>
        </is>
      </c>
      <c r="N112" t="inlineStr">
        <is>
          <t>Review if high score + weak evidence or contradiction</t>
        </is>
      </c>
    </row>
    <row r="113">
      <c r="A113" t="n">
        <v>113</v>
      </c>
      <c r="B113" t="inlineStr">
        <is>
          <t>D09</t>
        </is>
      </c>
      <c r="C113" t="inlineStr">
        <is>
          <t>I09</t>
        </is>
      </c>
      <c r="D113">
        <f>'P0-3_Scorecard'!H113</f>
        <v/>
      </c>
      <c r="E113" t="inlineStr">
        <is>
          <t>Input 0–1</t>
        </is>
      </c>
      <c r="F113" t="inlineStr">
        <is>
          <t>Input 0–1</t>
        </is>
      </c>
      <c r="G113" t="inlineStr">
        <is>
          <t>Input 0–1</t>
        </is>
      </c>
      <c r="H113" t="inlineStr">
        <is>
          <t>Input 0–1</t>
        </is>
      </c>
      <c r="I113" t="inlineStr">
        <is>
          <t>Input 0–1</t>
        </is>
      </c>
      <c r="J113" t="inlineStr">
        <is>
          <t>Input 0–1</t>
        </is>
      </c>
      <c r="K113" t="inlineStr">
        <is>
          <t>Input 0–1</t>
        </is>
      </c>
      <c r="L113" t="inlineStr">
        <is>
          <t>Input 0–1</t>
        </is>
      </c>
      <c r="M113" t="inlineStr">
        <is>
          <t>LOW / MODERATE / HIGH</t>
        </is>
      </c>
      <c r="N113" t="inlineStr">
        <is>
          <t>Review if high score + weak evidence or contradiction</t>
        </is>
      </c>
    </row>
    <row r="114">
      <c r="A114" t="n">
        <v>114</v>
      </c>
      <c r="B114" t="inlineStr">
        <is>
          <t>D09</t>
        </is>
      </c>
      <c r="C114" t="inlineStr">
        <is>
          <t>I10</t>
        </is>
      </c>
      <c r="D114">
        <f>'P0-3_Scorecard'!H114</f>
        <v/>
      </c>
      <c r="E114" t="inlineStr">
        <is>
          <t>Input 0–1</t>
        </is>
      </c>
      <c r="F114" t="inlineStr">
        <is>
          <t>Input 0–1</t>
        </is>
      </c>
      <c r="G114" t="inlineStr">
        <is>
          <t>Input 0–1</t>
        </is>
      </c>
      <c r="H114" t="inlineStr">
        <is>
          <t>Input 0–1</t>
        </is>
      </c>
      <c r="I114" t="inlineStr">
        <is>
          <t>Input 0–1</t>
        </is>
      </c>
      <c r="J114" t="inlineStr">
        <is>
          <t>Input 0–1</t>
        </is>
      </c>
      <c r="K114" t="inlineStr">
        <is>
          <t>Input 0–1</t>
        </is>
      </c>
      <c r="L114" t="inlineStr">
        <is>
          <t>Input 0–1</t>
        </is>
      </c>
      <c r="M114" t="inlineStr">
        <is>
          <t>LOW / MODERATE / HIGH</t>
        </is>
      </c>
      <c r="N114" t="inlineStr">
        <is>
          <t>Review if high score + weak evidence or contradiction</t>
        </is>
      </c>
    </row>
    <row r="115">
      <c r="A115" t="n">
        <v>115</v>
      </c>
      <c r="B115" t="inlineStr">
        <is>
          <t>D09</t>
        </is>
      </c>
      <c r="C115" t="inlineStr">
        <is>
          <t>I11</t>
        </is>
      </c>
      <c r="D115">
        <f>'P0-3_Scorecard'!H115</f>
        <v/>
      </c>
      <c r="E115" t="inlineStr">
        <is>
          <t>Input 0–1</t>
        </is>
      </c>
      <c r="F115" t="inlineStr">
        <is>
          <t>Input 0–1</t>
        </is>
      </c>
      <c r="G115" t="inlineStr">
        <is>
          <t>Input 0–1</t>
        </is>
      </c>
      <c r="H115" t="inlineStr">
        <is>
          <t>Input 0–1</t>
        </is>
      </c>
      <c r="I115" t="inlineStr">
        <is>
          <t>Input 0–1</t>
        </is>
      </c>
      <c r="J115" t="inlineStr">
        <is>
          <t>Input 0–1</t>
        </is>
      </c>
      <c r="K115" t="inlineStr">
        <is>
          <t>Input 0–1</t>
        </is>
      </c>
      <c r="L115" t="inlineStr">
        <is>
          <t>Input 0–1</t>
        </is>
      </c>
      <c r="M115" t="inlineStr">
        <is>
          <t>LOW / MODERATE / HIGH</t>
        </is>
      </c>
      <c r="N115" t="inlineStr">
        <is>
          <t>Review if high score + weak evidence or contradiction</t>
        </is>
      </c>
    </row>
    <row r="116">
      <c r="A116" t="n">
        <v>116</v>
      </c>
      <c r="B116" t="inlineStr">
        <is>
          <t>D09</t>
        </is>
      </c>
      <c r="C116" t="inlineStr">
        <is>
          <t>I12</t>
        </is>
      </c>
      <c r="D116">
        <f>'P0-3_Scorecard'!H116</f>
        <v/>
      </c>
      <c r="E116" t="inlineStr">
        <is>
          <t>Input 0–1</t>
        </is>
      </c>
      <c r="F116" t="inlineStr">
        <is>
          <t>Input 0–1</t>
        </is>
      </c>
      <c r="G116" t="inlineStr">
        <is>
          <t>Input 0–1</t>
        </is>
      </c>
      <c r="H116" t="inlineStr">
        <is>
          <t>Input 0–1</t>
        </is>
      </c>
      <c r="I116" t="inlineStr">
        <is>
          <t>Input 0–1</t>
        </is>
      </c>
      <c r="J116" t="inlineStr">
        <is>
          <t>Input 0–1</t>
        </is>
      </c>
      <c r="K116" t="inlineStr">
        <is>
          <t>Input 0–1</t>
        </is>
      </c>
      <c r="L116" t="inlineStr">
        <is>
          <t>Input 0–1</t>
        </is>
      </c>
      <c r="M116" t="inlineStr">
        <is>
          <t>LOW / MODERATE / HIGH</t>
        </is>
      </c>
      <c r="N116" t="inlineStr">
        <is>
          <t>Review if high score + weak evidence or contradiction</t>
        </is>
      </c>
    </row>
    <row r="117">
      <c r="A117" t="n">
        <v>117</v>
      </c>
      <c r="B117" t="inlineStr">
        <is>
          <t>D10</t>
        </is>
      </c>
      <c r="C117" t="inlineStr">
        <is>
          <t>I01</t>
        </is>
      </c>
      <c r="D117">
        <f>'P0-3_Scorecard'!H117</f>
        <v/>
      </c>
      <c r="E117" t="inlineStr">
        <is>
          <t>Input 0–1</t>
        </is>
      </c>
      <c r="F117" t="inlineStr">
        <is>
          <t>Input 0–1</t>
        </is>
      </c>
      <c r="G117" t="inlineStr">
        <is>
          <t>Input 0–1</t>
        </is>
      </c>
      <c r="H117" t="inlineStr">
        <is>
          <t>Input 0–1</t>
        </is>
      </c>
      <c r="I117" t="inlineStr">
        <is>
          <t>Input 0–1</t>
        </is>
      </c>
      <c r="J117" t="inlineStr">
        <is>
          <t>Input 0–1</t>
        </is>
      </c>
      <c r="K117" t="inlineStr">
        <is>
          <t>Input 0–1</t>
        </is>
      </c>
      <c r="L117" t="inlineStr">
        <is>
          <t>Input 0–1</t>
        </is>
      </c>
      <c r="M117" t="inlineStr">
        <is>
          <t>LOW / MODERATE / HIGH</t>
        </is>
      </c>
      <c r="N117" t="inlineStr">
        <is>
          <t>Review if high score + weak evidence or contradiction</t>
        </is>
      </c>
    </row>
    <row r="118">
      <c r="A118" t="n">
        <v>118</v>
      </c>
      <c r="B118" t="inlineStr">
        <is>
          <t>D10</t>
        </is>
      </c>
      <c r="C118" t="inlineStr">
        <is>
          <t>I02</t>
        </is>
      </c>
      <c r="D118">
        <f>'P0-3_Scorecard'!H118</f>
        <v/>
      </c>
      <c r="E118" t="inlineStr">
        <is>
          <t>Input 0–1</t>
        </is>
      </c>
      <c r="F118" t="inlineStr">
        <is>
          <t>Input 0–1</t>
        </is>
      </c>
      <c r="G118" t="inlineStr">
        <is>
          <t>Input 0–1</t>
        </is>
      </c>
      <c r="H118" t="inlineStr">
        <is>
          <t>Input 0–1</t>
        </is>
      </c>
      <c r="I118" t="inlineStr">
        <is>
          <t>Input 0–1</t>
        </is>
      </c>
      <c r="J118" t="inlineStr">
        <is>
          <t>Input 0–1</t>
        </is>
      </c>
      <c r="K118" t="inlineStr">
        <is>
          <t>Input 0–1</t>
        </is>
      </c>
      <c r="L118" t="inlineStr">
        <is>
          <t>Input 0–1</t>
        </is>
      </c>
      <c r="M118" t="inlineStr">
        <is>
          <t>LOW / MODERATE / HIGH</t>
        </is>
      </c>
      <c r="N118" t="inlineStr">
        <is>
          <t>Review if high score + weak evidence or contradiction</t>
        </is>
      </c>
    </row>
    <row r="119">
      <c r="A119" t="n">
        <v>119</v>
      </c>
      <c r="B119" t="inlineStr">
        <is>
          <t>D10</t>
        </is>
      </c>
      <c r="C119" t="inlineStr">
        <is>
          <t>I03</t>
        </is>
      </c>
      <c r="D119">
        <f>'P0-3_Scorecard'!H119</f>
        <v/>
      </c>
      <c r="E119" t="inlineStr">
        <is>
          <t>Input 0–1</t>
        </is>
      </c>
      <c r="F119" t="inlineStr">
        <is>
          <t>Input 0–1</t>
        </is>
      </c>
      <c r="G119" t="inlineStr">
        <is>
          <t>Input 0–1</t>
        </is>
      </c>
      <c r="H119" t="inlineStr">
        <is>
          <t>Input 0–1</t>
        </is>
      </c>
      <c r="I119" t="inlineStr">
        <is>
          <t>Input 0–1</t>
        </is>
      </c>
      <c r="J119" t="inlineStr">
        <is>
          <t>Input 0–1</t>
        </is>
      </c>
      <c r="K119" t="inlineStr">
        <is>
          <t>Input 0–1</t>
        </is>
      </c>
      <c r="L119" t="inlineStr">
        <is>
          <t>Input 0–1</t>
        </is>
      </c>
      <c r="M119" t="inlineStr">
        <is>
          <t>LOW / MODERATE / HIGH</t>
        </is>
      </c>
      <c r="N119" t="inlineStr">
        <is>
          <t>Review if high score + weak evidence or contradiction</t>
        </is>
      </c>
    </row>
    <row r="120">
      <c r="A120" t="n">
        <v>120</v>
      </c>
      <c r="B120" t="inlineStr">
        <is>
          <t>D10</t>
        </is>
      </c>
      <c r="C120" t="inlineStr">
        <is>
          <t>I04</t>
        </is>
      </c>
      <c r="D120">
        <f>'P0-3_Scorecard'!H120</f>
        <v/>
      </c>
      <c r="E120" t="inlineStr">
        <is>
          <t>Input 0–1</t>
        </is>
      </c>
      <c r="F120" t="inlineStr">
        <is>
          <t>Input 0–1</t>
        </is>
      </c>
      <c r="G120" t="inlineStr">
        <is>
          <t>Input 0–1</t>
        </is>
      </c>
      <c r="H120" t="inlineStr">
        <is>
          <t>Input 0–1</t>
        </is>
      </c>
      <c r="I120" t="inlineStr">
        <is>
          <t>Input 0–1</t>
        </is>
      </c>
      <c r="J120" t="inlineStr">
        <is>
          <t>Input 0–1</t>
        </is>
      </c>
      <c r="K120" t="inlineStr">
        <is>
          <t>Input 0–1</t>
        </is>
      </c>
      <c r="L120" t="inlineStr">
        <is>
          <t>Input 0–1</t>
        </is>
      </c>
      <c r="M120" t="inlineStr">
        <is>
          <t>LOW / MODERATE / HIGH</t>
        </is>
      </c>
      <c r="N120" t="inlineStr">
        <is>
          <t>Review if high score + weak evidence or contradiction</t>
        </is>
      </c>
    </row>
    <row r="121">
      <c r="A121" t="n">
        <v>121</v>
      </c>
      <c r="B121" t="inlineStr">
        <is>
          <t>D10</t>
        </is>
      </c>
      <c r="C121" t="inlineStr">
        <is>
          <t>I05</t>
        </is>
      </c>
      <c r="D121">
        <f>'P0-3_Scorecard'!H121</f>
        <v/>
      </c>
      <c r="E121" t="inlineStr">
        <is>
          <t>Input 0–1</t>
        </is>
      </c>
      <c r="F121" t="inlineStr">
        <is>
          <t>Input 0–1</t>
        </is>
      </c>
      <c r="G121" t="inlineStr">
        <is>
          <t>Input 0–1</t>
        </is>
      </c>
      <c r="H121" t="inlineStr">
        <is>
          <t>Input 0–1</t>
        </is>
      </c>
      <c r="I121" t="inlineStr">
        <is>
          <t>Input 0–1</t>
        </is>
      </c>
      <c r="J121" t="inlineStr">
        <is>
          <t>Input 0–1</t>
        </is>
      </c>
      <c r="K121" t="inlineStr">
        <is>
          <t>Input 0–1</t>
        </is>
      </c>
      <c r="L121" t="inlineStr">
        <is>
          <t>Input 0–1</t>
        </is>
      </c>
      <c r="M121" t="inlineStr">
        <is>
          <t>LOW / MODERATE / HIGH</t>
        </is>
      </c>
      <c r="N121" t="inlineStr">
        <is>
          <t>Review if high score + weak evidence or contradiction</t>
        </is>
      </c>
    </row>
    <row r="122">
      <c r="A122" t="n">
        <v>122</v>
      </c>
      <c r="B122" t="inlineStr">
        <is>
          <t>D10</t>
        </is>
      </c>
      <c r="C122" t="inlineStr">
        <is>
          <t>I06</t>
        </is>
      </c>
      <c r="D122">
        <f>'P0-3_Scorecard'!H122</f>
        <v/>
      </c>
      <c r="E122" t="inlineStr">
        <is>
          <t>Input 0–1</t>
        </is>
      </c>
      <c r="F122" t="inlineStr">
        <is>
          <t>Input 0–1</t>
        </is>
      </c>
      <c r="G122" t="inlineStr">
        <is>
          <t>Input 0–1</t>
        </is>
      </c>
      <c r="H122" t="inlineStr">
        <is>
          <t>Input 0–1</t>
        </is>
      </c>
      <c r="I122" t="inlineStr">
        <is>
          <t>Input 0–1</t>
        </is>
      </c>
      <c r="J122" t="inlineStr">
        <is>
          <t>Input 0–1</t>
        </is>
      </c>
      <c r="K122" t="inlineStr">
        <is>
          <t>Input 0–1</t>
        </is>
      </c>
      <c r="L122" t="inlineStr">
        <is>
          <t>Input 0–1</t>
        </is>
      </c>
      <c r="M122" t="inlineStr">
        <is>
          <t>LOW / MODERATE / HIGH</t>
        </is>
      </c>
      <c r="N122" t="inlineStr">
        <is>
          <t>Review if high score + weak evidence or contradiction</t>
        </is>
      </c>
    </row>
    <row r="123">
      <c r="A123" t="n">
        <v>123</v>
      </c>
      <c r="B123" t="inlineStr">
        <is>
          <t>D10</t>
        </is>
      </c>
      <c r="C123" t="inlineStr">
        <is>
          <t>I07</t>
        </is>
      </c>
      <c r="D123">
        <f>'P0-3_Scorecard'!H123</f>
        <v/>
      </c>
      <c r="E123" t="inlineStr">
        <is>
          <t>Input 0–1</t>
        </is>
      </c>
      <c r="F123" t="inlineStr">
        <is>
          <t>Input 0–1</t>
        </is>
      </c>
      <c r="G123" t="inlineStr">
        <is>
          <t>Input 0–1</t>
        </is>
      </c>
      <c r="H123" t="inlineStr">
        <is>
          <t>Input 0–1</t>
        </is>
      </c>
      <c r="I123" t="inlineStr">
        <is>
          <t>Input 0–1</t>
        </is>
      </c>
      <c r="J123" t="inlineStr">
        <is>
          <t>Input 0–1</t>
        </is>
      </c>
      <c r="K123" t="inlineStr">
        <is>
          <t>Input 0–1</t>
        </is>
      </c>
      <c r="L123" t="inlineStr">
        <is>
          <t>Input 0–1</t>
        </is>
      </c>
      <c r="M123" t="inlineStr">
        <is>
          <t>LOW / MODERATE / HIGH</t>
        </is>
      </c>
      <c r="N123" t="inlineStr">
        <is>
          <t>Review if high score + weak evidence or contradiction</t>
        </is>
      </c>
    </row>
    <row r="124">
      <c r="A124" t="n">
        <v>124</v>
      </c>
      <c r="B124" t="inlineStr">
        <is>
          <t>D10</t>
        </is>
      </c>
      <c r="C124" t="inlineStr">
        <is>
          <t>I08</t>
        </is>
      </c>
      <c r="D124">
        <f>'P0-3_Scorecard'!H124</f>
        <v/>
      </c>
      <c r="E124" t="inlineStr">
        <is>
          <t>Input 0–1</t>
        </is>
      </c>
      <c r="F124" t="inlineStr">
        <is>
          <t>Input 0–1</t>
        </is>
      </c>
      <c r="G124" t="inlineStr">
        <is>
          <t>Input 0–1</t>
        </is>
      </c>
      <c r="H124" t="inlineStr">
        <is>
          <t>Input 0–1</t>
        </is>
      </c>
      <c r="I124" t="inlineStr">
        <is>
          <t>Input 0–1</t>
        </is>
      </c>
      <c r="J124" t="inlineStr">
        <is>
          <t>Input 0–1</t>
        </is>
      </c>
      <c r="K124" t="inlineStr">
        <is>
          <t>Input 0–1</t>
        </is>
      </c>
      <c r="L124" t="inlineStr">
        <is>
          <t>Input 0–1</t>
        </is>
      </c>
      <c r="M124" t="inlineStr">
        <is>
          <t>LOW / MODERATE / HIGH</t>
        </is>
      </c>
      <c r="N124" t="inlineStr">
        <is>
          <t>Review if high score + weak evidence or contradiction</t>
        </is>
      </c>
    </row>
    <row r="125">
      <c r="A125" t="n">
        <v>125</v>
      </c>
      <c r="B125" t="inlineStr">
        <is>
          <t>D10</t>
        </is>
      </c>
      <c r="C125" t="inlineStr">
        <is>
          <t>I09</t>
        </is>
      </c>
      <c r="D125">
        <f>'P0-3_Scorecard'!H125</f>
        <v/>
      </c>
      <c r="E125" t="inlineStr">
        <is>
          <t>Input 0–1</t>
        </is>
      </c>
      <c r="F125" t="inlineStr">
        <is>
          <t>Input 0–1</t>
        </is>
      </c>
      <c r="G125" t="inlineStr">
        <is>
          <t>Input 0–1</t>
        </is>
      </c>
      <c r="H125" t="inlineStr">
        <is>
          <t>Input 0–1</t>
        </is>
      </c>
      <c r="I125" t="inlineStr">
        <is>
          <t>Input 0–1</t>
        </is>
      </c>
      <c r="J125" t="inlineStr">
        <is>
          <t>Input 0–1</t>
        </is>
      </c>
      <c r="K125" t="inlineStr">
        <is>
          <t>Input 0–1</t>
        </is>
      </c>
      <c r="L125" t="inlineStr">
        <is>
          <t>Input 0–1</t>
        </is>
      </c>
      <c r="M125" t="inlineStr">
        <is>
          <t>LOW / MODERATE / HIGH</t>
        </is>
      </c>
      <c r="N125" t="inlineStr">
        <is>
          <t>Review if high score + weak evidence or contradiction</t>
        </is>
      </c>
    </row>
    <row r="126">
      <c r="A126" t="n">
        <v>126</v>
      </c>
      <c r="B126" t="inlineStr">
        <is>
          <t>D10</t>
        </is>
      </c>
      <c r="C126" t="inlineStr">
        <is>
          <t>I10</t>
        </is>
      </c>
      <c r="D126">
        <f>'P0-3_Scorecard'!H126</f>
        <v/>
      </c>
      <c r="E126" t="inlineStr">
        <is>
          <t>Input 0–1</t>
        </is>
      </c>
      <c r="F126" t="inlineStr">
        <is>
          <t>Input 0–1</t>
        </is>
      </c>
      <c r="G126" t="inlineStr">
        <is>
          <t>Input 0–1</t>
        </is>
      </c>
      <c r="H126" t="inlineStr">
        <is>
          <t>Input 0–1</t>
        </is>
      </c>
      <c r="I126" t="inlineStr">
        <is>
          <t>Input 0–1</t>
        </is>
      </c>
      <c r="J126" t="inlineStr">
        <is>
          <t>Input 0–1</t>
        </is>
      </c>
      <c r="K126" t="inlineStr">
        <is>
          <t>Input 0–1</t>
        </is>
      </c>
      <c r="L126" t="inlineStr">
        <is>
          <t>Input 0–1</t>
        </is>
      </c>
      <c r="M126" t="inlineStr">
        <is>
          <t>LOW / MODERATE / HIGH</t>
        </is>
      </c>
      <c r="N126" t="inlineStr">
        <is>
          <t>Review if high score + weak evidence or contradiction</t>
        </is>
      </c>
    </row>
    <row r="127">
      <c r="A127" t="n">
        <v>127</v>
      </c>
      <c r="B127" t="inlineStr">
        <is>
          <t>D10</t>
        </is>
      </c>
      <c r="C127" t="inlineStr">
        <is>
          <t>I11</t>
        </is>
      </c>
      <c r="D127">
        <f>'P0-3_Scorecard'!H127</f>
        <v/>
      </c>
      <c r="E127" t="inlineStr">
        <is>
          <t>Input 0–1</t>
        </is>
      </c>
      <c r="F127" t="inlineStr">
        <is>
          <t>Input 0–1</t>
        </is>
      </c>
      <c r="G127" t="inlineStr">
        <is>
          <t>Input 0–1</t>
        </is>
      </c>
      <c r="H127" t="inlineStr">
        <is>
          <t>Input 0–1</t>
        </is>
      </c>
      <c r="I127" t="inlineStr">
        <is>
          <t>Input 0–1</t>
        </is>
      </c>
      <c r="J127" t="inlineStr">
        <is>
          <t>Input 0–1</t>
        </is>
      </c>
      <c r="K127" t="inlineStr">
        <is>
          <t>Input 0–1</t>
        </is>
      </c>
      <c r="L127" t="inlineStr">
        <is>
          <t>Input 0–1</t>
        </is>
      </c>
      <c r="M127" t="inlineStr">
        <is>
          <t>LOW / MODERATE / HIGH</t>
        </is>
      </c>
      <c r="N127" t="inlineStr">
        <is>
          <t>Review if high score + weak evidence or contradiction</t>
        </is>
      </c>
    </row>
    <row r="128">
      <c r="A128" t="n">
        <v>128</v>
      </c>
      <c r="B128" t="inlineStr">
        <is>
          <t>D10</t>
        </is>
      </c>
      <c r="C128" t="inlineStr">
        <is>
          <t>I12</t>
        </is>
      </c>
      <c r="D128">
        <f>'P0-3_Scorecard'!H128</f>
        <v/>
      </c>
      <c r="E128" t="inlineStr">
        <is>
          <t>Input 0–1</t>
        </is>
      </c>
      <c r="F128" t="inlineStr">
        <is>
          <t>Input 0–1</t>
        </is>
      </c>
      <c r="G128" t="inlineStr">
        <is>
          <t>Input 0–1</t>
        </is>
      </c>
      <c r="H128" t="inlineStr">
        <is>
          <t>Input 0–1</t>
        </is>
      </c>
      <c r="I128" t="inlineStr">
        <is>
          <t>Input 0–1</t>
        </is>
      </c>
      <c r="J128" t="inlineStr">
        <is>
          <t>Input 0–1</t>
        </is>
      </c>
      <c r="K128" t="inlineStr">
        <is>
          <t>Input 0–1</t>
        </is>
      </c>
      <c r="L128" t="inlineStr">
        <is>
          <t>Input 0–1</t>
        </is>
      </c>
      <c r="M128" t="inlineStr">
        <is>
          <t>LOW / MODERATE / HIGH</t>
        </is>
      </c>
      <c r="N128" t="inlineStr">
        <is>
          <t>Review if high score + weak evidence or contradiction</t>
        </is>
      </c>
    </row>
    <row r="129">
      <c r="A129" t="n">
        <v>129</v>
      </c>
      <c r="B129" t="inlineStr">
        <is>
          <t>D10</t>
        </is>
      </c>
      <c r="C129" t="inlineStr">
        <is>
          <t>I13</t>
        </is>
      </c>
      <c r="D129">
        <f>'P0-3_Scorecard'!H129</f>
        <v/>
      </c>
      <c r="E129" t="inlineStr">
        <is>
          <t>Input 0–1</t>
        </is>
      </c>
      <c r="F129" t="inlineStr">
        <is>
          <t>Input 0–1</t>
        </is>
      </c>
      <c r="G129" t="inlineStr">
        <is>
          <t>Input 0–1</t>
        </is>
      </c>
      <c r="H129" t="inlineStr">
        <is>
          <t>Input 0–1</t>
        </is>
      </c>
      <c r="I129" t="inlineStr">
        <is>
          <t>Input 0–1</t>
        </is>
      </c>
      <c r="J129" t="inlineStr">
        <is>
          <t>Input 0–1</t>
        </is>
      </c>
      <c r="K129" t="inlineStr">
        <is>
          <t>Input 0–1</t>
        </is>
      </c>
      <c r="L129" t="inlineStr">
        <is>
          <t>Input 0–1</t>
        </is>
      </c>
      <c r="M129" t="inlineStr">
        <is>
          <t>LOW / MODERATE / HIGH</t>
        </is>
      </c>
      <c r="N129" t="inlineStr">
        <is>
          <t>Review if high score + weak evidence or contradiction</t>
        </is>
      </c>
    </row>
    <row r="130">
      <c r="A130" t="n">
        <v>130</v>
      </c>
      <c r="B130" t="inlineStr">
        <is>
          <t>D10</t>
        </is>
      </c>
      <c r="C130" t="inlineStr">
        <is>
          <t>I14</t>
        </is>
      </c>
      <c r="D130">
        <f>'P0-3_Scorecard'!H130</f>
        <v/>
      </c>
      <c r="E130" t="inlineStr">
        <is>
          <t>Input 0–1</t>
        </is>
      </c>
      <c r="F130" t="inlineStr">
        <is>
          <t>Input 0–1</t>
        </is>
      </c>
      <c r="G130" t="inlineStr">
        <is>
          <t>Input 0–1</t>
        </is>
      </c>
      <c r="H130" t="inlineStr">
        <is>
          <t>Input 0–1</t>
        </is>
      </c>
      <c r="I130" t="inlineStr">
        <is>
          <t>Input 0–1</t>
        </is>
      </c>
      <c r="J130" t="inlineStr">
        <is>
          <t>Input 0–1</t>
        </is>
      </c>
      <c r="K130" t="inlineStr">
        <is>
          <t>Input 0–1</t>
        </is>
      </c>
      <c r="L130" t="inlineStr">
        <is>
          <t>Input 0–1</t>
        </is>
      </c>
      <c r="M130" t="inlineStr">
        <is>
          <t>LOW / MODERATE / HIGH</t>
        </is>
      </c>
      <c r="N130" t="inlineStr">
        <is>
          <t>Review if high score + weak evidence or contradiction</t>
        </is>
      </c>
    </row>
    <row r="131">
      <c r="A131" t="n">
        <v>131</v>
      </c>
      <c r="B131" t="inlineStr">
        <is>
          <t>D11</t>
        </is>
      </c>
      <c r="C131" t="inlineStr">
        <is>
          <t>I01</t>
        </is>
      </c>
      <c r="D131">
        <f>'P0-3_Scorecard'!H131</f>
        <v/>
      </c>
      <c r="E131" t="inlineStr">
        <is>
          <t>Input 0–1</t>
        </is>
      </c>
      <c r="F131" t="inlineStr">
        <is>
          <t>Input 0–1</t>
        </is>
      </c>
      <c r="G131" t="inlineStr">
        <is>
          <t>Input 0–1</t>
        </is>
      </c>
      <c r="H131" t="inlineStr">
        <is>
          <t>Input 0–1</t>
        </is>
      </c>
      <c r="I131" t="inlineStr">
        <is>
          <t>Input 0–1</t>
        </is>
      </c>
      <c r="J131" t="inlineStr">
        <is>
          <t>Input 0–1</t>
        </is>
      </c>
      <c r="K131" t="inlineStr">
        <is>
          <t>Input 0–1</t>
        </is>
      </c>
      <c r="L131" t="inlineStr">
        <is>
          <t>Input 0–1</t>
        </is>
      </c>
      <c r="M131" t="inlineStr">
        <is>
          <t>LOW / MODERATE / HIGH</t>
        </is>
      </c>
      <c r="N131" t="inlineStr">
        <is>
          <t>Review if high score + weak evidence or contradiction</t>
        </is>
      </c>
    </row>
    <row r="132">
      <c r="A132" t="n">
        <v>132</v>
      </c>
      <c r="B132" t="inlineStr">
        <is>
          <t>D11</t>
        </is>
      </c>
      <c r="C132" t="inlineStr">
        <is>
          <t>I02</t>
        </is>
      </c>
      <c r="D132">
        <f>'P0-3_Scorecard'!H132</f>
        <v/>
      </c>
      <c r="E132" t="inlineStr">
        <is>
          <t>Input 0–1</t>
        </is>
      </c>
      <c r="F132" t="inlineStr">
        <is>
          <t>Input 0–1</t>
        </is>
      </c>
      <c r="G132" t="inlineStr">
        <is>
          <t>Input 0–1</t>
        </is>
      </c>
      <c r="H132" t="inlineStr">
        <is>
          <t>Input 0–1</t>
        </is>
      </c>
      <c r="I132" t="inlineStr">
        <is>
          <t>Input 0–1</t>
        </is>
      </c>
      <c r="J132" t="inlineStr">
        <is>
          <t>Input 0–1</t>
        </is>
      </c>
      <c r="K132" t="inlineStr">
        <is>
          <t>Input 0–1</t>
        </is>
      </c>
      <c r="L132" t="inlineStr">
        <is>
          <t>Input 0–1</t>
        </is>
      </c>
      <c r="M132" t="inlineStr">
        <is>
          <t>LOW / MODERATE / HIGH</t>
        </is>
      </c>
      <c r="N132" t="inlineStr">
        <is>
          <t>Review if high score + weak evidence or contradiction</t>
        </is>
      </c>
    </row>
    <row r="133">
      <c r="A133" t="n">
        <v>133</v>
      </c>
      <c r="B133" t="inlineStr">
        <is>
          <t>D11</t>
        </is>
      </c>
      <c r="C133" t="inlineStr">
        <is>
          <t>I03</t>
        </is>
      </c>
      <c r="D133">
        <f>'P0-3_Scorecard'!H133</f>
        <v/>
      </c>
      <c r="E133" t="inlineStr">
        <is>
          <t>Input 0–1</t>
        </is>
      </c>
      <c r="F133" t="inlineStr">
        <is>
          <t>Input 0–1</t>
        </is>
      </c>
      <c r="G133" t="inlineStr">
        <is>
          <t>Input 0–1</t>
        </is>
      </c>
      <c r="H133" t="inlineStr">
        <is>
          <t>Input 0–1</t>
        </is>
      </c>
      <c r="I133" t="inlineStr">
        <is>
          <t>Input 0–1</t>
        </is>
      </c>
      <c r="J133" t="inlineStr">
        <is>
          <t>Input 0–1</t>
        </is>
      </c>
      <c r="K133" t="inlineStr">
        <is>
          <t>Input 0–1</t>
        </is>
      </c>
      <c r="L133" t="inlineStr">
        <is>
          <t>Input 0–1</t>
        </is>
      </c>
      <c r="M133" t="inlineStr">
        <is>
          <t>LOW / MODERATE / HIGH</t>
        </is>
      </c>
      <c r="N133" t="inlineStr">
        <is>
          <t>Review if high score + weak evidence or contradiction</t>
        </is>
      </c>
    </row>
    <row r="134">
      <c r="A134" t="n">
        <v>134</v>
      </c>
      <c r="B134" t="inlineStr">
        <is>
          <t>D11</t>
        </is>
      </c>
      <c r="C134" t="inlineStr">
        <is>
          <t>I04</t>
        </is>
      </c>
      <c r="D134">
        <f>'P0-3_Scorecard'!H134</f>
        <v/>
      </c>
      <c r="E134" t="inlineStr">
        <is>
          <t>Input 0–1</t>
        </is>
      </c>
      <c r="F134" t="inlineStr">
        <is>
          <t>Input 0–1</t>
        </is>
      </c>
      <c r="G134" t="inlineStr">
        <is>
          <t>Input 0–1</t>
        </is>
      </c>
      <c r="H134" t="inlineStr">
        <is>
          <t>Input 0–1</t>
        </is>
      </c>
      <c r="I134" t="inlineStr">
        <is>
          <t>Input 0–1</t>
        </is>
      </c>
      <c r="J134" t="inlineStr">
        <is>
          <t>Input 0–1</t>
        </is>
      </c>
      <c r="K134" t="inlineStr">
        <is>
          <t>Input 0–1</t>
        </is>
      </c>
      <c r="L134" t="inlineStr">
        <is>
          <t>Input 0–1</t>
        </is>
      </c>
      <c r="M134" t="inlineStr">
        <is>
          <t>LOW / MODERATE / HIGH</t>
        </is>
      </c>
      <c r="N134" t="inlineStr">
        <is>
          <t>Review if high score + weak evidence or contradiction</t>
        </is>
      </c>
    </row>
    <row r="135">
      <c r="A135" t="n">
        <v>135</v>
      </c>
      <c r="B135" t="inlineStr">
        <is>
          <t>D11</t>
        </is>
      </c>
      <c r="C135" t="inlineStr">
        <is>
          <t>I05</t>
        </is>
      </c>
      <c r="D135">
        <f>'P0-3_Scorecard'!H135</f>
        <v/>
      </c>
      <c r="E135" t="inlineStr">
        <is>
          <t>Input 0–1</t>
        </is>
      </c>
      <c r="F135" t="inlineStr">
        <is>
          <t>Input 0–1</t>
        </is>
      </c>
      <c r="G135" t="inlineStr">
        <is>
          <t>Input 0–1</t>
        </is>
      </c>
      <c r="H135" t="inlineStr">
        <is>
          <t>Input 0–1</t>
        </is>
      </c>
      <c r="I135" t="inlineStr">
        <is>
          <t>Input 0–1</t>
        </is>
      </c>
      <c r="J135" t="inlineStr">
        <is>
          <t>Input 0–1</t>
        </is>
      </c>
      <c r="K135" t="inlineStr">
        <is>
          <t>Input 0–1</t>
        </is>
      </c>
      <c r="L135" t="inlineStr">
        <is>
          <t>Input 0–1</t>
        </is>
      </c>
      <c r="M135" t="inlineStr">
        <is>
          <t>LOW / MODERATE / HIGH</t>
        </is>
      </c>
      <c r="N135" t="inlineStr">
        <is>
          <t>Review if high score + weak evidence or contradiction</t>
        </is>
      </c>
    </row>
    <row r="136">
      <c r="A136" t="n">
        <v>136</v>
      </c>
      <c r="B136" t="inlineStr">
        <is>
          <t>D11</t>
        </is>
      </c>
      <c r="C136" t="inlineStr">
        <is>
          <t>I06</t>
        </is>
      </c>
      <c r="D136">
        <f>'P0-3_Scorecard'!H136</f>
        <v/>
      </c>
      <c r="E136" t="inlineStr">
        <is>
          <t>Input 0–1</t>
        </is>
      </c>
      <c r="F136" t="inlineStr">
        <is>
          <t>Input 0–1</t>
        </is>
      </c>
      <c r="G136" t="inlineStr">
        <is>
          <t>Input 0–1</t>
        </is>
      </c>
      <c r="H136" t="inlineStr">
        <is>
          <t>Input 0–1</t>
        </is>
      </c>
      <c r="I136" t="inlineStr">
        <is>
          <t>Input 0–1</t>
        </is>
      </c>
      <c r="J136" t="inlineStr">
        <is>
          <t>Input 0–1</t>
        </is>
      </c>
      <c r="K136" t="inlineStr">
        <is>
          <t>Input 0–1</t>
        </is>
      </c>
      <c r="L136" t="inlineStr">
        <is>
          <t>Input 0–1</t>
        </is>
      </c>
      <c r="M136" t="inlineStr">
        <is>
          <t>LOW / MODERATE / HIGH</t>
        </is>
      </c>
      <c r="N136" t="inlineStr">
        <is>
          <t>Review if high score + weak evidence or contradiction</t>
        </is>
      </c>
    </row>
    <row r="137">
      <c r="A137" t="n">
        <v>137</v>
      </c>
      <c r="B137" t="inlineStr">
        <is>
          <t>D11</t>
        </is>
      </c>
      <c r="C137" t="inlineStr">
        <is>
          <t>I07</t>
        </is>
      </c>
      <c r="D137">
        <f>'P0-3_Scorecard'!H137</f>
        <v/>
      </c>
      <c r="E137" t="inlineStr">
        <is>
          <t>Input 0–1</t>
        </is>
      </c>
      <c r="F137" t="inlineStr">
        <is>
          <t>Input 0–1</t>
        </is>
      </c>
      <c r="G137" t="inlineStr">
        <is>
          <t>Input 0–1</t>
        </is>
      </c>
      <c r="H137" t="inlineStr">
        <is>
          <t>Input 0–1</t>
        </is>
      </c>
      <c r="I137" t="inlineStr">
        <is>
          <t>Input 0–1</t>
        </is>
      </c>
      <c r="J137" t="inlineStr">
        <is>
          <t>Input 0–1</t>
        </is>
      </c>
      <c r="K137" t="inlineStr">
        <is>
          <t>Input 0–1</t>
        </is>
      </c>
      <c r="L137" t="inlineStr">
        <is>
          <t>Input 0–1</t>
        </is>
      </c>
      <c r="M137" t="inlineStr">
        <is>
          <t>LOW / MODERATE / HIGH</t>
        </is>
      </c>
      <c r="N137" t="inlineStr">
        <is>
          <t>Review if high score + weak evidence or contradiction</t>
        </is>
      </c>
    </row>
    <row r="138">
      <c r="A138" t="n">
        <v>138</v>
      </c>
      <c r="B138" t="inlineStr">
        <is>
          <t>D11</t>
        </is>
      </c>
      <c r="C138" t="inlineStr">
        <is>
          <t>I08</t>
        </is>
      </c>
      <c r="D138">
        <f>'P0-3_Scorecard'!H138</f>
        <v/>
      </c>
      <c r="E138" t="inlineStr">
        <is>
          <t>Input 0–1</t>
        </is>
      </c>
      <c r="F138" t="inlineStr">
        <is>
          <t>Input 0–1</t>
        </is>
      </c>
      <c r="G138" t="inlineStr">
        <is>
          <t>Input 0–1</t>
        </is>
      </c>
      <c r="H138" t="inlineStr">
        <is>
          <t>Input 0–1</t>
        </is>
      </c>
      <c r="I138" t="inlineStr">
        <is>
          <t>Input 0–1</t>
        </is>
      </c>
      <c r="J138" t="inlineStr">
        <is>
          <t>Input 0–1</t>
        </is>
      </c>
      <c r="K138" t="inlineStr">
        <is>
          <t>Input 0–1</t>
        </is>
      </c>
      <c r="L138" t="inlineStr">
        <is>
          <t>Input 0–1</t>
        </is>
      </c>
      <c r="M138" t="inlineStr">
        <is>
          <t>LOW / MODERATE / HIGH</t>
        </is>
      </c>
      <c r="N138" t="inlineStr">
        <is>
          <t>Review if high score + weak evidence or contradiction</t>
        </is>
      </c>
    </row>
    <row r="139">
      <c r="A139" t="n">
        <v>139</v>
      </c>
      <c r="B139" t="inlineStr">
        <is>
          <t>D11</t>
        </is>
      </c>
      <c r="C139" t="inlineStr">
        <is>
          <t>I09</t>
        </is>
      </c>
      <c r="D139">
        <f>'P0-3_Scorecard'!H139</f>
        <v/>
      </c>
      <c r="E139" t="inlineStr">
        <is>
          <t>Input 0–1</t>
        </is>
      </c>
      <c r="F139" t="inlineStr">
        <is>
          <t>Input 0–1</t>
        </is>
      </c>
      <c r="G139" t="inlineStr">
        <is>
          <t>Input 0–1</t>
        </is>
      </c>
      <c r="H139" t="inlineStr">
        <is>
          <t>Input 0–1</t>
        </is>
      </c>
      <c r="I139" t="inlineStr">
        <is>
          <t>Input 0–1</t>
        </is>
      </c>
      <c r="J139" t="inlineStr">
        <is>
          <t>Input 0–1</t>
        </is>
      </c>
      <c r="K139" t="inlineStr">
        <is>
          <t>Input 0–1</t>
        </is>
      </c>
      <c r="L139" t="inlineStr">
        <is>
          <t>Input 0–1</t>
        </is>
      </c>
      <c r="M139" t="inlineStr">
        <is>
          <t>LOW / MODERATE / HIGH</t>
        </is>
      </c>
      <c r="N139" t="inlineStr">
        <is>
          <t>Review if high score + weak evidence or contradiction</t>
        </is>
      </c>
    </row>
    <row r="140">
      <c r="A140" t="n">
        <v>140</v>
      </c>
      <c r="B140" t="inlineStr">
        <is>
          <t>D11</t>
        </is>
      </c>
      <c r="C140" t="inlineStr">
        <is>
          <t>I10</t>
        </is>
      </c>
      <c r="D140">
        <f>'P0-3_Scorecard'!H140</f>
        <v/>
      </c>
      <c r="E140" t="inlineStr">
        <is>
          <t>Input 0–1</t>
        </is>
      </c>
      <c r="F140" t="inlineStr">
        <is>
          <t>Input 0–1</t>
        </is>
      </c>
      <c r="G140" t="inlineStr">
        <is>
          <t>Input 0–1</t>
        </is>
      </c>
      <c r="H140" t="inlineStr">
        <is>
          <t>Input 0–1</t>
        </is>
      </c>
      <c r="I140" t="inlineStr">
        <is>
          <t>Input 0–1</t>
        </is>
      </c>
      <c r="J140" t="inlineStr">
        <is>
          <t>Input 0–1</t>
        </is>
      </c>
      <c r="K140" t="inlineStr">
        <is>
          <t>Input 0–1</t>
        </is>
      </c>
      <c r="L140" t="inlineStr">
        <is>
          <t>Input 0–1</t>
        </is>
      </c>
      <c r="M140" t="inlineStr">
        <is>
          <t>LOW / MODERATE / HIGH</t>
        </is>
      </c>
      <c r="N140" t="inlineStr">
        <is>
          <t>Review if high score + weak evidence or contradiction</t>
        </is>
      </c>
    </row>
    <row r="141">
      <c r="A141" t="n">
        <v>141</v>
      </c>
      <c r="B141" t="inlineStr">
        <is>
          <t>D11</t>
        </is>
      </c>
      <c r="C141" t="inlineStr">
        <is>
          <t>I11</t>
        </is>
      </c>
      <c r="D141">
        <f>'P0-3_Scorecard'!H141</f>
        <v/>
      </c>
      <c r="E141" t="inlineStr">
        <is>
          <t>Input 0–1</t>
        </is>
      </c>
      <c r="F141" t="inlineStr">
        <is>
          <t>Input 0–1</t>
        </is>
      </c>
      <c r="G141" t="inlineStr">
        <is>
          <t>Input 0–1</t>
        </is>
      </c>
      <c r="H141" t="inlineStr">
        <is>
          <t>Input 0–1</t>
        </is>
      </c>
      <c r="I141" t="inlineStr">
        <is>
          <t>Input 0–1</t>
        </is>
      </c>
      <c r="J141" t="inlineStr">
        <is>
          <t>Input 0–1</t>
        </is>
      </c>
      <c r="K141" t="inlineStr">
        <is>
          <t>Input 0–1</t>
        </is>
      </c>
      <c r="L141" t="inlineStr">
        <is>
          <t>Input 0–1</t>
        </is>
      </c>
      <c r="M141" t="inlineStr">
        <is>
          <t>LOW / MODERATE / HIGH</t>
        </is>
      </c>
      <c r="N141" t="inlineStr">
        <is>
          <t>Review if high score + weak evidence or contradiction</t>
        </is>
      </c>
    </row>
    <row r="142">
      <c r="A142" t="n">
        <v>142</v>
      </c>
      <c r="B142" t="inlineStr">
        <is>
          <t>D11</t>
        </is>
      </c>
      <c r="C142" t="inlineStr">
        <is>
          <t>I12</t>
        </is>
      </c>
      <c r="D142">
        <f>'P0-3_Scorecard'!H142</f>
        <v/>
      </c>
      <c r="E142" t="inlineStr">
        <is>
          <t>Input 0–1</t>
        </is>
      </c>
      <c r="F142" t="inlineStr">
        <is>
          <t>Input 0–1</t>
        </is>
      </c>
      <c r="G142" t="inlineStr">
        <is>
          <t>Input 0–1</t>
        </is>
      </c>
      <c r="H142" t="inlineStr">
        <is>
          <t>Input 0–1</t>
        </is>
      </c>
      <c r="I142" t="inlineStr">
        <is>
          <t>Input 0–1</t>
        </is>
      </c>
      <c r="J142" t="inlineStr">
        <is>
          <t>Input 0–1</t>
        </is>
      </c>
      <c r="K142" t="inlineStr">
        <is>
          <t>Input 0–1</t>
        </is>
      </c>
      <c r="L142" t="inlineStr">
        <is>
          <t>Input 0–1</t>
        </is>
      </c>
      <c r="M142" t="inlineStr">
        <is>
          <t>LOW / MODERATE / HIGH</t>
        </is>
      </c>
      <c r="N142" t="inlineStr">
        <is>
          <t>Review if high score + weak evidence or contradiction</t>
        </is>
      </c>
    </row>
    <row r="143">
      <c r="A143" t="n">
        <v>143</v>
      </c>
      <c r="B143" t="inlineStr">
        <is>
          <t>D11</t>
        </is>
      </c>
      <c r="C143" t="inlineStr">
        <is>
          <t>I13</t>
        </is>
      </c>
      <c r="D143">
        <f>'P0-3_Scorecard'!H143</f>
        <v/>
      </c>
      <c r="E143" t="inlineStr">
        <is>
          <t>Input 0–1</t>
        </is>
      </c>
      <c r="F143" t="inlineStr">
        <is>
          <t>Input 0–1</t>
        </is>
      </c>
      <c r="G143" t="inlineStr">
        <is>
          <t>Input 0–1</t>
        </is>
      </c>
      <c r="H143" t="inlineStr">
        <is>
          <t>Input 0–1</t>
        </is>
      </c>
      <c r="I143" t="inlineStr">
        <is>
          <t>Input 0–1</t>
        </is>
      </c>
      <c r="J143" t="inlineStr">
        <is>
          <t>Input 0–1</t>
        </is>
      </c>
      <c r="K143" t="inlineStr">
        <is>
          <t>Input 0–1</t>
        </is>
      </c>
      <c r="L143" t="inlineStr">
        <is>
          <t>Input 0–1</t>
        </is>
      </c>
      <c r="M143" t="inlineStr">
        <is>
          <t>LOW / MODERATE / HIGH</t>
        </is>
      </c>
      <c r="N143" t="inlineStr">
        <is>
          <t>Review if high score + weak evidence or contradiction</t>
        </is>
      </c>
    </row>
    <row r="144">
      <c r="A144" t="n">
        <v>144</v>
      </c>
      <c r="B144" t="inlineStr">
        <is>
          <t>D11</t>
        </is>
      </c>
      <c r="C144" t="inlineStr">
        <is>
          <t>I14</t>
        </is>
      </c>
      <c r="D144">
        <f>'P0-3_Scorecard'!H144</f>
        <v/>
      </c>
      <c r="E144" t="inlineStr">
        <is>
          <t>Input 0–1</t>
        </is>
      </c>
      <c r="F144" t="inlineStr">
        <is>
          <t>Input 0–1</t>
        </is>
      </c>
      <c r="G144" t="inlineStr">
        <is>
          <t>Input 0–1</t>
        </is>
      </c>
      <c r="H144" t="inlineStr">
        <is>
          <t>Input 0–1</t>
        </is>
      </c>
      <c r="I144" t="inlineStr">
        <is>
          <t>Input 0–1</t>
        </is>
      </c>
      <c r="J144" t="inlineStr">
        <is>
          <t>Input 0–1</t>
        </is>
      </c>
      <c r="K144" t="inlineStr">
        <is>
          <t>Input 0–1</t>
        </is>
      </c>
      <c r="L144" t="inlineStr">
        <is>
          <t>Input 0–1</t>
        </is>
      </c>
      <c r="M144" t="inlineStr">
        <is>
          <t>LOW / MODERATE / HIGH</t>
        </is>
      </c>
      <c r="N144" t="inlineStr">
        <is>
          <t>Review if high score + weak evidence or contradiction</t>
        </is>
      </c>
    </row>
  </sheetData>
  <autoFilter ref="A1:N1"/>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G11"/>
  <sheetViews>
    <sheetView showGridLines="0" workbookViewId="0">
      <pane ySplit="1" topLeftCell="A2" activePane="bottomLeft" state="frozen"/>
      <selection pane="bottomLeft" activeCell="A1" sqref="A1"/>
    </sheetView>
  </sheetViews>
  <sheetFormatPr baseColWidth="8" defaultRowHeight="15"/>
  <cols>
    <col width="12" customWidth="1" min="1" max="1"/>
    <col width="29" customWidth="1" min="2" max="2"/>
    <col width="47" customWidth="1" min="3" max="3"/>
    <col width="36" customWidth="1" min="4" max="4"/>
    <col width="31" customWidth="1" min="5" max="5"/>
    <col width="47" customWidth="1" min="6" max="6"/>
    <col width="12" customWidth="1" min="7" max="7"/>
  </cols>
  <sheetData>
    <row r="1">
      <c r="A1" s="29" t="inlineStr">
        <is>
          <t>Rule ID</t>
        </is>
      </c>
      <c r="B1" s="29" t="inlineStr">
        <is>
          <t>Risk Pattern</t>
        </is>
      </c>
      <c r="C1" s="29" t="inlineStr">
        <is>
          <t>Detection Logic</t>
        </is>
      </c>
      <c r="D1" s="29" t="inlineStr">
        <is>
          <t>Evidence Signal</t>
        </is>
      </c>
      <c r="E1" s="29" t="inlineStr">
        <is>
          <t>Action</t>
        </is>
      </c>
      <c r="F1" s="29" t="inlineStr">
        <is>
          <t>Scoring Protection</t>
        </is>
      </c>
      <c r="G1" s="29" t="inlineStr">
        <is>
          <t>Severity</t>
        </is>
      </c>
    </row>
    <row r="2">
      <c r="A2" t="inlineStr">
        <is>
          <t>AG01</t>
        </is>
      </c>
      <c r="B2" t="inlineStr">
        <is>
          <t>Policy-only inflation</t>
        </is>
      </c>
      <c r="C2" t="inlineStr">
        <is>
          <t>Policy without implementation/outcome</t>
        </is>
      </c>
      <c r="D2" t="inlineStr">
        <is>
          <t>E1 policy only</t>
        </is>
      </c>
      <c r="E2" t="inlineStr">
        <is>
          <t>Request operational evidence</t>
        </is>
      </c>
      <c r="F2" t="inlineStr">
        <is>
          <t>No score uplift from policy alone</t>
        </is>
      </c>
      <c r="G2" t="inlineStr">
        <is>
          <t>HIGH</t>
        </is>
      </c>
    </row>
    <row r="3">
      <c r="A3" t="inlineStr">
        <is>
          <t>AG02</t>
        </is>
      </c>
      <c r="B3" t="inlineStr">
        <is>
          <t>Self-authored corroboration</t>
        </is>
      </c>
      <c r="C3" t="inlineStr">
        <is>
          <t>Multiple artifacts share one origin</t>
        </is>
      </c>
      <c r="D3" t="inlineStr">
        <is>
          <t>No independent source</t>
        </is>
      </c>
      <c r="E3" t="inlineStr">
        <is>
          <t>Count as one source</t>
        </is>
      </c>
      <c r="F3" t="inlineStr">
        <is>
          <t>No double corroboration</t>
        </is>
      </c>
      <c r="G3" t="inlineStr">
        <is>
          <t>HIGH</t>
        </is>
      </c>
    </row>
    <row r="4">
      <c r="A4" t="inlineStr">
        <is>
          <t>AG03</t>
        </is>
      </c>
      <c r="B4" t="inlineStr">
        <is>
          <t>Evidence recycling</t>
        </is>
      </c>
      <c r="C4" t="inlineStr">
        <is>
          <t>One artifact reused without construct mapping</t>
        </is>
      </c>
      <c r="D4" t="inlineStr">
        <is>
          <t>High reuse without distinct fields</t>
        </is>
      </c>
      <c r="E4" t="inlineStr">
        <is>
          <t>Flag and justify</t>
        </is>
      </c>
      <c r="F4" t="inlineStr">
        <is>
          <t>No automatic confidence increase</t>
        </is>
      </c>
      <c r="G4" t="inlineStr">
        <is>
          <t>MEDIUM</t>
        </is>
      </c>
    </row>
    <row r="5">
      <c r="A5" t="inlineStr">
        <is>
          <t>AG04</t>
        </is>
      </c>
      <c r="B5" t="inlineStr">
        <is>
          <t>Cherry-picked outcomes</t>
        </is>
      </c>
      <c r="C5" t="inlineStr">
        <is>
          <t>Only positive cases supplied</t>
        </is>
      </c>
      <c r="D5" t="inlineStr">
        <is>
          <t>Missing denominator/failures</t>
        </is>
      </c>
      <c r="E5" t="inlineStr">
        <is>
          <t>Request complete frame/sample</t>
        </is>
      </c>
      <c r="F5" t="inlineStr">
        <is>
          <t>No representative outcome claim</t>
        </is>
      </c>
      <c r="G5" t="inlineStr">
        <is>
          <t>HIGH</t>
        </is>
      </c>
    </row>
    <row r="6">
      <c r="A6" t="inlineStr">
        <is>
          <t>AG05</t>
        </is>
      </c>
      <c r="B6" t="inlineStr">
        <is>
          <t>Post-hoc reconstruction</t>
        </is>
      </c>
      <c r="C6" t="inlineStr">
        <is>
          <t>Artifact created after assessment trigger</t>
        </is>
      </c>
      <c r="D6" t="inlineStr">
        <is>
          <t>Timestamp mismatch</t>
        </is>
      </c>
      <c r="E6" t="inlineStr">
        <is>
          <t>Require contemporaneous trace</t>
        </is>
      </c>
      <c r="F6" t="inlineStr">
        <is>
          <t>Not independent evidence</t>
        </is>
      </c>
      <c r="G6" t="inlineStr">
        <is>
          <t>HIGH</t>
        </is>
      </c>
    </row>
    <row r="7">
      <c r="A7" t="inlineStr">
        <is>
          <t>AG06</t>
        </is>
      </c>
      <c r="B7" t="inlineStr">
        <is>
          <t>Proxy substitution</t>
        </is>
      </c>
      <c r="C7" t="inlineStr">
        <is>
          <t>Headline number does not answer construct</t>
        </is>
      </c>
      <c r="D7" t="inlineStr">
        <is>
          <t>Definition mismatch</t>
        </is>
      </c>
      <c r="E7" t="inlineStr">
        <is>
          <t>Reject as direct evidence</t>
        </is>
      </c>
      <c r="F7" t="inlineStr">
        <is>
          <t>No proxy substitution without rule</t>
        </is>
      </c>
      <c r="G7" t="inlineStr">
        <is>
          <t>HIGH</t>
        </is>
      </c>
    </row>
    <row r="8">
      <c r="A8" t="inlineStr">
        <is>
          <t>AG07</t>
        </is>
      </c>
      <c r="B8" t="inlineStr">
        <is>
          <t>Single exemplar inflation</t>
        </is>
      </c>
      <c r="C8" t="inlineStr">
        <is>
          <t>One programme/person represents institution</t>
        </is>
      </c>
      <c r="D8" t="inlineStr">
        <is>
          <t>Coverage absent</t>
        </is>
      </c>
      <c r="E8" t="inlineStr">
        <is>
          <t>Apply sampling</t>
        </is>
      </c>
      <c r="F8" t="inlineStr">
        <is>
          <t>No institution-wide inference</t>
        </is>
      </c>
      <c r="G8" t="inlineStr">
        <is>
          <t>HIGH</t>
        </is>
      </c>
    </row>
    <row r="9">
      <c r="A9" t="inlineStr">
        <is>
          <t>AG08</t>
        </is>
      </c>
      <c r="B9" t="inlineStr">
        <is>
          <t>Unverifiable attachment</t>
        </is>
      </c>
      <c r="C9" t="inlineStr">
        <is>
          <t>Source/provenance cannot be traced</t>
        </is>
      </c>
      <c r="D9" t="inlineStr">
        <is>
          <t>Broken provenance</t>
        </is>
      </c>
      <c r="E9" t="inlineStr">
        <is>
          <t>Reject or low confidence</t>
        </is>
      </c>
      <c r="F9" t="inlineStr">
        <is>
          <t>No E2+ without traceability</t>
        </is>
      </c>
      <c r="G9" t="inlineStr">
        <is>
          <t>HIGH</t>
        </is>
      </c>
    </row>
    <row r="10">
      <c r="A10" t="inlineStr">
        <is>
          <t>AG09</t>
        </is>
      </c>
      <c r="B10" t="inlineStr">
        <is>
          <t>Outcome without attribution</t>
        </is>
      </c>
      <c r="C10" t="inlineStr">
        <is>
          <t>Outcome not linked to institutional action</t>
        </is>
      </c>
      <c r="D10" t="inlineStr">
        <is>
          <t>No implementation linkage</t>
        </is>
      </c>
      <c r="E10" t="inlineStr">
        <is>
          <t>Context only</t>
        </is>
      </c>
      <c r="F10" t="inlineStr">
        <is>
          <t>Do not count as institution-generated outcome</t>
        </is>
      </c>
      <c r="G10" t="inlineStr">
        <is>
          <t>MEDIUM</t>
        </is>
      </c>
    </row>
    <row r="11">
      <c r="A11" t="inlineStr">
        <is>
          <t>AG10</t>
        </is>
      </c>
      <c r="B11" t="inlineStr">
        <is>
          <t>Contradiction suppression</t>
        </is>
      </c>
      <c r="C11" t="inlineStr">
        <is>
          <t>Conflicting evidence omitted</t>
        </is>
      </c>
      <c r="D11" t="inlineStr">
        <is>
          <t>Cross-domain/time-series conflict</t>
        </is>
      </c>
      <c r="E11" t="inlineStr">
        <is>
          <t>Surface conflict</t>
        </is>
      </c>
      <c r="F11" t="inlineStr">
        <is>
          <t>Never silently choose favorable evidence</t>
        </is>
      </c>
      <c r="G11" t="inlineStr">
        <is>
          <t>HIGH</t>
        </is>
      </c>
    </row>
  </sheetData>
  <autoFilter ref="A1:G1"/>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E7"/>
  <sheetViews>
    <sheetView showGridLines="0" workbookViewId="0">
      <pane ySplit="1" topLeftCell="A2" activePane="bottomLeft" state="frozen"/>
      <selection pane="bottomLeft" activeCell="A1" sqref="A1"/>
    </sheetView>
  </sheetViews>
  <sheetFormatPr baseColWidth="8" defaultRowHeight="15"/>
  <cols>
    <col width="26" customWidth="1" min="1" max="1"/>
    <col width="25" customWidth="1" min="2" max="2"/>
    <col width="25" customWidth="1" min="3" max="3"/>
    <col width="33" customWidth="1" min="4" max="4"/>
    <col width="47" customWidth="1" min="5" max="5"/>
  </cols>
  <sheetData>
    <row r="1">
      <c r="A1" s="29" t="inlineStr">
        <is>
          <t>Evidence Type</t>
        </is>
      </c>
      <c r="B1" s="29" t="inlineStr">
        <is>
          <t>Default Validity Window</t>
        </is>
      </c>
      <c r="C1" s="29" t="inlineStr">
        <is>
          <t>Preferred Window</t>
        </is>
      </c>
      <c r="D1" s="29" t="inlineStr">
        <is>
          <t>Expiry Treatment</t>
        </is>
      </c>
      <c r="E1" s="29" t="inlineStr">
        <is>
          <t>Exception Rule</t>
        </is>
      </c>
    </row>
    <row r="2">
      <c r="A2" t="inlineStr">
        <is>
          <t>Policies / governance</t>
        </is>
      </c>
      <c r="B2" t="inlineStr">
        <is>
          <t>12–24 months</t>
        </is>
      </c>
      <c r="C2" t="inlineStr">
        <is>
          <t>Current cycle</t>
        </is>
      </c>
      <c r="D2" t="inlineStr">
        <is>
          <t>Flag stale</t>
        </is>
      </c>
      <c r="E2" t="inlineStr">
        <is>
          <t>Long-cycle policy valid if reviewed</t>
        </is>
      </c>
    </row>
    <row r="3">
      <c r="A3" t="inlineStr">
        <is>
          <t>Operational records</t>
        </is>
      </c>
      <c r="B3" t="inlineStr">
        <is>
          <t>12 months</t>
        </is>
      </c>
      <c r="C3" t="inlineStr">
        <is>
          <t>Current cycle</t>
        </is>
      </c>
      <c r="D3" t="inlineStr">
        <is>
          <t>Require explanation</t>
        </is>
      </c>
      <c r="E3" t="inlineStr">
        <is>
          <t>Longer only if process is low-frequency</t>
        </is>
      </c>
    </row>
    <row r="4">
      <c r="A4" t="inlineStr">
        <is>
          <t>Outcome data</t>
        </is>
      </c>
      <c r="B4" t="inlineStr">
        <is>
          <t>24–36 months</t>
        </is>
      </c>
      <c r="C4" t="inlineStr">
        <is>
          <t>Latest complete cohort</t>
        </is>
      </c>
      <c r="D4" t="inlineStr">
        <is>
          <t>Do not mix incomparable cohorts</t>
        </is>
      </c>
      <c r="E4" t="inlineStr">
        <is>
          <t>Use metric-specific cohort logic</t>
        </is>
      </c>
    </row>
    <row r="5">
      <c r="A5" t="inlineStr">
        <is>
          <t>Research outputs</t>
        </is>
      </c>
      <c r="B5" t="inlineStr">
        <is>
          <t>24–36 months</t>
        </is>
      </c>
      <c r="C5" t="inlineStr">
        <is>
          <t>Latest reporting period</t>
        </is>
      </c>
      <c r="D5" t="inlineStr">
        <is>
          <t>Annotate age</t>
        </is>
      </c>
      <c r="E5" t="inlineStr">
        <is>
          <t>Long-cycle outputs may use longer period</t>
        </is>
      </c>
    </row>
    <row r="6">
      <c r="A6" t="inlineStr">
        <is>
          <t>Strategy / foresight</t>
        </is>
      </c>
      <c r="B6" t="inlineStr">
        <is>
          <t>24–36 months</t>
        </is>
      </c>
      <c r="C6" t="inlineStr">
        <is>
          <t>Current strategy cycle</t>
        </is>
      </c>
      <c r="D6" t="inlineStr">
        <is>
          <t>Require current linkage</t>
        </is>
      </c>
      <c r="E6" t="inlineStr">
        <is>
          <t>Historical strategy only with current linkage</t>
        </is>
      </c>
    </row>
    <row r="7">
      <c r="A7" t="inlineStr">
        <is>
          <t>Infrastructure / systems</t>
        </is>
      </c>
      <c r="B7" t="inlineStr">
        <is>
          <t>12–24 months</t>
        </is>
      </c>
      <c r="C7" t="inlineStr">
        <is>
          <t>Current state</t>
        </is>
      </c>
      <c r="D7" t="inlineStr">
        <is>
          <t>Flag superseded</t>
        </is>
      </c>
      <c r="E7" t="inlineStr">
        <is>
          <t>Use project lifecycle where appropriate</t>
        </is>
      </c>
    </row>
  </sheetData>
  <autoFilter ref="A1:E1"/>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29" customWidth="1" min="1" max="1"/>
    <col width="17" customWidth="1" min="2" max="2"/>
    <col width="50" customWidth="1" min="3" max="3"/>
    <col width="46" customWidth="1" min="4" max="4"/>
    <col width="28" customWidth="1" min="5" max="5"/>
    <col width="35" customWidth="1" min="6" max="6"/>
  </cols>
  <sheetData>
    <row r="1">
      <c r="A1" s="29" t="inlineStr">
        <is>
          <t>Evidence Pattern</t>
        </is>
      </c>
      <c r="B1" s="29" t="inlineStr">
        <is>
          <t>Minimum Sources</t>
        </is>
      </c>
      <c r="C1" s="29" t="inlineStr">
        <is>
          <t>Independence Requirement</t>
        </is>
      </c>
      <c r="D1" s="29" t="inlineStr">
        <is>
          <t>Acceptable Corroboration</t>
        </is>
      </c>
      <c r="E1" s="29" t="inlineStr">
        <is>
          <t>Insufficient Pattern</t>
        </is>
      </c>
      <c r="F1" s="29" t="inlineStr">
        <is>
          <t>Assessor Action</t>
        </is>
      </c>
    </row>
    <row r="2">
      <c r="A2" t="inlineStr">
        <is>
          <t>E0 claim only</t>
        </is>
      </c>
      <c r="B2" t="n">
        <v>0</v>
      </c>
      <c r="C2" t="inlineStr">
        <is>
          <t>N/A</t>
        </is>
      </c>
      <c r="D2" t="inlineStr">
        <is>
          <t>None</t>
        </is>
      </c>
      <c r="E2" t="inlineStr">
        <is>
          <t>No verifiable evidence</t>
        </is>
      </c>
      <c r="F2" t="inlineStr">
        <is>
          <t>Request evidence</t>
        </is>
      </c>
    </row>
    <row r="3">
      <c r="A3" t="inlineStr">
        <is>
          <t>E1 artifact</t>
        </is>
      </c>
      <c r="B3" t="n">
        <v>1</v>
      </c>
      <c r="C3" t="inlineStr">
        <is>
          <t>Same-owner acceptable as artifact</t>
        </is>
      </c>
      <c r="D3" t="inlineStr">
        <is>
          <t>Artifact + operational trace</t>
        </is>
      </c>
      <c r="E3" t="inlineStr">
        <is>
          <t>No operational linkage</t>
        </is>
      </c>
      <c r="F3" t="inlineStr">
        <is>
          <t>Do not infer outcome</t>
        </is>
      </c>
    </row>
    <row r="4">
      <c r="A4" t="inlineStr">
        <is>
          <t>E2 operational</t>
        </is>
      </c>
      <c r="B4" t="n">
        <v>2</v>
      </c>
      <c r="C4" t="inlineStr">
        <is>
          <t>Second source preferred for consequential claims</t>
        </is>
      </c>
      <c r="D4" t="inlineStr">
        <is>
          <t>Operational record + independent trace</t>
        </is>
      </c>
      <c r="E4" t="inlineStr">
        <is>
          <t>Self-report only</t>
        </is>
      </c>
      <c r="F4" t="inlineStr">
        <is>
          <t>Sample/verify</t>
        </is>
      </c>
    </row>
    <row r="5">
      <c r="A5" t="inlineStr">
        <is>
          <t>E3 outcome</t>
        </is>
      </c>
      <c r="B5" t="n">
        <v>2</v>
      </c>
      <c r="C5" t="inlineStr">
        <is>
          <t>Independent corroborator for high-impact claims</t>
        </is>
      </c>
      <c r="D5" t="inlineStr">
        <is>
          <t>Outcome + operational linkage</t>
        </is>
      </c>
      <c r="E5" t="inlineStr">
        <is>
          <t>No denominator/attribution</t>
        </is>
      </c>
      <c r="F5" t="inlineStr">
        <is>
          <t>Verify population and attribution</t>
        </is>
      </c>
    </row>
    <row r="6">
      <c r="A6" t="inlineStr">
        <is>
          <t>E4 independent/triangulated</t>
        </is>
      </c>
      <c r="B6" t="n">
        <v>2</v>
      </c>
      <c r="C6" t="inlineStr">
        <is>
          <t>Independent source required</t>
        </is>
      </c>
      <c r="D6" t="inlineStr">
        <is>
          <t>External validation + institutional evidence</t>
        </is>
      </c>
      <c r="E6" t="inlineStr">
        <is>
          <t>Same-owner duplicates</t>
        </is>
      </c>
      <c r="F6" t="inlineStr">
        <is>
          <t>Highest confidence</t>
        </is>
      </c>
    </row>
  </sheetData>
  <autoFilter ref="A1:F1"/>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F12"/>
  <sheetViews>
    <sheetView showGridLines="0" workbookViewId="0">
      <pane ySplit="1" topLeftCell="A2" activePane="bottomLeft" state="frozen"/>
      <selection pane="bottomLeft" activeCell="A1" sqref="A1"/>
    </sheetView>
  </sheetViews>
  <sheetFormatPr baseColWidth="8" defaultRowHeight="15"/>
  <cols>
    <col width="12" customWidth="1" min="1" max="1"/>
    <col width="14" customWidth="1" min="2" max="2"/>
    <col width="36" customWidth="1" min="3" max="3"/>
    <col width="36" customWidth="1" min="4" max="4"/>
    <col width="40" customWidth="1" min="5" max="5"/>
    <col width="36" customWidth="1" min="6" max="6"/>
  </cols>
  <sheetData>
    <row r="1">
      <c r="A1" s="29" t="inlineStr">
        <is>
          <t>Domain</t>
        </is>
      </c>
      <c r="B1" s="29" t="inlineStr">
        <is>
          <t>Metric Count</t>
        </is>
      </c>
      <c r="C1" s="29" t="inlineStr">
        <is>
          <t>Default Evidence Items</t>
        </is>
      </c>
      <c r="D1" s="29" t="inlineStr">
        <is>
          <t>High-Risk Evidence Items</t>
        </is>
      </c>
      <c r="E1" s="29" t="inlineStr">
        <is>
          <t>Sampling Principle</t>
        </is>
      </c>
      <c r="F1" s="29" t="inlineStr">
        <is>
          <t>Burden Adjustment Source</t>
        </is>
      </c>
    </row>
    <row r="2">
      <c r="A2" t="inlineStr">
        <is>
          <t>D01</t>
        </is>
      </c>
      <c r="B2" t="n">
        <v>10</v>
      </c>
      <c r="C2" t="inlineStr">
        <is>
          <t>1 primary + targeted corroboration</t>
        </is>
      </c>
      <c r="D2" t="inlineStr">
        <is>
          <t>2+ for high-risk/high-score claims</t>
        </is>
      </c>
      <c r="E2" t="inlineStr">
        <is>
          <t>Sample proportionally; not 143 uploads</t>
        </is>
      </c>
      <c r="F2" t="inlineStr">
        <is>
          <t>P0-4 evidence burden/applicability</t>
        </is>
      </c>
    </row>
    <row r="3">
      <c r="A3" t="inlineStr">
        <is>
          <t>D02</t>
        </is>
      </c>
      <c r="B3" t="n">
        <v>14</v>
      </c>
      <c r="C3" t="inlineStr">
        <is>
          <t>1 primary + targeted corroboration</t>
        </is>
      </c>
      <c r="D3" t="inlineStr">
        <is>
          <t>2+ for high-risk/high-score claims</t>
        </is>
      </c>
      <c r="E3" t="inlineStr">
        <is>
          <t>Sample proportionally; not 143 uploads</t>
        </is>
      </c>
      <c r="F3" t="inlineStr">
        <is>
          <t>P0-4 evidence burden/applicability</t>
        </is>
      </c>
    </row>
    <row r="4">
      <c r="A4" t="inlineStr">
        <is>
          <t>D03</t>
        </is>
      </c>
      <c r="B4" t="n">
        <v>17</v>
      </c>
      <c r="C4" t="inlineStr">
        <is>
          <t>1 primary + targeted corroboration</t>
        </is>
      </c>
      <c r="D4" t="inlineStr">
        <is>
          <t>2+ for high-risk/high-score claims</t>
        </is>
      </c>
      <c r="E4" t="inlineStr">
        <is>
          <t>Sample proportionally; not 143 uploads</t>
        </is>
      </c>
      <c r="F4" t="inlineStr">
        <is>
          <t>P0-4 evidence burden/applicability</t>
        </is>
      </c>
    </row>
    <row r="5">
      <c r="A5" t="inlineStr">
        <is>
          <t>D04</t>
        </is>
      </c>
      <c r="B5" t="n">
        <v>12</v>
      </c>
      <c r="C5" t="inlineStr">
        <is>
          <t>1 primary + targeted corroboration</t>
        </is>
      </c>
      <c r="D5" t="inlineStr">
        <is>
          <t>2+ for high-risk/high-score claims</t>
        </is>
      </c>
      <c r="E5" t="inlineStr">
        <is>
          <t>Sample proportionally; not 143 uploads</t>
        </is>
      </c>
      <c r="F5" t="inlineStr">
        <is>
          <t>P0-4 evidence burden/applicability</t>
        </is>
      </c>
    </row>
    <row r="6">
      <c r="A6" t="inlineStr">
        <is>
          <t>D05</t>
        </is>
      </c>
      <c r="B6" t="n">
        <v>12</v>
      </c>
      <c r="C6" t="inlineStr">
        <is>
          <t>1 primary + targeted corroboration</t>
        </is>
      </c>
      <c r="D6" t="inlineStr">
        <is>
          <t>2+ for high-risk/high-score claims</t>
        </is>
      </c>
      <c r="E6" t="inlineStr">
        <is>
          <t>Sample proportionally; not 143 uploads</t>
        </is>
      </c>
      <c r="F6" t="inlineStr">
        <is>
          <t>P0-4 evidence burden/applicability</t>
        </is>
      </c>
    </row>
    <row r="7">
      <c r="A7" t="inlineStr">
        <is>
          <t>D06</t>
        </is>
      </c>
      <c r="B7" t="n">
        <v>14</v>
      </c>
      <c r="C7" t="inlineStr">
        <is>
          <t>1 primary + targeted corroboration</t>
        </is>
      </c>
      <c r="D7" t="inlineStr">
        <is>
          <t>2+ for high-risk/high-score claims</t>
        </is>
      </c>
      <c r="E7" t="inlineStr">
        <is>
          <t>Sample proportionally; not 143 uploads</t>
        </is>
      </c>
      <c r="F7" t="inlineStr">
        <is>
          <t>P0-4 evidence burden/applicability</t>
        </is>
      </c>
    </row>
    <row r="8">
      <c r="A8" t="inlineStr">
        <is>
          <t>D07</t>
        </is>
      </c>
      <c r="B8" t="n">
        <v>12</v>
      </c>
      <c r="C8" t="inlineStr">
        <is>
          <t>1 primary + targeted corroboration</t>
        </is>
      </c>
      <c r="D8" t="inlineStr">
        <is>
          <t>2+ for high-risk/high-score claims</t>
        </is>
      </c>
      <c r="E8" t="inlineStr">
        <is>
          <t>Sample proportionally; not 143 uploads</t>
        </is>
      </c>
      <c r="F8" t="inlineStr">
        <is>
          <t>P0-4 evidence burden/applicability</t>
        </is>
      </c>
    </row>
    <row r="9">
      <c r="A9" t="inlineStr">
        <is>
          <t>D08</t>
        </is>
      </c>
      <c r="B9" t="n">
        <v>12</v>
      </c>
      <c r="C9" t="inlineStr">
        <is>
          <t>1 primary + targeted corroboration</t>
        </is>
      </c>
      <c r="D9" t="inlineStr">
        <is>
          <t>2+ for high-risk/high-score claims</t>
        </is>
      </c>
      <c r="E9" t="inlineStr">
        <is>
          <t>Sample proportionally; not 143 uploads</t>
        </is>
      </c>
      <c r="F9" t="inlineStr">
        <is>
          <t>P0-4 evidence burden/applicability</t>
        </is>
      </c>
    </row>
    <row r="10">
      <c r="A10" t="inlineStr">
        <is>
          <t>D09</t>
        </is>
      </c>
      <c r="B10" t="n">
        <v>12</v>
      </c>
      <c r="C10" t="inlineStr">
        <is>
          <t>1 primary + targeted corroboration</t>
        </is>
      </c>
      <c r="D10" t="inlineStr">
        <is>
          <t>2+ for high-risk/high-score claims</t>
        </is>
      </c>
      <c r="E10" t="inlineStr">
        <is>
          <t>Sample proportionally; not 143 uploads</t>
        </is>
      </c>
      <c r="F10" t="inlineStr">
        <is>
          <t>P0-4 evidence burden/applicability</t>
        </is>
      </c>
    </row>
    <row r="11">
      <c r="A11" t="inlineStr">
        <is>
          <t>D10</t>
        </is>
      </c>
      <c r="B11" t="n">
        <v>14</v>
      </c>
      <c r="C11" t="inlineStr">
        <is>
          <t>1 primary + targeted corroboration</t>
        </is>
      </c>
      <c r="D11" t="inlineStr">
        <is>
          <t>2+ for high-risk/high-score claims</t>
        </is>
      </c>
      <c r="E11" t="inlineStr">
        <is>
          <t>Sample proportionally; not 143 uploads</t>
        </is>
      </c>
      <c r="F11" t="inlineStr">
        <is>
          <t>P0-4 evidence burden/applicability</t>
        </is>
      </c>
    </row>
    <row r="12">
      <c r="A12" t="inlineStr">
        <is>
          <t>D11</t>
        </is>
      </c>
      <c r="B12" t="n">
        <v>14</v>
      </c>
      <c r="C12" t="inlineStr">
        <is>
          <t>1 primary + targeted corroboration</t>
        </is>
      </c>
      <c r="D12" t="inlineStr">
        <is>
          <t>2+ for high-risk/high-score claims</t>
        </is>
      </c>
      <c r="E12" t="inlineStr">
        <is>
          <t>Sample proportionally; not 143 uploads</t>
        </is>
      </c>
      <c r="F12" t="inlineStr">
        <is>
          <t>P0-4 evidence burden/applicability</t>
        </is>
      </c>
    </row>
  </sheetData>
  <autoFilter ref="A1:F1"/>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E6"/>
  <sheetViews>
    <sheetView showGridLines="0" workbookViewId="0">
      <pane ySplit="1" topLeftCell="A2" activePane="bottomLeft" state="frozen"/>
      <selection pane="bottomLeft" activeCell="A1" sqref="A1"/>
    </sheetView>
  </sheetViews>
  <sheetFormatPr baseColWidth="8" defaultRowHeight="15"/>
  <cols>
    <col width="12" customWidth="1" min="1" max="1"/>
    <col width="55" customWidth="1" min="2" max="2"/>
    <col width="12" customWidth="1" min="3" max="3"/>
    <col width="38" customWidth="1" min="4" max="4"/>
    <col width="34" customWidth="1" min="5" max="5"/>
  </cols>
  <sheetData>
    <row r="1">
      <c r="A1" s="29" t="inlineStr">
        <is>
          <t>Reuse Code</t>
        </is>
      </c>
      <c r="B1" s="29" t="inlineStr">
        <is>
          <t>Condition</t>
        </is>
      </c>
      <c r="C1" s="29" t="inlineStr">
        <is>
          <t>Allowed?</t>
        </is>
      </c>
      <c r="D1" s="29" t="inlineStr">
        <is>
          <t>Required Justification</t>
        </is>
      </c>
      <c r="E1" s="29" t="inlineStr">
        <is>
          <t>Effect</t>
        </is>
      </c>
    </row>
    <row r="2">
      <c r="A2" t="inlineStr">
        <is>
          <t>R0</t>
        </is>
      </c>
      <c r="B2" t="inlineStr">
        <is>
          <t>Same artifact proves distinct constructs with distinct fields</t>
        </is>
      </c>
      <c r="C2" t="inlineStr">
        <is>
          <t>YES</t>
        </is>
      </c>
      <c r="D2" t="inlineStr">
        <is>
          <t>Map exact fields/sections</t>
        </is>
      </c>
      <c r="E2" t="inlineStr">
        <is>
          <t>No penalty if construct-specific</t>
        </is>
      </c>
    </row>
    <row r="3">
      <c r="A3" t="inlineStr">
        <is>
          <t>R1</t>
        </is>
      </c>
      <c r="B3" t="inlineStr">
        <is>
          <t>Same artifact cited broadly without mapping</t>
        </is>
      </c>
      <c r="C3" t="inlineStr">
        <is>
          <t>NO</t>
        </is>
      </c>
      <c r="D3" t="inlineStr">
        <is>
          <t>Construct-level mapping</t>
        </is>
      </c>
      <c r="E3" t="inlineStr">
        <is>
          <t>Flag recycling</t>
        </is>
      </c>
    </row>
    <row r="4">
      <c r="A4" t="inlineStr">
        <is>
          <t>R2</t>
        </is>
      </c>
      <c r="B4" t="inlineStr">
        <is>
          <t>Same dataset yields distinct outcome metrics</t>
        </is>
      </c>
      <c r="C4" t="inlineStr">
        <is>
          <t>YES</t>
        </is>
      </c>
      <c r="D4" t="inlineStr">
        <is>
          <t>Show distinct variables/calculations</t>
        </is>
      </c>
      <c r="E4" t="inlineStr">
        <is>
          <t>Allowed transparently</t>
        </is>
      </c>
    </row>
    <row r="5">
      <c r="A5" t="inlineStr">
        <is>
          <t>R3</t>
        </is>
      </c>
      <c r="B5" t="inlineStr">
        <is>
          <t>Same narrative repeated</t>
        </is>
      </c>
      <c r="C5" t="inlineStr">
        <is>
          <t>NO</t>
        </is>
      </c>
      <c r="D5" t="inlineStr">
        <is>
          <t>Provide underlying records</t>
        </is>
      </c>
      <c r="E5" t="inlineStr">
        <is>
          <t>Counts as one claim</t>
        </is>
      </c>
    </row>
    <row r="6">
      <c r="A6" t="inlineStr">
        <is>
          <t>R4</t>
        </is>
      </c>
      <c r="B6" t="inlineStr">
        <is>
          <t>External source corroborates institutional evidence</t>
        </is>
      </c>
      <c r="C6" t="inlineStr">
        <is>
          <t>YES</t>
        </is>
      </c>
      <c r="D6" t="inlineStr">
        <is>
          <t>Trace source/date</t>
        </is>
      </c>
      <c r="E6" t="inlineStr">
        <is>
          <t>Strengthens independence</t>
        </is>
      </c>
    </row>
  </sheetData>
  <autoFilter ref="A1:E1"/>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E7"/>
  <sheetViews>
    <sheetView showGridLines="0" workbookViewId="0">
      <pane ySplit="1" topLeftCell="A2" activePane="bottomLeft" state="frozen"/>
      <selection pane="bottomLeft" activeCell="A1" sqref="A1"/>
    </sheetView>
  </sheetViews>
  <sheetFormatPr baseColWidth="8" defaultRowHeight="15"/>
  <cols>
    <col width="33" customWidth="1" min="1" max="1"/>
    <col width="55" customWidth="1" min="2" max="2"/>
    <col width="22" customWidth="1" min="3" max="3"/>
    <col width="15" customWidth="1" min="4" max="4"/>
    <col width="19" customWidth="1" min="5" max="5"/>
  </cols>
  <sheetData>
    <row r="1">
      <c r="A1" s="29" t="inlineStr">
        <is>
          <t>Test</t>
        </is>
      </c>
      <c r="B1" s="29" t="inlineStr">
        <is>
          <t>Acceptance Criterion</t>
        </is>
      </c>
      <c r="C1" s="29" t="inlineStr">
        <is>
          <t>Method</t>
        </is>
      </c>
      <c r="D1" s="29" t="inlineStr">
        <is>
          <t>Status</t>
        </is>
      </c>
      <c r="E1" s="29" t="inlineStr">
        <is>
          <t>Owner</t>
        </is>
      </c>
    </row>
    <row r="2">
      <c r="A2" t="inlineStr">
        <is>
          <t>Evidence-to-metric traceability</t>
        </is>
      </c>
      <c r="B2" t="inlineStr">
        <is>
          <t>143/143 metrics have explicit evidence gate</t>
        </is>
      </c>
      <c r="C2" t="inlineStr">
        <is>
          <t>Desk audit</t>
        </is>
      </c>
      <c r="D2" t="inlineStr">
        <is>
          <t>GREEN</t>
        </is>
      </c>
      <c r="E2" t="inlineStr">
        <is>
          <t>Methodology Lead</t>
        </is>
      </c>
    </row>
    <row r="3">
      <c r="A3" t="inlineStr">
        <is>
          <t>Evidence independence</t>
        </is>
      </c>
      <c r="B3" t="inlineStr">
        <is>
          <t>High-confidence claims meet independence rule</t>
        </is>
      </c>
      <c r="C3" t="inlineStr">
        <is>
          <t>Pilot + calibration</t>
        </is>
      </c>
      <c r="D3" t="inlineStr">
        <is>
          <t>PENDING PILOT</t>
        </is>
      </c>
      <c r="E3" t="inlineStr">
        <is>
          <t>Verification Lead</t>
        </is>
      </c>
    </row>
    <row r="4">
      <c r="A4" t="inlineStr">
        <is>
          <t>Temporal validity</t>
        </is>
      </c>
      <c r="B4" t="inlineStr">
        <is>
          <t>Stale evidence flagged</t>
        </is>
      </c>
      <c r="C4" t="inlineStr">
        <is>
          <t>Date test cases</t>
        </is>
      </c>
      <c r="D4" t="inlineStr">
        <is>
          <t>GREEN</t>
        </is>
      </c>
      <c r="E4" t="inlineStr">
        <is>
          <t>Methodology Lead</t>
        </is>
      </c>
    </row>
    <row r="5">
      <c r="A5" t="inlineStr">
        <is>
          <t>Reuse control</t>
        </is>
      </c>
      <c r="B5" t="inlineStr">
        <is>
          <t>Reuse cannot silently inflate confidence</t>
        </is>
      </c>
      <c r="C5" t="inlineStr">
        <is>
          <t>Duplicate scenarios</t>
        </is>
      </c>
      <c r="D5" t="inlineStr">
        <is>
          <t>GREEN</t>
        </is>
      </c>
      <c r="E5" t="inlineStr">
        <is>
          <t>Verification Lead</t>
        </is>
      </c>
    </row>
    <row r="6">
      <c r="A6" t="inlineStr">
        <is>
          <t>Anti-gaming sensitivity</t>
        </is>
      </c>
      <c r="B6" t="inlineStr">
        <is>
          <t>Known gaming patterns trigger review</t>
        </is>
      </c>
      <c r="C6" t="inlineStr">
        <is>
          <t>Adversarial test set</t>
        </is>
      </c>
      <c r="D6" t="inlineStr">
        <is>
          <t>PENDING PILOT</t>
        </is>
      </c>
      <c r="E6" t="inlineStr">
        <is>
          <t>Methodology Lead</t>
        </is>
      </c>
    </row>
    <row r="7">
      <c r="A7" t="inlineStr">
        <is>
          <t>Confidence-score separation</t>
        </is>
      </c>
      <c r="B7" t="inlineStr">
        <is>
          <t>Confidence does not mechanically alter capability score</t>
        </is>
      </c>
      <c r="C7" t="inlineStr">
        <is>
          <t>Formula inspection</t>
        </is>
      </c>
      <c r="D7" t="inlineStr">
        <is>
          <t>GREEN</t>
        </is>
      </c>
      <c r="E7" t="inlineStr">
        <is>
          <t>Scoring Owner</t>
        </is>
      </c>
    </row>
  </sheetData>
  <autoFilter ref="A1:E1"/>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D8"/>
  <sheetViews>
    <sheetView showGridLines="0" workbookViewId="0">
      <pane ySplit="1" topLeftCell="A2" activePane="bottomLeft" state="frozen"/>
      <selection pane="bottomLeft" activeCell="A1" sqref="A1"/>
    </sheetView>
  </sheetViews>
  <sheetFormatPr baseColWidth="8" defaultRowHeight="15"/>
  <cols>
    <col width="32" customWidth="1" min="1" max="1"/>
    <col width="55" customWidth="1" min="2" max="2"/>
    <col width="49" customWidth="1" min="3" max="3"/>
    <col width="55" customWidth="1" min="4" max="4"/>
  </cols>
  <sheetData>
    <row r="1">
      <c r="A1" s="29" t="inlineStr">
        <is>
          <t>Element</t>
        </is>
      </c>
      <c r="B1" s="29" t="inlineStr">
        <is>
          <t>Rule</t>
        </is>
      </c>
      <c r="C1" s="29" t="inlineStr">
        <is>
          <t>Rationale</t>
        </is>
      </c>
      <c r="D1" s="29" t="inlineStr">
        <is>
          <t>Non-Negotiable Protection</t>
        </is>
      </c>
    </row>
    <row r="2">
      <c r="A2" t="inlineStr">
        <is>
          <t>Evidence is not capability</t>
        </is>
      </c>
      <c r="B2" t="inlineStr">
        <is>
          <t>Evidence supports confidence; it does not create capability</t>
        </is>
      </c>
      <c r="C2" t="inlineStr">
        <is>
          <t>Prevents document volume from becoming maturity</t>
        </is>
      </c>
      <c r="D2" t="inlineStr">
        <is>
          <t>Never convert document count into maturity</t>
        </is>
      </c>
    </row>
    <row r="3">
      <c r="A3" t="inlineStr">
        <is>
          <t>Confidence separate from score</t>
        </is>
      </c>
      <c r="B3" t="inlineStr">
        <is>
          <t>Report confidence independently</t>
        </is>
      </c>
      <c r="C3" t="inlineStr">
        <is>
          <t>Avoid arbitrary score suppression</t>
        </is>
      </c>
      <c r="D3" t="inlineStr">
        <is>
          <t>Never multiply score by confidence</t>
        </is>
      </c>
    </row>
    <row r="4">
      <c r="A4" t="inlineStr">
        <is>
          <t>Triangulation proportionality</t>
        </is>
      </c>
      <c r="B4" t="inlineStr">
        <is>
          <t>Higher-consequence claims require stronger corroboration</t>
        </is>
      </c>
      <c r="C4" t="inlineStr">
        <is>
          <t>Effort follows risk</t>
        </is>
      </c>
      <c r="D4" t="inlineStr">
        <is>
          <t>Do not require maximal evidence everywhere</t>
        </is>
      </c>
    </row>
    <row r="5">
      <c r="A5" t="inlineStr">
        <is>
          <t>Temporal discipline</t>
        </is>
      </c>
      <c r="B5" t="inlineStr">
        <is>
          <t>Evidence must be current enough</t>
        </is>
      </c>
      <c r="C5" t="inlineStr">
        <is>
          <t>Prevents stale claims</t>
        </is>
      </c>
      <c r="D5" t="inlineStr">
        <is>
          <t>Never mix periods silently</t>
        </is>
      </c>
    </row>
    <row r="6">
      <c r="A6" t="inlineStr">
        <is>
          <t>Reuse transparency</t>
        </is>
      </c>
      <c r="B6" t="inlineStr">
        <is>
          <t>Reuse is allowed only when construct-specific</t>
        </is>
      </c>
      <c r="C6" t="inlineStr">
        <is>
          <t>Keeps burden manageable without recycling</t>
        </is>
      </c>
      <c r="D6" t="inlineStr">
        <is>
          <t>No repeated narrative as multiple evidence</t>
        </is>
      </c>
    </row>
    <row r="7">
      <c r="A7" t="inlineStr">
        <is>
          <t>Sampling over bureaucracy</t>
        </is>
      </c>
      <c r="B7" t="inlineStr">
        <is>
          <t>Use targeted samples</t>
        </is>
      </c>
      <c r="C7" t="inlineStr">
        <is>
          <t>Keeps assessment feasible</t>
        </is>
      </c>
      <c r="D7" t="inlineStr">
        <is>
          <t>One artifact may support multiple metrics with mapping</t>
        </is>
      </c>
    </row>
    <row r="8">
      <c r="A8" t="inlineStr">
        <is>
          <t>Adversarial assessment</t>
        </is>
      </c>
      <c r="B8" t="inlineStr">
        <is>
          <t>Assume respondents may optimize evidence</t>
        </is>
      </c>
      <c r="C8" t="inlineStr">
        <is>
          <t>Improves robustness</t>
        </is>
      </c>
      <c r="D8" t="inlineStr">
        <is>
          <t>Contradictions and negative evidence remain visible</t>
        </is>
      </c>
    </row>
  </sheetData>
  <autoFilter ref="A1:D1"/>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D2"/>
  <sheetViews>
    <sheetView showGridLines="0" workbookViewId="0">
      <pane ySplit="1" topLeftCell="A2" activePane="bottomLeft" state="frozen"/>
      <selection pane="bottomLeft" activeCell="A1" sqref="A1"/>
    </sheetView>
  </sheetViews>
  <sheetFormatPr baseColWidth="8" defaultRowHeight="15"/>
  <cols>
    <col width="12" customWidth="1" min="1" max="1"/>
    <col width="55" customWidth="1" min="2" max="2"/>
    <col width="46" customWidth="1" min="3" max="3"/>
    <col width="31" customWidth="1" min="4" max="4"/>
  </cols>
  <sheetData>
    <row r="1">
      <c r="A1" s="29" t="inlineStr">
        <is>
          <t>Version</t>
        </is>
      </c>
      <c r="B1" s="29" t="inlineStr">
        <is>
          <t>Change</t>
        </is>
      </c>
      <c r="C1" s="29" t="inlineStr">
        <is>
          <t>Reason</t>
        </is>
      </c>
      <c r="D1" s="29" t="inlineStr">
        <is>
          <t>Impact</t>
        </is>
      </c>
    </row>
    <row r="2">
      <c r="A2" t="inlineStr">
        <is>
          <t>P0-6</t>
        </is>
      </c>
      <c r="B2" t="inlineStr">
        <is>
          <t>Added evidence intelligence, triangulation, temporal validity, reuse control and anti-gaming architecture</t>
        </is>
      </c>
      <c r="C2" t="inlineStr">
        <is>
          <t>Turn evidence into governed validation layer</t>
        </is>
      </c>
      <c r="D2" t="inlineStr">
        <is>
          <t>No change to capability score</t>
        </is>
      </c>
    </row>
  </sheetData>
  <autoFilter ref="A1:D1"/>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100" customWidth="1" min="2" max="2"/>
  </cols>
  <sheetData>
    <row r="1">
      <c r="A1" s="29" t="inlineStr">
        <is>
          <t>Item</t>
        </is>
      </c>
      <c r="B1" s="29" t="inlineStr">
        <is>
          <t>Value</t>
        </is>
      </c>
    </row>
    <row r="2">
      <c r="A2" s="20" t="inlineStr">
        <is>
          <t>Purpose</t>
        </is>
      </c>
      <c r="B2" s="20" t="inlineStr">
        <is>
          <t>Operationalise reliability, validity, calibration and pilot governance for the 143-metric ARUI instrument.</t>
        </is>
      </c>
    </row>
    <row r="3">
      <c r="A3" s="20" t="inlineStr">
        <is>
          <t>Status</t>
        </is>
      </c>
      <c r="B3" s="21" t="inlineStr">
        <is>
          <t>METHODOLOGY-READY / EMPIRICAL VALIDATION PENDING</t>
        </is>
      </c>
    </row>
    <row r="4">
      <c r="A4" s="20" t="inlineStr">
        <is>
          <t>Metrics in scope</t>
        </is>
      </c>
      <c r="B4" s="20" t="n">
        <v>143</v>
      </c>
    </row>
    <row r="5">
      <c r="A5" s="20" t="inlineStr">
        <is>
          <t>Domains in scope</t>
        </is>
      </c>
      <c r="B5" s="20" t="n">
        <v>11</v>
      </c>
    </row>
    <row r="6">
      <c r="A6" s="20" t="inlineStr">
        <is>
          <t>What P0-7 does</t>
        </is>
      </c>
      <c r="B6" s="20" t="inlineStr">
        <is>
          <t>Defines how assessor agreement, stability, construct validity, sensitivity and threshold behaviour will be tested before P1.0 freeze.</t>
        </is>
      </c>
    </row>
    <row r="7">
      <c r="A7" s="20" t="inlineStr">
        <is>
          <t>What P0-7 does NOT do</t>
        </is>
      </c>
      <c r="B7" s="20" t="inlineStr">
        <is>
          <t>It does not invent reliability or validity results. All empirical results remain blank/pending until real pilot data exist.</t>
        </is>
      </c>
    </row>
    <row r="8">
      <c r="A8" s="20" t="inlineStr">
        <is>
          <t>Freeze principle</t>
        </is>
      </c>
      <c r="B8" s="21" t="inlineStr">
        <is>
          <t>No public ranking, certification, benchmark claim or permanent coefficient freeze until acceptance gates are met.</t>
        </is>
      </c>
    </row>
    <row r="9">
      <c r="A9" s="20" t="inlineStr">
        <is>
          <t>Primary output</t>
        </is>
      </c>
      <c r="B9" s="20" t="inlineStr">
        <is>
          <t>Validated scoring/calibration specification and a controlled change list for P1.0.</t>
        </is>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J144"/>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40" customWidth="1" min="3" max="3"/>
    <col width="38" customWidth="1" min="4" max="4"/>
    <col width="20" customWidth="1" min="5" max="5"/>
    <col width="26" customWidth="1" min="6" max="6"/>
    <col width="34" customWidth="1" min="7" max="7"/>
    <col width="30" customWidth="1" min="8" max="8"/>
    <col width="16" customWidth="1" min="9" max="9"/>
    <col width="22" customWidth="1" min="10" max="10"/>
  </cols>
  <sheetData>
    <row r="1">
      <c r="A1" s="29" t="inlineStr">
        <is>
          <t>Domain</t>
        </is>
      </c>
      <c r="B1" s="29" t="inlineStr">
        <is>
          <t>Metric ID</t>
        </is>
      </c>
      <c r="C1" s="29" t="inlineStr">
        <is>
          <t>Metric</t>
        </is>
      </c>
      <c r="D1" s="29" t="inlineStr">
        <is>
          <t>Anchor Calibration Requirement</t>
        </is>
      </c>
      <c r="E1" s="29" t="inlineStr">
        <is>
          <t>Minimum Assessors</t>
        </is>
      </c>
      <c r="F1" s="29" t="inlineStr">
        <is>
          <t>Blinding</t>
        </is>
      </c>
      <c r="G1" s="29" t="inlineStr">
        <is>
          <t>Reliability Target</t>
        </is>
      </c>
      <c r="H1" s="29" t="inlineStr">
        <is>
          <t>Pilot Sample Requirement</t>
        </is>
      </c>
      <c r="I1" s="29" t="inlineStr">
        <is>
          <t>Status</t>
        </is>
      </c>
      <c r="J1" s="29" t="inlineStr">
        <is>
          <t>Owner</t>
        </is>
      </c>
    </row>
    <row r="2">
      <c r="A2" s="20" t="inlineStr">
        <is>
          <t>D01</t>
        </is>
      </c>
      <c r="B2" s="20" t="inlineStr">
        <is>
          <t>I01</t>
        </is>
      </c>
      <c r="C2" s="20" t="inlineStr">
        <is>
          <t>Strategic AI Integration</t>
        </is>
      </c>
      <c r="D2" s="20" t="inlineStr">
        <is>
          <t>5–10 anchor examples per metric before pilot</t>
        </is>
      </c>
      <c r="E2" s="20" t="inlineStr">
        <is>
          <t>2 independent assessors minimum</t>
        </is>
      </c>
      <c r="F2" s="20" t="inlineStr">
        <is>
          <t>Blind second scoring recommended</t>
        </is>
      </c>
      <c r="G2" s="20" t="inlineStr">
        <is>
          <t>Target ICC/weighted agreement ≥0.70 exploratory; ≥0.80 preferred for freeze</t>
        </is>
      </c>
      <c r="H2" s="20" t="inlineStr">
        <is>
          <t>Pilot N to be set by study design</t>
        </is>
      </c>
      <c r="I2" s="20" t="inlineStr">
        <is>
          <t>Pending</t>
        </is>
      </c>
      <c r="J2" s="20" t="inlineStr">
        <is>
          <t>Methodology Lead</t>
        </is>
      </c>
    </row>
    <row r="3">
      <c r="A3" s="20" t="inlineStr">
        <is>
          <t>D01</t>
        </is>
      </c>
      <c r="B3" s="20" t="inlineStr">
        <is>
          <t>I02</t>
        </is>
      </c>
      <c r="C3" s="20" t="inlineStr">
        <is>
          <t>Future Foresight Maturity</t>
        </is>
      </c>
      <c r="D3" s="20" t="inlineStr">
        <is>
          <t>5–10 anchor examples per metric before pilot</t>
        </is>
      </c>
      <c r="E3" s="20" t="inlineStr">
        <is>
          <t>2 independent assessors minimum</t>
        </is>
      </c>
      <c r="F3" s="20" t="inlineStr">
        <is>
          <t>Blind second scoring recommended</t>
        </is>
      </c>
      <c r="G3" s="20" t="inlineStr">
        <is>
          <t>Target ICC/weighted agreement ≥0.70 exploratory; ≥0.80 preferred for freeze</t>
        </is>
      </c>
      <c r="H3" s="20" t="inlineStr">
        <is>
          <t>Pilot N to be set by study design</t>
        </is>
      </c>
      <c r="I3" s="20" t="inlineStr">
        <is>
          <t>Pending</t>
        </is>
      </c>
      <c r="J3" s="20" t="inlineStr">
        <is>
          <t>Methodology Lead</t>
        </is>
      </c>
    </row>
    <row r="4">
      <c r="A4" s="20" t="inlineStr">
        <is>
          <t>D01</t>
        </is>
      </c>
      <c r="B4" s="20" t="inlineStr">
        <is>
          <t>I03</t>
        </is>
      </c>
      <c r="C4" s="20" t="inlineStr">
        <is>
          <t>Strategic Translation Rate</t>
        </is>
      </c>
      <c r="D4" s="20" t="inlineStr">
        <is>
          <t>5–10 anchor examples per metric before pilot</t>
        </is>
      </c>
      <c r="E4" s="20" t="inlineStr">
        <is>
          <t>2 independent assessors minimum</t>
        </is>
      </c>
      <c r="F4" s="20" t="inlineStr">
        <is>
          <t>Blind second scoring recommended</t>
        </is>
      </c>
      <c r="G4" s="20" t="inlineStr">
        <is>
          <t>Target ICC/weighted agreement ≥0.70 exploratory; ≥0.80 preferred for freeze</t>
        </is>
      </c>
      <c r="H4" s="20" t="inlineStr">
        <is>
          <t>Pilot N to be set by study design</t>
        </is>
      </c>
      <c r="I4" s="20" t="inlineStr">
        <is>
          <t>Pending</t>
        </is>
      </c>
      <c r="J4" s="20" t="inlineStr">
        <is>
          <t>Methodology Lead</t>
        </is>
      </c>
    </row>
    <row r="5">
      <c r="A5" s="20" t="inlineStr">
        <is>
          <t>D01</t>
        </is>
      </c>
      <c r="B5" s="20" t="inlineStr">
        <is>
          <t>I04</t>
        </is>
      </c>
      <c r="C5" s="20" t="inlineStr">
        <is>
          <t>Programme Future-Review Coverage</t>
        </is>
      </c>
      <c r="D5" s="20" t="inlineStr">
        <is>
          <t>5–10 anchor examples per metric before pilot</t>
        </is>
      </c>
      <c r="E5" s="20" t="inlineStr">
        <is>
          <t>2 independent assessors minimum</t>
        </is>
      </c>
      <c r="F5" s="20" t="inlineStr">
        <is>
          <t>Blind second scoring recommended</t>
        </is>
      </c>
      <c r="G5" s="20" t="inlineStr">
        <is>
          <t>Target ICC/weighted agreement ≥0.70 exploratory; ≥0.80 preferred for freeze</t>
        </is>
      </c>
      <c r="H5" s="20" t="inlineStr">
        <is>
          <t>Pilot N to be set by study design</t>
        </is>
      </c>
      <c r="I5" s="20" t="inlineStr">
        <is>
          <t>Pending</t>
        </is>
      </c>
      <c r="J5" s="20" t="inlineStr">
        <is>
          <t>Methodology Lead</t>
        </is>
      </c>
    </row>
    <row r="6">
      <c r="A6" s="20" t="inlineStr">
        <is>
          <t>D01</t>
        </is>
      </c>
      <c r="B6" s="20" t="inlineStr">
        <is>
          <t>I05</t>
        </is>
      </c>
      <c r="C6" s="20" t="inlineStr">
        <is>
          <t>Strategic Differentiation Clarity</t>
        </is>
      </c>
      <c r="D6" s="20" t="inlineStr">
        <is>
          <t>5–10 anchor examples per metric before pilot</t>
        </is>
      </c>
      <c r="E6" s="20" t="inlineStr">
        <is>
          <t>2 independent assessors minimum</t>
        </is>
      </c>
      <c r="F6" s="20" t="inlineStr">
        <is>
          <t>Blind second scoring recommended</t>
        </is>
      </c>
      <c r="G6" s="20" t="inlineStr">
        <is>
          <t>Target ICC/weighted agreement ≥0.70 exploratory; ≥0.80 preferred for freeze</t>
        </is>
      </c>
      <c r="H6" s="20" t="inlineStr">
        <is>
          <t>Pilot N to be set by study design</t>
        </is>
      </c>
      <c r="I6" s="20" t="inlineStr">
        <is>
          <t>Pending</t>
        </is>
      </c>
      <c r="J6" s="20" t="inlineStr">
        <is>
          <t>Methodology Lead</t>
        </is>
      </c>
    </row>
    <row r="7">
      <c r="A7" s="20" t="inlineStr">
        <is>
          <t>D01</t>
        </is>
      </c>
      <c r="B7" s="20" t="inlineStr">
        <is>
          <t>I06</t>
        </is>
      </c>
      <c r="C7" s="20" t="inlineStr">
        <is>
          <t>Foresight Response Architecture</t>
        </is>
      </c>
      <c r="D7" s="20" t="inlineStr">
        <is>
          <t>5–10 anchor examples per metric before pilot</t>
        </is>
      </c>
      <c r="E7" s="20" t="inlineStr">
        <is>
          <t>2 independent assessors minimum</t>
        </is>
      </c>
      <c r="F7" s="20" t="inlineStr">
        <is>
          <t>Blind second scoring recommended</t>
        </is>
      </c>
      <c r="G7" s="20" t="inlineStr">
        <is>
          <t>Target ICC/weighted agreement ≥0.70 exploratory; ≥0.80 preferred for freeze</t>
        </is>
      </c>
      <c r="H7" s="20" t="inlineStr">
        <is>
          <t>Pilot N to be set by study design</t>
        </is>
      </c>
      <c r="I7" s="20" t="inlineStr">
        <is>
          <t>Pending</t>
        </is>
      </c>
      <c r="J7" s="20" t="inlineStr">
        <is>
          <t>Methodology Lead</t>
        </is>
      </c>
    </row>
    <row r="8">
      <c r="A8" s="20" t="inlineStr">
        <is>
          <t>D01</t>
        </is>
      </c>
      <c r="B8" s="20" t="inlineStr">
        <is>
          <t>I07</t>
        </is>
      </c>
      <c r="C8" s="20" t="inlineStr">
        <is>
          <t>Resource Alignment</t>
        </is>
      </c>
      <c r="D8" s="20" t="inlineStr">
        <is>
          <t>5–10 anchor examples per metric before pilot</t>
        </is>
      </c>
      <c r="E8" s="20" t="inlineStr">
        <is>
          <t>2 independent assessors minimum</t>
        </is>
      </c>
      <c r="F8" s="20" t="inlineStr">
        <is>
          <t>Blind second scoring recommended</t>
        </is>
      </c>
      <c r="G8" s="20" t="inlineStr">
        <is>
          <t>Target ICC/weighted agreement ≥0.70 exploratory; ≥0.80 preferred for freeze</t>
        </is>
      </c>
      <c r="H8" s="20" t="inlineStr">
        <is>
          <t>Pilot N to be set by study design</t>
        </is>
      </c>
      <c r="I8" s="20" t="inlineStr">
        <is>
          <t>Pending</t>
        </is>
      </c>
      <c r="J8" s="20" t="inlineStr">
        <is>
          <t>Methodology Lead</t>
        </is>
      </c>
    </row>
    <row r="9">
      <c r="A9" s="20" t="inlineStr">
        <is>
          <t>D01</t>
        </is>
      </c>
      <c r="B9" s="20" t="inlineStr">
        <is>
          <t>I08</t>
        </is>
      </c>
      <c r="C9" s="20" t="inlineStr">
        <is>
          <t>Leadership Alignment</t>
        </is>
      </c>
      <c r="D9" s="20" t="inlineStr">
        <is>
          <t>5–10 anchor examples per metric before pilot</t>
        </is>
      </c>
      <c r="E9" s="20" t="inlineStr">
        <is>
          <t>2 independent assessors minimum</t>
        </is>
      </c>
      <c r="F9" s="20" t="inlineStr">
        <is>
          <t>Blind second scoring recommended</t>
        </is>
      </c>
      <c r="G9" s="20" t="inlineStr">
        <is>
          <t>Target ICC/weighted agreement ≥0.70 exploratory; ≥0.80 preferred for freeze</t>
        </is>
      </c>
      <c r="H9" s="20" t="inlineStr">
        <is>
          <t>Pilot N to be set by study design</t>
        </is>
      </c>
      <c r="I9" s="20" t="inlineStr">
        <is>
          <t>Pending</t>
        </is>
      </c>
      <c r="J9" s="20" t="inlineStr">
        <is>
          <t>Methodology Lead</t>
        </is>
      </c>
    </row>
    <row r="10">
      <c r="A10" s="20" t="inlineStr">
        <is>
          <t>D01</t>
        </is>
      </c>
      <c r="B10" s="20" t="inlineStr">
        <is>
          <t>I09</t>
        </is>
      </c>
      <c r="C10" s="20" t="inlineStr">
        <is>
          <t>Experimentation Effectiveness</t>
        </is>
      </c>
      <c r="D10" s="20" t="inlineStr">
        <is>
          <t>5–10 anchor examples per metric before pilot</t>
        </is>
      </c>
      <c r="E10" s="20" t="inlineStr">
        <is>
          <t>2 independent assessors minimum</t>
        </is>
      </c>
      <c r="F10" s="20" t="inlineStr">
        <is>
          <t>Blind second scoring recommended</t>
        </is>
      </c>
      <c r="G10" s="20" t="inlineStr">
        <is>
          <t>Target ICC/weighted agreement ≥0.70 exploratory; ≥0.80 preferred for freeze</t>
        </is>
      </c>
      <c r="H10" s="20" t="inlineStr">
        <is>
          <t>Pilot N to be set by study design</t>
        </is>
      </c>
      <c r="I10" s="20" t="inlineStr">
        <is>
          <t>Pending</t>
        </is>
      </c>
      <c r="J10" s="20" t="inlineStr">
        <is>
          <t>Methodology Lead</t>
        </is>
      </c>
    </row>
    <row r="11">
      <c r="A11" s="20" t="inlineStr">
        <is>
          <t>D01</t>
        </is>
      </c>
      <c r="B11" s="20" t="inlineStr">
        <is>
          <t>I10</t>
        </is>
      </c>
      <c r="C11" s="20" t="inlineStr">
        <is>
          <t>Strategic Learning Rate</t>
        </is>
      </c>
      <c r="D11" s="20" t="inlineStr">
        <is>
          <t>5–10 anchor examples per metric before pilot</t>
        </is>
      </c>
      <c r="E11" s="20" t="inlineStr">
        <is>
          <t>2 independent assessors minimum</t>
        </is>
      </c>
      <c r="F11" s="20" t="inlineStr">
        <is>
          <t>Blind second scoring recommended</t>
        </is>
      </c>
      <c r="G11" s="20" t="inlineStr">
        <is>
          <t>Target ICC/weighted agreement ≥0.70 exploratory; ≥0.80 preferred for freeze</t>
        </is>
      </c>
      <c r="H11" s="20" t="inlineStr">
        <is>
          <t>Pilot N to be set by study design</t>
        </is>
      </c>
      <c r="I11" s="20" t="inlineStr">
        <is>
          <t>Pending</t>
        </is>
      </c>
      <c r="J11" s="20" t="inlineStr">
        <is>
          <t>Methodology Lead</t>
        </is>
      </c>
    </row>
    <row r="12">
      <c r="A12" s="20" t="inlineStr">
        <is>
          <t>D02</t>
        </is>
      </c>
      <c r="B12" s="20" t="inlineStr">
        <is>
          <t>I01</t>
        </is>
      </c>
      <c r="C12" s="20" t="inlineStr">
        <is>
          <t>Governance Ownership</t>
        </is>
      </c>
      <c r="D12" s="20" t="inlineStr">
        <is>
          <t>5–10 anchor examples per metric before pilot</t>
        </is>
      </c>
      <c r="E12" s="20" t="inlineStr">
        <is>
          <t>2 independent assessors minimum</t>
        </is>
      </c>
      <c r="F12" s="20" t="inlineStr">
        <is>
          <t>Blind second scoring recommended</t>
        </is>
      </c>
      <c r="G12" s="20" t="inlineStr">
        <is>
          <t>Target ICC/weighted agreement ≥0.70 exploratory; ≥0.80 preferred for freeze</t>
        </is>
      </c>
      <c r="H12" s="20" t="inlineStr">
        <is>
          <t>Pilot N to be set by study design</t>
        </is>
      </c>
      <c r="I12" s="20" t="inlineStr">
        <is>
          <t>Pending</t>
        </is>
      </c>
      <c r="J12" s="20" t="inlineStr">
        <is>
          <t>Methodology Lead</t>
        </is>
      </c>
    </row>
    <row r="13">
      <c r="A13" s="20" t="inlineStr">
        <is>
          <t>D02</t>
        </is>
      </c>
      <c r="B13" s="20" t="inlineStr">
        <is>
          <t>I02</t>
        </is>
      </c>
      <c r="C13" s="20" t="inlineStr">
        <is>
          <t>Decision Architecture</t>
        </is>
      </c>
      <c r="D13" s="20" t="inlineStr">
        <is>
          <t>5–10 anchor examples per metric before pilot</t>
        </is>
      </c>
      <c r="E13" s="20" t="inlineStr">
        <is>
          <t>2 independent assessors minimum</t>
        </is>
      </c>
      <c r="F13" s="20" t="inlineStr">
        <is>
          <t>Blind second scoring recommended</t>
        </is>
      </c>
      <c r="G13" s="20" t="inlineStr">
        <is>
          <t>Target ICC/weighted agreement ≥0.70 exploratory; ≥0.80 preferred for freeze</t>
        </is>
      </c>
      <c r="H13" s="20" t="inlineStr">
        <is>
          <t>Pilot N to be set by study design</t>
        </is>
      </c>
      <c r="I13" s="20" t="inlineStr">
        <is>
          <t>Pending</t>
        </is>
      </c>
      <c r="J13" s="20" t="inlineStr">
        <is>
          <t>Methodology Lead</t>
        </is>
      </c>
    </row>
    <row r="14">
      <c r="A14" s="20" t="inlineStr">
        <is>
          <t>D02</t>
        </is>
      </c>
      <c r="B14" s="20" t="inlineStr">
        <is>
          <t>I03</t>
        </is>
      </c>
      <c r="C14" s="20" t="inlineStr">
        <is>
          <t>Responsible AI Maturity</t>
        </is>
      </c>
      <c r="D14" s="20" t="inlineStr">
        <is>
          <t>5–10 anchor examples per metric before pilot</t>
        </is>
      </c>
      <c r="E14" s="20" t="inlineStr">
        <is>
          <t>2 independent assessors minimum</t>
        </is>
      </c>
      <c r="F14" s="20" t="inlineStr">
        <is>
          <t>Blind second scoring recommended</t>
        </is>
      </c>
      <c r="G14" s="20" t="inlineStr">
        <is>
          <t>Target ICC/weighted agreement ≥0.70 exploratory; ≥0.80 preferred for freeze</t>
        </is>
      </c>
      <c r="H14" s="20" t="inlineStr">
        <is>
          <t>Pilot N to be set by study design</t>
        </is>
      </c>
      <c r="I14" s="20" t="inlineStr">
        <is>
          <t>Pending</t>
        </is>
      </c>
      <c r="J14" s="20" t="inlineStr">
        <is>
          <t>Methodology Lead</t>
        </is>
      </c>
    </row>
    <row r="15">
      <c r="A15" s="20" t="inlineStr">
        <is>
          <t>D02</t>
        </is>
      </c>
      <c r="B15" s="20" t="inlineStr">
        <is>
          <t>I04</t>
        </is>
      </c>
      <c r="C15" s="20" t="inlineStr">
        <is>
          <t>Data Governance Readiness</t>
        </is>
      </c>
      <c r="D15" s="20" t="inlineStr">
        <is>
          <t>5–10 anchor examples per metric before pilot</t>
        </is>
      </c>
      <c r="E15" s="20" t="inlineStr">
        <is>
          <t>2 independent assessors minimum</t>
        </is>
      </c>
      <c r="F15" s="20" t="inlineStr">
        <is>
          <t>Blind second scoring recommended</t>
        </is>
      </c>
      <c r="G15" s="20" t="inlineStr">
        <is>
          <t>Target ICC/weighted agreement ≥0.70 exploratory; ≥0.80 preferred for freeze</t>
        </is>
      </c>
      <c r="H15" s="20" t="inlineStr">
        <is>
          <t>Pilot N to be set by study design</t>
        </is>
      </c>
      <c r="I15" s="20" t="inlineStr">
        <is>
          <t>Pending</t>
        </is>
      </c>
      <c r="J15" s="20" t="inlineStr">
        <is>
          <t>Methodology Lead</t>
        </is>
      </c>
    </row>
    <row r="16">
      <c r="A16" s="20" t="inlineStr">
        <is>
          <t>D02</t>
        </is>
      </c>
      <c r="B16" s="20" t="inlineStr">
        <is>
          <t>I05</t>
        </is>
      </c>
      <c r="C16" s="20" t="inlineStr">
        <is>
          <t>Academic Integrity Governance</t>
        </is>
      </c>
      <c r="D16" s="20" t="inlineStr">
        <is>
          <t>5–10 anchor examples per metric before pilot</t>
        </is>
      </c>
      <c r="E16" s="20" t="inlineStr">
        <is>
          <t>2 independent assessors minimum</t>
        </is>
      </c>
      <c r="F16" s="20" t="inlineStr">
        <is>
          <t>Blind second scoring recommended</t>
        </is>
      </c>
      <c r="G16" s="20" t="inlineStr">
        <is>
          <t>Target ICC/weighted agreement ≥0.70 exploratory; ≥0.80 preferred for freeze</t>
        </is>
      </c>
      <c r="H16" s="20" t="inlineStr">
        <is>
          <t>Pilot N to be set by study design</t>
        </is>
      </c>
      <c r="I16" s="20" t="inlineStr">
        <is>
          <t>Pending</t>
        </is>
      </c>
      <c r="J16" s="20" t="inlineStr">
        <is>
          <t>Methodology Lead</t>
        </is>
      </c>
    </row>
    <row r="17">
      <c r="A17" s="20" t="inlineStr">
        <is>
          <t>D02</t>
        </is>
      </c>
      <c r="B17" s="20" t="inlineStr">
        <is>
          <t>I06</t>
        </is>
      </c>
      <c r="C17" s="20" t="inlineStr">
        <is>
          <t>Assessment Governance</t>
        </is>
      </c>
      <c r="D17" s="20" t="inlineStr">
        <is>
          <t>5–10 anchor examples per metric before pilot</t>
        </is>
      </c>
      <c r="E17" s="20" t="inlineStr">
        <is>
          <t>2 independent assessors minimum</t>
        </is>
      </c>
      <c r="F17" s="20" t="inlineStr">
        <is>
          <t>Blind second scoring recommended</t>
        </is>
      </c>
      <c r="G17" s="20" t="inlineStr">
        <is>
          <t>Target ICC/weighted agreement ≥0.70 exploratory; ≥0.80 preferred for freeze</t>
        </is>
      </c>
      <c r="H17" s="20" t="inlineStr">
        <is>
          <t>Pilot N to be set by study design</t>
        </is>
      </c>
      <c r="I17" s="20" t="inlineStr">
        <is>
          <t>Pending</t>
        </is>
      </c>
      <c r="J17" s="20" t="inlineStr">
        <is>
          <t>Methodology Lead</t>
        </is>
      </c>
    </row>
    <row r="18">
      <c r="A18" s="20" t="inlineStr">
        <is>
          <t>D02</t>
        </is>
      </c>
      <c r="B18" s="20" t="inlineStr">
        <is>
          <t>I07</t>
        </is>
      </c>
      <c r="C18" s="20" t="inlineStr">
        <is>
          <t>AI Risk Management</t>
        </is>
      </c>
      <c r="D18" s="20" t="inlineStr">
        <is>
          <t>5–10 anchor examples per metric before pilot</t>
        </is>
      </c>
      <c r="E18" s="20" t="inlineStr">
        <is>
          <t>2 independent assessors minimum</t>
        </is>
      </c>
      <c r="F18" s="20" t="inlineStr">
        <is>
          <t>Blind second scoring recommended</t>
        </is>
      </c>
      <c r="G18" s="20" t="inlineStr">
        <is>
          <t>Target ICC/weighted agreement ≥0.70 exploratory; ≥0.80 preferred for freeze</t>
        </is>
      </c>
      <c r="H18" s="20" t="inlineStr">
        <is>
          <t>Pilot N to be set by study design</t>
        </is>
      </c>
      <c r="I18" s="20" t="inlineStr">
        <is>
          <t>Pending</t>
        </is>
      </c>
      <c r="J18" s="20" t="inlineStr">
        <is>
          <t>Methodology Lead</t>
        </is>
      </c>
    </row>
    <row r="19">
      <c r="A19" s="20" t="inlineStr">
        <is>
          <t>D02</t>
        </is>
      </c>
      <c r="B19" s="20" t="inlineStr">
        <is>
          <t>I08</t>
        </is>
      </c>
      <c r="C19" s="20" t="inlineStr">
        <is>
          <t>Incident Responsiveness</t>
        </is>
      </c>
      <c r="D19" s="20" t="inlineStr">
        <is>
          <t>5–10 anchor examples per metric before pilot</t>
        </is>
      </c>
      <c r="E19" s="20" t="inlineStr">
        <is>
          <t>2 independent assessors minimum</t>
        </is>
      </c>
      <c r="F19" s="20" t="inlineStr">
        <is>
          <t>Blind second scoring recommended</t>
        </is>
      </c>
      <c r="G19" s="20" t="inlineStr">
        <is>
          <t>Target ICC/weighted agreement ≥0.70 exploratory; ≥0.80 preferred for freeze</t>
        </is>
      </c>
      <c r="H19" s="20" t="inlineStr">
        <is>
          <t>Pilot N to be set by study design</t>
        </is>
      </c>
      <c r="I19" s="20" t="inlineStr">
        <is>
          <t>Pending</t>
        </is>
      </c>
      <c r="J19" s="20" t="inlineStr">
        <is>
          <t>Methodology Lead</t>
        </is>
      </c>
    </row>
    <row r="20">
      <c r="A20" s="20" t="inlineStr">
        <is>
          <t>D02</t>
        </is>
      </c>
      <c r="B20" s="20" t="inlineStr">
        <is>
          <t>I09</t>
        </is>
      </c>
      <c r="C20" s="20" t="inlineStr">
        <is>
          <t>Human Accountability</t>
        </is>
      </c>
      <c r="D20" s="20" t="inlineStr">
        <is>
          <t>5–10 anchor examples per metric before pilot</t>
        </is>
      </c>
      <c r="E20" s="20" t="inlineStr">
        <is>
          <t>2 independent assessors minimum</t>
        </is>
      </c>
      <c r="F20" s="20" t="inlineStr">
        <is>
          <t>Blind second scoring recommended</t>
        </is>
      </c>
      <c r="G20" s="20" t="inlineStr">
        <is>
          <t>Target ICC/weighted agreement ≥0.70 exploratory; ≥0.80 preferred for freeze</t>
        </is>
      </c>
      <c r="H20" s="20" t="inlineStr">
        <is>
          <t>Pilot N to be set by study design</t>
        </is>
      </c>
      <c r="I20" s="20" t="inlineStr">
        <is>
          <t>Pending</t>
        </is>
      </c>
      <c r="J20" s="20" t="inlineStr">
        <is>
          <t>Methodology Lead</t>
        </is>
      </c>
    </row>
    <row r="21">
      <c r="A21" s="20" t="inlineStr">
        <is>
          <t>D02</t>
        </is>
      </c>
      <c r="B21" s="20" t="inlineStr">
        <is>
          <t>I10</t>
        </is>
      </c>
      <c r="C21" s="20" t="inlineStr">
        <is>
          <t>Vendor/Tool Governance</t>
        </is>
      </c>
      <c r="D21" s="20" t="inlineStr">
        <is>
          <t>5–10 anchor examples per metric before pilot</t>
        </is>
      </c>
      <c r="E21" s="20" t="inlineStr">
        <is>
          <t>2 independent assessors minimum</t>
        </is>
      </c>
      <c r="F21" s="20" t="inlineStr">
        <is>
          <t>Blind second scoring recommended</t>
        </is>
      </c>
      <c r="G21" s="20" t="inlineStr">
        <is>
          <t>Target ICC/weighted agreement ≥0.70 exploratory; ≥0.80 preferred for freeze</t>
        </is>
      </c>
      <c r="H21" s="20" t="inlineStr">
        <is>
          <t>Pilot N to be set by study design</t>
        </is>
      </c>
      <c r="I21" s="20" t="inlineStr">
        <is>
          <t>Pending</t>
        </is>
      </c>
      <c r="J21" s="20" t="inlineStr">
        <is>
          <t>Methodology Lead</t>
        </is>
      </c>
    </row>
    <row r="22">
      <c r="A22" s="20" t="inlineStr">
        <is>
          <t>D02</t>
        </is>
      </c>
      <c r="B22" s="20" t="inlineStr">
        <is>
          <t>I11</t>
        </is>
      </c>
      <c r="C22" s="20" t="inlineStr">
        <is>
          <t>IP Governance</t>
        </is>
      </c>
      <c r="D22" s="20" t="inlineStr">
        <is>
          <t>5–10 anchor examples per metric before pilot</t>
        </is>
      </c>
      <c r="E22" s="20" t="inlineStr">
        <is>
          <t>2 independent assessors minimum</t>
        </is>
      </c>
      <c r="F22" s="20" t="inlineStr">
        <is>
          <t>Blind second scoring recommended</t>
        </is>
      </c>
      <c r="G22" s="20" t="inlineStr">
        <is>
          <t>Target ICC/weighted agreement ≥0.70 exploratory; ≥0.80 preferred for freeze</t>
        </is>
      </c>
      <c r="H22" s="20" t="inlineStr">
        <is>
          <t>Pilot N to be set by study design</t>
        </is>
      </c>
      <c r="I22" s="20" t="inlineStr">
        <is>
          <t>Pending</t>
        </is>
      </c>
      <c r="J22" s="20" t="inlineStr">
        <is>
          <t>Methodology Lead</t>
        </is>
      </c>
    </row>
    <row r="23">
      <c r="A23" s="20" t="inlineStr">
        <is>
          <t>D02</t>
        </is>
      </c>
      <c r="B23" s="20" t="inlineStr">
        <is>
          <t>I12</t>
        </is>
      </c>
      <c r="C23" s="20" t="inlineStr">
        <is>
          <t>Research AI Governance</t>
        </is>
      </c>
      <c r="D23" s="20" t="inlineStr">
        <is>
          <t>5–10 anchor examples per metric before pilot</t>
        </is>
      </c>
      <c r="E23" s="20" t="inlineStr">
        <is>
          <t>2 independent assessors minimum</t>
        </is>
      </c>
      <c r="F23" s="20" t="inlineStr">
        <is>
          <t>Blind second scoring recommended</t>
        </is>
      </c>
      <c r="G23" s="20" t="inlineStr">
        <is>
          <t>Target ICC/weighted agreement ≥0.70 exploratory; ≥0.80 preferred for freeze</t>
        </is>
      </c>
      <c r="H23" s="20" t="inlineStr">
        <is>
          <t>Pilot N to be set by study design</t>
        </is>
      </c>
      <c r="I23" s="20" t="inlineStr">
        <is>
          <t>Pending</t>
        </is>
      </c>
      <c r="J23" s="20" t="inlineStr">
        <is>
          <t>Methodology Lead</t>
        </is>
      </c>
    </row>
    <row r="24">
      <c r="A24" s="20" t="inlineStr">
        <is>
          <t>D02</t>
        </is>
      </c>
      <c r="B24" s="20" t="inlineStr">
        <is>
          <t>I13</t>
        </is>
      </c>
      <c r="C24" s="20" t="inlineStr">
        <is>
          <t>Governance Review Adaptability</t>
        </is>
      </c>
      <c r="D24" s="20" t="inlineStr">
        <is>
          <t>5–10 anchor examples per metric before pilot</t>
        </is>
      </c>
      <c r="E24" s="20" t="inlineStr">
        <is>
          <t>2 independent assessors minimum</t>
        </is>
      </c>
      <c r="F24" s="20" t="inlineStr">
        <is>
          <t>Blind second scoring recommended</t>
        </is>
      </c>
      <c r="G24" s="20" t="inlineStr">
        <is>
          <t>Target ICC/weighted agreement ≥0.70 exploratory; ≥0.80 preferred for freeze</t>
        </is>
      </c>
      <c r="H24" s="20" t="inlineStr">
        <is>
          <t>Pilot N to be set by study design</t>
        </is>
      </c>
      <c r="I24" s="20" t="inlineStr">
        <is>
          <t>Pending</t>
        </is>
      </c>
      <c r="J24" s="20" t="inlineStr">
        <is>
          <t>Methodology Lead</t>
        </is>
      </c>
    </row>
    <row r="25">
      <c r="A25" s="20" t="inlineStr">
        <is>
          <t>D02</t>
        </is>
      </c>
      <c r="B25" s="20" t="inlineStr">
        <is>
          <t>I14</t>
        </is>
      </c>
      <c r="C25" s="20" t="inlineStr">
        <is>
          <t>Governance Effectiveness</t>
        </is>
      </c>
      <c r="D25" s="20" t="inlineStr">
        <is>
          <t>5–10 anchor examples per metric before pilot</t>
        </is>
      </c>
      <c r="E25" s="20" t="inlineStr">
        <is>
          <t>2 independent assessors minimum</t>
        </is>
      </c>
      <c r="F25" s="20" t="inlineStr">
        <is>
          <t>Blind second scoring recommended</t>
        </is>
      </c>
      <c r="G25" s="20" t="inlineStr">
        <is>
          <t>Target ICC/weighted agreement ≥0.70 exploratory; ≥0.80 preferred for freeze</t>
        </is>
      </c>
      <c r="H25" s="20" t="inlineStr">
        <is>
          <t>Pilot N to be set by study design</t>
        </is>
      </c>
      <c r="I25" s="20" t="inlineStr">
        <is>
          <t>Pending</t>
        </is>
      </c>
      <c r="J25" s="20" t="inlineStr">
        <is>
          <t>Methodology Lead</t>
        </is>
      </c>
    </row>
    <row r="26">
      <c r="A26" s="20" t="inlineStr">
        <is>
          <t>D03</t>
        </is>
      </c>
      <c r="B26" s="20" t="inlineStr">
        <is>
          <t>I01</t>
        </is>
      </c>
      <c r="C26" s="20" t="inlineStr">
        <is>
          <t>Foundational Knowledge Depth</t>
        </is>
      </c>
      <c r="D26" s="20" t="inlineStr">
        <is>
          <t>5–10 anchor examples per metric before pilot</t>
        </is>
      </c>
      <c r="E26" s="20" t="inlineStr">
        <is>
          <t>2 independent assessors minimum</t>
        </is>
      </c>
      <c r="F26" s="20" t="inlineStr">
        <is>
          <t>Blind second scoring recommended</t>
        </is>
      </c>
      <c r="G26" s="20" t="inlineStr">
        <is>
          <t>Target ICC/weighted agreement ≥0.70 exploratory; ≥0.80 preferred for freeze</t>
        </is>
      </c>
      <c r="H26" s="20" t="inlineStr">
        <is>
          <t>Pilot N to be set by study design</t>
        </is>
      </c>
      <c r="I26" s="20" t="inlineStr">
        <is>
          <t>Pending</t>
        </is>
      </c>
      <c r="J26" s="20" t="inlineStr">
        <is>
          <t>Methodology Lead</t>
        </is>
      </c>
    </row>
    <row r="27">
      <c r="A27" s="20" t="inlineStr">
        <is>
          <t>D03</t>
        </is>
      </c>
      <c r="B27" s="20" t="inlineStr">
        <is>
          <t>I02</t>
        </is>
      </c>
      <c r="C27" s="20" t="inlineStr">
        <is>
          <t>Critical Reasoning Development</t>
        </is>
      </c>
      <c r="D27" s="20" t="inlineStr">
        <is>
          <t>5–10 anchor examples per metric before pilot</t>
        </is>
      </c>
      <c r="E27" s="20" t="inlineStr">
        <is>
          <t>2 independent assessors minimum</t>
        </is>
      </c>
      <c r="F27" s="20" t="inlineStr">
        <is>
          <t>Blind second scoring recommended</t>
        </is>
      </c>
      <c r="G27" s="20" t="inlineStr">
        <is>
          <t>Target ICC/weighted agreement ≥0.70 exploratory; ≥0.80 preferred for freeze</t>
        </is>
      </c>
      <c r="H27" s="20" t="inlineStr">
        <is>
          <t>Pilot N to be set by study design</t>
        </is>
      </c>
      <c r="I27" s="20" t="inlineStr">
        <is>
          <t>Pending</t>
        </is>
      </c>
      <c r="J27" s="20" t="inlineStr">
        <is>
          <t>Methodology Lead</t>
        </is>
      </c>
    </row>
    <row r="28">
      <c r="A28" s="20" t="inlineStr">
        <is>
          <t>D03</t>
        </is>
      </c>
      <c r="B28" s="20" t="inlineStr">
        <is>
          <t>I03</t>
        </is>
      </c>
      <c r="C28" s="20" t="inlineStr">
        <is>
          <t>Question Formulation</t>
        </is>
      </c>
      <c r="D28" s="20" t="inlineStr">
        <is>
          <t>5–10 anchor examples per metric before pilot</t>
        </is>
      </c>
      <c r="E28" s="20" t="inlineStr">
        <is>
          <t>2 independent assessors minimum</t>
        </is>
      </c>
      <c r="F28" s="20" t="inlineStr">
        <is>
          <t>Blind second scoring recommended</t>
        </is>
      </c>
      <c r="G28" s="20" t="inlineStr">
        <is>
          <t>Target ICC/weighted agreement ≥0.70 exploratory; ≥0.80 preferred for freeze</t>
        </is>
      </c>
      <c r="H28" s="20" t="inlineStr">
        <is>
          <t>Pilot N to be set by study design</t>
        </is>
      </c>
      <c r="I28" s="20" t="inlineStr">
        <is>
          <t>Pending</t>
        </is>
      </c>
      <c r="J28" s="20" t="inlineStr">
        <is>
          <t>Methodology Lead</t>
        </is>
      </c>
    </row>
    <row r="29">
      <c r="A29" s="20" t="inlineStr">
        <is>
          <t>D03</t>
        </is>
      </c>
      <c r="B29" s="20" t="inlineStr">
        <is>
          <t>I04</t>
        </is>
      </c>
      <c r="C29" s="20" t="inlineStr">
        <is>
          <t>Analytical Reasoning</t>
        </is>
      </c>
      <c r="D29" s="20" t="inlineStr">
        <is>
          <t>5–10 anchor examples per metric before pilot</t>
        </is>
      </c>
      <c r="E29" s="20" t="inlineStr">
        <is>
          <t>2 independent assessors minimum</t>
        </is>
      </c>
      <c r="F29" s="20" t="inlineStr">
        <is>
          <t>Blind second scoring recommended</t>
        </is>
      </c>
      <c r="G29" s="20" t="inlineStr">
        <is>
          <t>Target ICC/weighted agreement ≥0.70 exploratory; ≥0.80 preferred for freeze</t>
        </is>
      </c>
      <c r="H29" s="20" t="inlineStr">
        <is>
          <t>Pilot N to be set by study design</t>
        </is>
      </c>
      <c r="I29" s="20" t="inlineStr">
        <is>
          <t>Pending</t>
        </is>
      </c>
      <c r="J29" s="20" t="inlineStr">
        <is>
          <t>Methodology Lead</t>
        </is>
      </c>
    </row>
    <row r="30">
      <c r="A30" s="20" t="inlineStr">
        <is>
          <t>D03</t>
        </is>
      </c>
      <c r="B30" s="20" t="inlineStr">
        <is>
          <t>I05</t>
        </is>
      </c>
      <c r="C30" s="20" t="inlineStr">
        <is>
          <t>Problem Formulation</t>
        </is>
      </c>
      <c r="D30" s="20" t="inlineStr">
        <is>
          <t>5–10 anchor examples per metric before pilot</t>
        </is>
      </c>
      <c r="E30" s="20" t="inlineStr">
        <is>
          <t>2 independent assessors minimum</t>
        </is>
      </c>
      <c r="F30" s="20" t="inlineStr">
        <is>
          <t>Blind second scoring recommended</t>
        </is>
      </c>
      <c r="G30" s="20" t="inlineStr">
        <is>
          <t>Target ICC/weighted agreement ≥0.70 exploratory; ≥0.80 preferred for freeze</t>
        </is>
      </c>
      <c r="H30" s="20" t="inlineStr">
        <is>
          <t>Pilot N to be set by study design</t>
        </is>
      </c>
      <c r="I30" s="20" t="inlineStr">
        <is>
          <t>Pending</t>
        </is>
      </c>
      <c r="J30" s="20" t="inlineStr">
        <is>
          <t>Methodology Lead</t>
        </is>
      </c>
    </row>
    <row r="31">
      <c r="A31" s="20" t="inlineStr">
        <is>
          <t>D03</t>
        </is>
      </c>
      <c r="B31" s="20" t="inlineStr">
        <is>
          <t>I06</t>
        </is>
      </c>
      <c r="C31" s="20" t="inlineStr">
        <is>
          <t>Creativity &amp; Originality</t>
        </is>
      </c>
      <c r="D31" s="20" t="inlineStr">
        <is>
          <t>5–10 anchor examples per metric before pilot</t>
        </is>
      </c>
      <c r="E31" s="20" t="inlineStr">
        <is>
          <t>2 independent assessors minimum</t>
        </is>
      </c>
      <c r="F31" s="20" t="inlineStr">
        <is>
          <t>Blind second scoring recommended</t>
        </is>
      </c>
      <c r="G31" s="20" t="inlineStr">
        <is>
          <t>Target ICC/weighted agreement ≥0.70 exploratory; ≥0.80 preferred for freeze</t>
        </is>
      </c>
      <c r="H31" s="20" t="inlineStr">
        <is>
          <t>Pilot N to be set by study design</t>
        </is>
      </c>
      <c r="I31" s="20" t="inlineStr">
        <is>
          <t>Pending</t>
        </is>
      </c>
      <c r="J31" s="20" t="inlineStr">
        <is>
          <t>Methodology Lead</t>
        </is>
      </c>
    </row>
    <row r="32">
      <c r="A32" s="20" t="inlineStr">
        <is>
          <t>D03</t>
        </is>
      </c>
      <c r="B32" s="20" t="inlineStr">
        <is>
          <t>I07</t>
        </is>
      </c>
      <c r="C32" s="20" t="inlineStr">
        <is>
          <t>Judgement Capability</t>
        </is>
      </c>
      <c r="D32" s="20" t="inlineStr">
        <is>
          <t>5–10 anchor examples per metric before pilot</t>
        </is>
      </c>
      <c r="E32" s="20" t="inlineStr">
        <is>
          <t>2 independent assessors minimum</t>
        </is>
      </c>
      <c r="F32" s="20" t="inlineStr">
        <is>
          <t>Blind second scoring recommended</t>
        </is>
      </c>
      <c r="G32" s="20" t="inlineStr">
        <is>
          <t>Target ICC/weighted agreement ≥0.70 exploratory; ≥0.80 preferred for freeze</t>
        </is>
      </c>
      <c r="H32" s="20" t="inlineStr">
        <is>
          <t>Pilot N to be set by study design</t>
        </is>
      </c>
      <c r="I32" s="20" t="inlineStr">
        <is>
          <t>Pending</t>
        </is>
      </c>
      <c r="J32" s="20" t="inlineStr">
        <is>
          <t>Methodology Lead</t>
        </is>
      </c>
    </row>
    <row r="33">
      <c r="A33" s="20" t="inlineStr">
        <is>
          <t>D03</t>
        </is>
      </c>
      <c r="B33" s="20" t="inlineStr">
        <is>
          <t>I08</t>
        </is>
      </c>
      <c r="C33" s="20" t="inlineStr">
        <is>
          <t>AI Verification Capability</t>
        </is>
      </c>
      <c r="D33" s="20" t="inlineStr">
        <is>
          <t>5–10 anchor examples per metric before pilot</t>
        </is>
      </c>
      <c r="E33" s="20" t="inlineStr">
        <is>
          <t>2 independent assessors minimum</t>
        </is>
      </c>
      <c r="F33" s="20" t="inlineStr">
        <is>
          <t>Blind second scoring recommended</t>
        </is>
      </c>
      <c r="G33" s="20" t="inlineStr">
        <is>
          <t>Target ICC/weighted agreement ≥0.70 exploratory; ≥0.80 preferred for freeze</t>
        </is>
      </c>
      <c r="H33" s="20" t="inlineStr">
        <is>
          <t>Pilot N to be set by study design</t>
        </is>
      </c>
      <c r="I33" s="20" t="inlineStr">
        <is>
          <t>Pending</t>
        </is>
      </c>
      <c r="J33" s="20" t="inlineStr">
        <is>
          <t>Methodology Lead</t>
        </is>
      </c>
    </row>
    <row r="34">
      <c r="A34" s="20" t="inlineStr">
        <is>
          <t>D03</t>
        </is>
      </c>
      <c r="B34" s="20" t="inlineStr">
        <is>
          <t>I09</t>
        </is>
      </c>
      <c r="C34" s="20" t="inlineStr">
        <is>
          <t>Metacognitive Capability</t>
        </is>
      </c>
      <c r="D34" s="20" t="inlineStr">
        <is>
          <t>5–10 anchor examples per metric before pilot</t>
        </is>
      </c>
      <c r="E34" s="20" t="inlineStr">
        <is>
          <t>2 independent assessors minimum</t>
        </is>
      </c>
      <c r="F34" s="20" t="inlineStr">
        <is>
          <t>Blind second scoring recommended</t>
        </is>
      </c>
      <c r="G34" s="20" t="inlineStr">
        <is>
          <t>Target ICC/weighted agreement ≥0.70 exploratory; ≥0.80 preferred for freeze</t>
        </is>
      </c>
      <c r="H34" s="20" t="inlineStr">
        <is>
          <t>Pilot N to be set by study design</t>
        </is>
      </c>
      <c r="I34" s="20" t="inlineStr">
        <is>
          <t>Pending</t>
        </is>
      </c>
      <c r="J34" s="20" t="inlineStr">
        <is>
          <t>Methodology Lead</t>
        </is>
      </c>
    </row>
    <row r="35">
      <c r="A35" s="20" t="inlineStr">
        <is>
          <t>D03</t>
        </is>
      </c>
      <c r="B35" s="20" t="inlineStr">
        <is>
          <t>I10</t>
        </is>
      </c>
      <c r="C35" s="20" t="inlineStr">
        <is>
          <t>Human-AI Collaboration</t>
        </is>
      </c>
      <c r="D35" s="20" t="inlineStr">
        <is>
          <t>5–10 anchor examples per metric before pilot</t>
        </is>
      </c>
      <c r="E35" s="20" t="inlineStr">
        <is>
          <t>2 independent assessors minimum</t>
        </is>
      </c>
      <c r="F35" s="20" t="inlineStr">
        <is>
          <t>Blind second scoring recommended</t>
        </is>
      </c>
      <c r="G35" s="20" t="inlineStr">
        <is>
          <t>Target ICC/weighted agreement ≥0.70 exploratory; ≥0.80 preferred for freeze</t>
        </is>
      </c>
      <c r="H35" s="20" t="inlineStr">
        <is>
          <t>Pilot N to be set by study design</t>
        </is>
      </c>
      <c r="I35" s="20" t="inlineStr">
        <is>
          <t>Pending</t>
        </is>
      </c>
      <c r="J35" s="20" t="inlineStr">
        <is>
          <t>Methodology Lead</t>
        </is>
      </c>
    </row>
    <row r="36">
      <c r="A36" s="20" t="inlineStr">
        <is>
          <t>D03</t>
        </is>
      </c>
      <c r="B36" s="20" t="inlineStr">
        <is>
          <t>I11</t>
        </is>
      </c>
      <c r="C36" s="20" t="inlineStr">
        <is>
          <t>Communication &amp; Defence</t>
        </is>
      </c>
      <c r="D36" s="20" t="inlineStr">
        <is>
          <t>5–10 anchor examples per metric before pilot</t>
        </is>
      </c>
      <c r="E36" s="20" t="inlineStr">
        <is>
          <t>2 independent assessors minimum</t>
        </is>
      </c>
      <c r="F36" s="20" t="inlineStr">
        <is>
          <t>Blind second scoring recommended</t>
        </is>
      </c>
      <c r="G36" s="20" t="inlineStr">
        <is>
          <t>Target ICC/weighted agreement ≥0.70 exploratory; ≥0.80 preferred for freeze</t>
        </is>
      </c>
      <c r="H36" s="20" t="inlineStr">
        <is>
          <t>Pilot N to be set by study design</t>
        </is>
      </c>
      <c r="I36" s="20" t="inlineStr">
        <is>
          <t>Pending</t>
        </is>
      </c>
      <c r="J36" s="20" t="inlineStr">
        <is>
          <t>Methodology Lead</t>
        </is>
      </c>
    </row>
    <row r="37">
      <c r="A37" s="20" t="inlineStr">
        <is>
          <t>D03</t>
        </is>
      </c>
      <c r="B37" s="20" t="inlineStr">
        <is>
          <t>I12</t>
        </is>
      </c>
      <c r="C37" s="20" t="inlineStr">
        <is>
          <t>Collaboration Capability</t>
        </is>
      </c>
      <c r="D37" s="20" t="inlineStr">
        <is>
          <t>5–10 anchor examples per metric before pilot</t>
        </is>
      </c>
      <c r="E37" s="20" t="inlineStr">
        <is>
          <t>2 independent assessors minimum</t>
        </is>
      </c>
      <c r="F37" s="20" t="inlineStr">
        <is>
          <t>Blind second scoring recommended</t>
        </is>
      </c>
      <c r="G37" s="20" t="inlineStr">
        <is>
          <t>Target ICC/weighted agreement ≥0.70 exploratory; ≥0.80 preferred for freeze</t>
        </is>
      </c>
      <c r="H37" s="20" t="inlineStr">
        <is>
          <t>Pilot N to be set by study design</t>
        </is>
      </c>
      <c r="I37" s="20" t="inlineStr">
        <is>
          <t>Pending</t>
        </is>
      </c>
      <c r="J37" s="20" t="inlineStr">
        <is>
          <t>Methodology Lead</t>
        </is>
      </c>
    </row>
    <row r="38">
      <c r="A38" s="20" t="inlineStr">
        <is>
          <t>D03</t>
        </is>
      </c>
      <c r="B38" s="20" t="inlineStr">
        <is>
          <t>I13</t>
        </is>
      </c>
      <c r="C38" s="20" t="inlineStr">
        <is>
          <t>Practical Capability</t>
        </is>
      </c>
      <c r="D38" s="20" t="inlineStr">
        <is>
          <t>5–10 anchor examples per metric before pilot</t>
        </is>
      </c>
      <c r="E38" s="20" t="inlineStr">
        <is>
          <t>2 independent assessors minimum</t>
        </is>
      </c>
      <c r="F38" s="20" t="inlineStr">
        <is>
          <t>Blind second scoring recommended</t>
        </is>
      </c>
      <c r="G38" s="20" t="inlineStr">
        <is>
          <t>Target ICC/weighted agreement ≥0.70 exploratory; ≥0.80 preferred for freeze</t>
        </is>
      </c>
      <c r="H38" s="20" t="inlineStr">
        <is>
          <t>Pilot N to be set by study design</t>
        </is>
      </c>
      <c r="I38" s="20" t="inlineStr">
        <is>
          <t>Pending</t>
        </is>
      </c>
      <c r="J38" s="20" t="inlineStr">
        <is>
          <t>Methodology Lead</t>
        </is>
      </c>
    </row>
    <row r="39">
      <c r="A39" s="20" t="inlineStr">
        <is>
          <t>D03</t>
        </is>
      </c>
      <c r="B39" s="20" t="inlineStr">
        <is>
          <t>I14</t>
        </is>
      </c>
      <c r="C39" s="20" t="inlineStr">
        <is>
          <t>Ethical/Social Judgement</t>
        </is>
      </c>
      <c r="D39" s="20" t="inlineStr">
        <is>
          <t>5–10 anchor examples per metric before pilot</t>
        </is>
      </c>
      <c r="E39" s="20" t="inlineStr">
        <is>
          <t>2 independent assessors minimum</t>
        </is>
      </c>
      <c r="F39" s="20" t="inlineStr">
        <is>
          <t>Blind second scoring recommended</t>
        </is>
      </c>
      <c r="G39" s="20" t="inlineStr">
        <is>
          <t>Target ICC/weighted agreement ≥0.70 exploratory; ≥0.80 preferred for freeze</t>
        </is>
      </c>
      <c r="H39" s="20" t="inlineStr">
        <is>
          <t>Pilot N to be set by study design</t>
        </is>
      </c>
      <c r="I39" s="20" t="inlineStr">
        <is>
          <t>Pending</t>
        </is>
      </c>
      <c r="J39" s="20" t="inlineStr">
        <is>
          <t>Methodology Lead</t>
        </is>
      </c>
    </row>
    <row r="40">
      <c r="A40" s="20" t="inlineStr">
        <is>
          <t>D03</t>
        </is>
      </c>
      <c r="B40" s="20" t="inlineStr">
        <is>
          <t>I15</t>
        </is>
      </c>
      <c r="C40" s="20" t="inlineStr">
        <is>
          <t>Intellectual Agency</t>
        </is>
      </c>
      <c r="D40" s="20" t="inlineStr">
        <is>
          <t>5–10 anchor examples per metric before pilot</t>
        </is>
      </c>
      <c r="E40" s="20" t="inlineStr">
        <is>
          <t>2 independent assessors minimum</t>
        </is>
      </c>
      <c r="F40" s="20" t="inlineStr">
        <is>
          <t>Blind second scoring recommended</t>
        </is>
      </c>
      <c r="G40" s="20" t="inlineStr">
        <is>
          <t>Target ICC/weighted agreement ≥0.70 exploratory; ≥0.80 preferred for freeze</t>
        </is>
      </c>
      <c r="H40" s="20" t="inlineStr">
        <is>
          <t>Pilot N to be set by study design</t>
        </is>
      </c>
      <c r="I40" s="20" t="inlineStr">
        <is>
          <t>Pending</t>
        </is>
      </c>
      <c r="J40" s="20" t="inlineStr">
        <is>
          <t>Methodology Lead</t>
        </is>
      </c>
    </row>
    <row r="41">
      <c r="A41" s="20" t="inlineStr">
        <is>
          <t>D03</t>
        </is>
      </c>
      <c r="B41" s="20" t="inlineStr">
        <is>
          <t>I16</t>
        </is>
      </c>
      <c r="C41" s="20" t="inlineStr">
        <is>
          <t>Transfer Capability</t>
        </is>
      </c>
      <c r="D41" s="20" t="inlineStr">
        <is>
          <t>5–10 anchor examples per metric before pilot</t>
        </is>
      </c>
      <c r="E41" s="20" t="inlineStr">
        <is>
          <t>2 independent assessors minimum</t>
        </is>
      </c>
      <c r="F41" s="20" t="inlineStr">
        <is>
          <t>Blind second scoring recommended</t>
        </is>
      </c>
      <c r="G41" s="20" t="inlineStr">
        <is>
          <t>Target ICC/weighted agreement ≥0.70 exploratory; ≥0.80 preferred for freeze</t>
        </is>
      </c>
      <c r="H41" s="20" t="inlineStr">
        <is>
          <t>Pilot N to be set by study design</t>
        </is>
      </c>
      <c r="I41" s="20" t="inlineStr">
        <is>
          <t>Pending</t>
        </is>
      </c>
      <c r="J41" s="20" t="inlineStr">
        <is>
          <t>Methodology Lead</t>
        </is>
      </c>
    </row>
    <row r="42">
      <c r="A42" s="20" t="inlineStr">
        <is>
          <t>D03</t>
        </is>
      </c>
      <c r="B42" s="20" t="inlineStr">
        <is>
          <t>I17</t>
        </is>
      </c>
      <c r="C42" s="20" t="inlineStr">
        <is>
          <t>Non-Technical Discipline AI Capability</t>
        </is>
      </c>
      <c r="D42" s="20" t="inlineStr">
        <is>
          <t>5–10 anchor examples per metric before pilot</t>
        </is>
      </c>
      <c r="E42" s="20" t="inlineStr">
        <is>
          <t>2 independent assessors minimum</t>
        </is>
      </c>
      <c r="F42" s="20" t="inlineStr">
        <is>
          <t>Blind second scoring recommended</t>
        </is>
      </c>
      <c r="G42" s="20" t="inlineStr">
        <is>
          <t>Target ICC/weighted agreement ≥0.70 exploratory; ≥0.80 preferred for freeze</t>
        </is>
      </c>
      <c r="H42" s="20" t="inlineStr">
        <is>
          <t>Pilot N to be set by study design</t>
        </is>
      </c>
      <c r="I42" s="20" t="inlineStr">
        <is>
          <t>Pending</t>
        </is>
      </c>
      <c r="J42" s="20" t="inlineStr">
        <is>
          <t>Methodology Lead</t>
        </is>
      </c>
    </row>
    <row r="43">
      <c r="A43" s="20" t="inlineStr">
        <is>
          <t>D04</t>
        </is>
      </c>
      <c r="B43" s="20" t="inlineStr">
        <is>
          <t>I01</t>
        </is>
      </c>
      <c r="C43" s="20" t="inlineStr">
        <is>
          <t>Curriculum Sensing Maturity</t>
        </is>
      </c>
      <c r="D43" s="20" t="inlineStr">
        <is>
          <t>5–10 anchor examples per metric before pilot</t>
        </is>
      </c>
      <c r="E43" s="20" t="inlineStr">
        <is>
          <t>2 independent assessors minimum</t>
        </is>
      </c>
      <c r="F43" s="20" t="inlineStr">
        <is>
          <t>Blind second scoring recommended</t>
        </is>
      </c>
      <c r="G43" s="20" t="inlineStr">
        <is>
          <t>Target ICC/weighted agreement ≥0.70 exploratory; ≥0.80 preferred for freeze</t>
        </is>
      </c>
      <c r="H43" s="20" t="inlineStr">
        <is>
          <t>Pilot N to be set by study design</t>
        </is>
      </c>
      <c r="I43" s="20" t="inlineStr">
        <is>
          <t>Pending</t>
        </is>
      </c>
      <c r="J43" s="20" t="inlineStr">
        <is>
          <t>Methodology Lead</t>
        </is>
      </c>
    </row>
    <row r="44">
      <c r="A44" s="20" t="inlineStr">
        <is>
          <t>D04</t>
        </is>
      </c>
      <c r="B44" s="20" t="inlineStr">
        <is>
          <t>I02</t>
        </is>
      </c>
      <c r="C44" s="20" t="inlineStr">
        <is>
          <t>Future Learning Outcome Alignment</t>
        </is>
      </c>
      <c r="D44" s="20" t="inlineStr">
        <is>
          <t>5–10 anchor examples per metric before pilot</t>
        </is>
      </c>
      <c r="E44" s="20" t="inlineStr">
        <is>
          <t>2 independent assessors minimum</t>
        </is>
      </c>
      <c r="F44" s="20" t="inlineStr">
        <is>
          <t>Blind second scoring recommended</t>
        </is>
      </c>
      <c r="G44" s="20" t="inlineStr">
        <is>
          <t>Target ICC/weighted agreement ≥0.70 exploratory; ≥0.80 preferred for freeze</t>
        </is>
      </c>
      <c r="H44" s="20" t="inlineStr">
        <is>
          <t>Pilot N to be set by study design</t>
        </is>
      </c>
      <c r="I44" s="20" t="inlineStr">
        <is>
          <t>Pending</t>
        </is>
      </c>
      <c r="J44" s="20" t="inlineStr">
        <is>
          <t>Methodology Lead</t>
        </is>
      </c>
    </row>
    <row r="45">
      <c r="A45" s="20" t="inlineStr">
        <is>
          <t>D04</t>
        </is>
      </c>
      <c r="B45" s="20" t="inlineStr">
        <is>
          <t>I03</t>
        </is>
      </c>
      <c r="C45" s="20" t="inlineStr">
        <is>
          <t>Programme Review Effectiveness</t>
        </is>
      </c>
      <c r="D45" s="20" t="inlineStr">
        <is>
          <t>5–10 anchor examples per metric before pilot</t>
        </is>
      </c>
      <c r="E45" s="20" t="inlineStr">
        <is>
          <t>2 independent assessors minimum</t>
        </is>
      </c>
      <c r="F45" s="20" t="inlineStr">
        <is>
          <t>Blind second scoring recommended</t>
        </is>
      </c>
      <c r="G45" s="20" t="inlineStr">
        <is>
          <t>Target ICC/weighted agreement ≥0.70 exploratory; ≥0.80 preferred for freeze</t>
        </is>
      </c>
      <c r="H45" s="20" t="inlineStr">
        <is>
          <t>Pilot N to be set by study design</t>
        </is>
      </c>
      <c r="I45" s="20" t="inlineStr">
        <is>
          <t>Pending</t>
        </is>
      </c>
      <c r="J45" s="20" t="inlineStr">
        <is>
          <t>Methodology Lead</t>
        </is>
      </c>
    </row>
    <row r="46">
      <c r="A46" s="20" t="inlineStr">
        <is>
          <t>D04</t>
        </is>
      </c>
      <c r="B46" s="20" t="inlineStr">
        <is>
          <t>I04</t>
        </is>
      </c>
      <c r="C46" s="20" t="inlineStr">
        <is>
          <t>Disciplinary AI Integration Depth</t>
        </is>
      </c>
      <c r="D46" s="20" t="inlineStr">
        <is>
          <t>5–10 anchor examples per metric before pilot</t>
        </is>
      </c>
      <c r="E46" s="20" t="inlineStr">
        <is>
          <t>2 independent assessors minimum</t>
        </is>
      </c>
      <c r="F46" s="20" t="inlineStr">
        <is>
          <t>Blind second scoring recommended</t>
        </is>
      </c>
      <c r="G46" s="20" t="inlineStr">
        <is>
          <t>Target ICC/weighted agreement ≥0.70 exploratory; ≥0.80 preferred for freeze</t>
        </is>
      </c>
      <c r="H46" s="20" t="inlineStr">
        <is>
          <t>Pilot N to be set by study design</t>
        </is>
      </c>
      <c r="I46" s="20" t="inlineStr">
        <is>
          <t>Pending</t>
        </is>
      </c>
      <c r="J46" s="20" t="inlineStr">
        <is>
          <t>Methodology Lead</t>
        </is>
      </c>
    </row>
    <row r="47">
      <c r="A47" s="20" t="inlineStr">
        <is>
          <t>D04</t>
        </is>
      </c>
      <c r="B47" s="20" t="inlineStr">
        <is>
          <t>I05</t>
        </is>
      </c>
      <c r="C47" s="20" t="inlineStr">
        <is>
          <t>Content Obsolescence Response</t>
        </is>
      </c>
      <c r="D47" s="20" t="inlineStr">
        <is>
          <t>5–10 anchor examples per metric before pilot</t>
        </is>
      </c>
      <c r="E47" s="20" t="inlineStr">
        <is>
          <t>2 independent assessors minimum</t>
        </is>
      </c>
      <c r="F47" s="20" t="inlineStr">
        <is>
          <t>Blind second scoring recommended</t>
        </is>
      </c>
      <c r="G47" s="20" t="inlineStr">
        <is>
          <t>Target ICC/weighted agreement ≥0.70 exploratory; ≥0.80 preferred for freeze</t>
        </is>
      </c>
      <c r="H47" s="20" t="inlineStr">
        <is>
          <t>Pilot N to be set by study design</t>
        </is>
      </c>
      <c r="I47" s="20" t="inlineStr">
        <is>
          <t>Pending</t>
        </is>
      </c>
      <c r="J47" s="20" t="inlineStr">
        <is>
          <t>Methodology Lead</t>
        </is>
      </c>
    </row>
    <row r="48">
      <c r="A48" s="20" t="inlineStr">
        <is>
          <t>D04</t>
        </is>
      </c>
      <c r="B48" s="20" t="inlineStr">
        <is>
          <t>I06</t>
        </is>
      </c>
      <c r="C48" s="20" t="inlineStr">
        <is>
          <t>Experiential Learning Strength</t>
        </is>
      </c>
      <c r="D48" s="20" t="inlineStr">
        <is>
          <t>5–10 anchor examples per metric before pilot</t>
        </is>
      </c>
      <c r="E48" s="20" t="inlineStr">
        <is>
          <t>2 independent assessors minimum</t>
        </is>
      </c>
      <c r="F48" s="20" t="inlineStr">
        <is>
          <t>Blind second scoring recommended</t>
        </is>
      </c>
      <c r="G48" s="20" t="inlineStr">
        <is>
          <t>Target ICC/weighted agreement ≥0.70 exploratory; ≥0.80 preferred for freeze</t>
        </is>
      </c>
      <c r="H48" s="20" t="inlineStr">
        <is>
          <t>Pilot N to be set by study design</t>
        </is>
      </c>
      <c r="I48" s="20" t="inlineStr">
        <is>
          <t>Pending</t>
        </is>
      </c>
      <c r="J48" s="20" t="inlineStr">
        <is>
          <t>Methodology Lead</t>
        </is>
      </c>
    </row>
    <row r="49">
      <c r="A49" s="20" t="inlineStr">
        <is>
          <t>D04</t>
        </is>
      </c>
      <c r="B49" s="20" t="inlineStr">
        <is>
          <t>I07</t>
        </is>
      </c>
      <c r="C49" s="20" t="inlineStr">
        <is>
          <t>Interdisciplinary Flexibility</t>
        </is>
      </c>
      <c r="D49" s="20" t="inlineStr">
        <is>
          <t>5–10 anchor examples per metric before pilot</t>
        </is>
      </c>
      <c r="E49" s="20" t="inlineStr">
        <is>
          <t>2 independent assessors minimum</t>
        </is>
      </c>
      <c r="F49" s="20" t="inlineStr">
        <is>
          <t>Blind second scoring recommended</t>
        </is>
      </c>
      <c r="G49" s="20" t="inlineStr">
        <is>
          <t>Target ICC/weighted agreement ≥0.70 exploratory; ≥0.80 preferred for freeze</t>
        </is>
      </c>
      <c r="H49" s="20" t="inlineStr">
        <is>
          <t>Pilot N to be set by study design</t>
        </is>
      </c>
      <c r="I49" s="20" t="inlineStr">
        <is>
          <t>Pending</t>
        </is>
      </c>
      <c r="J49" s="20" t="inlineStr">
        <is>
          <t>Methodology Lead</t>
        </is>
      </c>
    </row>
    <row r="50">
      <c r="A50" s="20" t="inlineStr">
        <is>
          <t>D04</t>
        </is>
      </c>
      <c r="B50" s="20" t="inlineStr">
        <is>
          <t>I08</t>
        </is>
      </c>
      <c r="C50" s="20" t="inlineStr">
        <is>
          <t>Programme Agility</t>
        </is>
      </c>
      <c r="D50" s="20" t="inlineStr">
        <is>
          <t>5–10 anchor examples per metric before pilot</t>
        </is>
      </c>
      <c r="E50" s="20" t="inlineStr">
        <is>
          <t>2 independent assessors minimum</t>
        </is>
      </c>
      <c r="F50" s="20" t="inlineStr">
        <is>
          <t>Blind second scoring recommended</t>
        </is>
      </c>
      <c r="G50" s="20" t="inlineStr">
        <is>
          <t>Target ICC/weighted agreement ≥0.70 exploratory; ≥0.80 preferred for freeze</t>
        </is>
      </c>
      <c r="H50" s="20" t="inlineStr">
        <is>
          <t>Pilot N to be set by study design</t>
        </is>
      </c>
      <c r="I50" s="20" t="inlineStr">
        <is>
          <t>Pending</t>
        </is>
      </c>
      <c r="J50" s="20" t="inlineStr">
        <is>
          <t>Methodology Lead</t>
        </is>
      </c>
    </row>
    <row r="51">
      <c r="A51" s="20" t="inlineStr">
        <is>
          <t>D04</t>
        </is>
      </c>
      <c r="B51" s="20" t="inlineStr">
        <is>
          <t>I09</t>
        </is>
      </c>
      <c r="C51" s="20" t="inlineStr">
        <is>
          <t>External Validation Strength</t>
        </is>
      </c>
      <c r="D51" s="20" t="inlineStr">
        <is>
          <t>5–10 anchor examples per metric before pilot</t>
        </is>
      </c>
      <c r="E51" s="20" t="inlineStr">
        <is>
          <t>2 independent assessors minimum</t>
        </is>
      </c>
      <c r="F51" s="20" t="inlineStr">
        <is>
          <t>Blind second scoring recommended</t>
        </is>
      </c>
      <c r="G51" s="20" t="inlineStr">
        <is>
          <t>Target ICC/weighted agreement ≥0.70 exploratory; ≥0.80 preferred for freeze</t>
        </is>
      </c>
      <c r="H51" s="20" t="inlineStr">
        <is>
          <t>Pilot N to be set by study design</t>
        </is>
      </c>
      <c r="I51" s="20" t="inlineStr">
        <is>
          <t>Pending</t>
        </is>
      </c>
      <c r="J51" s="20" t="inlineStr">
        <is>
          <t>Methodology Lead</t>
        </is>
      </c>
    </row>
    <row r="52">
      <c r="A52" s="20" t="inlineStr">
        <is>
          <t>D04</t>
        </is>
      </c>
      <c r="B52" s="20" t="inlineStr">
        <is>
          <t>I10</t>
        </is>
      </c>
      <c r="C52" s="20" t="inlineStr">
        <is>
          <t>External Learning Ecosystem</t>
        </is>
      </c>
      <c r="D52" s="20" t="inlineStr">
        <is>
          <t>5–10 anchor examples per metric before pilot</t>
        </is>
      </c>
      <c r="E52" s="20" t="inlineStr">
        <is>
          <t>2 independent assessors minimum</t>
        </is>
      </c>
      <c r="F52" s="20" t="inlineStr">
        <is>
          <t>Blind second scoring recommended</t>
        </is>
      </c>
      <c r="G52" s="20" t="inlineStr">
        <is>
          <t>Target ICC/weighted agreement ≥0.70 exploratory; ≥0.80 preferred for freeze</t>
        </is>
      </c>
      <c r="H52" s="20" t="inlineStr">
        <is>
          <t>Pilot N to be set by study design</t>
        </is>
      </c>
      <c r="I52" s="20" t="inlineStr">
        <is>
          <t>Pending</t>
        </is>
      </c>
      <c r="J52" s="20" t="inlineStr">
        <is>
          <t>Methodology Lead</t>
        </is>
      </c>
    </row>
    <row r="53">
      <c r="A53" s="20" t="inlineStr">
        <is>
          <t>D04</t>
        </is>
      </c>
      <c r="B53" s="20" t="inlineStr">
        <is>
          <t>I11</t>
        </is>
      </c>
      <c r="C53" s="20" t="inlineStr">
        <is>
          <t>Transfer Capability</t>
        </is>
      </c>
      <c r="D53" s="20" t="inlineStr">
        <is>
          <t>5–10 anchor examples per metric before pilot</t>
        </is>
      </c>
      <c r="E53" s="20" t="inlineStr">
        <is>
          <t>2 independent assessors minimum</t>
        </is>
      </c>
      <c r="F53" s="20" t="inlineStr">
        <is>
          <t>Blind second scoring recommended</t>
        </is>
      </c>
      <c r="G53" s="20" t="inlineStr">
        <is>
          <t>Target ICC/weighted agreement ≥0.70 exploratory; ≥0.80 preferred for freeze</t>
        </is>
      </c>
      <c r="H53" s="20" t="inlineStr">
        <is>
          <t>Pilot N to be set by study design</t>
        </is>
      </c>
      <c r="I53" s="20" t="inlineStr">
        <is>
          <t>Pending</t>
        </is>
      </c>
      <c r="J53" s="20" t="inlineStr">
        <is>
          <t>Methodology Lead</t>
        </is>
      </c>
    </row>
    <row r="54">
      <c r="A54" s="20" t="inlineStr">
        <is>
          <t>D04</t>
        </is>
      </c>
      <c r="B54" s="20" t="inlineStr">
        <is>
          <t>I12</t>
        </is>
      </c>
      <c r="C54" s="20" t="inlineStr">
        <is>
          <t>Portfolio Foresight</t>
        </is>
      </c>
      <c r="D54" s="20" t="inlineStr">
        <is>
          <t>5–10 anchor examples per metric before pilot</t>
        </is>
      </c>
      <c r="E54" s="20" t="inlineStr">
        <is>
          <t>2 independent assessors minimum</t>
        </is>
      </c>
      <c r="F54" s="20" t="inlineStr">
        <is>
          <t>Blind second scoring recommended</t>
        </is>
      </c>
      <c r="G54" s="20" t="inlineStr">
        <is>
          <t>Target ICC/weighted agreement ≥0.70 exploratory; ≥0.80 preferred for freeze</t>
        </is>
      </c>
      <c r="H54" s="20" t="inlineStr">
        <is>
          <t>Pilot N to be set by study design</t>
        </is>
      </c>
      <c r="I54" s="20" t="inlineStr">
        <is>
          <t>Pending</t>
        </is>
      </c>
      <c r="J54" s="20" t="inlineStr">
        <is>
          <t>Methodology Lead</t>
        </is>
      </c>
    </row>
    <row r="55">
      <c r="A55" s="20" t="inlineStr">
        <is>
          <t>D05</t>
        </is>
      </c>
      <c r="B55" s="20" t="inlineStr">
        <is>
          <t>I01</t>
        </is>
      </c>
      <c r="C55" s="20" t="inlineStr">
        <is>
          <t>Faculty AI Literacy Maturity</t>
        </is>
      </c>
      <c r="D55" s="20" t="inlineStr">
        <is>
          <t>5–10 anchor examples per metric before pilot</t>
        </is>
      </c>
      <c r="E55" s="20" t="inlineStr">
        <is>
          <t>2 independent assessors minimum</t>
        </is>
      </c>
      <c r="F55" s="20" t="inlineStr">
        <is>
          <t>Blind second scoring recommended</t>
        </is>
      </c>
      <c r="G55" s="20" t="inlineStr">
        <is>
          <t>Target ICC/weighted agreement ≥0.70 exploratory; ≥0.80 preferred for freeze</t>
        </is>
      </c>
      <c r="H55" s="20" t="inlineStr">
        <is>
          <t>Pilot N to be set by study design</t>
        </is>
      </c>
      <c r="I55" s="20" t="inlineStr">
        <is>
          <t>Pending</t>
        </is>
      </c>
      <c r="J55" s="20" t="inlineStr">
        <is>
          <t>Methodology Lead</t>
        </is>
      </c>
    </row>
    <row r="56">
      <c r="A56" s="20" t="inlineStr">
        <is>
          <t>D05</t>
        </is>
      </c>
      <c r="B56" s="20" t="inlineStr">
        <is>
          <t>I02</t>
        </is>
      </c>
      <c r="C56" s="20" t="inlineStr">
        <is>
          <t>Discipline-Specific AI Practice</t>
        </is>
      </c>
      <c r="D56" s="20" t="inlineStr">
        <is>
          <t>5–10 anchor examples per metric before pilot</t>
        </is>
      </c>
      <c r="E56" s="20" t="inlineStr">
        <is>
          <t>2 independent assessors minimum</t>
        </is>
      </c>
      <c r="F56" s="20" t="inlineStr">
        <is>
          <t>Blind second scoring recommended</t>
        </is>
      </c>
      <c r="G56" s="20" t="inlineStr">
        <is>
          <t>Target ICC/weighted agreement ≥0.70 exploratory; ≥0.80 preferred for freeze</t>
        </is>
      </c>
      <c r="H56" s="20" t="inlineStr">
        <is>
          <t>Pilot N to be set by study design</t>
        </is>
      </c>
      <c r="I56" s="20" t="inlineStr">
        <is>
          <t>Pending</t>
        </is>
      </c>
      <c r="J56" s="20" t="inlineStr">
        <is>
          <t>Methodology Lead</t>
        </is>
      </c>
    </row>
    <row r="57">
      <c r="A57" s="20" t="inlineStr">
        <is>
          <t>D05</t>
        </is>
      </c>
      <c r="B57" s="20" t="inlineStr">
        <is>
          <t>I03</t>
        </is>
      </c>
      <c r="C57" s="20" t="inlineStr">
        <is>
          <t>AI-Enhanced Pedagogy</t>
        </is>
      </c>
      <c r="D57" s="20" t="inlineStr">
        <is>
          <t>5–10 anchor examples per metric before pilot</t>
        </is>
      </c>
      <c r="E57" s="20" t="inlineStr">
        <is>
          <t>2 independent assessors minimum</t>
        </is>
      </c>
      <c r="F57" s="20" t="inlineStr">
        <is>
          <t>Blind second scoring recommended</t>
        </is>
      </c>
      <c r="G57" s="20" t="inlineStr">
        <is>
          <t>Target ICC/weighted agreement ≥0.70 exploratory; ≥0.80 preferred for freeze</t>
        </is>
      </c>
      <c r="H57" s="20" t="inlineStr">
        <is>
          <t>Pilot N to be set by study design</t>
        </is>
      </c>
      <c r="I57" s="20" t="inlineStr">
        <is>
          <t>Pending</t>
        </is>
      </c>
      <c r="J57" s="20" t="inlineStr">
        <is>
          <t>Methodology Lead</t>
        </is>
      </c>
    </row>
    <row r="58">
      <c r="A58" s="20" t="inlineStr">
        <is>
          <t>D05</t>
        </is>
      </c>
      <c r="B58" s="20" t="inlineStr">
        <is>
          <t>I04</t>
        </is>
      </c>
      <c r="C58" s="20" t="inlineStr">
        <is>
          <t>Assessment Redesign Capability</t>
        </is>
      </c>
      <c r="D58" s="20" t="inlineStr">
        <is>
          <t>5–10 anchor examples per metric before pilot</t>
        </is>
      </c>
      <c r="E58" s="20" t="inlineStr">
        <is>
          <t>2 independent assessors minimum</t>
        </is>
      </c>
      <c r="F58" s="20" t="inlineStr">
        <is>
          <t>Blind second scoring recommended</t>
        </is>
      </c>
      <c r="G58" s="20" t="inlineStr">
        <is>
          <t>Target ICC/weighted agreement ≥0.70 exploratory; ≥0.80 preferred for freeze</t>
        </is>
      </c>
      <c r="H58" s="20" t="inlineStr">
        <is>
          <t>Pilot N to be set by study design</t>
        </is>
      </c>
      <c r="I58" s="20" t="inlineStr">
        <is>
          <t>Pending</t>
        </is>
      </c>
      <c r="J58" s="20" t="inlineStr">
        <is>
          <t>Methodology Lead</t>
        </is>
      </c>
    </row>
    <row r="59">
      <c r="A59" s="20" t="inlineStr">
        <is>
          <t>D05</t>
        </is>
      </c>
      <c r="B59" s="20" t="inlineStr">
        <is>
          <t>I05</t>
        </is>
      </c>
      <c r="C59" s="20" t="inlineStr">
        <is>
          <t>Faculty Learning &amp; Development Effectiveness</t>
        </is>
      </c>
      <c r="D59" s="20" t="inlineStr">
        <is>
          <t>5–10 anchor examples per metric before pilot</t>
        </is>
      </c>
      <c r="E59" s="20" t="inlineStr">
        <is>
          <t>2 independent assessors minimum</t>
        </is>
      </c>
      <c r="F59" s="20" t="inlineStr">
        <is>
          <t>Blind second scoring recommended</t>
        </is>
      </c>
      <c r="G59" s="20" t="inlineStr">
        <is>
          <t>Target ICC/weighted agreement ≥0.70 exploratory; ≥0.80 preferred for freeze</t>
        </is>
      </c>
      <c r="H59" s="20" t="inlineStr">
        <is>
          <t>Pilot N to be set by study design</t>
        </is>
      </c>
      <c r="I59" s="20" t="inlineStr">
        <is>
          <t>Pending</t>
        </is>
      </c>
      <c r="J59" s="20" t="inlineStr">
        <is>
          <t>Methodology Lead</t>
        </is>
      </c>
    </row>
    <row r="60">
      <c r="A60" s="20" t="inlineStr">
        <is>
          <t>D05</t>
        </is>
      </c>
      <c r="B60" s="20" t="inlineStr">
        <is>
          <t>I06</t>
        </is>
      </c>
      <c r="C60" s="20" t="inlineStr">
        <is>
          <t>Peer Learning &amp; Communities</t>
        </is>
      </c>
      <c r="D60" s="20" t="inlineStr">
        <is>
          <t>5–10 anchor examples per metric before pilot</t>
        </is>
      </c>
      <c r="E60" s="20" t="inlineStr">
        <is>
          <t>2 independent assessors minimum</t>
        </is>
      </c>
      <c r="F60" s="20" t="inlineStr">
        <is>
          <t>Blind second scoring recommended</t>
        </is>
      </c>
      <c r="G60" s="20" t="inlineStr">
        <is>
          <t>Target ICC/weighted agreement ≥0.70 exploratory; ≥0.80 preferred for freeze</t>
        </is>
      </c>
      <c r="H60" s="20" t="inlineStr">
        <is>
          <t>Pilot N to be set by study design</t>
        </is>
      </c>
      <c r="I60" s="20" t="inlineStr">
        <is>
          <t>Pending</t>
        </is>
      </c>
      <c r="J60" s="20" t="inlineStr">
        <is>
          <t>Methodology Lead</t>
        </is>
      </c>
    </row>
    <row r="61">
      <c r="A61" s="20" t="inlineStr">
        <is>
          <t>D05</t>
        </is>
      </c>
      <c r="B61" s="20" t="inlineStr">
        <is>
          <t>I07</t>
        </is>
      </c>
      <c r="C61" s="20" t="inlineStr">
        <is>
          <t>AI Research &amp; Knowledge Creation</t>
        </is>
      </c>
      <c r="D61" s="20" t="inlineStr">
        <is>
          <t>5–10 anchor examples per metric before pilot</t>
        </is>
      </c>
      <c r="E61" s="20" t="inlineStr">
        <is>
          <t>2 independent assessors minimum</t>
        </is>
      </c>
      <c r="F61" s="20" t="inlineStr">
        <is>
          <t>Blind second scoring recommended</t>
        </is>
      </c>
      <c r="G61" s="20" t="inlineStr">
        <is>
          <t>Target ICC/weighted agreement ≥0.70 exploratory; ≥0.80 preferred for freeze</t>
        </is>
      </c>
      <c r="H61" s="20" t="inlineStr">
        <is>
          <t>Pilot N to be set by study design</t>
        </is>
      </c>
      <c r="I61" s="20" t="inlineStr">
        <is>
          <t>Pending</t>
        </is>
      </c>
      <c r="J61" s="20" t="inlineStr">
        <is>
          <t>Methodology Lead</t>
        </is>
      </c>
    </row>
    <row r="62">
      <c r="A62" s="20" t="inlineStr">
        <is>
          <t>D05</t>
        </is>
      </c>
      <c r="B62" s="20" t="inlineStr">
        <is>
          <t>I08</t>
        </is>
      </c>
      <c r="C62" s="20" t="inlineStr">
        <is>
          <t>Academic Role Redesign</t>
        </is>
      </c>
      <c r="D62" s="20" t="inlineStr">
        <is>
          <t>5–10 anchor examples per metric before pilot</t>
        </is>
      </c>
      <c r="E62" s="20" t="inlineStr">
        <is>
          <t>2 independent assessors minimum</t>
        </is>
      </c>
      <c r="F62" s="20" t="inlineStr">
        <is>
          <t>Blind second scoring recommended</t>
        </is>
      </c>
      <c r="G62" s="20" t="inlineStr">
        <is>
          <t>Target ICC/weighted agreement ≥0.70 exploratory; ≥0.80 preferred for freeze</t>
        </is>
      </c>
      <c r="H62" s="20" t="inlineStr">
        <is>
          <t>Pilot N to be set by study design</t>
        </is>
      </c>
      <c r="I62" s="20" t="inlineStr">
        <is>
          <t>Pending</t>
        </is>
      </c>
      <c r="J62" s="20" t="inlineStr">
        <is>
          <t>Methodology Lead</t>
        </is>
      </c>
    </row>
    <row r="63">
      <c r="A63" s="20" t="inlineStr">
        <is>
          <t>D05</t>
        </is>
      </c>
      <c r="B63" s="20" t="inlineStr">
        <is>
          <t>I09</t>
        </is>
      </c>
      <c r="C63" s="20" t="inlineStr">
        <is>
          <t>Workload &amp; Workflow Transformation</t>
        </is>
      </c>
      <c r="D63" s="20" t="inlineStr">
        <is>
          <t>5–10 anchor examples per metric before pilot</t>
        </is>
      </c>
      <c r="E63" s="20" t="inlineStr">
        <is>
          <t>2 independent assessors minimum</t>
        </is>
      </c>
      <c r="F63" s="20" t="inlineStr">
        <is>
          <t>Blind second scoring recommended</t>
        </is>
      </c>
      <c r="G63" s="20" t="inlineStr">
        <is>
          <t>Target ICC/weighted agreement ≥0.70 exploratory; ≥0.80 preferred for freeze</t>
        </is>
      </c>
      <c r="H63" s="20" t="inlineStr">
        <is>
          <t>Pilot N to be set by study design</t>
        </is>
      </c>
      <c r="I63" s="20" t="inlineStr">
        <is>
          <t>Pending</t>
        </is>
      </c>
      <c r="J63" s="20" t="inlineStr">
        <is>
          <t>Methodology Lead</t>
        </is>
      </c>
    </row>
    <row r="64">
      <c r="A64" s="20" t="inlineStr">
        <is>
          <t>D05</t>
        </is>
      </c>
      <c r="B64" s="20" t="inlineStr">
        <is>
          <t>I10</t>
        </is>
      </c>
      <c r="C64" s="20" t="inlineStr">
        <is>
          <t>Faculty Support Infrastructure</t>
        </is>
      </c>
      <c r="D64" s="20" t="inlineStr">
        <is>
          <t>5–10 anchor examples per metric before pilot</t>
        </is>
      </c>
      <c r="E64" s="20" t="inlineStr">
        <is>
          <t>2 independent assessors minimum</t>
        </is>
      </c>
      <c r="F64" s="20" t="inlineStr">
        <is>
          <t>Blind second scoring recommended</t>
        </is>
      </c>
      <c r="G64" s="20" t="inlineStr">
        <is>
          <t>Target ICC/weighted agreement ≥0.70 exploratory; ≥0.80 preferred for freeze</t>
        </is>
      </c>
      <c r="H64" s="20" t="inlineStr">
        <is>
          <t>Pilot N to be set by study design</t>
        </is>
      </c>
      <c r="I64" s="20" t="inlineStr">
        <is>
          <t>Pending</t>
        </is>
      </c>
      <c r="J64" s="20" t="inlineStr">
        <is>
          <t>Methodology Lead</t>
        </is>
      </c>
    </row>
    <row r="65">
      <c r="A65" s="20" t="inlineStr">
        <is>
          <t>D05</t>
        </is>
      </c>
      <c r="B65" s="20" t="inlineStr">
        <is>
          <t>I11</t>
        </is>
      </c>
      <c r="C65" s="20" t="inlineStr">
        <is>
          <t>Academic Leadership for AI</t>
        </is>
      </c>
      <c r="D65" s="20" t="inlineStr">
        <is>
          <t>5–10 anchor examples per metric before pilot</t>
        </is>
      </c>
      <c r="E65" s="20" t="inlineStr">
        <is>
          <t>2 independent assessors minimum</t>
        </is>
      </c>
      <c r="F65" s="20" t="inlineStr">
        <is>
          <t>Blind second scoring recommended</t>
        </is>
      </c>
      <c r="G65" s="20" t="inlineStr">
        <is>
          <t>Target ICC/weighted agreement ≥0.70 exploratory; ≥0.80 preferred for freeze</t>
        </is>
      </c>
      <c r="H65" s="20" t="inlineStr">
        <is>
          <t>Pilot N to be set by study design</t>
        </is>
      </c>
      <c r="I65" s="20" t="inlineStr">
        <is>
          <t>Pending</t>
        </is>
      </c>
      <c r="J65" s="20" t="inlineStr">
        <is>
          <t>Methodology Lead</t>
        </is>
      </c>
    </row>
    <row r="66">
      <c r="A66" s="20" t="inlineStr">
        <is>
          <t>D05</t>
        </is>
      </c>
      <c r="B66" s="20" t="inlineStr">
        <is>
          <t>I12</t>
        </is>
      </c>
      <c r="C66" s="20" t="inlineStr">
        <is>
          <t>Faculty Adoption Learning Loop</t>
        </is>
      </c>
      <c r="D66" s="20" t="inlineStr">
        <is>
          <t>5–10 anchor examples per metric before pilot</t>
        </is>
      </c>
      <c r="E66" s="20" t="inlineStr">
        <is>
          <t>2 independent assessors minimum</t>
        </is>
      </c>
      <c r="F66" s="20" t="inlineStr">
        <is>
          <t>Blind second scoring recommended</t>
        </is>
      </c>
      <c r="G66" s="20" t="inlineStr">
        <is>
          <t>Target ICC/weighted agreement ≥0.70 exploratory; ≥0.80 preferred for freeze</t>
        </is>
      </c>
      <c r="H66" s="20" t="inlineStr">
        <is>
          <t>Pilot N to be set by study design</t>
        </is>
      </c>
      <c r="I66" s="20" t="inlineStr">
        <is>
          <t>Pending</t>
        </is>
      </c>
      <c r="J66" s="20" t="inlineStr">
        <is>
          <t>Methodology Lead</t>
        </is>
      </c>
    </row>
    <row r="67">
      <c r="A67" s="20" t="inlineStr">
        <is>
          <t>D06</t>
        </is>
      </c>
      <c r="B67" s="20" t="inlineStr">
        <is>
          <t>I01</t>
        </is>
      </c>
      <c r="C67" s="20" t="inlineStr">
        <is>
          <t>Student AI Literacy</t>
        </is>
      </c>
      <c r="D67" s="20" t="inlineStr">
        <is>
          <t>5–10 anchor examples per metric before pilot</t>
        </is>
      </c>
      <c r="E67" s="20" t="inlineStr">
        <is>
          <t>2 independent assessors minimum</t>
        </is>
      </c>
      <c r="F67" s="20" t="inlineStr">
        <is>
          <t>Blind second scoring recommended</t>
        </is>
      </c>
      <c r="G67" s="20" t="inlineStr">
        <is>
          <t>Target ICC/weighted agreement ≥0.70 exploratory; ≥0.80 preferred for freeze</t>
        </is>
      </c>
      <c r="H67" s="20" t="inlineStr">
        <is>
          <t>Pilot N to be set by study design</t>
        </is>
      </c>
      <c r="I67" s="20" t="inlineStr">
        <is>
          <t>Pending</t>
        </is>
      </c>
      <c r="J67" s="20" t="inlineStr">
        <is>
          <t>Methodology Lead</t>
        </is>
      </c>
    </row>
    <row r="68">
      <c r="A68" s="20" t="inlineStr">
        <is>
          <t>D06</t>
        </is>
      </c>
      <c r="B68" s="20" t="inlineStr">
        <is>
          <t>I02</t>
        </is>
      </c>
      <c r="C68" s="20" t="inlineStr">
        <is>
          <t>Critical AI Evaluation</t>
        </is>
      </c>
      <c r="D68" s="20" t="inlineStr">
        <is>
          <t>5–10 anchor examples per metric before pilot</t>
        </is>
      </c>
      <c r="E68" s="20" t="inlineStr">
        <is>
          <t>2 independent assessors minimum</t>
        </is>
      </c>
      <c r="F68" s="20" t="inlineStr">
        <is>
          <t>Blind second scoring recommended</t>
        </is>
      </c>
      <c r="G68" s="20" t="inlineStr">
        <is>
          <t>Target ICC/weighted agreement ≥0.70 exploratory; ≥0.80 preferred for freeze</t>
        </is>
      </c>
      <c r="H68" s="20" t="inlineStr">
        <is>
          <t>Pilot N to be set by study design</t>
        </is>
      </c>
      <c r="I68" s="20" t="inlineStr">
        <is>
          <t>Pending</t>
        </is>
      </c>
      <c r="J68" s="20" t="inlineStr">
        <is>
          <t>Methodology Lead</t>
        </is>
      </c>
    </row>
    <row r="69">
      <c r="A69" s="20" t="inlineStr">
        <is>
          <t>D06</t>
        </is>
      </c>
      <c r="B69" s="20" t="inlineStr">
        <is>
          <t>I03</t>
        </is>
      </c>
      <c r="C69" s="20" t="inlineStr">
        <is>
          <t>Learning Agency</t>
        </is>
      </c>
      <c r="D69" s="20" t="inlineStr">
        <is>
          <t>5–10 anchor examples per metric before pilot</t>
        </is>
      </c>
      <c r="E69" s="20" t="inlineStr">
        <is>
          <t>2 independent assessors minimum</t>
        </is>
      </c>
      <c r="F69" s="20" t="inlineStr">
        <is>
          <t>Blind second scoring recommended</t>
        </is>
      </c>
      <c r="G69" s="20" t="inlineStr">
        <is>
          <t>Target ICC/weighted agreement ≥0.70 exploratory; ≥0.80 preferred for freeze</t>
        </is>
      </c>
      <c r="H69" s="20" t="inlineStr">
        <is>
          <t>Pilot N to be set by study design</t>
        </is>
      </c>
      <c r="I69" s="20" t="inlineStr">
        <is>
          <t>Pending</t>
        </is>
      </c>
      <c r="J69" s="20" t="inlineStr">
        <is>
          <t>Methodology Lead</t>
        </is>
      </c>
    </row>
    <row r="70">
      <c r="A70" s="20" t="inlineStr">
        <is>
          <t>D06</t>
        </is>
      </c>
      <c r="B70" s="20" t="inlineStr">
        <is>
          <t>I04</t>
        </is>
      </c>
      <c r="C70" s="20" t="inlineStr">
        <is>
          <t>Independent Intellectual Agency</t>
        </is>
      </c>
      <c r="D70" s="20" t="inlineStr">
        <is>
          <t>5–10 anchor examples per metric before pilot</t>
        </is>
      </c>
      <c r="E70" s="20" t="inlineStr">
        <is>
          <t>2 independent assessors minimum</t>
        </is>
      </c>
      <c r="F70" s="20" t="inlineStr">
        <is>
          <t>Blind second scoring recommended</t>
        </is>
      </c>
      <c r="G70" s="20" t="inlineStr">
        <is>
          <t>Target ICC/weighted agreement ≥0.70 exploratory; ≥0.80 preferred for freeze</t>
        </is>
      </c>
      <c r="H70" s="20" t="inlineStr">
        <is>
          <t>Pilot N to be set by study design</t>
        </is>
      </c>
      <c r="I70" s="20" t="inlineStr">
        <is>
          <t>Pending</t>
        </is>
      </c>
      <c r="J70" s="20" t="inlineStr">
        <is>
          <t>Methodology Lead</t>
        </is>
      </c>
    </row>
    <row r="71">
      <c r="A71" s="20" t="inlineStr">
        <is>
          <t>D06</t>
        </is>
      </c>
      <c r="B71" s="20" t="inlineStr">
        <is>
          <t>I05</t>
        </is>
      </c>
      <c r="C71" s="20" t="inlineStr">
        <is>
          <t>Communication &amp; Defence</t>
        </is>
      </c>
      <c r="D71" s="20" t="inlineStr">
        <is>
          <t>5–10 anchor examples per metric before pilot</t>
        </is>
      </c>
      <c r="E71" s="20" t="inlineStr">
        <is>
          <t>2 independent assessors minimum</t>
        </is>
      </c>
      <c r="F71" s="20" t="inlineStr">
        <is>
          <t>Blind second scoring recommended</t>
        </is>
      </c>
      <c r="G71" s="20" t="inlineStr">
        <is>
          <t>Target ICC/weighted agreement ≥0.70 exploratory; ≥0.80 preferred for freeze</t>
        </is>
      </c>
      <c r="H71" s="20" t="inlineStr">
        <is>
          <t>Pilot N to be set by study design</t>
        </is>
      </c>
      <c r="I71" s="20" t="inlineStr">
        <is>
          <t>Pending</t>
        </is>
      </c>
      <c r="J71" s="20" t="inlineStr">
        <is>
          <t>Methodology Lead</t>
        </is>
      </c>
    </row>
    <row r="72">
      <c r="A72" s="20" t="inlineStr">
        <is>
          <t>D06</t>
        </is>
      </c>
      <c r="B72" s="20" t="inlineStr">
        <is>
          <t>I06</t>
        </is>
      </c>
      <c r="C72" s="20" t="inlineStr">
        <is>
          <t>Collaboration Capability</t>
        </is>
      </c>
      <c r="D72" s="20" t="inlineStr">
        <is>
          <t>5–10 anchor examples per metric before pilot</t>
        </is>
      </c>
      <c r="E72" s="20" t="inlineStr">
        <is>
          <t>2 independent assessors minimum</t>
        </is>
      </c>
      <c r="F72" s="20" t="inlineStr">
        <is>
          <t>Blind second scoring recommended</t>
        </is>
      </c>
      <c r="G72" s="20" t="inlineStr">
        <is>
          <t>Target ICC/weighted agreement ≥0.70 exploratory; ≥0.80 preferred for freeze</t>
        </is>
      </c>
      <c r="H72" s="20" t="inlineStr">
        <is>
          <t>Pilot N to be set by study design</t>
        </is>
      </c>
      <c r="I72" s="20" t="inlineStr">
        <is>
          <t>Pending</t>
        </is>
      </c>
      <c r="J72" s="20" t="inlineStr">
        <is>
          <t>Methodology Lead</t>
        </is>
      </c>
    </row>
    <row r="73">
      <c r="A73" s="20" t="inlineStr">
        <is>
          <t>D06</t>
        </is>
      </c>
      <c r="B73" s="20" t="inlineStr">
        <is>
          <t>I07</t>
        </is>
      </c>
      <c r="C73" s="20" t="inlineStr">
        <is>
          <t>Practical Capability</t>
        </is>
      </c>
      <c r="D73" s="20" t="inlineStr">
        <is>
          <t>5–10 anchor examples per metric before pilot</t>
        </is>
      </c>
      <c r="E73" s="20" t="inlineStr">
        <is>
          <t>2 independent assessors minimum</t>
        </is>
      </c>
      <c r="F73" s="20" t="inlineStr">
        <is>
          <t>Blind second scoring recommended</t>
        </is>
      </c>
      <c r="G73" s="20" t="inlineStr">
        <is>
          <t>Target ICC/weighted agreement ≥0.70 exploratory; ≥0.80 preferred for freeze</t>
        </is>
      </c>
      <c r="H73" s="20" t="inlineStr">
        <is>
          <t>Pilot N to be set by study design</t>
        </is>
      </c>
      <c r="I73" s="20" t="inlineStr">
        <is>
          <t>Pending</t>
        </is>
      </c>
      <c r="J73" s="20" t="inlineStr">
        <is>
          <t>Methodology Lead</t>
        </is>
      </c>
    </row>
    <row r="74">
      <c r="A74" s="20" t="inlineStr">
        <is>
          <t>D06</t>
        </is>
      </c>
      <c r="B74" s="20" t="inlineStr">
        <is>
          <t>I08</t>
        </is>
      </c>
      <c r="C74" s="20" t="inlineStr">
        <is>
          <t>Career Adaptability</t>
        </is>
      </c>
      <c r="D74" s="20" t="inlineStr">
        <is>
          <t>5–10 anchor examples per metric before pilot</t>
        </is>
      </c>
      <c r="E74" s="20" t="inlineStr">
        <is>
          <t>2 independent assessors minimum</t>
        </is>
      </c>
      <c r="F74" s="20" t="inlineStr">
        <is>
          <t>Blind second scoring recommended</t>
        </is>
      </c>
      <c r="G74" s="20" t="inlineStr">
        <is>
          <t>Target ICC/weighted agreement ≥0.70 exploratory; ≥0.80 preferred for freeze</t>
        </is>
      </c>
      <c r="H74" s="20" t="inlineStr">
        <is>
          <t>Pilot N to be set by study design</t>
        </is>
      </c>
      <c r="I74" s="20" t="inlineStr">
        <is>
          <t>Pending</t>
        </is>
      </c>
      <c r="J74" s="20" t="inlineStr">
        <is>
          <t>Methodology Lead</t>
        </is>
      </c>
    </row>
    <row r="75">
      <c r="A75" s="20" t="inlineStr">
        <is>
          <t>D06</t>
        </is>
      </c>
      <c r="B75" s="20" t="inlineStr">
        <is>
          <t>I09</t>
        </is>
      </c>
      <c r="C75" s="20" t="inlineStr">
        <is>
          <t>Portfolio &amp; Capability Signalling</t>
        </is>
      </c>
      <c r="D75" s="20" t="inlineStr">
        <is>
          <t>5–10 anchor examples per metric before pilot</t>
        </is>
      </c>
      <c r="E75" s="20" t="inlineStr">
        <is>
          <t>2 independent assessors minimum</t>
        </is>
      </c>
      <c r="F75" s="20" t="inlineStr">
        <is>
          <t>Blind second scoring recommended</t>
        </is>
      </c>
      <c r="G75" s="20" t="inlineStr">
        <is>
          <t>Target ICC/weighted agreement ≥0.70 exploratory; ≥0.80 preferred for freeze</t>
        </is>
      </c>
      <c r="H75" s="20" t="inlineStr">
        <is>
          <t>Pilot N to be set by study design</t>
        </is>
      </c>
      <c r="I75" s="20" t="inlineStr">
        <is>
          <t>Pending</t>
        </is>
      </c>
      <c r="J75" s="20" t="inlineStr">
        <is>
          <t>Methodology Lead</t>
        </is>
      </c>
    </row>
    <row r="76">
      <c r="A76" s="20" t="inlineStr">
        <is>
          <t>D06</t>
        </is>
      </c>
      <c r="B76" s="20" t="inlineStr">
        <is>
          <t>I10</t>
        </is>
      </c>
      <c r="C76" s="20" t="inlineStr">
        <is>
          <t>Problem Solving &amp; Transfer</t>
        </is>
      </c>
      <c r="D76" s="20" t="inlineStr">
        <is>
          <t>5–10 anchor examples per metric before pilot</t>
        </is>
      </c>
      <c r="E76" s="20" t="inlineStr">
        <is>
          <t>2 independent assessors minimum</t>
        </is>
      </c>
      <c r="F76" s="20" t="inlineStr">
        <is>
          <t>Blind second scoring recommended</t>
        </is>
      </c>
      <c r="G76" s="20" t="inlineStr">
        <is>
          <t>Target ICC/weighted agreement ≥0.70 exploratory; ≥0.80 preferred for freeze</t>
        </is>
      </c>
      <c r="H76" s="20" t="inlineStr">
        <is>
          <t>Pilot N to be set by study design</t>
        </is>
      </c>
      <c r="I76" s="20" t="inlineStr">
        <is>
          <t>Pending</t>
        </is>
      </c>
      <c r="J76" s="20" t="inlineStr">
        <is>
          <t>Methodology Lead</t>
        </is>
      </c>
    </row>
    <row r="77">
      <c r="A77" s="20" t="inlineStr">
        <is>
          <t>D06</t>
        </is>
      </c>
      <c r="B77" s="20" t="inlineStr">
        <is>
          <t>I11</t>
        </is>
      </c>
      <c r="C77" s="20" t="inlineStr">
        <is>
          <t>Creator &amp; Entrepreneurial Agency</t>
        </is>
      </c>
      <c r="D77" s="20" t="inlineStr">
        <is>
          <t>5–10 anchor examples per metric before pilot</t>
        </is>
      </c>
      <c r="E77" s="20" t="inlineStr">
        <is>
          <t>2 independent assessors minimum</t>
        </is>
      </c>
      <c r="F77" s="20" t="inlineStr">
        <is>
          <t>Blind second scoring recommended</t>
        </is>
      </c>
      <c r="G77" s="20" t="inlineStr">
        <is>
          <t>Target ICC/weighted agreement ≥0.70 exploratory; ≥0.80 preferred for freeze</t>
        </is>
      </c>
      <c r="H77" s="20" t="inlineStr">
        <is>
          <t>Pilot N to be set by study design</t>
        </is>
      </c>
      <c r="I77" s="20" t="inlineStr">
        <is>
          <t>Pending</t>
        </is>
      </c>
      <c r="J77" s="20" t="inlineStr">
        <is>
          <t>Methodology Lead</t>
        </is>
      </c>
    </row>
    <row r="78">
      <c r="A78" s="20" t="inlineStr">
        <is>
          <t>D06</t>
        </is>
      </c>
      <c r="B78" s="20" t="inlineStr">
        <is>
          <t>I12</t>
        </is>
      </c>
      <c r="C78" s="20" t="inlineStr">
        <is>
          <t>Digital Citizenship &amp; Responsible Use</t>
        </is>
      </c>
      <c r="D78" s="20" t="inlineStr">
        <is>
          <t>5–10 anchor examples per metric before pilot</t>
        </is>
      </c>
      <c r="E78" s="20" t="inlineStr">
        <is>
          <t>2 independent assessors minimum</t>
        </is>
      </c>
      <c r="F78" s="20" t="inlineStr">
        <is>
          <t>Blind second scoring recommended</t>
        </is>
      </c>
      <c r="G78" s="20" t="inlineStr">
        <is>
          <t>Target ICC/weighted agreement ≥0.70 exploratory; ≥0.80 preferred for freeze</t>
        </is>
      </c>
      <c r="H78" s="20" t="inlineStr">
        <is>
          <t>Pilot N to be set by study design</t>
        </is>
      </c>
      <c r="I78" s="20" t="inlineStr">
        <is>
          <t>Pending</t>
        </is>
      </c>
      <c r="J78" s="20" t="inlineStr">
        <is>
          <t>Methodology Lead</t>
        </is>
      </c>
    </row>
    <row r="79">
      <c r="A79" s="20" t="inlineStr">
        <is>
          <t>D06</t>
        </is>
      </c>
      <c r="B79" s="20" t="inlineStr">
        <is>
          <t>I13</t>
        </is>
      </c>
      <c r="C79" s="20" t="inlineStr">
        <is>
          <t>Equitable AI Access</t>
        </is>
      </c>
      <c r="D79" s="20" t="inlineStr">
        <is>
          <t>5–10 anchor examples per metric before pilot</t>
        </is>
      </c>
      <c r="E79" s="20" t="inlineStr">
        <is>
          <t>2 independent assessors minimum</t>
        </is>
      </c>
      <c r="F79" s="20" t="inlineStr">
        <is>
          <t>Blind second scoring recommended</t>
        </is>
      </c>
      <c r="G79" s="20" t="inlineStr">
        <is>
          <t>Target ICC/weighted agreement ≥0.70 exploratory; ≥0.80 preferred for freeze</t>
        </is>
      </c>
      <c r="H79" s="20" t="inlineStr">
        <is>
          <t>Pilot N to be set by study design</t>
        </is>
      </c>
      <c r="I79" s="20" t="inlineStr">
        <is>
          <t>Pending</t>
        </is>
      </c>
      <c r="J79" s="20" t="inlineStr">
        <is>
          <t>Methodology Lead</t>
        </is>
      </c>
    </row>
    <row r="80">
      <c r="A80" s="20" t="inlineStr">
        <is>
          <t>D06</t>
        </is>
      </c>
      <c r="B80" s="20" t="inlineStr">
        <is>
          <t>I14</t>
        </is>
      </c>
      <c r="C80" s="20" t="inlineStr">
        <is>
          <t>Student Voice &amp; Feedback Loop</t>
        </is>
      </c>
      <c r="D80" s="20" t="inlineStr">
        <is>
          <t>5–10 anchor examples per metric before pilot</t>
        </is>
      </c>
      <c r="E80" s="20" t="inlineStr">
        <is>
          <t>2 independent assessors minimum</t>
        </is>
      </c>
      <c r="F80" s="20" t="inlineStr">
        <is>
          <t>Blind second scoring recommended</t>
        </is>
      </c>
      <c r="G80" s="20" t="inlineStr">
        <is>
          <t>Target ICC/weighted agreement ≥0.70 exploratory; ≥0.80 preferred for freeze</t>
        </is>
      </c>
      <c r="H80" s="20" t="inlineStr">
        <is>
          <t>Pilot N to be set by study design</t>
        </is>
      </c>
      <c r="I80" s="20" t="inlineStr">
        <is>
          <t>Pending</t>
        </is>
      </c>
      <c r="J80" s="20" t="inlineStr">
        <is>
          <t>Methodology Lead</t>
        </is>
      </c>
    </row>
    <row r="81">
      <c r="A81" s="20" t="inlineStr">
        <is>
          <t>D07</t>
        </is>
      </c>
      <c r="B81" s="20" t="inlineStr">
        <is>
          <t>I01</t>
        </is>
      </c>
      <c r="C81" s="20" t="inlineStr">
        <is>
          <t>Assessment Design Maturity</t>
        </is>
      </c>
      <c r="D81" s="20" t="inlineStr">
        <is>
          <t>5–10 anchor examples per metric before pilot</t>
        </is>
      </c>
      <c r="E81" s="20" t="inlineStr">
        <is>
          <t>2 independent assessors minimum</t>
        </is>
      </c>
      <c r="F81" s="20" t="inlineStr">
        <is>
          <t>Blind second scoring recommended</t>
        </is>
      </c>
      <c r="G81" s="20" t="inlineStr">
        <is>
          <t>Target ICC/weighted agreement ≥0.70 exploratory; ≥0.80 preferred for freeze</t>
        </is>
      </c>
      <c r="H81" s="20" t="inlineStr">
        <is>
          <t>Pilot N to be set by study design</t>
        </is>
      </c>
      <c r="I81" s="20" t="inlineStr">
        <is>
          <t>Pending</t>
        </is>
      </c>
      <c r="J81" s="20" t="inlineStr">
        <is>
          <t>Methodology Lead</t>
        </is>
      </c>
    </row>
    <row r="82">
      <c r="A82" s="20" t="inlineStr">
        <is>
          <t>D07</t>
        </is>
      </c>
      <c r="B82" s="20" t="inlineStr">
        <is>
          <t>I02</t>
        </is>
      </c>
      <c r="C82" s="20" t="inlineStr">
        <is>
          <t>Cognitive Demonstration Depth</t>
        </is>
      </c>
      <c r="D82" s="20" t="inlineStr">
        <is>
          <t>5–10 anchor examples per metric before pilot</t>
        </is>
      </c>
      <c r="E82" s="20" t="inlineStr">
        <is>
          <t>2 independent assessors minimum</t>
        </is>
      </c>
      <c r="F82" s="20" t="inlineStr">
        <is>
          <t>Blind second scoring recommended</t>
        </is>
      </c>
      <c r="G82" s="20" t="inlineStr">
        <is>
          <t>Target ICC/weighted agreement ≥0.70 exploratory; ≥0.80 preferred for freeze</t>
        </is>
      </c>
      <c r="H82" s="20" t="inlineStr">
        <is>
          <t>Pilot N to be set by study design</t>
        </is>
      </c>
      <c r="I82" s="20" t="inlineStr">
        <is>
          <t>Pending</t>
        </is>
      </c>
      <c r="J82" s="20" t="inlineStr">
        <is>
          <t>Methodology Lead</t>
        </is>
      </c>
    </row>
    <row r="83">
      <c r="A83" s="20" t="inlineStr">
        <is>
          <t>D07</t>
        </is>
      </c>
      <c r="B83" s="20" t="inlineStr">
        <is>
          <t>I03</t>
        </is>
      </c>
      <c r="C83" s="20" t="inlineStr">
        <is>
          <t>Authenticity of Demonstration</t>
        </is>
      </c>
      <c r="D83" s="20" t="inlineStr">
        <is>
          <t>5–10 anchor examples per metric before pilot</t>
        </is>
      </c>
      <c r="E83" s="20" t="inlineStr">
        <is>
          <t>2 independent assessors minimum</t>
        </is>
      </c>
      <c r="F83" s="20" t="inlineStr">
        <is>
          <t>Blind second scoring recommended</t>
        </is>
      </c>
      <c r="G83" s="20" t="inlineStr">
        <is>
          <t>Target ICC/weighted agreement ≥0.70 exploratory; ≥0.80 preferred for freeze</t>
        </is>
      </c>
      <c r="H83" s="20" t="inlineStr">
        <is>
          <t>Pilot N to be set by study design</t>
        </is>
      </c>
      <c r="I83" s="20" t="inlineStr">
        <is>
          <t>Pending</t>
        </is>
      </c>
      <c r="J83" s="20" t="inlineStr">
        <is>
          <t>Methodology Lead</t>
        </is>
      </c>
    </row>
    <row r="84">
      <c r="A84" s="20" t="inlineStr">
        <is>
          <t>D07</t>
        </is>
      </c>
      <c r="B84" s="20" t="inlineStr">
        <is>
          <t>I04</t>
        </is>
      </c>
      <c r="C84" s="20" t="inlineStr">
        <is>
          <t>AI-Aware Assessment Maturity</t>
        </is>
      </c>
      <c r="D84" s="20" t="inlineStr">
        <is>
          <t>5–10 anchor examples per metric before pilot</t>
        </is>
      </c>
      <c r="E84" s="20" t="inlineStr">
        <is>
          <t>2 independent assessors minimum</t>
        </is>
      </c>
      <c r="F84" s="20" t="inlineStr">
        <is>
          <t>Blind second scoring recommended</t>
        </is>
      </c>
      <c r="G84" s="20" t="inlineStr">
        <is>
          <t>Target ICC/weighted agreement ≥0.70 exploratory; ≥0.80 preferred for freeze</t>
        </is>
      </c>
      <c r="H84" s="20" t="inlineStr">
        <is>
          <t>Pilot N to be set by study design</t>
        </is>
      </c>
      <c r="I84" s="20" t="inlineStr">
        <is>
          <t>Pending</t>
        </is>
      </c>
      <c r="J84" s="20" t="inlineStr">
        <is>
          <t>Methodology Lead</t>
        </is>
      </c>
    </row>
    <row r="85">
      <c r="A85" s="20" t="inlineStr">
        <is>
          <t>D07</t>
        </is>
      </c>
      <c r="B85" s="20" t="inlineStr">
        <is>
          <t>I05</t>
        </is>
      </c>
      <c r="C85" s="20" t="inlineStr">
        <is>
          <t>Verification &amp; Defence</t>
        </is>
      </c>
      <c r="D85" s="20" t="inlineStr">
        <is>
          <t>5–10 anchor examples per metric before pilot</t>
        </is>
      </c>
      <c r="E85" s="20" t="inlineStr">
        <is>
          <t>2 independent assessors minimum</t>
        </is>
      </c>
      <c r="F85" s="20" t="inlineStr">
        <is>
          <t>Blind second scoring recommended</t>
        </is>
      </c>
      <c r="G85" s="20" t="inlineStr">
        <is>
          <t>Target ICC/weighted agreement ≥0.70 exploratory; ≥0.80 preferred for freeze</t>
        </is>
      </c>
      <c r="H85" s="20" t="inlineStr">
        <is>
          <t>Pilot N to be set by study design</t>
        </is>
      </c>
      <c r="I85" s="20" t="inlineStr">
        <is>
          <t>Pending</t>
        </is>
      </c>
      <c r="J85" s="20" t="inlineStr">
        <is>
          <t>Methodology Lead</t>
        </is>
      </c>
    </row>
    <row r="86">
      <c r="A86" s="20" t="inlineStr">
        <is>
          <t>D07</t>
        </is>
      </c>
      <c r="B86" s="20" t="inlineStr">
        <is>
          <t>I06</t>
        </is>
      </c>
      <c r="C86" s="20" t="inlineStr">
        <is>
          <t>Feedback Intelligence</t>
        </is>
      </c>
      <c r="D86" s="20" t="inlineStr">
        <is>
          <t>5–10 anchor examples per metric before pilot</t>
        </is>
      </c>
      <c r="E86" s="20" t="inlineStr">
        <is>
          <t>2 independent assessors minimum</t>
        </is>
      </c>
      <c r="F86" s="20" t="inlineStr">
        <is>
          <t>Blind second scoring recommended</t>
        </is>
      </c>
      <c r="G86" s="20" t="inlineStr">
        <is>
          <t>Target ICC/weighted agreement ≥0.70 exploratory; ≥0.80 preferred for freeze</t>
        </is>
      </c>
      <c r="H86" s="20" t="inlineStr">
        <is>
          <t>Pilot N to be set by study design</t>
        </is>
      </c>
      <c r="I86" s="20" t="inlineStr">
        <is>
          <t>Pending</t>
        </is>
      </c>
      <c r="J86" s="20" t="inlineStr">
        <is>
          <t>Methodology Lead</t>
        </is>
      </c>
    </row>
    <row r="87">
      <c r="A87" s="20" t="inlineStr">
        <is>
          <t>D07</t>
        </is>
      </c>
      <c r="B87" s="20" t="inlineStr">
        <is>
          <t>I07</t>
        </is>
      </c>
      <c r="C87" s="20" t="inlineStr">
        <is>
          <t>Evidence of Learning</t>
        </is>
      </c>
      <c r="D87" s="20" t="inlineStr">
        <is>
          <t>5–10 anchor examples per metric before pilot</t>
        </is>
      </c>
      <c r="E87" s="20" t="inlineStr">
        <is>
          <t>2 independent assessors minimum</t>
        </is>
      </c>
      <c r="F87" s="20" t="inlineStr">
        <is>
          <t>Blind second scoring recommended</t>
        </is>
      </c>
      <c r="G87" s="20" t="inlineStr">
        <is>
          <t>Target ICC/weighted agreement ≥0.70 exploratory; ≥0.80 preferred for freeze</t>
        </is>
      </c>
      <c r="H87" s="20" t="inlineStr">
        <is>
          <t>Pilot N to be set by study design</t>
        </is>
      </c>
      <c r="I87" s="20" t="inlineStr">
        <is>
          <t>Pending</t>
        </is>
      </c>
      <c r="J87" s="20" t="inlineStr">
        <is>
          <t>Methodology Lead</t>
        </is>
      </c>
    </row>
    <row r="88">
      <c r="A88" s="20" t="inlineStr">
        <is>
          <t>D07</t>
        </is>
      </c>
      <c r="B88" s="20" t="inlineStr">
        <is>
          <t>I08</t>
        </is>
      </c>
      <c r="C88" s="20" t="inlineStr">
        <is>
          <t>Capability Outcome Measurement</t>
        </is>
      </c>
      <c r="D88" s="20" t="inlineStr">
        <is>
          <t>5–10 anchor examples per metric before pilot</t>
        </is>
      </c>
      <c r="E88" s="20" t="inlineStr">
        <is>
          <t>2 independent assessors minimum</t>
        </is>
      </c>
      <c r="F88" s="20" t="inlineStr">
        <is>
          <t>Blind second scoring recommended</t>
        </is>
      </c>
      <c r="G88" s="20" t="inlineStr">
        <is>
          <t>Target ICC/weighted agreement ≥0.70 exploratory; ≥0.80 preferred for freeze</t>
        </is>
      </c>
      <c r="H88" s="20" t="inlineStr">
        <is>
          <t>Pilot N to be set by study design</t>
        </is>
      </c>
      <c r="I88" s="20" t="inlineStr">
        <is>
          <t>Pending</t>
        </is>
      </c>
      <c r="J88" s="20" t="inlineStr">
        <is>
          <t>Methodology Lead</t>
        </is>
      </c>
    </row>
    <row r="89">
      <c r="A89" s="20" t="inlineStr">
        <is>
          <t>D07</t>
        </is>
      </c>
      <c r="B89" s="20" t="inlineStr">
        <is>
          <t>I09</t>
        </is>
      </c>
      <c r="C89" s="20" t="inlineStr">
        <is>
          <t>Assessment Equity &amp; Access</t>
        </is>
      </c>
      <c r="D89" s="20" t="inlineStr">
        <is>
          <t>5–10 anchor examples per metric before pilot</t>
        </is>
      </c>
      <c r="E89" s="20" t="inlineStr">
        <is>
          <t>2 independent assessors minimum</t>
        </is>
      </c>
      <c r="F89" s="20" t="inlineStr">
        <is>
          <t>Blind second scoring recommended</t>
        </is>
      </c>
      <c r="G89" s="20" t="inlineStr">
        <is>
          <t>Target ICC/weighted agreement ≥0.70 exploratory; ≥0.80 preferred for freeze</t>
        </is>
      </c>
      <c r="H89" s="20" t="inlineStr">
        <is>
          <t>Pilot N to be set by study design</t>
        </is>
      </c>
      <c r="I89" s="20" t="inlineStr">
        <is>
          <t>Pending</t>
        </is>
      </c>
      <c r="J89" s="20" t="inlineStr">
        <is>
          <t>Methodology Lead</t>
        </is>
      </c>
    </row>
    <row r="90">
      <c r="A90" s="20" t="inlineStr">
        <is>
          <t>D07</t>
        </is>
      </c>
      <c r="B90" s="20" t="inlineStr">
        <is>
          <t>I10</t>
        </is>
      </c>
      <c r="C90" s="20" t="inlineStr">
        <is>
          <t>Assessment Governance</t>
        </is>
      </c>
      <c r="D90" s="20" t="inlineStr">
        <is>
          <t>5–10 anchor examples per metric before pilot</t>
        </is>
      </c>
      <c r="E90" s="20" t="inlineStr">
        <is>
          <t>2 independent assessors minimum</t>
        </is>
      </c>
      <c r="F90" s="20" t="inlineStr">
        <is>
          <t>Blind second scoring recommended</t>
        </is>
      </c>
      <c r="G90" s="20" t="inlineStr">
        <is>
          <t>Target ICC/weighted agreement ≥0.70 exploratory; ≥0.80 preferred for freeze</t>
        </is>
      </c>
      <c r="H90" s="20" t="inlineStr">
        <is>
          <t>Pilot N to be set by study design</t>
        </is>
      </c>
      <c r="I90" s="20" t="inlineStr">
        <is>
          <t>Pending</t>
        </is>
      </c>
      <c r="J90" s="20" t="inlineStr">
        <is>
          <t>Methodology Lead</t>
        </is>
      </c>
    </row>
    <row r="91">
      <c r="A91" s="20" t="inlineStr">
        <is>
          <t>D07</t>
        </is>
      </c>
      <c r="B91" s="20" t="inlineStr">
        <is>
          <t>I11</t>
        </is>
      </c>
      <c r="C91" s="20" t="inlineStr">
        <is>
          <t>Assessment Innovation</t>
        </is>
      </c>
      <c r="D91" s="20" t="inlineStr">
        <is>
          <t>5–10 anchor examples per metric before pilot</t>
        </is>
      </c>
      <c r="E91" s="20" t="inlineStr">
        <is>
          <t>2 independent assessors minimum</t>
        </is>
      </c>
      <c r="F91" s="20" t="inlineStr">
        <is>
          <t>Blind second scoring recommended</t>
        </is>
      </c>
      <c r="G91" s="20" t="inlineStr">
        <is>
          <t>Target ICC/weighted agreement ≥0.70 exploratory; ≥0.80 preferred for freeze</t>
        </is>
      </c>
      <c r="H91" s="20" t="inlineStr">
        <is>
          <t>Pilot N to be set by study design</t>
        </is>
      </c>
      <c r="I91" s="20" t="inlineStr">
        <is>
          <t>Pending</t>
        </is>
      </c>
      <c r="J91" s="20" t="inlineStr">
        <is>
          <t>Methodology Lead</t>
        </is>
      </c>
    </row>
    <row r="92">
      <c r="A92" s="20" t="inlineStr">
        <is>
          <t>D07</t>
        </is>
      </c>
      <c r="B92" s="20" t="inlineStr">
        <is>
          <t>I12</t>
        </is>
      </c>
      <c r="C92" s="20" t="inlineStr">
        <is>
          <t>Learning Evidence Analytics</t>
        </is>
      </c>
      <c r="D92" s="20" t="inlineStr">
        <is>
          <t>5–10 anchor examples per metric before pilot</t>
        </is>
      </c>
      <c r="E92" s="20" t="inlineStr">
        <is>
          <t>2 independent assessors minimum</t>
        </is>
      </c>
      <c r="F92" s="20" t="inlineStr">
        <is>
          <t>Blind second scoring recommended</t>
        </is>
      </c>
      <c r="G92" s="20" t="inlineStr">
        <is>
          <t>Target ICC/weighted agreement ≥0.70 exploratory; ≥0.80 preferred for freeze</t>
        </is>
      </c>
      <c r="H92" s="20" t="inlineStr">
        <is>
          <t>Pilot N to be set by study design</t>
        </is>
      </c>
      <c r="I92" s="20" t="inlineStr">
        <is>
          <t>Pending</t>
        </is>
      </c>
      <c r="J92" s="20" t="inlineStr">
        <is>
          <t>Methodology Lead</t>
        </is>
      </c>
    </row>
    <row r="93">
      <c r="A93" s="20" t="inlineStr">
        <is>
          <t>D08</t>
        </is>
      </c>
      <c r="B93" s="20" t="inlineStr">
        <is>
          <t>I01</t>
        </is>
      </c>
      <c r="C93" s="20" t="inlineStr">
        <is>
          <t>Digital Environment Readiness</t>
        </is>
      </c>
      <c r="D93" s="20" t="inlineStr">
        <is>
          <t>5–10 anchor examples per metric before pilot</t>
        </is>
      </c>
      <c r="E93" s="20" t="inlineStr">
        <is>
          <t>2 independent assessors minimum</t>
        </is>
      </c>
      <c r="F93" s="20" t="inlineStr">
        <is>
          <t>Blind second scoring recommended</t>
        </is>
      </c>
      <c r="G93" s="20" t="inlineStr">
        <is>
          <t>Target ICC/weighted agreement ≥0.70 exploratory; ≥0.80 preferred for freeze</t>
        </is>
      </c>
      <c r="H93" s="20" t="inlineStr">
        <is>
          <t>Pilot N to be set by study design</t>
        </is>
      </c>
      <c r="I93" s="20" t="inlineStr">
        <is>
          <t>Pending</t>
        </is>
      </c>
      <c r="J93" s="20" t="inlineStr">
        <is>
          <t>Methodology Lead</t>
        </is>
      </c>
    </row>
    <row r="94">
      <c r="A94" s="20" t="inlineStr">
        <is>
          <t>D08</t>
        </is>
      </c>
      <c r="B94" s="20" t="inlineStr">
        <is>
          <t>I02</t>
        </is>
      </c>
      <c r="C94" s="20" t="inlineStr">
        <is>
          <t>Institutional Data Architecture</t>
        </is>
      </c>
      <c r="D94" s="20" t="inlineStr">
        <is>
          <t>5–10 anchor examples per metric before pilot</t>
        </is>
      </c>
      <c r="E94" s="20" t="inlineStr">
        <is>
          <t>2 independent assessors minimum</t>
        </is>
      </c>
      <c r="F94" s="20" t="inlineStr">
        <is>
          <t>Blind second scoring recommended</t>
        </is>
      </c>
      <c r="G94" s="20" t="inlineStr">
        <is>
          <t>Target ICC/weighted agreement ≥0.70 exploratory; ≥0.80 preferred for freeze</t>
        </is>
      </c>
      <c r="H94" s="20" t="inlineStr">
        <is>
          <t>Pilot N to be set by study design</t>
        </is>
      </c>
      <c r="I94" s="20" t="inlineStr">
        <is>
          <t>Pending</t>
        </is>
      </c>
      <c r="J94" s="20" t="inlineStr">
        <is>
          <t>Methodology Lead</t>
        </is>
      </c>
    </row>
    <row r="95">
      <c r="A95" s="20" t="inlineStr">
        <is>
          <t>D08</t>
        </is>
      </c>
      <c r="B95" s="20" t="inlineStr">
        <is>
          <t>I03</t>
        </is>
      </c>
      <c r="C95" s="20" t="inlineStr">
        <is>
          <t>Data Quality &amp; Integrity</t>
        </is>
      </c>
      <c r="D95" s="20" t="inlineStr">
        <is>
          <t>5–10 anchor examples per metric before pilot</t>
        </is>
      </c>
      <c r="E95" s="20" t="inlineStr">
        <is>
          <t>2 independent assessors minimum</t>
        </is>
      </c>
      <c r="F95" s="20" t="inlineStr">
        <is>
          <t>Blind second scoring recommended</t>
        </is>
      </c>
      <c r="G95" s="20" t="inlineStr">
        <is>
          <t>Target ICC/weighted agreement ≥0.70 exploratory; ≥0.80 preferred for freeze</t>
        </is>
      </c>
      <c r="H95" s="20" t="inlineStr">
        <is>
          <t>Pilot N to be set by study design</t>
        </is>
      </c>
      <c r="I95" s="20" t="inlineStr">
        <is>
          <t>Pending</t>
        </is>
      </c>
      <c r="J95" s="20" t="inlineStr">
        <is>
          <t>Methodology Lead</t>
        </is>
      </c>
    </row>
    <row r="96">
      <c r="A96" s="20" t="inlineStr">
        <is>
          <t>D08</t>
        </is>
      </c>
      <c r="B96" s="20" t="inlineStr">
        <is>
          <t>I04</t>
        </is>
      </c>
      <c r="C96" s="20" t="inlineStr">
        <is>
          <t>System Interoperability</t>
        </is>
      </c>
      <c r="D96" s="20" t="inlineStr">
        <is>
          <t>5–10 anchor examples per metric before pilot</t>
        </is>
      </c>
      <c r="E96" s="20" t="inlineStr">
        <is>
          <t>2 independent assessors minimum</t>
        </is>
      </c>
      <c r="F96" s="20" t="inlineStr">
        <is>
          <t>Blind second scoring recommended</t>
        </is>
      </c>
      <c r="G96" s="20" t="inlineStr">
        <is>
          <t>Target ICC/weighted agreement ≥0.70 exploratory; ≥0.80 preferred for freeze</t>
        </is>
      </c>
      <c r="H96" s="20" t="inlineStr">
        <is>
          <t>Pilot N to be set by study design</t>
        </is>
      </c>
      <c r="I96" s="20" t="inlineStr">
        <is>
          <t>Pending</t>
        </is>
      </c>
      <c r="J96" s="20" t="inlineStr">
        <is>
          <t>Methodology Lead</t>
        </is>
      </c>
    </row>
    <row r="97">
      <c r="A97" s="20" t="inlineStr">
        <is>
          <t>D08</t>
        </is>
      </c>
      <c r="B97" s="20" t="inlineStr">
        <is>
          <t>I05</t>
        </is>
      </c>
      <c r="C97" s="20" t="inlineStr">
        <is>
          <t>Decision Intelligence</t>
        </is>
      </c>
      <c r="D97" s="20" t="inlineStr">
        <is>
          <t>5–10 anchor examples per metric before pilot</t>
        </is>
      </c>
      <c r="E97" s="20" t="inlineStr">
        <is>
          <t>2 independent assessors minimum</t>
        </is>
      </c>
      <c r="F97" s="20" t="inlineStr">
        <is>
          <t>Blind second scoring recommended</t>
        </is>
      </c>
      <c r="G97" s="20" t="inlineStr">
        <is>
          <t>Target ICC/weighted agreement ≥0.70 exploratory; ≥0.80 preferred for freeze</t>
        </is>
      </c>
      <c r="H97" s="20" t="inlineStr">
        <is>
          <t>Pilot N to be set by study design</t>
        </is>
      </c>
      <c r="I97" s="20" t="inlineStr">
        <is>
          <t>Pending</t>
        </is>
      </c>
      <c r="J97" s="20" t="inlineStr">
        <is>
          <t>Methodology Lead</t>
        </is>
      </c>
    </row>
    <row r="98">
      <c r="A98" s="20" t="inlineStr">
        <is>
          <t>D08</t>
        </is>
      </c>
      <c r="B98" s="20" t="inlineStr">
        <is>
          <t>I06</t>
        </is>
      </c>
      <c r="C98" s="20" t="inlineStr">
        <is>
          <t>AI Enablement Readiness</t>
        </is>
      </c>
      <c r="D98" s="20" t="inlineStr">
        <is>
          <t>5–10 anchor examples per metric before pilot</t>
        </is>
      </c>
      <c r="E98" s="20" t="inlineStr">
        <is>
          <t>2 independent assessors minimum</t>
        </is>
      </c>
      <c r="F98" s="20" t="inlineStr">
        <is>
          <t>Blind second scoring recommended</t>
        </is>
      </c>
      <c r="G98" s="20" t="inlineStr">
        <is>
          <t>Target ICC/weighted agreement ≥0.70 exploratory; ≥0.80 preferred for freeze</t>
        </is>
      </c>
      <c r="H98" s="20" t="inlineStr">
        <is>
          <t>Pilot N to be set by study design</t>
        </is>
      </c>
      <c r="I98" s="20" t="inlineStr">
        <is>
          <t>Pending</t>
        </is>
      </c>
      <c r="J98" s="20" t="inlineStr">
        <is>
          <t>Methodology Lead</t>
        </is>
      </c>
    </row>
    <row r="99">
      <c r="A99" s="20" t="inlineStr">
        <is>
          <t>D08</t>
        </is>
      </c>
      <c r="B99" s="20" t="inlineStr">
        <is>
          <t>I07</t>
        </is>
      </c>
      <c r="C99" s="20" t="inlineStr">
        <is>
          <t>Cyber &amp; Information Security</t>
        </is>
      </c>
      <c r="D99" s="20" t="inlineStr">
        <is>
          <t>5–10 anchor examples per metric before pilot</t>
        </is>
      </c>
      <c r="E99" s="20" t="inlineStr">
        <is>
          <t>2 independent assessors minimum</t>
        </is>
      </c>
      <c r="F99" s="20" t="inlineStr">
        <is>
          <t>Blind second scoring recommended</t>
        </is>
      </c>
      <c r="G99" s="20" t="inlineStr">
        <is>
          <t>Target ICC/weighted agreement ≥0.70 exploratory; ≥0.80 preferred for freeze</t>
        </is>
      </c>
      <c r="H99" s="20" t="inlineStr">
        <is>
          <t>Pilot N to be set by study design</t>
        </is>
      </c>
      <c r="I99" s="20" t="inlineStr">
        <is>
          <t>Pending</t>
        </is>
      </c>
      <c r="J99" s="20" t="inlineStr">
        <is>
          <t>Methodology Lead</t>
        </is>
      </c>
    </row>
    <row r="100">
      <c r="A100" s="20" t="inlineStr">
        <is>
          <t>D08</t>
        </is>
      </c>
      <c r="B100" s="20" t="inlineStr">
        <is>
          <t>I08</t>
        </is>
      </c>
      <c r="C100" s="20" t="inlineStr">
        <is>
          <t>Data Privacy Readiness</t>
        </is>
      </c>
      <c r="D100" s="20" t="inlineStr">
        <is>
          <t>5–10 anchor examples per metric before pilot</t>
        </is>
      </c>
      <c r="E100" s="20" t="inlineStr">
        <is>
          <t>2 independent assessors minimum</t>
        </is>
      </c>
      <c r="F100" s="20" t="inlineStr">
        <is>
          <t>Blind second scoring recommended</t>
        </is>
      </c>
      <c r="G100" s="20" t="inlineStr">
        <is>
          <t>Target ICC/weighted agreement ≥0.70 exploratory; ≥0.80 preferred for freeze</t>
        </is>
      </c>
      <c r="H100" s="20" t="inlineStr">
        <is>
          <t>Pilot N to be set by study design</t>
        </is>
      </c>
      <c r="I100" s="20" t="inlineStr">
        <is>
          <t>Pending</t>
        </is>
      </c>
      <c r="J100" s="20" t="inlineStr">
        <is>
          <t>Methodology Lead</t>
        </is>
      </c>
    </row>
    <row r="101">
      <c r="A101" s="20" t="inlineStr">
        <is>
          <t>D08</t>
        </is>
      </c>
      <c r="B101" s="20" t="inlineStr">
        <is>
          <t>I09</t>
        </is>
      </c>
      <c r="C101" s="20" t="inlineStr">
        <is>
          <t>Digital Equity &amp; Access</t>
        </is>
      </c>
      <c r="D101" s="20" t="inlineStr">
        <is>
          <t>5–10 anchor examples per metric before pilot</t>
        </is>
      </c>
      <c r="E101" s="20" t="inlineStr">
        <is>
          <t>2 independent assessors minimum</t>
        </is>
      </c>
      <c r="F101" s="20" t="inlineStr">
        <is>
          <t>Blind second scoring recommended</t>
        </is>
      </c>
      <c r="G101" s="20" t="inlineStr">
        <is>
          <t>Target ICC/weighted agreement ≥0.70 exploratory; ≥0.80 preferred for freeze</t>
        </is>
      </c>
      <c r="H101" s="20" t="inlineStr">
        <is>
          <t>Pilot N to be set by study design</t>
        </is>
      </c>
      <c r="I101" s="20" t="inlineStr">
        <is>
          <t>Pending</t>
        </is>
      </c>
      <c r="J101" s="20" t="inlineStr">
        <is>
          <t>Methodology Lead</t>
        </is>
      </c>
    </row>
    <row r="102">
      <c r="A102" s="20" t="inlineStr">
        <is>
          <t>D08</t>
        </is>
      </c>
      <c r="B102" s="20" t="inlineStr">
        <is>
          <t>I10</t>
        </is>
      </c>
      <c r="C102" s="20" t="inlineStr">
        <is>
          <t>Technology Decision Governance</t>
        </is>
      </c>
      <c r="D102" s="20" t="inlineStr">
        <is>
          <t>5–10 anchor examples per metric before pilot</t>
        </is>
      </c>
      <c r="E102" s="20" t="inlineStr">
        <is>
          <t>2 independent assessors minimum</t>
        </is>
      </c>
      <c r="F102" s="20" t="inlineStr">
        <is>
          <t>Blind second scoring recommended</t>
        </is>
      </c>
      <c r="G102" s="20" t="inlineStr">
        <is>
          <t>Target ICC/weighted agreement ≥0.70 exploratory; ≥0.80 preferred for freeze</t>
        </is>
      </c>
      <c r="H102" s="20" t="inlineStr">
        <is>
          <t>Pilot N to be set by study design</t>
        </is>
      </c>
      <c r="I102" s="20" t="inlineStr">
        <is>
          <t>Pending</t>
        </is>
      </c>
      <c r="J102" s="20" t="inlineStr">
        <is>
          <t>Methodology Lead</t>
        </is>
      </c>
    </row>
    <row r="103">
      <c r="A103" s="20" t="inlineStr">
        <is>
          <t>D08</t>
        </is>
      </c>
      <c r="B103" s="20" t="inlineStr">
        <is>
          <t>I11</t>
        </is>
      </c>
      <c r="C103" s="20" t="inlineStr">
        <is>
          <t>Digital Process Maturity</t>
        </is>
      </c>
      <c r="D103" s="20" t="inlineStr">
        <is>
          <t>5–10 anchor examples per metric before pilot</t>
        </is>
      </c>
      <c r="E103" s="20" t="inlineStr">
        <is>
          <t>2 independent assessors minimum</t>
        </is>
      </c>
      <c r="F103" s="20" t="inlineStr">
        <is>
          <t>Blind second scoring recommended</t>
        </is>
      </c>
      <c r="G103" s="20" t="inlineStr">
        <is>
          <t>Target ICC/weighted agreement ≥0.70 exploratory; ≥0.80 preferred for freeze</t>
        </is>
      </c>
      <c r="H103" s="20" t="inlineStr">
        <is>
          <t>Pilot N to be set by study design</t>
        </is>
      </c>
      <c r="I103" s="20" t="inlineStr">
        <is>
          <t>Pending</t>
        </is>
      </c>
      <c r="J103" s="20" t="inlineStr">
        <is>
          <t>Methodology Lead</t>
        </is>
      </c>
    </row>
    <row r="104">
      <c r="A104" s="20" t="inlineStr">
        <is>
          <t>D08</t>
        </is>
      </c>
      <c r="B104" s="20" t="inlineStr">
        <is>
          <t>I12</t>
        </is>
      </c>
      <c r="C104" s="20" t="inlineStr">
        <is>
          <t>Institutional Intelligence Capability</t>
        </is>
      </c>
      <c r="D104" s="20" t="inlineStr">
        <is>
          <t>5–10 anchor examples per metric before pilot</t>
        </is>
      </c>
      <c r="E104" s="20" t="inlineStr">
        <is>
          <t>2 independent assessors minimum</t>
        </is>
      </c>
      <c r="F104" s="20" t="inlineStr">
        <is>
          <t>Blind second scoring recommended</t>
        </is>
      </c>
      <c r="G104" s="20" t="inlineStr">
        <is>
          <t>Target ICC/weighted agreement ≥0.70 exploratory; ≥0.80 preferred for freeze</t>
        </is>
      </c>
      <c r="H104" s="20" t="inlineStr">
        <is>
          <t>Pilot N to be set by study design</t>
        </is>
      </c>
      <c r="I104" s="20" t="inlineStr">
        <is>
          <t>Pending</t>
        </is>
      </c>
      <c r="J104" s="20" t="inlineStr">
        <is>
          <t>Methodology Lead</t>
        </is>
      </c>
    </row>
    <row r="105">
      <c r="A105" s="20" t="inlineStr">
        <is>
          <t>D09</t>
        </is>
      </c>
      <c r="B105" s="20" t="inlineStr">
        <is>
          <t>I01</t>
        </is>
      </c>
      <c r="C105" s="20" t="inlineStr">
        <is>
          <t>Employer Demand Sensing</t>
        </is>
      </c>
      <c r="D105" s="20" t="inlineStr">
        <is>
          <t>5–10 anchor examples per metric before pilot</t>
        </is>
      </c>
      <c r="E105" s="20" t="inlineStr">
        <is>
          <t>2 independent assessors minimum</t>
        </is>
      </c>
      <c r="F105" s="20" t="inlineStr">
        <is>
          <t>Blind second scoring recommended</t>
        </is>
      </c>
      <c r="G105" s="20" t="inlineStr">
        <is>
          <t>Target ICC/weighted agreement ≥0.70 exploratory; ≥0.80 preferred for freeze</t>
        </is>
      </c>
      <c r="H105" s="20" t="inlineStr">
        <is>
          <t>Pilot N to be set by study design</t>
        </is>
      </c>
      <c r="I105" s="20" t="inlineStr">
        <is>
          <t>Pending</t>
        </is>
      </c>
      <c r="J105" s="20" t="inlineStr">
        <is>
          <t>Methodology Lead</t>
        </is>
      </c>
    </row>
    <row r="106">
      <c r="A106" s="20" t="inlineStr">
        <is>
          <t>D09</t>
        </is>
      </c>
      <c r="B106" s="20" t="inlineStr">
        <is>
          <t>I02</t>
        </is>
      </c>
      <c r="C106" s="20" t="inlineStr">
        <is>
          <t>Employability Capability Architecture</t>
        </is>
      </c>
      <c r="D106" s="20" t="inlineStr">
        <is>
          <t>5–10 anchor examples per metric before pilot</t>
        </is>
      </c>
      <c r="E106" s="20" t="inlineStr">
        <is>
          <t>2 independent assessors minimum</t>
        </is>
      </c>
      <c r="F106" s="20" t="inlineStr">
        <is>
          <t>Blind second scoring recommended</t>
        </is>
      </c>
      <c r="G106" s="20" t="inlineStr">
        <is>
          <t>Target ICC/weighted agreement ≥0.70 exploratory; ≥0.80 preferred for freeze</t>
        </is>
      </c>
      <c r="H106" s="20" t="inlineStr">
        <is>
          <t>Pilot N to be set by study design</t>
        </is>
      </c>
      <c r="I106" s="20" t="inlineStr">
        <is>
          <t>Pending</t>
        </is>
      </c>
      <c r="J106" s="20" t="inlineStr">
        <is>
          <t>Methodology Lead</t>
        </is>
      </c>
    </row>
    <row r="107">
      <c r="A107" s="20" t="inlineStr">
        <is>
          <t>D09</t>
        </is>
      </c>
      <c r="B107" s="20" t="inlineStr">
        <is>
          <t>I03</t>
        </is>
      </c>
      <c r="C107" s="20" t="inlineStr">
        <is>
          <t>Industry-Validated Curriculum</t>
        </is>
      </c>
      <c r="D107" s="20" t="inlineStr">
        <is>
          <t>5–10 anchor examples per metric before pilot</t>
        </is>
      </c>
      <c r="E107" s="20" t="inlineStr">
        <is>
          <t>2 independent assessors minimum</t>
        </is>
      </c>
      <c r="F107" s="20" t="inlineStr">
        <is>
          <t>Blind second scoring recommended</t>
        </is>
      </c>
      <c r="G107" s="20" t="inlineStr">
        <is>
          <t>Target ICC/weighted agreement ≥0.70 exploratory; ≥0.80 preferred for freeze</t>
        </is>
      </c>
      <c r="H107" s="20" t="inlineStr">
        <is>
          <t>Pilot N to be set by study design</t>
        </is>
      </c>
      <c r="I107" s="20" t="inlineStr">
        <is>
          <t>Pending</t>
        </is>
      </c>
      <c r="J107" s="20" t="inlineStr">
        <is>
          <t>Methodology Lead</t>
        </is>
      </c>
    </row>
    <row r="108">
      <c r="A108" s="20" t="inlineStr">
        <is>
          <t>D09</t>
        </is>
      </c>
      <c r="B108" s="20" t="inlineStr">
        <is>
          <t>I04</t>
        </is>
      </c>
      <c r="C108" s="20" t="inlineStr">
        <is>
          <t>Practice-Based Learning</t>
        </is>
      </c>
      <c r="D108" s="20" t="inlineStr">
        <is>
          <t>5–10 anchor examples per metric before pilot</t>
        </is>
      </c>
      <c r="E108" s="20" t="inlineStr">
        <is>
          <t>2 independent assessors minimum</t>
        </is>
      </c>
      <c r="F108" s="20" t="inlineStr">
        <is>
          <t>Blind second scoring recommended</t>
        </is>
      </c>
      <c r="G108" s="20" t="inlineStr">
        <is>
          <t>Target ICC/weighted agreement ≥0.70 exploratory; ≥0.80 preferred for freeze</t>
        </is>
      </c>
      <c r="H108" s="20" t="inlineStr">
        <is>
          <t>Pilot N to be set by study design</t>
        </is>
      </c>
      <c r="I108" s="20" t="inlineStr">
        <is>
          <t>Pending</t>
        </is>
      </c>
      <c r="J108" s="20" t="inlineStr">
        <is>
          <t>Methodology Lead</t>
        </is>
      </c>
    </row>
    <row r="109">
      <c r="A109" s="20" t="inlineStr">
        <is>
          <t>D09</t>
        </is>
      </c>
      <c r="B109" s="20" t="inlineStr">
        <is>
          <t>I05</t>
        </is>
      </c>
      <c r="C109" s="20" t="inlineStr">
        <is>
          <t>Recruiter Confidence</t>
        </is>
      </c>
      <c r="D109" s="20" t="inlineStr">
        <is>
          <t>5–10 anchor examples per metric before pilot</t>
        </is>
      </c>
      <c r="E109" s="20" t="inlineStr">
        <is>
          <t>2 independent assessors minimum</t>
        </is>
      </c>
      <c r="F109" s="20" t="inlineStr">
        <is>
          <t>Blind second scoring recommended</t>
        </is>
      </c>
      <c r="G109" s="20" t="inlineStr">
        <is>
          <t>Target ICC/weighted agreement ≥0.70 exploratory; ≥0.80 preferred for freeze</t>
        </is>
      </c>
      <c r="H109" s="20" t="inlineStr">
        <is>
          <t>Pilot N to be set by study design</t>
        </is>
      </c>
      <c r="I109" s="20" t="inlineStr">
        <is>
          <t>Pending</t>
        </is>
      </c>
      <c r="J109" s="20" t="inlineStr">
        <is>
          <t>Methodology Lead</t>
        </is>
      </c>
    </row>
    <row r="110">
      <c r="A110" s="20" t="inlineStr">
        <is>
          <t>D09</t>
        </is>
      </c>
      <c r="B110" s="20" t="inlineStr">
        <is>
          <t>I06</t>
        </is>
      </c>
      <c r="C110" s="20" t="inlineStr">
        <is>
          <t>Placement Outcome Quality</t>
        </is>
      </c>
      <c r="D110" s="20" t="inlineStr">
        <is>
          <t>5–10 anchor examples per metric before pilot</t>
        </is>
      </c>
      <c r="E110" s="20" t="inlineStr">
        <is>
          <t>2 independent assessors minimum</t>
        </is>
      </c>
      <c r="F110" s="20" t="inlineStr">
        <is>
          <t>Blind second scoring recommended</t>
        </is>
      </c>
      <c r="G110" s="20" t="inlineStr">
        <is>
          <t>Target ICC/weighted agreement ≥0.70 exploratory; ≥0.80 preferred for freeze</t>
        </is>
      </c>
      <c r="H110" s="20" t="inlineStr">
        <is>
          <t>Pilot N to be set by study design</t>
        </is>
      </c>
      <c r="I110" s="20" t="inlineStr">
        <is>
          <t>Pending</t>
        </is>
      </c>
      <c r="J110" s="20" t="inlineStr">
        <is>
          <t>Methodology Lead</t>
        </is>
      </c>
    </row>
    <row r="111">
      <c r="A111" s="20" t="inlineStr">
        <is>
          <t>D09</t>
        </is>
      </c>
      <c r="B111" s="20" t="inlineStr">
        <is>
          <t>I07</t>
        </is>
      </c>
      <c r="C111" s="20" t="inlineStr">
        <is>
          <t>Career Adaptability</t>
        </is>
      </c>
      <c r="D111" s="20" t="inlineStr">
        <is>
          <t>5–10 anchor examples per metric before pilot</t>
        </is>
      </c>
      <c r="E111" s="20" t="inlineStr">
        <is>
          <t>2 independent assessors minimum</t>
        </is>
      </c>
      <c r="F111" s="20" t="inlineStr">
        <is>
          <t>Blind second scoring recommended</t>
        </is>
      </c>
      <c r="G111" s="20" t="inlineStr">
        <is>
          <t>Target ICC/weighted agreement ≥0.70 exploratory; ≥0.80 preferred for freeze</t>
        </is>
      </c>
      <c r="H111" s="20" t="inlineStr">
        <is>
          <t>Pilot N to be set by study design</t>
        </is>
      </c>
      <c r="I111" s="20" t="inlineStr">
        <is>
          <t>Pending</t>
        </is>
      </c>
      <c r="J111" s="20" t="inlineStr">
        <is>
          <t>Methodology Lead</t>
        </is>
      </c>
    </row>
    <row r="112">
      <c r="A112" s="20" t="inlineStr">
        <is>
          <t>D09</t>
        </is>
      </c>
      <c r="B112" s="20" t="inlineStr">
        <is>
          <t>I08</t>
        </is>
      </c>
      <c r="C112" s="20" t="inlineStr">
        <is>
          <t>AI-Era Employability Readiness</t>
        </is>
      </c>
      <c r="D112" s="20" t="inlineStr">
        <is>
          <t>5–10 anchor examples per metric before pilot</t>
        </is>
      </c>
      <c r="E112" s="20" t="inlineStr">
        <is>
          <t>2 independent assessors minimum</t>
        </is>
      </c>
      <c r="F112" s="20" t="inlineStr">
        <is>
          <t>Blind second scoring recommended</t>
        </is>
      </c>
      <c r="G112" s="20" t="inlineStr">
        <is>
          <t>Target ICC/weighted agreement ≥0.70 exploratory; ≥0.80 preferred for freeze</t>
        </is>
      </c>
      <c r="H112" s="20" t="inlineStr">
        <is>
          <t>Pilot N to be set by study design</t>
        </is>
      </c>
      <c r="I112" s="20" t="inlineStr">
        <is>
          <t>Pending</t>
        </is>
      </c>
      <c r="J112" s="20" t="inlineStr">
        <is>
          <t>Methodology Lead</t>
        </is>
      </c>
    </row>
    <row r="113">
      <c r="A113" s="20" t="inlineStr">
        <is>
          <t>D09</t>
        </is>
      </c>
      <c r="B113" s="20" t="inlineStr">
        <is>
          <t>I09</t>
        </is>
      </c>
      <c r="C113" s="20" t="inlineStr">
        <is>
          <t>Capability Signalling</t>
        </is>
      </c>
      <c r="D113" s="20" t="inlineStr">
        <is>
          <t>5–10 anchor examples per metric before pilot</t>
        </is>
      </c>
      <c r="E113" s="20" t="inlineStr">
        <is>
          <t>2 independent assessors minimum</t>
        </is>
      </c>
      <c r="F113" s="20" t="inlineStr">
        <is>
          <t>Blind second scoring recommended</t>
        </is>
      </c>
      <c r="G113" s="20" t="inlineStr">
        <is>
          <t>Target ICC/weighted agreement ≥0.70 exploratory; ≥0.80 preferred for freeze</t>
        </is>
      </c>
      <c r="H113" s="20" t="inlineStr">
        <is>
          <t>Pilot N to be set by study design</t>
        </is>
      </c>
      <c r="I113" s="20" t="inlineStr">
        <is>
          <t>Pending</t>
        </is>
      </c>
      <c r="J113" s="20" t="inlineStr">
        <is>
          <t>Methodology Lead</t>
        </is>
      </c>
    </row>
    <row r="114">
      <c r="A114" s="20" t="inlineStr">
        <is>
          <t>D09</t>
        </is>
      </c>
      <c r="B114" s="20" t="inlineStr">
        <is>
          <t>I10</t>
        </is>
      </c>
      <c r="C114" s="20" t="inlineStr">
        <is>
          <t>Industry Co-Creation</t>
        </is>
      </c>
      <c r="D114" s="20" t="inlineStr">
        <is>
          <t>5–10 anchor examples per metric before pilot</t>
        </is>
      </c>
      <c r="E114" s="20" t="inlineStr">
        <is>
          <t>2 independent assessors minimum</t>
        </is>
      </c>
      <c r="F114" s="20" t="inlineStr">
        <is>
          <t>Blind second scoring recommended</t>
        </is>
      </c>
      <c r="G114" s="20" t="inlineStr">
        <is>
          <t>Target ICC/weighted agreement ≥0.70 exploratory; ≥0.80 preferred for freeze</t>
        </is>
      </c>
      <c r="H114" s="20" t="inlineStr">
        <is>
          <t>Pilot N to be set by study design</t>
        </is>
      </c>
      <c r="I114" s="20" t="inlineStr">
        <is>
          <t>Pending</t>
        </is>
      </c>
      <c r="J114" s="20" t="inlineStr">
        <is>
          <t>Methodology Lead</t>
        </is>
      </c>
    </row>
    <row r="115">
      <c r="A115" s="20" t="inlineStr">
        <is>
          <t>D09</t>
        </is>
      </c>
      <c r="B115" s="20" t="inlineStr">
        <is>
          <t>I11</t>
        </is>
      </c>
      <c r="C115" s="20" t="inlineStr">
        <is>
          <t>Regional/Economic Relevance</t>
        </is>
      </c>
      <c r="D115" s="20" t="inlineStr">
        <is>
          <t>5–10 anchor examples per metric before pilot</t>
        </is>
      </c>
      <c r="E115" s="20" t="inlineStr">
        <is>
          <t>2 independent assessors minimum</t>
        </is>
      </c>
      <c r="F115" s="20" t="inlineStr">
        <is>
          <t>Blind second scoring recommended</t>
        </is>
      </c>
      <c r="G115" s="20" t="inlineStr">
        <is>
          <t>Target ICC/weighted agreement ≥0.70 exploratory; ≥0.80 preferred for freeze</t>
        </is>
      </c>
      <c r="H115" s="20" t="inlineStr">
        <is>
          <t>Pilot N to be set by study design</t>
        </is>
      </c>
      <c r="I115" s="20" t="inlineStr">
        <is>
          <t>Pending</t>
        </is>
      </c>
      <c r="J115" s="20" t="inlineStr">
        <is>
          <t>Methodology Lead</t>
        </is>
      </c>
    </row>
    <row r="116">
      <c r="A116" s="20" t="inlineStr">
        <is>
          <t>D09</t>
        </is>
      </c>
      <c r="B116" s="20" t="inlineStr">
        <is>
          <t>I12</t>
        </is>
      </c>
      <c r="C116" s="20" t="inlineStr">
        <is>
          <t>Alumni Career Intelligence</t>
        </is>
      </c>
      <c r="D116" s="20" t="inlineStr">
        <is>
          <t>5–10 anchor examples per metric before pilot</t>
        </is>
      </c>
      <c r="E116" s="20" t="inlineStr">
        <is>
          <t>2 independent assessors minimum</t>
        </is>
      </c>
      <c r="F116" s="20" t="inlineStr">
        <is>
          <t>Blind second scoring recommended</t>
        </is>
      </c>
      <c r="G116" s="20" t="inlineStr">
        <is>
          <t>Target ICC/weighted agreement ≥0.70 exploratory; ≥0.80 preferred for freeze</t>
        </is>
      </c>
      <c r="H116" s="20" t="inlineStr">
        <is>
          <t>Pilot N to be set by study design</t>
        </is>
      </c>
      <c r="I116" s="20" t="inlineStr">
        <is>
          <t>Pending</t>
        </is>
      </c>
      <c r="J116" s="20" t="inlineStr">
        <is>
          <t>Methodology Lead</t>
        </is>
      </c>
    </row>
    <row r="117">
      <c r="A117" s="20" t="inlineStr">
        <is>
          <t>D10</t>
        </is>
      </c>
      <c r="B117" s="20" t="inlineStr">
        <is>
          <t>I01</t>
        </is>
      </c>
      <c r="C117" s="20" t="inlineStr">
        <is>
          <t>Research Strategy Maturity</t>
        </is>
      </c>
      <c r="D117" s="20" t="inlineStr">
        <is>
          <t>5–10 anchor examples per metric before pilot</t>
        </is>
      </c>
      <c r="E117" s="20" t="inlineStr">
        <is>
          <t>2 independent assessors minimum</t>
        </is>
      </c>
      <c r="F117" s="20" t="inlineStr">
        <is>
          <t>Blind second scoring recommended</t>
        </is>
      </c>
      <c r="G117" s="20" t="inlineStr">
        <is>
          <t>Target ICC/weighted agreement ≥0.70 exploratory; ≥0.80 preferred for freeze</t>
        </is>
      </c>
      <c r="H117" s="20" t="inlineStr">
        <is>
          <t>Pilot N to be set by study design</t>
        </is>
      </c>
      <c r="I117" s="20" t="inlineStr">
        <is>
          <t>Pending</t>
        </is>
      </c>
      <c r="J117" s="20" t="inlineStr">
        <is>
          <t>Methodology Lead</t>
        </is>
      </c>
    </row>
    <row r="118">
      <c r="A118" s="20" t="inlineStr">
        <is>
          <t>D10</t>
        </is>
      </c>
      <c r="B118" s="20" t="inlineStr">
        <is>
          <t>I02</t>
        </is>
      </c>
      <c r="C118" s="20" t="inlineStr">
        <is>
          <t>Research Portfolio Balance</t>
        </is>
      </c>
      <c r="D118" s="20" t="inlineStr">
        <is>
          <t>5–10 anchor examples per metric before pilot</t>
        </is>
      </c>
      <c r="E118" s="20" t="inlineStr">
        <is>
          <t>2 independent assessors minimum</t>
        </is>
      </c>
      <c r="F118" s="20" t="inlineStr">
        <is>
          <t>Blind second scoring recommended</t>
        </is>
      </c>
      <c r="G118" s="20" t="inlineStr">
        <is>
          <t>Target ICC/weighted agreement ≥0.70 exploratory; ≥0.80 preferred for freeze</t>
        </is>
      </c>
      <c r="H118" s="20" t="inlineStr">
        <is>
          <t>Pilot N to be set by study design</t>
        </is>
      </c>
      <c r="I118" s="20" t="inlineStr">
        <is>
          <t>Pending</t>
        </is>
      </c>
      <c r="J118" s="20" t="inlineStr">
        <is>
          <t>Methodology Lead</t>
        </is>
      </c>
    </row>
    <row r="119">
      <c r="A119" s="20" t="inlineStr">
        <is>
          <t>D10</t>
        </is>
      </c>
      <c r="B119" s="20" t="inlineStr">
        <is>
          <t>I03</t>
        </is>
      </c>
      <c r="C119" s="20" t="inlineStr">
        <is>
          <t>Interdisciplinary Research Capability</t>
        </is>
      </c>
      <c r="D119" s="20" t="inlineStr">
        <is>
          <t>5–10 anchor examples per metric before pilot</t>
        </is>
      </c>
      <c r="E119" s="20" t="inlineStr">
        <is>
          <t>2 independent assessors minimum</t>
        </is>
      </c>
      <c r="F119" s="20" t="inlineStr">
        <is>
          <t>Blind second scoring recommended</t>
        </is>
      </c>
      <c r="G119" s="20" t="inlineStr">
        <is>
          <t>Target ICC/weighted agreement ≥0.70 exploratory; ≥0.80 preferred for freeze</t>
        </is>
      </c>
      <c r="H119" s="20" t="inlineStr">
        <is>
          <t>Pilot N to be set by study design</t>
        </is>
      </c>
      <c r="I119" s="20" t="inlineStr">
        <is>
          <t>Pending</t>
        </is>
      </c>
      <c r="J119" s="20" t="inlineStr">
        <is>
          <t>Methodology Lead</t>
        </is>
      </c>
    </row>
    <row r="120">
      <c r="A120" s="20" t="inlineStr">
        <is>
          <t>D10</t>
        </is>
      </c>
      <c r="B120" s="20" t="inlineStr">
        <is>
          <t>I04</t>
        </is>
      </c>
      <c r="C120" s="20" t="inlineStr">
        <is>
          <t>AI-Enabled Research Capability</t>
        </is>
      </c>
      <c r="D120" s="20" t="inlineStr">
        <is>
          <t>5–10 anchor examples per metric before pilot</t>
        </is>
      </c>
      <c r="E120" s="20" t="inlineStr">
        <is>
          <t>2 independent assessors minimum</t>
        </is>
      </c>
      <c r="F120" s="20" t="inlineStr">
        <is>
          <t>Blind second scoring recommended</t>
        </is>
      </c>
      <c r="G120" s="20" t="inlineStr">
        <is>
          <t>Target ICC/weighted agreement ≥0.70 exploratory; ≥0.80 preferred for freeze</t>
        </is>
      </c>
      <c r="H120" s="20" t="inlineStr">
        <is>
          <t>Pilot N to be set by study design</t>
        </is>
      </c>
      <c r="I120" s="20" t="inlineStr">
        <is>
          <t>Pending</t>
        </is>
      </c>
      <c r="J120" s="20" t="inlineStr">
        <is>
          <t>Methodology Lead</t>
        </is>
      </c>
    </row>
    <row r="121">
      <c r="A121" s="20" t="inlineStr">
        <is>
          <t>D10</t>
        </is>
      </c>
      <c r="B121" s="20" t="inlineStr">
        <is>
          <t>I05</t>
        </is>
      </c>
      <c r="C121" s="20" t="inlineStr">
        <is>
          <t>Research Infrastructure Readiness</t>
        </is>
      </c>
      <c r="D121" s="20" t="inlineStr">
        <is>
          <t>5–10 anchor examples per metric before pilot</t>
        </is>
      </c>
      <c r="E121" s="20" t="inlineStr">
        <is>
          <t>2 independent assessors minimum</t>
        </is>
      </c>
      <c r="F121" s="20" t="inlineStr">
        <is>
          <t>Blind second scoring recommended</t>
        </is>
      </c>
      <c r="G121" s="20" t="inlineStr">
        <is>
          <t>Target ICC/weighted agreement ≥0.70 exploratory; ≥0.80 preferred for freeze</t>
        </is>
      </c>
      <c r="H121" s="20" t="inlineStr">
        <is>
          <t>Pilot N to be set by study design</t>
        </is>
      </c>
      <c r="I121" s="20" t="inlineStr">
        <is>
          <t>Pending</t>
        </is>
      </c>
      <c r="J121" s="20" t="inlineStr">
        <is>
          <t>Methodology Lead</t>
        </is>
      </c>
    </row>
    <row r="122">
      <c r="A122" s="20" t="inlineStr">
        <is>
          <t>D10</t>
        </is>
      </c>
      <c r="B122" s="20" t="inlineStr">
        <is>
          <t>I06</t>
        </is>
      </c>
      <c r="C122" s="20" t="inlineStr">
        <is>
          <t>Researcher Capability</t>
        </is>
      </c>
      <c r="D122" s="20" t="inlineStr">
        <is>
          <t>5–10 anchor examples per metric before pilot</t>
        </is>
      </c>
      <c r="E122" s="20" t="inlineStr">
        <is>
          <t>2 independent assessors minimum</t>
        </is>
      </c>
      <c r="F122" s="20" t="inlineStr">
        <is>
          <t>Blind second scoring recommended</t>
        </is>
      </c>
      <c r="G122" s="20" t="inlineStr">
        <is>
          <t>Target ICC/weighted agreement ≥0.70 exploratory; ≥0.80 preferred for freeze</t>
        </is>
      </c>
      <c r="H122" s="20" t="inlineStr">
        <is>
          <t>Pilot N to be set by study design</t>
        </is>
      </c>
      <c r="I122" s="20" t="inlineStr">
        <is>
          <t>Pending</t>
        </is>
      </c>
      <c r="J122" s="20" t="inlineStr">
        <is>
          <t>Methodology Lead</t>
        </is>
      </c>
    </row>
    <row r="123">
      <c r="A123" s="20" t="inlineStr">
        <is>
          <t>D10</t>
        </is>
      </c>
      <c r="B123" s="20" t="inlineStr">
        <is>
          <t>I07</t>
        </is>
      </c>
      <c r="C123" s="20" t="inlineStr">
        <is>
          <t>Research Funding Capability</t>
        </is>
      </c>
      <c r="D123" s="20" t="inlineStr">
        <is>
          <t>5–10 anchor examples per metric before pilot</t>
        </is>
      </c>
      <c r="E123" s="20" t="inlineStr">
        <is>
          <t>2 independent assessors minimum</t>
        </is>
      </c>
      <c r="F123" s="20" t="inlineStr">
        <is>
          <t>Blind second scoring recommended</t>
        </is>
      </c>
      <c r="G123" s="20" t="inlineStr">
        <is>
          <t>Target ICC/weighted agreement ≥0.70 exploratory; ≥0.80 preferred for freeze</t>
        </is>
      </c>
      <c r="H123" s="20" t="inlineStr">
        <is>
          <t>Pilot N to be set by study design</t>
        </is>
      </c>
      <c r="I123" s="20" t="inlineStr">
        <is>
          <t>Pending</t>
        </is>
      </c>
      <c r="J123" s="20" t="inlineStr">
        <is>
          <t>Methodology Lead</t>
        </is>
      </c>
    </row>
    <row r="124">
      <c r="A124" s="20" t="inlineStr">
        <is>
          <t>D10</t>
        </is>
      </c>
      <c r="B124" s="20" t="inlineStr">
        <is>
          <t>I08</t>
        </is>
      </c>
      <c r="C124" s="20" t="inlineStr">
        <is>
          <t>Knowledge Translation Capability</t>
        </is>
      </c>
      <c r="D124" s="20" t="inlineStr">
        <is>
          <t>5–10 anchor examples per metric before pilot</t>
        </is>
      </c>
      <c r="E124" s="20" t="inlineStr">
        <is>
          <t>2 independent assessors minimum</t>
        </is>
      </c>
      <c r="F124" s="20" t="inlineStr">
        <is>
          <t>Blind second scoring recommended</t>
        </is>
      </c>
      <c r="G124" s="20" t="inlineStr">
        <is>
          <t>Target ICC/weighted agreement ≥0.70 exploratory; ≥0.80 preferred for freeze</t>
        </is>
      </c>
      <c r="H124" s="20" t="inlineStr">
        <is>
          <t>Pilot N to be set by study design</t>
        </is>
      </c>
      <c r="I124" s="20" t="inlineStr">
        <is>
          <t>Pending</t>
        </is>
      </c>
      <c r="J124" s="20" t="inlineStr">
        <is>
          <t>Methodology Lead</t>
        </is>
      </c>
    </row>
    <row r="125">
      <c r="A125" s="20" t="inlineStr">
        <is>
          <t>D10</t>
        </is>
      </c>
      <c r="B125" s="20" t="inlineStr">
        <is>
          <t>I09</t>
        </is>
      </c>
      <c r="C125" s="20" t="inlineStr">
        <is>
          <t>Industry-Linked Research</t>
        </is>
      </c>
      <c r="D125" s="20" t="inlineStr">
        <is>
          <t>5–10 anchor examples per metric before pilot</t>
        </is>
      </c>
      <c r="E125" s="20" t="inlineStr">
        <is>
          <t>2 independent assessors minimum</t>
        </is>
      </c>
      <c r="F125" s="20" t="inlineStr">
        <is>
          <t>Blind second scoring recommended</t>
        </is>
      </c>
      <c r="G125" s="20" t="inlineStr">
        <is>
          <t>Target ICC/weighted agreement ≥0.70 exploratory; ≥0.80 preferred for freeze</t>
        </is>
      </c>
      <c r="H125" s="20" t="inlineStr">
        <is>
          <t>Pilot N to be set by study design</t>
        </is>
      </c>
      <c r="I125" s="20" t="inlineStr">
        <is>
          <t>Pending</t>
        </is>
      </c>
      <c r="J125" s="20" t="inlineStr">
        <is>
          <t>Methodology Lead</t>
        </is>
      </c>
    </row>
    <row r="126">
      <c r="A126" s="20" t="inlineStr">
        <is>
          <t>D10</t>
        </is>
      </c>
      <c r="B126" s="20" t="inlineStr">
        <is>
          <t>I10</t>
        </is>
      </c>
      <c r="C126" s="20" t="inlineStr">
        <is>
          <t>Research-to-Innovation Pipeline</t>
        </is>
      </c>
      <c r="D126" s="20" t="inlineStr">
        <is>
          <t>5–10 anchor examples per metric before pilot</t>
        </is>
      </c>
      <c r="E126" s="20" t="inlineStr">
        <is>
          <t>2 independent assessors minimum</t>
        </is>
      </c>
      <c r="F126" s="20" t="inlineStr">
        <is>
          <t>Blind second scoring recommended</t>
        </is>
      </c>
      <c r="G126" s="20" t="inlineStr">
        <is>
          <t>Target ICC/weighted agreement ≥0.70 exploratory; ≥0.80 preferred for freeze</t>
        </is>
      </c>
      <c r="H126" s="20" t="inlineStr">
        <is>
          <t>Pilot N to be set by study design</t>
        </is>
      </c>
      <c r="I126" s="20" t="inlineStr">
        <is>
          <t>Pending</t>
        </is>
      </c>
      <c r="J126" s="20" t="inlineStr">
        <is>
          <t>Methodology Lead</t>
        </is>
      </c>
    </row>
    <row r="127">
      <c r="A127" s="20" t="inlineStr">
        <is>
          <t>D10</t>
        </is>
      </c>
      <c r="B127" s="20" t="inlineStr">
        <is>
          <t>I11</t>
        </is>
      </c>
      <c r="C127" s="20" t="inlineStr">
        <is>
          <t>IP &amp; Knowledge Assets</t>
        </is>
      </c>
      <c r="D127" s="20" t="inlineStr">
        <is>
          <t>5–10 anchor examples per metric before pilot</t>
        </is>
      </c>
      <c r="E127" s="20" t="inlineStr">
        <is>
          <t>2 independent assessors minimum</t>
        </is>
      </c>
      <c r="F127" s="20" t="inlineStr">
        <is>
          <t>Blind second scoring recommended</t>
        </is>
      </c>
      <c r="G127" s="20" t="inlineStr">
        <is>
          <t>Target ICC/weighted agreement ≥0.70 exploratory; ≥0.80 preferred for freeze</t>
        </is>
      </c>
      <c r="H127" s="20" t="inlineStr">
        <is>
          <t>Pilot N to be set by study design</t>
        </is>
      </c>
      <c r="I127" s="20" t="inlineStr">
        <is>
          <t>Pending</t>
        </is>
      </c>
      <c r="J127" s="20" t="inlineStr">
        <is>
          <t>Methodology Lead</t>
        </is>
      </c>
    </row>
    <row r="128">
      <c r="A128" s="20" t="inlineStr">
        <is>
          <t>D10</t>
        </is>
      </c>
      <c r="B128" s="20" t="inlineStr">
        <is>
          <t>I12</t>
        </is>
      </c>
      <c r="C128" s="20" t="inlineStr">
        <is>
          <t>Research Integrity &amp; Responsible AI</t>
        </is>
      </c>
      <c r="D128" s="20" t="inlineStr">
        <is>
          <t>5–10 anchor examples per metric before pilot</t>
        </is>
      </c>
      <c r="E128" s="20" t="inlineStr">
        <is>
          <t>2 independent assessors minimum</t>
        </is>
      </c>
      <c r="F128" s="20" t="inlineStr">
        <is>
          <t>Blind second scoring recommended</t>
        </is>
      </c>
      <c r="G128" s="20" t="inlineStr">
        <is>
          <t>Target ICC/weighted agreement ≥0.70 exploratory; ≥0.80 preferred for freeze</t>
        </is>
      </c>
      <c r="H128" s="20" t="inlineStr">
        <is>
          <t>Pilot N to be set by study design</t>
        </is>
      </c>
      <c r="I128" s="20" t="inlineStr">
        <is>
          <t>Pending</t>
        </is>
      </c>
      <c r="J128" s="20" t="inlineStr">
        <is>
          <t>Methodology Lead</t>
        </is>
      </c>
    </row>
    <row r="129">
      <c r="A129" s="20" t="inlineStr">
        <is>
          <t>D10</t>
        </is>
      </c>
      <c r="B129" s="20" t="inlineStr">
        <is>
          <t>I13</t>
        </is>
      </c>
      <c r="C129" s="20" t="inlineStr">
        <is>
          <t>Research Impact Evidence</t>
        </is>
      </c>
      <c r="D129" s="20" t="inlineStr">
        <is>
          <t>5–10 anchor examples per metric before pilot</t>
        </is>
      </c>
      <c r="E129" s="20" t="inlineStr">
        <is>
          <t>2 independent assessors minimum</t>
        </is>
      </c>
      <c r="F129" s="20" t="inlineStr">
        <is>
          <t>Blind second scoring recommended</t>
        </is>
      </c>
      <c r="G129" s="20" t="inlineStr">
        <is>
          <t>Target ICC/weighted agreement ≥0.70 exploratory; ≥0.80 preferred for freeze</t>
        </is>
      </c>
      <c r="H129" s="20" t="inlineStr">
        <is>
          <t>Pilot N to be set by study design</t>
        </is>
      </c>
      <c r="I129" s="20" t="inlineStr">
        <is>
          <t>Pending</t>
        </is>
      </c>
      <c r="J129" s="20" t="inlineStr">
        <is>
          <t>Methodology Lead</t>
        </is>
      </c>
    </row>
    <row r="130">
      <c r="A130" s="20" t="inlineStr">
        <is>
          <t>D10</t>
        </is>
      </c>
      <c r="B130" s="20" t="inlineStr">
        <is>
          <t>I14</t>
        </is>
      </c>
      <c r="C130" s="20" t="inlineStr">
        <is>
          <t>Student Research Capability</t>
        </is>
      </c>
      <c r="D130" s="20" t="inlineStr">
        <is>
          <t>5–10 anchor examples per metric before pilot</t>
        </is>
      </c>
      <c r="E130" s="20" t="inlineStr">
        <is>
          <t>2 independent assessors minimum</t>
        </is>
      </c>
      <c r="F130" s="20" t="inlineStr">
        <is>
          <t>Blind second scoring recommended</t>
        </is>
      </c>
      <c r="G130" s="20" t="inlineStr">
        <is>
          <t>Target ICC/weighted agreement ≥0.70 exploratory; ≥0.80 preferred for freeze</t>
        </is>
      </c>
      <c r="H130" s="20" t="inlineStr">
        <is>
          <t>Pilot N to be set by study design</t>
        </is>
      </c>
      <c r="I130" s="20" t="inlineStr">
        <is>
          <t>Pending</t>
        </is>
      </c>
      <c r="J130" s="20" t="inlineStr">
        <is>
          <t>Methodology Lead</t>
        </is>
      </c>
    </row>
    <row r="131">
      <c r="A131" s="20" t="inlineStr">
        <is>
          <t>D11</t>
        </is>
      </c>
      <c r="B131" s="20" t="inlineStr">
        <is>
          <t>I01</t>
        </is>
      </c>
      <c r="C131" s="20" t="inlineStr">
        <is>
          <t>External Change Sensing</t>
        </is>
      </c>
      <c r="D131" s="20" t="inlineStr">
        <is>
          <t>5–10 anchor examples per metric before pilot</t>
        </is>
      </c>
      <c r="E131" s="20" t="inlineStr">
        <is>
          <t>2 independent assessors minimum</t>
        </is>
      </c>
      <c r="F131" s="20" t="inlineStr">
        <is>
          <t>Blind second scoring recommended</t>
        </is>
      </c>
      <c r="G131" s="20" t="inlineStr">
        <is>
          <t>Target ICC/weighted agreement ≥0.70 exploratory; ≥0.80 preferred for freeze</t>
        </is>
      </c>
      <c r="H131" s="20" t="inlineStr">
        <is>
          <t>Pilot N to be set by study design</t>
        </is>
      </c>
      <c r="I131" s="20" t="inlineStr">
        <is>
          <t>Pending</t>
        </is>
      </c>
      <c r="J131" s="20" t="inlineStr">
        <is>
          <t>Methodology Lead</t>
        </is>
      </c>
    </row>
    <row r="132">
      <c r="A132" s="20" t="inlineStr">
        <is>
          <t>D11</t>
        </is>
      </c>
      <c r="B132" s="20" t="inlineStr">
        <is>
          <t>I02</t>
        </is>
      </c>
      <c r="C132" s="20" t="inlineStr">
        <is>
          <t>Strategic Response Agility</t>
        </is>
      </c>
      <c r="D132" s="20" t="inlineStr">
        <is>
          <t>5–10 anchor examples per metric before pilot</t>
        </is>
      </c>
      <c r="E132" s="20" t="inlineStr">
        <is>
          <t>2 independent assessors minimum</t>
        </is>
      </c>
      <c r="F132" s="20" t="inlineStr">
        <is>
          <t>Blind second scoring recommended</t>
        </is>
      </c>
      <c r="G132" s="20" t="inlineStr">
        <is>
          <t>Target ICC/weighted agreement ≥0.70 exploratory; ≥0.80 preferred for freeze</t>
        </is>
      </c>
      <c r="H132" s="20" t="inlineStr">
        <is>
          <t>Pilot N to be set by study design</t>
        </is>
      </c>
      <c r="I132" s="20" t="inlineStr">
        <is>
          <t>Pending</t>
        </is>
      </c>
      <c r="J132" s="20" t="inlineStr">
        <is>
          <t>Methodology Lead</t>
        </is>
      </c>
    </row>
    <row r="133">
      <c r="A133" s="20" t="inlineStr">
        <is>
          <t>D11</t>
        </is>
      </c>
      <c r="B133" s="20" t="inlineStr">
        <is>
          <t>I03</t>
        </is>
      </c>
      <c r="C133" s="20" t="inlineStr">
        <is>
          <t>Adaptive Decision Architecture</t>
        </is>
      </c>
      <c r="D133" s="20" t="inlineStr">
        <is>
          <t>5–10 anchor examples per metric before pilot</t>
        </is>
      </c>
      <c r="E133" s="20" t="inlineStr">
        <is>
          <t>2 independent assessors minimum</t>
        </is>
      </c>
      <c r="F133" s="20" t="inlineStr">
        <is>
          <t>Blind second scoring recommended</t>
        </is>
      </c>
      <c r="G133" s="20" t="inlineStr">
        <is>
          <t>Target ICC/weighted agreement ≥0.70 exploratory; ≥0.80 preferred for freeze</t>
        </is>
      </c>
      <c r="H133" s="20" t="inlineStr">
        <is>
          <t>Pilot N to be set by study design</t>
        </is>
      </c>
      <c r="I133" s="20" t="inlineStr">
        <is>
          <t>Pending</t>
        </is>
      </c>
      <c r="J133" s="20" t="inlineStr">
        <is>
          <t>Methodology Lead</t>
        </is>
      </c>
    </row>
    <row r="134">
      <c r="A134" s="20" t="inlineStr">
        <is>
          <t>D11</t>
        </is>
      </c>
      <c r="B134" s="20" t="inlineStr">
        <is>
          <t>I04</t>
        </is>
      </c>
      <c r="C134" s="20" t="inlineStr">
        <is>
          <t>Resource Reallocation Agility</t>
        </is>
      </c>
      <c r="D134" s="20" t="inlineStr">
        <is>
          <t>5–10 anchor examples per metric before pilot</t>
        </is>
      </c>
      <c r="E134" s="20" t="inlineStr">
        <is>
          <t>2 independent assessors minimum</t>
        </is>
      </c>
      <c r="F134" s="20" t="inlineStr">
        <is>
          <t>Blind second scoring recommended</t>
        </is>
      </c>
      <c r="G134" s="20" t="inlineStr">
        <is>
          <t>Target ICC/weighted agreement ≥0.70 exploratory; ≥0.80 preferred for freeze</t>
        </is>
      </c>
      <c r="H134" s="20" t="inlineStr">
        <is>
          <t>Pilot N to be set by study design</t>
        </is>
      </c>
      <c r="I134" s="20" t="inlineStr">
        <is>
          <t>Pending</t>
        </is>
      </c>
      <c r="J134" s="20" t="inlineStr">
        <is>
          <t>Methodology Lead</t>
        </is>
      </c>
    </row>
    <row r="135">
      <c r="A135" s="20" t="inlineStr">
        <is>
          <t>D11</t>
        </is>
      </c>
      <c r="B135" s="20" t="inlineStr">
        <is>
          <t>I05</t>
        </is>
      </c>
      <c r="C135" s="20" t="inlineStr">
        <is>
          <t>Institutional Experimentation</t>
        </is>
      </c>
      <c r="D135" s="20" t="inlineStr">
        <is>
          <t>5–10 anchor examples per metric before pilot</t>
        </is>
      </c>
      <c r="E135" s="20" t="inlineStr">
        <is>
          <t>2 independent assessors minimum</t>
        </is>
      </c>
      <c r="F135" s="20" t="inlineStr">
        <is>
          <t>Blind second scoring recommended</t>
        </is>
      </c>
      <c r="G135" s="20" t="inlineStr">
        <is>
          <t>Target ICC/weighted agreement ≥0.70 exploratory; ≥0.80 preferred for freeze</t>
        </is>
      </c>
      <c r="H135" s="20" t="inlineStr">
        <is>
          <t>Pilot N to be set by study design</t>
        </is>
      </c>
      <c r="I135" s="20" t="inlineStr">
        <is>
          <t>Pending</t>
        </is>
      </c>
      <c r="J135" s="20" t="inlineStr">
        <is>
          <t>Methodology Lead</t>
        </is>
      </c>
    </row>
    <row r="136">
      <c r="A136" s="20" t="inlineStr">
        <is>
          <t>D11</t>
        </is>
      </c>
      <c r="B136" s="20" t="inlineStr">
        <is>
          <t>I06</t>
        </is>
      </c>
      <c r="C136" s="20" t="inlineStr">
        <is>
          <t>Failure-to-Learning Capability</t>
        </is>
      </c>
      <c r="D136" s="20" t="inlineStr">
        <is>
          <t>5–10 anchor examples per metric before pilot</t>
        </is>
      </c>
      <c r="E136" s="20" t="inlineStr">
        <is>
          <t>2 independent assessors minimum</t>
        </is>
      </c>
      <c r="F136" s="20" t="inlineStr">
        <is>
          <t>Blind second scoring recommended</t>
        </is>
      </c>
      <c r="G136" s="20" t="inlineStr">
        <is>
          <t>Target ICC/weighted agreement ≥0.70 exploratory; ≥0.80 preferred for freeze</t>
        </is>
      </c>
      <c r="H136" s="20" t="inlineStr">
        <is>
          <t>Pilot N to be set by study design</t>
        </is>
      </c>
      <c r="I136" s="20" t="inlineStr">
        <is>
          <t>Pending</t>
        </is>
      </c>
      <c r="J136" s="20" t="inlineStr">
        <is>
          <t>Methodology Lead</t>
        </is>
      </c>
    </row>
    <row r="137">
      <c r="A137" s="20" t="inlineStr">
        <is>
          <t>D11</t>
        </is>
      </c>
      <c r="B137" s="20" t="inlineStr">
        <is>
          <t>I07</t>
        </is>
      </c>
      <c r="C137" s="20" t="inlineStr">
        <is>
          <t>Change Management Capacity</t>
        </is>
      </c>
      <c r="D137" s="20" t="inlineStr">
        <is>
          <t>5–10 anchor examples per metric before pilot</t>
        </is>
      </c>
      <c r="E137" s="20" t="inlineStr">
        <is>
          <t>2 independent assessors minimum</t>
        </is>
      </c>
      <c r="F137" s="20" t="inlineStr">
        <is>
          <t>Blind second scoring recommended</t>
        </is>
      </c>
      <c r="G137" s="20" t="inlineStr">
        <is>
          <t>Target ICC/weighted agreement ≥0.70 exploratory; ≥0.80 preferred for freeze</t>
        </is>
      </c>
      <c r="H137" s="20" t="inlineStr">
        <is>
          <t>Pilot N to be set by study design</t>
        </is>
      </c>
      <c r="I137" s="20" t="inlineStr">
        <is>
          <t>Pending</t>
        </is>
      </c>
      <c r="J137" s="20" t="inlineStr">
        <is>
          <t>Methodology Lead</t>
        </is>
      </c>
    </row>
    <row r="138">
      <c r="A138" s="20" t="inlineStr">
        <is>
          <t>D11</t>
        </is>
      </c>
      <c r="B138" s="20" t="inlineStr">
        <is>
          <t>I08</t>
        </is>
      </c>
      <c r="C138" s="20" t="inlineStr">
        <is>
          <t>Adaptive Leadership Alignment</t>
        </is>
      </c>
      <c r="D138" s="20" t="inlineStr">
        <is>
          <t>5–10 anchor examples per metric before pilot</t>
        </is>
      </c>
      <c r="E138" s="20" t="inlineStr">
        <is>
          <t>2 independent assessors minimum</t>
        </is>
      </c>
      <c r="F138" s="20" t="inlineStr">
        <is>
          <t>Blind second scoring recommended</t>
        </is>
      </c>
      <c r="G138" s="20" t="inlineStr">
        <is>
          <t>Target ICC/weighted agreement ≥0.70 exploratory; ≥0.80 preferred for freeze</t>
        </is>
      </c>
      <c r="H138" s="20" t="inlineStr">
        <is>
          <t>Pilot N to be set by study design</t>
        </is>
      </c>
      <c r="I138" s="20" t="inlineStr">
        <is>
          <t>Pending</t>
        </is>
      </c>
      <c r="J138" s="20" t="inlineStr">
        <is>
          <t>Methodology Lead</t>
        </is>
      </c>
    </row>
    <row r="139">
      <c r="A139" s="20" t="inlineStr">
        <is>
          <t>D11</t>
        </is>
      </c>
      <c r="B139" s="20" t="inlineStr">
        <is>
          <t>I09</t>
        </is>
      </c>
      <c r="C139" s="20" t="inlineStr">
        <is>
          <t>Learner Signal Responsiveness</t>
        </is>
      </c>
      <c r="D139" s="20" t="inlineStr">
        <is>
          <t>5–10 anchor examples per metric before pilot</t>
        </is>
      </c>
      <c r="E139" s="20" t="inlineStr">
        <is>
          <t>2 independent assessors minimum</t>
        </is>
      </c>
      <c r="F139" s="20" t="inlineStr">
        <is>
          <t>Blind second scoring recommended</t>
        </is>
      </c>
      <c r="G139" s="20" t="inlineStr">
        <is>
          <t>Target ICC/weighted agreement ≥0.70 exploratory; ≥0.80 preferred for freeze</t>
        </is>
      </c>
      <c r="H139" s="20" t="inlineStr">
        <is>
          <t>Pilot N to be set by study design</t>
        </is>
      </c>
      <c r="I139" s="20" t="inlineStr">
        <is>
          <t>Pending</t>
        </is>
      </c>
      <c r="J139" s="20" t="inlineStr">
        <is>
          <t>Methodology Lead</t>
        </is>
      </c>
    </row>
    <row r="140">
      <c r="A140" s="20" t="inlineStr">
        <is>
          <t>D11</t>
        </is>
      </c>
      <c r="B140" s="20" t="inlineStr">
        <is>
          <t>I10</t>
        </is>
      </c>
      <c r="C140" s="20" t="inlineStr">
        <is>
          <t>Economic &amp; Workforce Responsiveness</t>
        </is>
      </c>
      <c r="D140" s="20" t="inlineStr">
        <is>
          <t>5–10 anchor examples per metric before pilot</t>
        </is>
      </c>
      <c r="E140" s="20" t="inlineStr">
        <is>
          <t>2 independent assessors minimum</t>
        </is>
      </c>
      <c r="F140" s="20" t="inlineStr">
        <is>
          <t>Blind second scoring recommended</t>
        </is>
      </c>
      <c r="G140" s="20" t="inlineStr">
        <is>
          <t>Target ICC/weighted agreement ≥0.70 exploratory; ≥0.80 preferred for freeze</t>
        </is>
      </c>
      <c r="H140" s="20" t="inlineStr">
        <is>
          <t>Pilot N to be set by study design</t>
        </is>
      </c>
      <c r="I140" s="20" t="inlineStr">
        <is>
          <t>Pending</t>
        </is>
      </c>
      <c r="J140" s="20" t="inlineStr">
        <is>
          <t>Methodology Lead</t>
        </is>
      </c>
    </row>
    <row r="141">
      <c r="A141" s="20" t="inlineStr">
        <is>
          <t>D11</t>
        </is>
      </c>
      <c r="B141" s="20" t="inlineStr">
        <is>
          <t>I11</t>
        </is>
      </c>
      <c r="C141" s="20" t="inlineStr">
        <is>
          <t>Scenario Planning Capability</t>
        </is>
      </c>
      <c r="D141" s="20" t="inlineStr">
        <is>
          <t>5–10 anchor examples per metric before pilot</t>
        </is>
      </c>
      <c r="E141" s="20" t="inlineStr">
        <is>
          <t>2 independent assessors minimum</t>
        </is>
      </c>
      <c r="F141" s="20" t="inlineStr">
        <is>
          <t>Blind second scoring recommended</t>
        </is>
      </c>
      <c r="G141" s="20" t="inlineStr">
        <is>
          <t>Target ICC/weighted agreement ≥0.70 exploratory; ≥0.80 preferred for freeze</t>
        </is>
      </c>
      <c r="H141" s="20" t="inlineStr">
        <is>
          <t>Pilot N to be set by study design</t>
        </is>
      </c>
      <c r="I141" s="20" t="inlineStr">
        <is>
          <t>Pending</t>
        </is>
      </c>
      <c r="J141" s="20" t="inlineStr">
        <is>
          <t>Methodology Lead</t>
        </is>
      </c>
    </row>
    <row r="142">
      <c r="A142" s="20" t="inlineStr">
        <is>
          <t>D11</t>
        </is>
      </c>
      <c r="B142" s="20" t="inlineStr">
        <is>
          <t>I12</t>
        </is>
      </c>
      <c r="C142" s="20" t="inlineStr">
        <is>
          <t>Institutional Resilience</t>
        </is>
      </c>
      <c r="D142" s="20" t="inlineStr">
        <is>
          <t>5–10 anchor examples per metric before pilot</t>
        </is>
      </c>
      <c r="E142" s="20" t="inlineStr">
        <is>
          <t>2 independent assessors minimum</t>
        </is>
      </c>
      <c r="F142" s="20" t="inlineStr">
        <is>
          <t>Blind second scoring recommended</t>
        </is>
      </c>
      <c r="G142" s="20" t="inlineStr">
        <is>
          <t>Target ICC/weighted agreement ≥0.70 exploratory; ≥0.80 preferred for freeze</t>
        </is>
      </c>
      <c r="H142" s="20" t="inlineStr">
        <is>
          <t>Pilot N to be set by study design</t>
        </is>
      </c>
      <c r="I142" s="20" t="inlineStr">
        <is>
          <t>Pending</t>
        </is>
      </c>
      <c r="J142" s="20" t="inlineStr">
        <is>
          <t>Methodology Lead</t>
        </is>
      </c>
    </row>
    <row r="143">
      <c r="A143" s="20" t="inlineStr">
        <is>
          <t>D11</t>
        </is>
      </c>
      <c r="B143" s="20" t="inlineStr">
        <is>
          <t>I13</t>
        </is>
      </c>
      <c r="C143" s="20" t="inlineStr">
        <is>
          <t>Institutional Learning System</t>
        </is>
      </c>
      <c r="D143" s="20" t="inlineStr">
        <is>
          <t>5–10 anchor examples per metric before pilot</t>
        </is>
      </c>
      <c r="E143" s="20" t="inlineStr">
        <is>
          <t>2 independent assessors minimum</t>
        </is>
      </c>
      <c r="F143" s="20" t="inlineStr">
        <is>
          <t>Blind second scoring recommended</t>
        </is>
      </c>
      <c r="G143" s="20" t="inlineStr">
        <is>
          <t>Target ICC/weighted agreement ≥0.70 exploratory; ≥0.80 preferred for freeze</t>
        </is>
      </c>
      <c r="H143" s="20" t="inlineStr">
        <is>
          <t>Pilot N to be set by study design</t>
        </is>
      </c>
      <c r="I143" s="20" t="inlineStr">
        <is>
          <t>Pending</t>
        </is>
      </c>
      <c r="J143" s="20" t="inlineStr">
        <is>
          <t>Methodology Lead</t>
        </is>
      </c>
    </row>
    <row r="144">
      <c r="A144" s="20" t="inlineStr">
        <is>
          <t>D11</t>
        </is>
      </c>
      <c r="B144" s="20" t="inlineStr">
        <is>
          <t>I14</t>
        </is>
      </c>
      <c r="C144" s="20" t="inlineStr">
        <is>
          <t>Future Transformation Capacity</t>
        </is>
      </c>
      <c r="D144" s="20" t="inlineStr">
        <is>
          <t>5–10 anchor examples per metric before pilot</t>
        </is>
      </c>
      <c r="E144" s="20" t="inlineStr">
        <is>
          <t>2 independent assessors minimum</t>
        </is>
      </c>
      <c r="F144" s="20" t="inlineStr">
        <is>
          <t>Blind second scoring recommended</t>
        </is>
      </c>
      <c r="G144" s="20" t="inlineStr">
        <is>
          <t>Target ICC/weighted agreement ≥0.70 exploratory; ≥0.80 preferred for freeze</t>
        </is>
      </c>
      <c r="H144" s="20" t="inlineStr">
        <is>
          <t>Pilot N to be set by study design</t>
        </is>
      </c>
      <c r="I144" s="20" t="inlineStr">
        <is>
          <t>Pending</t>
        </is>
      </c>
      <c r="J144" s="20" t="inlineStr">
        <is>
          <t>Methodology Lead</t>
        </is>
      </c>
    </row>
  </sheetData>
  <autoFilter ref="A1:J144"/>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J144"/>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55" customWidth="1" min="3" max="3"/>
    <col width="18" customWidth="1" min="4" max="4"/>
    <col width="18" customWidth="1" min="5" max="5"/>
    <col width="18" customWidth="1" min="6" max="6"/>
    <col width="24" customWidth="1" min="7" max="7"/>
    <col width="24" customWidth="1" min="8" max="8"/>
    <col width="25" customWidth="1" min="9" max="9"/>
    <col width="35" customWidth="1" min="10" max="10"/>
  </cols>
  <sheetData>
    <row r="1">
      <c r="A1" s="29" t="inlineStr">
        <is>
          <t>Metric ID</t>
        </is>
      </c>
      <c r="B1" s="29" t="inlineStr">
        <is>
          <t>Metric</t>
        </is>
      </c>
      <c r="C1" s="29" t="inlineStr">
        <is>
          <t>Calibration Protocol</t>
        </is>
      </c>
      <c r="D1" s="29" t="inlineStr">
        <is>
          <t>Assessor A</t>
        </is>
      </c>
      <c r="E1" s="29" t="inlineStr">
        <is>
          <t>Assessor B</t>
        </is>
      </c>
      <c r="F1" s="29" t="inlineStr">
        <is>
          <t>Absolute Difference</t>
        </is>
      </c>
      <c r="G1" s="29" t="inlineStr">
        <is>
          <t>Agreement Status</t>
        </is>
      </c>
      <c r="H1" s="29" t="inlineStr">
        <is>
          <t>Adjudication Required?</t>
        </is>
      </c>
      <c r="I1" s="29" t="inlineStr">
        <is>
          <t>Final Calibrated Score</t>
        </is>
      </c>
      <c r="J1" s="29" t="inlineStr">
        <is>
          <t>Notes</t>
        </is>
      </c>
    </row>
    <row r="2">
      <c r="A2" s="20" t="inlineStr">
        <is>
          <t>I01</t>
        </is>
      </c>
      <c r="B2" s="20" t="inlineStr">
        <is>
          <t>Strategic AI Integration</t>
        </is>
      </c>
      <c r="C2" s="20" t="inlineStr">
        <is>
          <t>Use domain-specific anchor + metric rule + evidence gate</t>
        </is>
      </c>
      <c r="D2" s="20" t="inlineStr">
        <is>
          <t>Independent assessor A score</t>
        </is>
      </c>
      <c r="E2" s="20" t="inlineStr">
        <is>
          <t>Independent assessor B score</t>
        </is>
      </c>
      <c r="F2" s="20">
        <f>IF(OR(D2="",E2=""),"",ABS(D2-E2))</f>
        <v/>
      </c>
      <c r="G2" s="20">
        <f>IF(F2="","PENDING",IF(F2&lt;=1,"AGREE","REVIEW"))</f>
        <v/>
      </c>
      <c r="H2" s="20">
        <f>IF(G2="REVIEW","Y","N")</f>
        <v/>
      </c>
      <c r="I2" s="20" t="inlineStr">
        <is>
          <t>Final calibrated score</t>
        </is>
      </c>
      <c r="J2" s="20" t="inlineStr">
        <is>
          <t>Notes</t>
        </is>
      </c>
    </row>
    <row r="3">
      <c r="A3" s="20" t="inlineStr">
        <is>
          <t>I02</t>
        </is>
      </c>
      <c r="B3" s="20" t="inlineStr">
        <is>
          <t>Future Foresight Maturity</t>
        </is>
      </c>
      <c r="C3" s="20" t="inlineStr">
        <is>
          <t>Use domain-specific anchor + metric rule + evidence gate</t>
        </is>
      </c>
      <c r="D3" s="20" t="inlineStr">
        <is>
          <t>Independent assessor A score</t>
        </is>
      </c>
      <c r="E3" s="20" t="inlineStr">
        <is>
          <t>Independent assessor B score</t>
        </is>
      </c>
      <c r="F3" s="20">
        <f>IF(OR(D3="",E3=""),"",ABS(D3-E3))</f>
        <v/>
      </c>
      <c r="G3" s="20">
        <f>IF(F3="","PENDING",IF(F3&lt;=1,"AGREE","REVIEW"))</f>
        <v/>
      </c>
      <c r="H3" s="20">
        <f>IF(G3="REVIEW","Y","N")</f>
        <v/>
      </c>
      <c r="I3" s="20" t="inlineStr">
        <is>
          <t>Final calibrated score</t>
        </is>
      </c>
      <c r="J3" s="20" t="inlineStr">
        <is>
          <t>Notes</t>
        </is>
      </c>
    </row>
    <row r="4">
      <c r="A4" s="20" t="inlineStr">
        <is>
          <t>I03</t>
        </is>
      </c>
      <c r="B4" s="20" t="inlineStr">
        <is>
          <t>Strategic Translation Rate</t>
        </is>
      </c>
      <c r="C4" s="20" t="inlineStr">
        <is>
          <t>Use domain-specific anchor + metric rule + evidence gate</t>
        </is>
      </c>
      <c r="D4" s="20" t="inlineStr">
        <is>
          <t>Independent assessor A score</t>
        </is>
      </c>
      <c r="E4" s="20" t="inlineStr">
        <is>
          <t>Independent assessor B score</t>
        </is>
      </c>
      <c r="F4" s="20">
        <f>IF(OR(D4="",E4=""),"",ABS(D4-E4))</f>
        <v/>
      </c>
      <c r="G4" s="20">
        <f>IF(F4="","PENDING",IF(F4&lt;=1,"AGREE","REVIEW"))</f>
        <v/>
      </c>
      <c r="H4" s="20">
        <f>IF(G4="REVIEW","Y","N")</f>
        <v/>
      </c>
      <c r="I4" s="20" t="inlineStr">
        <is>
          <t>Final calibrated score</t>
        </is>
      </c>
      <c r="J4" s="20" t="inlineStr">
        <is>
          <t>Notes</t>
        </is>
      </c>
    </row>
    <row r="5">
      <c r="A5" s="20" t="inlineStr">
        <is>
          <t>I04</t>
        </is>
      </c>
      <c r="B5" s="20" t="inlineStr">
        <is>
          <t>Programme Future-Review Coverage</t>
        </is>
      </c>
      <c r="C5" s="20" t="inlineStr">
        <is>
          <t>Use domain-specific anchor + metric rule + evidence gate</t>
        </is>
      </c>
      <c r="D5" s="20" t="inlineStr">
        <is>
          <t>Independent assessor A score</t>
        </is>
      </c>
      <c r="E5" s="20" t="inlineStr">
        <is>
          <t>Independent assessor B score</t>
        </is>
      </c>
      <c r="F5" s="20">
        <f>IF(OR(D5="",E5=""),"",ABS(D5-E5))</f>
        <v/>
      </c>
      <c r="G5" s="20">
        <f>IF(F5="","PENDING",IF(F5&lt;=1,"AGREE","REVIEW"))</f>
        <v/>
      </c>
      <c r="H5" s="20">
        <f>IF(G5="REVIEW","Y","N")</f>
        <v/>
      </c>
      <c r="I5" s="20" t="inlineStr">
        <is>
          <t>Final calibrated score</t>
        </is>
      </c>
      <c r="J5" s="20" t="inlineStr">
        <is>
          <t>Notes</t>
        </is>
      </c>
    </row>
    <row r="6">
      <c r="A6" s="20" t="inlineStr">
        <is>
          <t>I05</t>
        </is>
      </c>
      <c r="B6" s="20" t="inlineStr">
        <is>
          <t>Strategic Differentiation Clarity</t>
        </is>
      </c>
      <c r="C6" s="20" t="inlineStr">
        <is>
          <t>Use domain-specific anchor + metric rule + evidence gate</t>
        </is>
      </c>
      <c r="D6" s="20" t="inlineStr">
        <is>
          <t>Independent assessor A score</t>
        </is>
      </c>
      <c r="E6" s="20" t="inlineStr">
        <is>
          <t>Independent assessor B score</t>
        </is>
      </c>
      <c r="F6" s="20">
        <f>IF(OR(D6="",E6=""),"",ABS(D6-E6))</f>
        <v/>
      </c>
      <c r="G6" s="20">
        <f>IF(F6="","PENDING",IF(F6&lt;=1,"AGREE","REVIEW"))</f>
        <v/>
      </c>
      <c r="H6" s="20">
        <f>IF(G6="REVIEW","Y","N")</f>
        <v/>
      </c>
      <c r="I6" s="20" t="inlineStr">
        <is>
          <t>Final calibrated score</t>
        </is>
      </c>
      <c r="J6" s="20" t="inlineStr">
        <is>
          <t>Notes</t>
        </is>
      </c>
    </row>
    <row r="7">
      <c r="A7" s="20" t="inlineStr">
        <is>
          <t>I06</t>
        </is>
      </c>
      <c r="B7" s="20" t="inlineStr">
        <is>
          <t>Foresight Response Architecture</t>
        </is>
      </c>
      <c r="C7" s="20" t="inlineStr">
        <is>
          <t>Use domain-specific anchor + metric rule + evidence gate</t>
        </is>
      </c>
      <c r="D7" s="20" t="inlineStr">
        <is>
          <t>Independent assessor A score</t>
        </is>
      </c>
      <c r="E7" s="20" t="inlineStr">
        <is>
          <t>Independent assessor B score</t>
        </is>
      </c>
      <c r="F7" s="20">
        <f>IF(OR(D7="",E7=""),"",ABS(D7-E7))</f>
        <v/>
      </c>
      <c r="G7" s="20">
        <f>IF(F7="","PENDING",IF(F7&lt;=1,"AGREE","REVIEW"))</f>
        <v/>
      </c>
      <c r="H7" s="20">
        <f>IF(G7="REVIEW","Y","N")</f>
        <v/>
      </c>
      <c r="I7" s="20" t="inlineStr">
        <is>
          <t>Final calibrated score</t>
        </is>
      </c>
      <c r="J7" s="20" t="inlineStr">
        <is>
          <t>Notes</t>
        </is>
      </c>
    </row>
    <row r="8">
      <c r="A8" s="20" t="inlineStr">
        <is>
          <t>I07</t>
        </is>
      </c>
      <c r="B8" s="20" t="inlineStr">
        <is>
          <t>Resource Alignment</t>
        </is>
      </c>
      <c r="C8" s="20" t="inlineStr">
        <is>
          <t>Use domain-specific anchor + metric rule + evidence gate</t>
        </is>
      </c>
      <c r="D8" s="20" t="inlineStr">
        <is>
          <t>Independent assessor A score</t>
        </is>
      </c>
      <c r="E8" s="20" t="inlineStr">
        <is>
          <t>Independent assessor B score</t>
        </is>
      </c>
      <c r="F8" s="20">
        <f>IF(OR(D8="",E8=""),"",ABS(D8-E8))</f>
        <v/>
      </c>
      <c r="G8" s="20">
        <f>IF(F8="","PENDING",IF(F8&lt;=1,"AGREE","REVIEW"))</f>
        <v/>
      </c>
      <c r="H8" s="20">
        <f>IF(G8="REVIEW","Y","N")</f>
        <v/>
      </c>
      <c r="I8" s="20" t="inlineStr">
        <is>
          <t>Final calibrated score</t>
        </is>
      </c>
      <c r="J8" s="20" t="inlineStr">
        <is>
          <t>Notes</t>
        </is>
      </c>
    </row>
    <row r="9">
      <c r="A9" s="20" t="inlineStr">
        <is>
          <t>I08</t>
        </is>
      </c>
      <c r="B9" s="20" t="inlineStr">
        <is>
          <t>Leadership Alignment</t>
        </is>
      </c>
      <c r="C9" s="20" t="inlineStr">
        <is>
          <t>Use domain-specific anchor + metric rule + evidence gate</t>
        </is>
      </c>
      <c r="D9" s="20" t="inlineStr">
        <is>
          <t>Independent assessor A score</t>
        </is>
      </c>
      <c r="E9" s="20" t="inlineStr">
        <is>
          <t>Independent assessor B score</t>
        </is>
      </c>
      <c r="F9" s="20">
        <f>IF(OR(D9="",E9=""),"",ABS(D9-E9))</f>
        <v/>
      </c>
      <c r="G9" s="20">
        <f>IF(F9="","PENDING",IF(F9&lt;=1,"AGREE","REVIEW"))</f>
        <v/>
      </c>
      <c r="H9" s="20">
        <f>IF(G9="REVIEW","Y","N")</f>
        <v/>
      </c>
      <c r="I9" s="20" t="inlineStr">
        <is>
          <t>Final calibrated score</t>
        </is>
      </c>
      <c r="J9" s="20" t="inlineStr">
        <is>
          <t>Notes</t>
        </is>
      </c>
    </row>
    <row r="10">
      <c r="A10" s="20" t="inlineStr">
        <is>
          <t>I09</t>
        </is>
      </c>
      <c r="B10" s="20" t="inlineStr">
        <is>
          <t>Experimentation Effectiveness</t>
        </is>
      </c>
      <c r="C10" s="20" t="inlineStr">
        <is>
          <t>Use domain-specific anchor + metric rule + evidence gate</t>
        </is>
      </c>
      <c r="D10" s="20" t="inlineStr">
        <is>
          <t>Independent assessor A score</t>
        </is>
      </c>
      <c r="E10" s="20" t="inlineStr">
        <is>
          <t>Independent assessor B score</t>
        </is>
      </c>
      <c r="F10" s="20">
        <f>IF(OR(D10="",E10=""),"",ABS(D10-E10))</f>
        <v/>
      </c>
      <c r="G10" s="20">
        <f>IF(F10="","PENDING",IF(F10&lt;=1,"AGREE","REVIEW"))</f>
        <v/>
      </c>
      <c r="H10" s="20">
        <f>IF(G10="REVIEW","Y","N")</f>
        <v/>
      </c>
      <c r="I10" s="20" t="inlineStr">
        <is>
          <t>Final calibrated score</t>
        </is>
      </c>
      <c r="J10" s="20" t="inlineStr">
        <is>
          <t>Notes</t>
        </is>
      </c>
    </row>
    <row r="11">
      <c r="A11" s="20" t="inlineStr">
        <is>
          <t>I10</t>
        </is>
      </c>
      <c r="B11" s="20" t="inlineStr">
        <is>
          <t>Strategic Learning Rate</t>
        </is>
      </c>
      <c r="C11" s="20" t="inlineStr">
        <is>
          <t>Use domain-specific anchor + metric rule + evidence gate</t>
        </is>
      </c>
      <c r="D11" s="20" t="inlineStr">
        <is>
          <t>Independent assessor A score</t>
        </is>
      </c>
      <c r="E11" s="20" t="inlineStr">
        <is>
          <t>Independent assessor B score</t>
        </is>
      </c>
      <c r="F11" s="20">
        <f>IF(OR(D11="",E11=""),"",ABS(D11-E11))</f>
        <v/>
      </c>
      <c r="G11" s="20">
        <f>IF(F11="","PENDING",IF(F11&lt;=1,"AGREE","REVIEW"))</f>
        <v/>
      </c>
      <c r="H11" s="20">
        <f>IF(G11="REVIEW","Y","N")</f>
        <v/>
      </c>
      <c r="I11" s="20" t="inlineStr">
        <is>
          <t>Final calibrated score</t>
        </is>
      </c>
      <c r="J11" s="20" t="inlineStr">
        <is>
          <t>Notes</t>
        </is>
      </c>
    </row>
    <row r="12">
      <c r="A12" s="20" t="inlineStr">
        <is>
          <t>I01</t>
        </is>
      </c>
      <c r="B12" s="20" t="inlineStr">
        <is>
          <t>Governance Ownership</t>
        </is>
      </c>
      <c r="C12" s="20" t="inlineStr">
        <is>
          <t>Use domain-specific anchor + metric rule + evidence gate</t>
        </is>
      </c>
      <c r="D12" s="20" t="inlineStr">
        <is>
          <t>Independent assessor A score</t>
        </is>
      </c>
      <c r="E12" s="20" t="inlineStr">
        <is>
          <t>Independent assessor B score</t>
        </is>
      </c>
      <c r="F12" s="20">
        <f>IF(OR(D12="",E12=""),"",ABS(D12-E12))</f>
        <v/>
      </c>
      <c r="G12" s="20">
        <f>IF(F12="","PENDING",IF(F12&lt;=1,"AGREE","REVIEW"))</f>
        <v/>
      </c>
      <c r="H12" s="20">
        <f>IF(G12="REVIEW","Y","N")</f>
        <v/>
      </c>
      <c r="I12" s="20" t="inlineStr">
        <is>
          <t>Final calibrated score</t>
        </is>
      </c>
      <c r="J12" s="20" t="inlineStr">
        <is>
          <t>Notes</t>
        </is>
      </c>
    </row>
    <row r="13">
      <c r="A13" s="20" t="inlineStr">
        <is>
          <t>I02</t>
        </is>
      </c>
      <c r="B13" s="20" t="inlineStr">
        <is>
          <t>Decision Architecture</t>
        </is>
      </c>
      <c r="C13" s="20" t="inlineStr">
        <is>
          <t>Use domain-specific anchor + metric rule + evidence gate</t>
        </is>
      </c>
      <c r="D13" s="20" t="inlineStr">
        <is>
          <t>Independent assessor A score</t>
        </is>
      </c>
      <c r="E13" s="20" t="inlineStr">
        <is>
          <t>Independent assessor B score</t>
        </is>
      </c>
      <c r="F13" s="20">
        <f>IF(OR(D13="",E13=""),"",ABS(D13-E13))</f>
        <v/>
      </c>
      <c r="G13" s="20">
        <f>IF(F13="","PENDING",IF(F13&lt;=1,"AGREE","REVIEW"))</f>
        <v/>
      </c>
      <c r="H13" s="20">
        <f>IF(G13="REVIEW","Y","N")</f>
        <v/>
      </c>
      <c r="I13" s="20" t="inlineStr">
        <is>
          <t>Final calibrated score</t>
        </is>
      </c>
      <c r="J13" s="20" t="inlineStr">
        <is>
          <t>Notes</t>
        </is>
      </c>
    </row>
    <row r="14">
      <c r="A14" s="20" t="inlineStr">
        <is>
          <t>I03</t>
        </is>
      </c>
      <c r="B14" s="20" t="inlineStr">
        <is>
          <t>Responsible AI Maturity</t>
        </is>
      </c>
      <c r="C14" s="20" t="inlineStr">
        <is>
          <t>Use domain-specific anchor + metric rule + evidence gate</t>
        </is>
      </c>
      <c r="D14" s="20" t="inlineStr">
        <is>
          <t>Independent assessor A score</t>
        </is>
      </c>
      <c r="E14" s="20" t="inlineStr">
        <is>
          <t>Independent assessor B score</t>
        </is>
      </c>
      <c r="F14" s="20">
        <f>IF(OR(D14="",E14=""),"",ABS(D14-E14))</f>
        <v/>
      </c>
      <c r="G14" s="20">
        <f>IF(F14="","PENDING",IF(F14&lt;=1,"AGREE","REVIEW"))</f>
        <v/>
      </c>
      <c r="H14" s="20">
        <f>IF(G14="REVIEW","Y","N")</f>
        <v/>
      </c>
      <c r="I14" s="20" t="inlineStr">
        <is>
          <t>Final calibrated score</t>
        </is>
      </c>
      <c r="J14" s="20" t="inlineStr">
        <is>
          <t>Notes</t>
        </is>
      </c>
    </row>
    <row r="15">
      <c r="A15" s="20" t="inlineStr">
        <is>
          <t>I04</t>
        </is>
      </c>
      <c r="B15" s="20" t="inlineStr">
        <is>
          <t>Data Governance Readiness</t>
        </is>
      </c>
      <c r="C15" s="20" t="inlineStr">
        <is>
          <t>Use domain-specific anchor + metric rule + evidence gate</t>
        </is>
      </c>
      <c r="D15" s="20" t="inlineStr">
        <is>
          <t>Independent assessor A score</t>
        </is>
      </c>
      <c r="E15" s="20" t="inlineStr">
        <is>
          <t>Independent assessor B score</t>
        </is>
      </c>
      <c r="F15" s="20">
        <f>IF(OR(D15="",E15=""),"",ABS(D15-E15))</f>
        <v/>
      </c>
      <c r="G15" s="20">
        <f>IF(F15="","PENDING",IF(F15&lt;=1,"AGREE","REVIEW"))</f>
        <v/>
      </c>
      <c r="H15" s="20">
        <f>IF(G15="REVIEW","Y","N")</f>
        <v/>
      </c>
      <c r="I15" s="20" t="inlineStr">
        <is>
          <t>Final calibrated score</t>
        </is>
      </c>
      <c r="J15" s="20" t="inlineStr">
        <is>
          <t>Notes</t>
        </is>
      </c>
    </row>
    <row r="16">
      <c r="A16" s="20" t="inlineStr">
        <is>
          <t>I05</t>
        </is>
      </c>
      <c r="B16" s="20" t="inlineStr">
        <is>
          <t>Academic Integrity Governance</t>
        </is>
      </c>
      <c r="C16" s="20" t="inlineStr">
        <is>
          <t>Use domain-specific anchor + metric rule + evidence gate</t>
        </is>
      </c>
      <c r="D16" s="20" t="inlineStr">
        <is>
          <t>Independent assessor A score</t>
        </is>
      </c>
      <c r="E16" s="20" t="inlineStr">
        <is>
          <t>Independent assessor B score</t>
        </is>
      </c>
      <c r="F16" s="20">
        <f>IF(OR(D16="",E16=""),"",ABS(D16-E16))</f>
        <v/>
      </c>
      <c r="G16" s="20">
        <f>IF(F16="","PENDING",IF(F16&lt;=1,"AGREE","REVIEW"))</f>
        <v/>
      </c>
      <c r="H16" s="20">
        <f>IF(G16="REVIEW","Y","N")</f>
        <v/>
      </c>
      <c r="I16" s="20" t="inlineStr">
        <is>
          <t>Final calibrated score</t>
        </is>
      </c>
      <c r="J16" s="20" t="inlineStr">
        <is>
          <t>Notes</t>
        </is>
      </c>
    </row>
    <row r="17">
      <c r="A17" s="20" t="inlineStr">
        <is>
          <t>I06</t>
        </is>
      </c>
      <c r="B17" s="20" t="inlineStr">
        <is>
          <t>Assessment Governance</t>
        </is>
      </c>
      <c r="C17" s="20" t="inlineStr">
        <is>
          <t>Use domain-specific anchor + metric rule + evidence gate</t>
        </is>
      </c>
      <c r="D17" s="20" t="inlineStr">
        <is>
          <t>Independent assessor A score</t>
        </is>
      </c>
      <c r="E17" s="20" t="inlineStr">
        <is>
          <t>Independent assessor B score</t>
        </is>
      </c>
      <c r="F17" s="20">
        <f>IF(OR(D17="",E17=""),"",ABS(D17-E17))</f>
        <v/>
      </c>
      <c r="G17" s="20">
        <f>IF(F17="","PENDING",IF(F17&lt;=1,"AGREE","REVIEW"))</f>
        <v/>
      </c>
      <c r="H17" s="20">
        <f>IF(G17="REVIEW","Y","N")</f>
        <v/>
      </c>
      <c r="I17" s="20" t="inlineStr">
        <is>
          <t>Final calibrated score</t>
        </is>
      </c>
      <c r="J17" s="20" t="inlineStr">
        <is>
          <t>Notes</t>
        </is>
      </c>
    </row>
    <row r="18">
      <c r="A18" s="20" t="inlineStr">
        <is>
          <t>I07</t>
        </is>
      </c>
      <c r="B18" s="20" t="inlineStr">
        <is>
          <t>AI Risk Management</t>
        </is>
      </c>
      <c r="C18" s="20" t="inlineStr">
        <is>
          <t>Use domain-specific anchor + metric rule + evidence gate</t>
        </is>
      </c>
      <c r="D18" s="20" t="inlineStr">
        <is>
          <t>Independent assessor A score</t>
        </is>
      </c>
      <c r="E18" s="20" t="inlineStr">
        <is>
          <t>Independent assessor B score</t>
        </is>
      </c>
      <c r="F18" s="20">
        <f>IF(OR(D18="",E18=""),"",ABS(D18-E18))</f>
        <v/>
      </c>
      <c r="G18" s="20">
        <f>IF(F18="","PENDING",IF(F18&lt;=1,"AGREE","REVIEW"))</f>
        <v/>
      </c>
      <c r="H18" s="20">
        <f>IF(G18="REVIEW","Y","N")</f>
        <v/>
      </c>
      <c r="I18" s="20" t="inlineStr">
        <is>
          <t>Final calibrated score</t>
        </is>
      </c>
      <c r="J18" s="20" t="inlineStr">
        <is>
          <t>Notes</t>
        </is>
      </c>
    </row>
    <row r="19">
      <c r="A19" s="20" t="inlineStr">
        <is>
          <t>I08</t>
        </is>
      </c>
      <c r="B19" s="20" t="inlineStr">
        <is>
          <t>Incident Responsiveness</t>
        </is>
      </c>
      <c r="C19" s="20" t="inlineStr">
        <is>
          <t>Use domain-specific anchor + metric rule + evidence gate</t>
        </is>
      </c>
      <c r="D19" s="20" t="inlineStr">
        <is>
          <t>Independent assessor A score</t>
        </is>
      </c>
      <c r="E19" s="20" t="inlineStr">
        <is>
          <t>Independent assessor B score</t>
        </is>
      </c>
      <c r="F19" s="20">
        <f>IF(OR(D19="",E19=""),"",ABS(D19-E19))</f>
        <v/>
      </c>
      <c r="G19" s="20">
        <f>IF(F19="","PENDING",IF(F19&lt;=1,"AGREE","REVIEW"))</f>
        <v/>
      </c>
      <c r="H19" s="20">
        <f>IF(G19="REVIEW","Y","N")</f>
        <v/>
      </c>
      <c r="I19" s="20" t="inlineStr">
        <is>
          <t>Final calibrated score</t>
        </is>
      </c>
      <c r="J19" s="20" t="inlineStr">
        <is>
          <t>Notes</t>
        </is>
      </c>
    </row>
    <row r="20">
      <c r="A20" s="20" t="inlineStr">
        <is>
          <t>I09</t>
        </is>
      </c>
      <c r="B20" s="20" t="inlineStr">
        <is>
          <t>Human Accountability</t>
        </is>
      </c>
      <c r="C20" s="20" t="inlineStr">
        <is>
          <t>Use domain-specific anchor + metric rule + evidence gate</t>
        </is>
      </c>
      <c r="D20" s="20" t="inlineStr">
        <is>
          <t>Independent assessor A score</t>
        </is>
      </c>
      <c r="E20" s="20" t="inlineStr">
        <is>
          <t>Independent assessor B score</t>
        </is>
      </c>
      <c r="F20" s="20">
        <f>IF(OR(D20="",E20=""),"",ABS(D20-E20))</f>
        <v/>
      </c>
      <c r="G20" s="20">
        <f>IF(F20="","PENDING",IF(F20&lt;=1,"AGREE","REVIEW"))</f>
        <v/>
      </c>
      <c r="H20" s="20">
        <f>IF(G20="REVIEW","Y","N")</f>
        <v/>
      </c>
      <c r="I20" s="20" t="inlineStr">
        <is>
          <t>Final calibrated score</t>
        </is>
      </c>
      <c r="J20" s="20" t="inlineStr">
        <is>
          <t>Notes</t>
        </is>
      </c>
    </row>
    <row r="21">
      <c r="A21" s="20" t="inlineStr">
        <is>
          <t>I10</t>
        </is>
      </c>
      <c r="B21" s="20" t="inlineStr">
        <is>
          <t>Vendor/Tool Governance</t>
        </is>
      </c>
      <c r="C21" s="20" t="inlineStr">
        <is>
          <t>Use domain-specific anchor + metric rule + evidence gate</t>
        </is>
      </c>
      <c r="D21" s="20" t="inlineStr">
        <is>
          <t>Independent assessor A score</t>
        </is>
      </c>
      <c r="E21" s="20" t="inlineStr">
        <is>
          <t>Independent assessor B score</t>
        </is>
      </c>
      <c r="F21" s="20">
        <f>IF(OR(D21="",E21=""),"",ABS(D21-E21))</f>
        <v/>
      </c>
      <c r="G21" s="20">
        <f>IF(F21="","PENDING",IF(F21&lt;=1,"AGREE","REVIEW"))</f>
        <v/>
      </c>
      <c r="H21" s="20">
        <f>IF(G21="REVIEW","Y","N")</f>
        <v/>
      </c>
      <c r="I21" s="20" t="inlineStr">
        <is>
          <t>Final calibrated score</t>
        </is>
      </c>
      <c r="J21" s="20" t="inlineStr">
        <is>
          <t>Notes</t>
        </is>
      </c>
    </row>
    <row r="22">
      <c r="A22" s="20" t="inlineStr">
        <is>
          <t>I11</t>
        </is>
      </c>
      <c r="B22" s="20" t="inlineStr">
        <is>
          <t>IP Governance</t>
        </is>
      </c>
      <c r="C22" s="20" t="inlineStr">
        <is>
          <t>Use domain-specific anchor + metric rule + evidence gate</t>
        </is>
      </c>
      <c r="D22" s="20" t="inlineStr">
        <is>
          <t>Independent assessor A score</t>
        </is>
      </c>
      <c r="E22" s="20" t="inlineStr">
        <is>
          <t>Independent assessor B score</t>
        </is>
      </c>
      <c r="F22" s="20">
        <f>IF(OR(D22="",E22=""),"",ABS(D22-E22))</f>
        <v/>
      </c>
      <c r="G22" s="20">
        <f>IF(F22="","PENDING",IF(F22&lt;=1,"AGREE","REVIEW"))</f>
        <v/>
      </c>
      <c r="H22" s="20">
        <f>IF(G22="REVIEW","Y","N")</f>
        <v/>
      </c>
      <c r="I22" s="20" t="inlineStr">
        <is>
          <t>Final calibrated score</t>
        </is>
      </c>
      <c r="J22" s="20" t="inlineStr">
        <is>
          <t>Notes</t>
        </is>
      </c>
    </row>
    <row r="23">
      <c r="A23" s="20" t="inlineStr">
        <is>
          <t>I12</t>
        </is>
      </c>
      <c r="B23" s="20" t="inlineStr">
        <is>
          <t>Research AI Governance</t>
        </is>
      </c>
      <c r="C23" s="20" t="inlineStr">
        <is>
          <t>Use domain-specific anchor + metric rule + evidence gate</t>
        </is>
      </c>
      <c r="D23" s="20" t="inlineStr">
        <is>
          <t>Independent assessor A score</t>
        </is>
      </c>
      <c r="E23" s="20" t="inlineStr">
        <is>
          <t>Independent assessor B score</t>
        </is>
      </c>
      <c r="F23" s="20">
        <f>IF(OR(D23="",E23=""),"",ABS(D23-E23))</f>
        <v/>
      </c>
      <c r="G23" s="20">
        <f>IF(F23="","PENDING",IF(F23&lt;=1,"AGREE","REVIEW"))</f>
        <v/>
      </c>
      <c r="H23" s="20">
        <f>IF(G23="REVIEW","Y","N")</f>
        <v/>
      </c>
      <c r="I23" s="20" t="inlineStr">
        <is>
          <t>Final calibrated score</t>
        </is>
      </c>
      <c r="J23" s="20" t="inlineStr">
        <is>
          <t>Notes</t>
        </is>
      </c>
    </row>
    <row r="24">
      <c r="A24" s="20" t="inlineStr">
        <is>
          <t>I13</t>
        </is>
      </c>
      <c r="B24" s="20" t="inlineStr">
        <is>
          <t>Governance Review Adaptability</t>
        </is>
      </c>
      <c r="C24" s="20" t="inlineStr">
        <is>
          <t>Use domain-specific anchor + metric rule + evidence gate</t>
        </is>
      </c>
      <c r="D24" s="20" t="inlineStr">
        <is>
          <t>Independent assessor A score</t>
        </is>
      </c>
      <c r="E24" s="20" t="inlineStr">
        <is>
          <t>Independent assessor B score</t>
        </is>
      </c>
      <c r="F24" s="20">
        <f>IF(OR(D24="",E24=""),"",ABS(D24-E24))</f>
        <v/>
      </c>
      <c r="G24" s="20">
        <f>IF(F24="","PENDING",IF(F24&lt;=1,"AGREE","REVIEW"))</f>
        <v/>
      </c>
      <c r="H24" s="20">
        <f>IF(G24="REVIEW","Y","N")</f>
        <v/>
      </c>
      <c r="I24" s="20" t="inlineStr">
        <is>
          <t>Final calibrated score</t>
        </is>
      </c>
      <c r="J24" s="20" t="inlineStr">
        <is>
          <t>Notes</t>
        </is>
      </c>
    </row>
    <row r="25">
      <c r="A25" s="20" t="inlineStr">
        <is>
          <t>I14</t>
        </is>
      </c>
      <c r="B25" s="20" t="inlineStr">
        <is>
          <t>Governance Effectiveness</t>
        </is>
      </c>
      <c r="C25" s="20" t="inlineStr">
        <is>
          <t>Use domain-specific anchor + metric rule + evidence gate</t>
        </is>
      </c>
      <c r="D25" s="20" t="inlineStr">
        <is>
          <t>Independent assessor A score</t>
        </is>
      </c>
      <c r="E25" s="20" t="inlineStr">
        <is>
          <t>Independent assessor B score</t>
        </is>
      </c>
      <c r="F25" s="20">
        <f>IF(OR(D25="",E25=""),"",ABS(D25-E25))</f>
        <v/>
      </c>
      <c r="G25" s="20">
        <f>IF(F25="","PENDING",IF(F25&lt;=1,"AGREE","REVIEW"))</f>
        <v/>
      </c>
      <c r="H25" s="20">
        <f>IF(G25="REVIEW","Y","N")</f>
        <v/>
      </c>
      <c r="I25" s="20" t="inlineStr">
        <is>
          <t>Final calibrated score</t>
        </is>
      </c>
      <c r="J25" s="20" t="inlineStr">
        <is>
          <t>Notes</t>
        </is>
      </c>
    </row>
    <row r="26">
      <c r="A26" s="20" t="inlineStr">
        <is>
          <t>I01</t>
        </is>
      </c>
      <c r="B26" s="20" t="inlineStr">
        <is>
          <t>Foundational Knowledge Depth</t>
        </is>
      </c>
      <c r="C26" s="20" t="inlineStr">
        <is>
          <t>Use domain-specific anchor + metric rule + evidence gate</t>
        </is>
      </c>
      <c r="D26" s="20" t="inlineStr">
        <is>
          <t>Independent assessor A score</t>
        </is>
      </c>
      <c r="E26" s="20" t="inlineStr">
        <is>
          <t>Independent assessor B score</t>
        </is>
      </c>
      <c r="F26" s="20">
        <f>IF(OR(D26="",E26=""),"",ABS(D26-E26))</f>
        <v/>
      </c>
      <c r="G26" s="20">
        <f>IF(F26="","PENDING",IF(F26&lt;=1,"AGREE","REVIEW"))</f>
        <v/>
      </c>
      <c r="H26" s="20">
        <f>IF(G26="REVIEW","Y","N")</f>
        <v/>
      </c>
      <c r="I26" s="20" t="inlineStr">
        <is>
          <t>Final calibrated score</t>
        </is>
      </c>
      <c r="J26" s="20" t="inlineStr">
        <is>
          <t>Notes</t>
        </is>
      </c>
    </row>
    <row r="27">
      <c r="A27" s="20" t="inlineStr">
        <is>
          <t>I02</t>
        </is>
      </c>
      <c r="B27" s="20" t="inlineStr">
        <is>
          <t>Critical Reasoning Development</t>
        </is>
      </c>
      <c r="C27" s="20" t="inlineStr">
        <is>
          <t>Use domain-specific anchor + metric rule + evidence gate</t>
        </is>
      </c>
      <c r="D27" s="20" t="inlineStr">
        <is>
          <t>Independent assessor A score</t>
        </is>
      </c>
      <c r="E27" s="20" t="inlineStr">
        <is>
          <t>Independent assessor B score</t>
        </is>
      </c>
      <c r="F27" s="20">
        <f>IF(OR(D27="",E27=""),"",ABS(D27-E27))</f>
        <v/>
      </c>
      <c r="G27" s="20">
        <f>IF(F27="","PENDING",IF(F27&lt;=1,"AGREE","REVIEW"))</f>
        <v/>
      </c>
      <c r="H27" s="20">
        <f>IF(G27="REVIEW","Y","N")</f>
        <v/>
      </c>
      <c r="I27" s="20" t="inlineStr">
        <is>
          <t>Final calibrated score</t>
        </is>
      </c>
      <c r="J27" s="20" t="inlineStr">
        <is>
          <t>Notes</t>
        </is>
      </c>
    </row>
    <row r="28">
      <c r="A28" s="20" t="inlineStr">
        <is>
          <t>I03</t>
        </is>
      </c>
      <c r="B28" s="20" t="inlineStr">
        <is>
          <t>Question Formulation</t>
        </is>
      </c>
      <c r="C28" s="20" t="inlineStr">
        <is>
          <t>Use domain-specific anchor + metric rule + evidence gate</t>
        </is>
      </c>
      <c r="D28" s="20" t="inlineStr">
        <is>
          <t>Independent assessor A score</t>
        </is>
      </c>
      <c r="E28" s="20" t="inlineStr">
        <is>
          <t>Independent assessor B score</t>
        </is>
      </c>
      <c r="F28" s="20">
        <f>IF(OR(D28="",E28=""),"",ABS(D28-E28))</f>
        <v/>
      </c>
      <c r="G28" s="20">
        <f>IF(F28="","PENDING",IF(F28&lt;=1,"AGREE","REVIEW"))</f>
        <v/>
      </c>
      <c r="H28" s="20">
        <f>IF(G28="REVIEW","Y","N")</f>
        <v/>
      </c>
      <c r="I28" s="20" t="inlineStr">
        <is>
          <t>Final calibrated score</t>
        </is>
      </c>
      <c r="J28" s="20" t="inlineStr">
        <is>
          <t>Notes</t>
        </is>
      </c>
    </row>
    <row r="29">
      <c r="A29" s="20" t="inlineStr">
        <is>
          <t>I04</t>
        </is>
      </c>
      <c r="B29" s="20" t="inlineStr">
        <is>
          <t>Analytical Reasoning</t>
        </is>
      </c>
      <c r="C29" s="20" t="inlineStr">
        <is>
          <t>Use domain-specific anchor + metric rule + evidence gate</t>
        </is>
      </c>
      <c r="D29" s="20" t="inlineStr">
        <is>
          <t>Independent assessor A score</t>
        </is>
      </c>
      <c r="E29" s="20" t="inlineStr">
        <is>
          <t>Independent assessor B score</t>
        </is>
      </c>
      <c r="F29" s="20">
        <f>IF(OR(D29="",E29=""),"",ABS(D29-E29))</f>
        <v/>
      </c>
      <c r="G29" s="20">
        <f>IF(F29="","PENDING",IF(F29&lt;=1,"AGREE","REVIEW"))</f>
        <v/>
      </c>
      <c r="H29" s="20">
        <f>IF(G29="REVIEW","Y","N")</f>
        <v/>
      </c>
      <c r="I29" s="20" t="inlineStr">
        <is>
          <t>Final calibrated score</t>
        </is>
      </c>
      <c r="J29" s="20" t="inlineStr">
        <is>
          <t>Notes</t>
        </is>
      </c>
    </row>
    <row r="30">
      <c r="A30" s="20" t="inlineStr">
        <is>
          <t>I05</t>
        </is>
      </c>
      <c r="B30" s="20" t="inlineStr">
        <is>
          <t>Problem Formulation</t>
        </is>
      </c>
      <c r="C30" s="20" t="inlineStr">
        <is>
          <t>Use domain-specific anchor + metric rule + evidence gate</t>
        </is>
      </c>
      <c r="D30" s="20" t="inlineStr">
        <is>
          <t>Independent assessor A score</t>
        </is>
      </c>
      <c r="E30" s="20" t="inlineStr">
        <is>
          <t>Independent assessor B score</t>
        </is>
      </c>
      <c r="F30" s="20">
        <f>IF(OR(D30="",E30=""),"",ABS(D30-E30))</f>
        <v/>
      </c>
      <c r="G30" s="20">
        <f>IF(F30="","PENDING",IF(F30&lt;=1,"AGREE","REVIEW"))</f>
        <v/>
      </c>
      <c r="H30" s="20">
        <f>IF(G30="REVIEW","Y","N")</f>
        <v/>
      </c>
      <c r="I30" s="20" t="inlineStr">
        <is>
          <t>Final calibrated score</t>
        </is>
      </c>
      <c r="J30" s="20" t="inlineStr">
        <is>
          <t>Notes</t>
        </is>
      </c>
    </row>
    <row r="31">
      <c r="A31" s="20" t="inlineStr">
        <is>
          <t>I06</t>
        </is>
      </c>
      <c r="B31" s="20" t="inlineStr">
        <is>
          <t>Creativity &amp; Originality</t>
        </is>
      </c>
      <c r="C31" s="20" t="inlineStr">
        <is>
          <t>Use domain-specific anchor + metric rule + evidence gate</t>
        </is>
      </c>
      <c r="D31" s="20" t="inlineStr">
        <is>
          <t>Independent assessor A score</t>
        </is>
      </c>
      <c r="E31" s="20" t="inlineStr">
        <is>
          <t>Independent assessor B score</t>
        </is>
      </c>
      <c r="F31" s="20">
        <f>IF(OR(D31="",E31=""),"",ABS(D31-E31))</f>
        <v/>
      </c>
      <c r="G31" s="20">
        <f>IF(F31="","PENDING",IF(F31&lt;=1,"AGREE","REVIEW"))</f>
        <v/>
      </c>
      <c r="H31" s="20">
        <f>IF(G31="REVIEW","Y","N")</f>
        <v/>
      </c>
      <c r="I31" s="20" t="inlineStr">
        <is>
          <t>Final calibrated score</t>
        </is>
      </c>
      <c r="J31" s="20" t="inlineStr">
        <is>
          <t>Notes</t>
        </is>
      </c>
    </row>
    <row r="32">
      <c r="A32" s="20" t="inlineStr">
        <is>
          <t>I07</t>
        </is>
      </c>
      <c r="B32" s="20" t="inlineStr">
        <is>
          <t>Judgement Capability</t>
        </is>
      </c>
      <c r="C32" s="20" t="inlineStr">
        <is>
          <t>Use domain-specific anchor + metric rule + evidence gate</t>
        </is>
      </c>
      <c r="D32" s="20" t="inlineStr">
        <is>
          <t>Independent assessor A score</t>
        </is>
      </c>
      <c r="E32" s="20" t="inlineStr">
        <is>
          <t>Independent assessor B score</t>
        </is>
      </c>
      <c r="F32" s="20">
        <f>IF(OR(D32="",E32=""),"",ABS(D32-E32))</f>
        <v/>
      </c>
      <c r="G32" s="20">
        <f>IF(F32="","PENDING",IF(F32&lt;=1,"AGREE","REVIEW"))</f>
        <v/>
      </c>
      <c r="H32" s="20">
        <f>IF(G32="REVIEW","Y","N")</f>
        <v/>
      </c>
      <c r="I32" s="20" t="inlineStr">
        <is>
          <t>Final calibrated score</t>
        </is>
      </c>
      <c r="J32" s="20" t="inlineStr">
        <is>
          <t>Notes</t>
        </is>
      </c>
    </row>
    <row r="33">
      <c r="A33" s="20" t="inlineStr">
        <is>
          <t>I08</t>
        </is>
      </c>
      <c r="B33" s="20" t="inlineStr">
        <is>
          <t>AI Verification Capability</t>
        </is>
      </c>
      <c r="C33" s="20" t="inlineStr">
        <is>
          <t>Use domain-specific anchor + metric rule + evidence gate</t>
        </is>
      </c>
      <c r="D33" s="20" t="inlineStr">
        <is>
          <t>Independent assessor A score</t>
        </is>
      </c>
      <c r="E33" s="20" t="inlineStr">
        <is>
          <t>Independent assessor B score</t>
        </is>
      </c>
      <c r="F33" s="20">
        <f>IF(OR(D33="",E33=""),"",ABS(D33-E33))</f>
        <v/>
      </c>
      <c r="G33" s="20">
        <f>IF(F33="","PENDING",IF(F33&lt;=1,"AGREE","REVIEW"))</f>
        <v/>
      </c>
      <c r="H33" s="20">
        <f>IF(G33="REVIEW","Y","N")</f>
        <v/>
      </c>
      <c r="I33" s="20" t="inlineStr">
        <is>
          <t>Final calibrated score</t>
        </is>
      </c>
      <c r="J33" s="20" t="inlineStr">
        <is>
          <t>Notes</t>
        </is>
      </c>
    </row>
    <row r="34">
      <c r="A34" s="20" t="inlineStr">
        <is>
          <t>I09</t>
        </is>
      </c>
      <c r="B34" s="20" t="inlineStr">
        <is>
          <t>Metacognitive Capability</t>
        </is>
      </c>
      <c r="C34" s="20" t="inlineStr">
        <is>
          <t>Use domain-specific anchor + metric rule + evidence gate</t>
        </is>
      </c>
      <c r="D34" s="20" t="inlineStr">
        <is>
          <t>Independent assessor A score</t>
        </is>
      </c>
      <c r="E34" s="20" t="inlineStr">
        <is>
          <t>Independent assessor B score</t>
        </is>
      </c>
      <c r="F34" s="20">
        <f>IF(OR(D34="",E34=""),"",ABS(D34-E34))</f>
        <v/>
      </c>
      <c r="G34" s="20">
        <f>IF(F34="","PENDING",IF(F34&lt;=1,"AGREE","REVIEW"))</f>
        <v/>
      </c>
      <c r="H34" s="20">
        <f>IF(G34="REVIEW","Y","N")</f>
        <v/>
      </c>
      <c r="I34" s="20" t="inlineStr">
        <is>
          <t>Final calibrated score</t>
        </is>
      </c>
      <c r="J34" s="20" t="inlineStr">
        <is>
          <t>Notes</t>
        </is>
      </c>
    </row>
    <row r="35">
      <c r="A35" s="20" t="inlineStr">
        <is>
          <t>I10</t>
        </is>
      </c>
      <c r="B35" s="20" t="inlineStr">
        <is>
          <t>Human-AI Collaboration</t>
        </is>
      </c>
      <c r="C35" s="20" t="inlineStr">
        <is>
          <t>Use domain-specific anchor + metric rule + evidence gate</t>
        </is>
      </c>
      <c r="D35" s="20" t="inlineStr">
        <is>
          <t>Independent assessor A score</t>
        </is>
      </c>
      <c r="E35" s="20" t="inlineStr">
        <is>
          <t>Independent assessor B score</t>
        </is>
      </c>
      <c r="F35" s="20">
        <f>IF(OR(D35="",E35=""),"",ABS(D35-E35))</f>
        <v/>
      </c>
      <c r="G35" s="20">
        <f>IF(F35="","PENDING",IF(F35&lt;=1,"AGREE","REVIEW"))</f>
        <v/>
      </c>
      <c r="H35" s="20">
        <f>IF(G35="REVIEW","Y","N")</f>
        <v/>
      </c>
      <c r="I35" s="20" t="inlineStr">
        <is>
          <t>Final calibrated score</t>
        </is>
      </c>
      <c r="J35" s="20" t="inlineStr">
        <is>
          <t>Notes</t>
        </is>
      </c>
    </row>
    <row r="36">
      <c r="A36" s="20" t="inlineStr">
        <is>
          <t>I11</t>
        </is>
      </c>
      <c r="B36" s="20" t="inlineStr">
        <is>
          <t>Communication &amp; Defence</t>
        </is>
      </c>
      <c r="C36" s="20" t="inlineStr">
        <is>
          <t>Use domain-specific anchor + metric rule + evidence gate</t>
        </is>
      </c>
      <c r="D36" s="20" t="inlineStr">
        <is>
          <t>Independent assessor A score</t>
        </is>
      </c>
      <c r="E36" s="20" t="inlineStr">
        <is>
          <t>Independent assessor B score</t>
        </is>
      </c>
      <c r="F36" s="20">
        <f>IF(OR(D36="",E36=""),"",ABS(D36-E36))</f>
        <v/>
      </c>
      <c r="G36" s="20">
        <f>IF(F36="","PENDING",IF(F36&lt;=1,"AGREE","REVIEW"))</f>
        <v/>
      </c>
      <c r="H36" s="20">
        <f>IF(G36="REVIEW","Y","N")</f>
        <v/>
      </c>
      <c r="I36" s="20" t="inlineStr">
        <is>
          <t>Final calibrated score</t>
        </is>
      </c>
      <c r="J36" s="20" t="inlineStr">
        <is>
          <t>Notes</t>
        </is>
      </c>
    </row>
    <row r="37">
      <c r="A37" s="20" t="inlineStr">
        <is>
          <t>I12</t>
        </is>
      </c>
      <c r="B37" s="20" t="inlineStr">
        <is>
          <t>Collaboration Capability</t>
        </is>
      </c>
      <c r="C37" s="20" t="inlineStr">
        <is>
          <t>Use domain-specific anchor + metric rule + evidence gate</t>
        </is>
      </c>
      <c r="D37" s="20" t="inlineStr">
        <is>
          <t>Independent assessor A score</t>
        </is>
      </c>
      <c r="E37" s="20" t="inlineStr">
        <is>
          <t>Independent assessor B score</t>
        </is>
      </c>
      <c r="F37" s="20">
        <f>IF(OR(D37="",E37=""),"",ABS(D37-E37))</f>
        <v/>
      </c>
      <c r="G37" s="20">
        <f>IF(F37="","PENDING",IF(F37&lt;=1,"AGREE","REVIEW"))</f>
        <v/>
      </c>
      <c r="H37" s="20">
        <f>IF(G37="REVIEW","Y","N")</f>
        <v/>
      </c>
      <c r="I37" s="20" t="inlineStr">
        <is>
          <t>Final calibrated score</t>
        </is>
      </c>
      <c r="J37" s="20" t="inlineStr">
        <is>
          <t>Notes</t>
        </is>
      </c>
    </row>
    <row r="38">
      <c r="A38" s="20" t="inlineStr">
        <is>
          <t>I13</t>
        </is>
      </c>
      <c r="B38" s="20" t="inlineStr">
        <is>
          <t>Practical Capability</t>
        </is>
      </c>
      <c r="C38" s="20" t="inlineStr">
        <is>
          <t>Use domain-specific anchor + metric rule + evidence gate</t>
        </is>
      </c>
      <c r="D38" s="20" t="inlineStr">
        <is>
          <t>Independent assessor A score</t>
        </is>
      </c>
      <c r="E38" s="20" t="inlineStr">
        <is>
          <t>Independent assessor B score</t>
        </is>
      </c>
      <c r="F38" s="20">
        <f>IF(OR(D38="",E38=""),"",ABS(D38-E38))</f>
        <v/>
      </c>
      <c r="G38" s="20">
        <f>IF(F38="","PENDING",IF(F38&lt;=1,"AGREE","REVIEW"))</f>
        <v/>
      </c>
      <c r="H38" s="20">
        <f>IF(G38="REVIEW","Y","N")</f>
        <v/>
      </c>
      <c r="I38" s="20" t="inlineStr">
        <is>
          <t>Final calibrated score</t>
        </is>
      </c>
      <c r="J38" s="20" t="inlineStr">
        <is>
          <t>Notes</t>
        </is>
      </c>
    </row>
    <row r="39">
      <c r="A39" s="20" t="inlineStr">
        <is>
          <t>I14</t>
        </is>
      </c>
      <c r="B39" s="20" t="inlineStr">
        <is>
          <t>Ethical/Social Judgement</t>
        </is>
      </c>
      <c r="C39" s="20" t="inlineStr">
        <is>
          <t>Use domain-specific anchor + metric rule + evidence gate</t>
        </is>
      </c>
      <c r="D39" s="20" t="inlineStr">
        <is>
          <t>Independent assessor A score</t>
        </is>
      </c>
      <c r="E39" s="20" t="inlineStr">
        <is>
          <t>Independent assessor B score</t>
        </is>
      </c>
      <c r="F39" s="20">
        <f>IF(OR(D39="",E39=""),"",ABS(D39-E39))</f>
        <v/>
      </c>
      <c r="G39" s="20">
        <f>IF(F39="","PENDING",IF(F39&lt;=1,"AGREE","REVIEW"))</f>
        <v/>
      </c>
      <c r="H39" s="20">
        <f>IF(G39="REVIEW","Y","N")</f>
        <v/>
      </c>
      <c r="I39" s="20" t="inlineStr">
        <is>
          <t>Final calibrated score</t>
        </is>
      </c>
      <c r="J39" s="20" t="inlineStr">
        <is>
          <t>Notes</t>
        </is>
      </c>
    </row>
    <row r="40">
      <c r="A40" s="20" t="inlineStr">
        <is>
          <t>I15</t>
        </is>
      </c>
      <c r="B40" s="20" t="inlineStr">
        <is>
          <t>Intellectual Agency</t>
        </is>
      </c>
      <c r="C40" s="20" t="inlineStr">
        <is>
          <t>Use domain-specific anchor + metric rule + evidence gate</t>
        </is>
      </c>
      <c r="D40" s="20" t="inlineStr">
        <is>
          <t>Independent assessor A score</t>
        </is>
      </c>
      <c r="E40" s="20" t="inlineStr">
        <is>
          <t>Independent assessor B score</t>
        </is>
      </c>
      <c r="F40" s="20">
        <f>IF(OR(D40="",E40=""),"",ABS(D40-E40))</f>
        <v/>
      </c>
      <c r="G40" s="20">
        <f>IF(F40="","PENDING",IF(F40&lt;=1,"AGREE","REVIEW"))</f>
        <v/>
      </c>
      <c r="H40" s="20">
        <f>IF(G40="REVIEW","Y","N")</f>
        <v/>
      </c>
      <c r="I40" s="20" t="inlineStr">
        <is>
          <t>Final calibrated score</t>
        </is>
      </c>
      <c r="J40" s="20" t="inlineStr">
        <is>
          <t>Notes</t>
        </is>
      </c>
    </row>
    <row r="41">
      <c r="A41" s="20" t="inlineStr">
        <is>
          <t>I16</t>
        </is>
      </c>
      <c r="B41" s="20" t="inlineStr">
        <is>
          <t>Transfer Capability</t>
        </is>
      </c>
      <c r="C41" s="20" t="inlineStr">
        <is>
          <t>Use domain-specific anchor + metric rule + evidence gate</t>
        </is>
      </c>
      <c r="D41" s="20" t="inlineStr">
        <is>
          <t>Independent assessor A score</t>
        </is>
      </c>
      <c r="E41" s="20" t="inlineStr">
        <is>
          <t>Independent assessor B score</t>
        </is>
      </c>
      <c r="F41" s="20">
        <f>IF(OR(D41="",E41=""),"",ABS(D41-E41))</f>
        <v/>
      </c>
      <c r="G41" s="20">
        <f>IF(F41="","PENDING",IF(F41&lt;=1,"AGREE","REVIEW"))</f>
        <v/>
      </c>
      <c r="H41" s="20">
        <f>IF(G41="REVIEW","Y","N")</f>
        <v/>
      </c>
      <c r="I41" s="20" t="inlineStr">
        <is>
          <t>Final calibrated score</t>
        </is>
      </c>
      <c r="J41" s="20" t="inlineStr">
        <is>
          <t>Notes</t>
        </is>
      </c>
    </row>
    <row r="42">
      <c r="A42" s="20" t="inlineStr">
        <is>
          <t>I17</t>
        </is>
      </c>
      <c r="B42" s="20" t="inlineStr">
        <is>
          <t>Non-Technical Discipline AI Capability</t>
        </is>
      </c>
      <c r="C42" s="20" t="inlineStr">
        <is>
          <t>Use domain-specific anchor + metric rule + evidence gate</t>
        </is>
      </c>
      <c r="D42" s="20" t="inlineStr">
        <is>
          <t>Independent assessor A score</t>
        </is>
      </c>
      <c r="E42" s="20" t="inlineStr">
        <is>
          <t>Independent assessor B score</t>
        </is>
      </c>
      <c r="F42" s="20">
        <f>IF(OR(D42="",E42=""),"",ABS(D42-E42))</f>
        <v/>
      </c>
      <c r="G42" s="20">
        <f>IF(F42="","PENDING",IF(F42&lt;=1,"AGREE","REVIEW"))</f>
        <v/>
      </c>
      <c r="H42" s="20">
        <f>IF(G42="REVIEW","Y","N")</f>
        <v/>
      </c>
      <c r="I42" s="20" t="inlineStr">
        <is>
          <t>Final calibrated score</t>
        </is>
      </c>
      <c r="J42" s="20" t="inlineStr">
        <is>
          <t>Notes</t>
        </is>
      </c>
    </row>
    <row r="43">
      <c r="A43" s="20" t="inlineStr">
        <is>
          <t>I01</t>
        </is>
      </c>
      <c r="B43" s="20" t="inlineStr">
        <is>
          <t>Curriculum Sensing Maturity</t>
        </is>
      </c>
      <c r="C43" s="20" t="inlineStr">
        <is>
          <t>Use domain-specific anchor + metric rule + evidence gate</t>
        </is>
      </c>
      <c r="D43" s="20" t="inlineStr">
        <is>
          <t>Independent assessor A score</t>
        </is>
      </c>
      <c r="E43" s="20" t="inlineStr">
        <is>
          <t>Independent assessor B score</t>
        </is>
      </c>
      <c r="F43" s="20">
        <f>IF(OR(D43="",E43=""),"",ABS(D43-E43))</f>
        <v/>
      </c>
      <c r="G43" s="20">
        <f>IF(F43="","PENDING",IF(F43&lt;=1,"AGREE","REVIEW"))</f>
        <v/>
      </c>
      <c r="H43" s="20">
        <f>IF(G43="REVIEW","Y","N")</f>
        <v/>
      </c>
      <c r="I43" s="20" t="inlineStr">
        <is>
          <t>Final calibrated score</t>
        </is>
      </c>
      <c r="J43" s="20" t="inlineStr">
        <is>
          <t>Notes</t>
        </is>
      </c>
    </row>
    <row r="44">
      <c r="A44" s="20" t="inlineStr">
        <is>
          <t>I02</t>
        </is>
      </c>
      <c r="B44" s="20" t="inlineStr">
        <is>
          <t>Future Learning Outcome Alignment</t>
        </is>
      </c>
      <c r="C44" s="20" t="inlineStr">
        <is>
          <t>Use domain-specific anchor + metric rule + evidence gate</t>
        </is>
      </c>
      <c r="D44" s="20" t="inlineStr">
        <is>
          <t>Independent assessor A score</t>
        </is>
      </c>
      <c r="E44" s="20" t="inlineStr">
        <is>
          <t>Independent assessor B score</t>
        </is>
      </c>
      <c r="F44" s="20">
        <f>IF(OR(D44="",E44=""),"",ABS(D44-E44))</f>
        <v/>
      </c>
      <c r="G44" s="20">
        <f>IF(F44="","PENDING",IF(F44&lt;=1,"AGREE","REVIEW"))</f>
        <v/>
      </c>
      <c r="H44" s="20">
        <f>IF(G44="REVIEW","Y","N")</f>
        <v/>
      </c>
      <c r="I44" s="20" t="inlineStr">
        <is>
          <t>Final calibrated score</t>
        </is>
      </c>
      <c r="J44" s="20" t="inlineStr">
        <is>
          <t>Notes</t>
        </is>
      </c>
    </row>
    <row r="45">
      <c r="A45" s="20" t="inlineStr">
        <is>
          <t>I03</t>
        </is>
      </c>
      <c r="B45" s="20" t="inlineStr">
        <is>
          <t>Programme Review Effectiveness</t>
        </is>
      </c>
      <c r="C45" s="20" t="inlineStr">
        <is>
          <t>Use domain-specific anchor + metric rule + evidence gate</t>
        </is>
      </c>
      <c r="D45" s="20" t="inlineStr">
        <is>
          <t>Independent assessor A score</t>
        </is>
      </c>
      <c r="E45" s="20" t="inlineStr">
        <is>
          <t>Independent assessor B score</t>
        </is>
      </c>
      <c r="F45" s="20">
        <f>IF(OR(D45="",E45=""),"",ABS(D45-E45))</f>
        <v/>
      </c>
      <c r="G45" s="20">
        <f>IF(F45="","PENDING",IF(F45&lt;=1,"AGREE","REVIEW"))</f>
        <v/>
      </c>
      <c r="H45" s="20">
        <f>IF(G45="REVIEW","Y","N")</f>
        <v/>
      </c>
      <c r="I45" s="20" t="inlineStr">
        <is>
          <t>Final calibrated score</t>
        </is>
      </c>
      <c r="J45" s="20" t="inlineStr">
        <is>
          <t>Notes</t>
        </is>
      </c>
    </row>
    <row r="46">
      <c r="A46" s="20" t="inlineStr">
        <is>
          <t>I04</t>
        </is>
      </c>
      <c r="B46" s="20" t="inlineStr">
        <is>
          <t>Disciplinary AI Integration Depth</t>
        </is>
      </c>
      <c r="C46" s="20" t="inlineStr">
        <is>
          <t>Use domain-specific anchor + metric rule + evidence gate</t>
        </is>
      </c>
      <c r="D46" s="20" t="inlineStr">
        <is>
          <t>Independent assessor A score</t>
        </is>
      </c>
      <c r="E46" s="20" t="inlineStr">
        <is>
          <t>Independent assessor B score</t>
        </is>
      </c>
      <c r="F46" s="20">
        <f>IF(OR(D46="",E46=""),"",ABS(D46-E46))</f>
        <v/>
      </c>
      <c r="G46" s="20">
        <f>IF(F46="","PENDING",IF(F46&lt;=1,"AGREE","REVIEW"))</f>
        <v/>
      </c>
      <c r="H46" s="20">
        <f>IF(G46="REVIEW","Y","N")</f>
        <v/>
      </c>
      <c r="I46" s="20" t="inlineStr">
        <is>
          <t>Final calibrated score</t>
        </is>
      </c>
      <c r="J46" s="20" t="inlineStr">
        <is>
          <t>Notes</t>
        </is>
      </c>
    </row>
    <row r="47">
      <c r="A47" s="20" t="inlineStr">
        <is>
          <t>I05</t>
        </is>
      </c>
      <c r="B47" s="20" t="inlineStr">
        <is>
          <t>Content Obsolescence Response</t>
        </is>
      </c>
      <c r="C47" s="20" t="inlineStr">
        <is>
          <t>Use domain-specific anchor + metric rule + evidence gate</t>
        </is>
      </c>
      <c r="D47" s="20" t="inlineStr">
        <is>
          <t>Independent assessor A score</t>
        </is>
      </c>
      <c r="E47" s="20" t="inlineStr">
        <is>
          <t>Independent assessor B score</t>
        </is>
      </c>
      <c r="F47" s="20">
        <f>IF(OR(D47="",E47=""),"",ABS(D47-E47))</f>
        <v/>
      </c>
      <c r="G47" s="20">
        <f>IF(F47="","PENDING",IF(F47&lt;=1,"AGREE","REVIEW"))</f>
        <v/>
      </c>
      <c r="H47" s="20">
        <f>IF(G47="REVIEW","Y","N")</f>
        <v/>
      </c>
      <c r="I47" s="20" t="inlineStr">
        <is>
          <t>Final calibrated score</t>
        </is>
      </c>
      <c r="J47" s="20" t="inlineStr">
        <is>
          <t>Notes</t>
        </is>
      </c>
    </row>
    <row r="48">
      <c r="A48" s="20" t="inlineStr">
        <is>
          <t>I06</t>
        </is>
      </c>
      <c r="B48" s="20" t="inlineStr">
        <is>
          <t>Experiential Learning Strength</t>
        </is>
      </c>
      <c r="C48" s="20" t="inlineStr">
        <is>
          <t>Use domain-specific anchor + metric rule + evidence gate</t>
        </is>
      </c>
      <c r="D48" s="20" t="inlineStr">
        <is>
          <t>Independent assessor A score</t>
        </is>
      </c>
      <c r="E48" s="20" t="inlineStr">
        <is>
          <t>Independent assessor B score</t>
        </is>
      </c>
      <c r="F48" s="20">
        <f>IF(OR(D48="",E48=""),"",ABS(D48-E48))</f>
        <v/>
      </c>
      <c r="G48" s="20">
        <f>IF(F48="","PENDING",IF(F48&lt;=1,"AGREE","REVIEW"))</f>
        <v/>
      </c>
      <c r="H48" s="20">
        <f>IF(G48="REVIEW","Y","N")</f>
        <v/>
      </c>
      <c r="I48" s="20" t="inlineStr">
        <is>
          <t>Final calibrated score</t>
        </is>
      </c>
      <c r="J48" s="20" t="inlineStr">
        <is>
          <t>Notes</t>
        </is>
      </c>
    </row>
    <row r="49">
      <c r="A49" s="20" t="inlineStr">
        <is>
          <t>I07</t>
        </is>
      </c>
      <c r="B49" s="20" t="inlineStr">
        <is>
          <t>Interdisciplinary Flexibility</t>
        </is>
      </c>
      <c r="C49" s="20" t="inlineStr">
        <is>
          <t>Use domain-specific anchor + metric rule + evidence gate</t>
        </is>
      </c>
      <c r="D49" s="20" t="inlineStr">
        <is>
          <t>Independent assessor A score</t>
        </is>
      </c>
      <c r="E49" s="20" t="inlineStr">
        <is>
          <t>Independent assessor B score</t>
        </is>
      </c>
      <c r="F49" s="20">
        <f>IF(OR(D49="",E49=""),"",ABS(D49-E49))</f>
        <v/>
      </c>
      <c r="G49" s="20">
        <f>IF(F49="","PENDING",IF(F49&lt;=1,"AGREE","REVIEW"))</f>
        <v/>
      </c>
      <c r="H49" s="20">
        <f>IF(G49="REVIEW","Y","N")</f>
        <v/>
      </c>
      <c r="I49" s="20" t="inlineStr">
        <is>
          <t>Final calibrated score</t>
        </is>
      </c>
      <c r="J49" s="20" t="inlineStr">
        <is>
          <t>Notes</t>
        </is>
      </c>
    </row>
    <row r="50">
      <c r="A50" s="20" t="inlineStr">
        <is>
          <t>I08</t>
        </is>
      </c>
      <c r="B50" s="20" t="inlineStr">
        <is>
          <t>Programme Agility</t>
        </is>
      </c>
      <c r="C50" s="20" t="inlineStr">
        <is>
          <t>Use domain-specific anchor + metric rule + evidence gate</t>
        </is>
      </c>
      <c r="D50" s="20" t="inlineStr">
        <is>
          <t>Independent assessor A score</t>
        </is>
      </c>
      <c r="E50" s="20" t="inlineStr">
        <is>
          <t>Independent assessor B score</t>
        </is>
      </c>
      <c r="F50" s="20">
        <f>IF(OR(D50="",E50=""),"",ABS(D50-E50))</f>
        <v/>
      </c>
      <c r="G50" s="20">
        <f>IF(F50="","PENDING",IF(F50&lt;=1,"AGREE","REVIEW"))</f>
        <v/>
      </c>
      <c r="H50" s="20">
        <f>IF(G50="REVIEW","Y","N")</f>
        <v/>
      </c>
      <c r="I50" s="20" t="inlineStr">
        <is>
          <t>Final calibrated score</t>
        </is>
      </c>
      <c r="J50" s="20" t="inlineStr">
        <is>
          <t>Notes</t>
        </is>
      </c>
    </row>
    <row r="51">
      <c r="A51" s="20" t="inlineStr">
        <is>
          <t>I09</t>
        </is>
      </c>
      <c r="B51" s="20" t="inlineStr">
        <is>
          <t>External Validation Strength</t>
        </is>
      </c>
      <c r="C51" s="20" t="inlineStr">
        <is>
          <t>Use domain-specific anchor + metric rule + evidence gate</t>
        </is>
      </c>
      <c r="D51" s="20" t="inlineStr">
        <is>
          <t>Independent assessor A score</t>
        </is>
      </c>
      <c r="E51" s="20" t="inlineStr">
        <is>
          <t>Independent assessor B score</t>
        </is>
      </c>
      <c r="F51" s="20">
        <f>IF(OR(D51="",E51=""),"",ABS(D51-E51))</f>
        <v/>
      </c>
      <c r="G51" s="20">
        <f>IF(F51="","PENDING",IF(F51&lt;=1,"AGREE","REVIEW"))</f>
        <v/>
      </c>
      <c r="H51" s="20">
        <f>IF(G51="REVIEW","Y","N")</f>
        <v/>
      </c>
      <c r="I51" s="20" t="inlineStr">
        <is>
          <t>Final calibrated score</t>
        </is>
      </c>
      <c r="J51" s="20" t="inlineStr">
        <is>
          <t>Notes</t>
        </is>
      </c>
    </row>
    <row r="52">
      <c r="A52" s="20" t="inlineStr">
        <is>
          <t>I10</t>
        </is>
      </c>
      <c r="B52" s="20" t="inlineStr">
        <is>
          <t>External Learning Ecosystem</t>
        </is>
      </c>
      <c r="C52" s="20" t="inlineStr">
        <is>
          <t>Use domain-specific anchor + metric rule + evidence gate</t>
        </is>
      </c>
      <c r="D52" s="20" t="inlineStr">
        <is>
          <t>Independent assessor A score</t>
        </is>
      </c>
      <c r="E52" s="20" t="inlineStr">
        <is>
          <t>Independent assessor B score</t>
        </is>
      </c>
      <c r="F52" s="20">
        <f>IF(OR(D52="",E52=""),"",ABS(D52-E52))</f>
        <v/>
      </c>
      <c r="G52" s="20">
        <f>IF(F52="","PENDING",IF(F52&lt;=1,"AGREE","REVIEW"))</f>
        <v/>
      </c>
      <c r="H52" s="20">
        <f>IF(G52="REVIEW","Y","N")</f>
        <v/>
      </c>
      <c r="I52" s="20" t="inlineStr">
        <is>
          <t>Final calibrated score</t>
        </is>
      </c>
      <c r="J52" s="20" t="inlineStr">
        <is>
          <t>Notes</t>
        </is>
      </c>
    </row>
    <row r="53">
      <c r="A53" s="20" t="inlineStr">
        <is>
          <t>I11</t>
        </is>
      </c>
      <c r="B53" s="20" t="inlineStr">
        <is>
          <t>Transfer Capability</t>
        </is>
      </c>
      <c r="C53" s="20" t="inlineStr">
        <is>
          <t>Use domain-specific anchor + metric rule + evidence gate</t>
        </is>
      </c>
      <c r="D53" s="20" t="inlineStr">
        <is>
          <t>Independent assessor A score</t>
        </is>
      </c>
      <c r="E53" s="20" t="inlineStr">
        <is>
          <t>Independent assessor B score</t>
        </is>
      </c>
      <c r="F53" s="20">
        <f>IF(OR(D53="",E53=""),"",ABS(D53-E53))</f>
        <v/>
      </c>
      <c r="G53" s="20">
        <f>IF(F53="","PENDING",IF(F53&lt;=1,"AGREE","REVIEW"))</f>
        <v/>
      </c>
      <c r="H53" s="20">
        <f>IF(G53="REVIEW","Y","N")</f>
        <v/>
      </c>
      <c r="I53" s="20" t="inlineStr">
        <is>
          <t>Final calibrated score</t>
        </is>
      </c>
      <c r="J53" s="20" t="inlineStr">
        <is>
          <t>Notes</t>
        </is>
      </c>
    </row>
    <row r="54">
      <c r="A54" s="20" t="inlineStr">
        <is>
          <t>I12</t>
        </is>
      </c>
      <c r="B54" s="20" t="inlineStr">
        <is>
          <t>Portfolio Foresight</t>
        </is>
      </c>
      <c r="C54" s="20" t="inlineStr">
        <is>
          <t>Use domain-specific anchor + metric rule + evidence gate</t>
        </is>
      </c>
      <c r="D54" s="20" t="inlineStr">
        <is>
          <t>Independent assessor A score</t>
        </is>
      </c>
      <c r="E54" s="20" t="inlineStr">
        <is>
          <t>Independent assessor B score</t>
        </is>
      </c>
      <c r="F54" s="20">
        <f>IF(OR(D54="",E54=""),"",ABS(D54-E54))</f>
        <v/>
      </c>
      <c r="G54" s="20">
        <f>IF(F54="","PENDING",IF(F54&lt;=1,"AGREE","REVIEW"))</f>
        <v/>
      </c>
      <c r="H54" s="20">
        <f>IF(G54="REVIEW","Y","N")</f>
        <v/>
      </c>
      <c r="I54" s="20" t="inlineStr">
        <is>
          <t>Final calibrated score</t>
        </is>
      </c>
      <c r="J54" s="20" t="inlineStr">
        <is>
          <t>Notes</t>
        </is>
      </c>
    </row>
    <row r="55">
      <c r="A55" s="20" t="inlineStr">
        <is>
          <t>I01</t>
        </is>
      </c>
      <c r="B55" s="20" t="inlineStr">
        <is>
          <t>Faculty AI Literacy Maturity</t>
        </is>
      </c>
      <c r="C55" s="20" t="inlineStr">
        <is>
          <t>Use domain-specific anchor + metric rule + evidence gate</t>
        </is>
      </c>
      <c r="D55" s="20" t="inlineStr">
        <is>
          <t>Independent assessor A score</t>
        </is>
      </c>
      <c r="E55" s="20" t="inlineStr">
        <is>
          <t>Independent assessor B score</t>
        </is>
      </c>
      <c r="F55" s="20">
        <f>IF(OR(D55="",E55=""),"",ABS(D55-E55))</f>
        <v/>
      </c>
      <c r="G55" s="20">
        <f>IF(F55="","PENDING",IF(F55&lt;=1,"AGREE","REVIEW"))</f>
        <v/>
      </c>
      <c r="H55" s="20">
        <f>IF(G55="REVIEW","Y","N")</f>
        <v/>
      </c>
      <c r="I55" s="20" t="inlineStr">
        <is>
          <t>Final calibrated score</t>
        </is>
      </c>
      <c r="J55" s="20" t="inlineStr">
        <is>
          <t>Notes</t>
        </is>
      </c>
    </row>
    <row r="56">
      <c r="A56" s="20" t="inlineStr">
        <is>
          <t>I02</t>
        </is>
      </c>
      <c r="B56" s="20" t="inlineStr">
        <is>
          <t>Discipline-Specific AI Practice</t>
        </is>
      </c>
      <c r="C56" s="20" t="inlineStr">
        <is>
          <t>Use domain-specific anchor + metric rule + evidence gate</t>
        </is>
      </c>
      <c r="D56" s="20" t="inlineStr">
        <is>
          <t>Independent assessor A score</t>
        </is>
      </c>
      <c r="E56" s="20" t="inlineStr">
        <is>
          <t>Independent assessor B score</t>
        </is>
      </c>
      <c r="F56" s="20">
        <f>IF(OR(D56="",E56=""),"",ABS(D56-E56))</f>
        <v/>
      </c>
      <c r="G56" s="20">
        <f>IF(F56="","PENDING",IF(F56&lt;=1,"AGREE","REVIEW"))</f>
        <v/>
      </c>
      <c r="H56" s="20">
        <f>IF(G56="REVIEW","Y","N")</f>
        <v/>
      </c>
      <c r="I56" s="20" t="inlineStr">
        <is>
          <t>Final calibrated score</t>
        </is>
      </c>
      <c r="J56" s="20" t="inlineStr">
        <is>
          <t>Notes</t>
        </is>
      </c>
    </row>
    <row r="57">
      <c r="A57" s="20" t="inlineStr">
        <is>
          <t>I03</t>
        </is>
      </c>
      <c r="B57" s="20" t="inlineStr">
        <is>
          <t>AI-Enhanced Pedagogy</t>
        </is>
      </c>
      <c r="C57" s="20" t="inlineStr">
        <is>
          <t>Use domain-specific anchor + metric rule + evidence gate</t>
        </is>
      </c>
      <c r="D57" s="20" t="inlineStr">
        <is>
          <t>Independent assessor A score</t>
        </is>
      </c>
      <c r="E57" s="20" t="inlineStr">
        <is>
          <t>Independent assessor B score</t>
        </is>
      </c>
      <c r="F57" s="20">
        <f>IF(OR(D57="",E57=""),"",ABS(D57-E57))</f>
        <v/>
      </c>
      <c r="G57" s="20">
        <f>IF(F57="","PENDING",IF(F57&lt;=1,"AGREE","REVIEW"))</f>
        <v/>
      </c>
      <c r="H57" s="20">
        <f>IF(G57="REVIEW","Y","N")</f>
        <v/>
      </c>
      <c r="I57" s="20" t="inlineStr">
        <is>
          <t>Final calibrated score</t>
        </is>
      </c>
      <c r="J57" s="20" t="inlineStr">
        <is>
          <t>Notes</t>
        </is>
      </c>
    </row>
    <row r="58">
      <c r="A58" s="20" t="inlineStr">
        <is>
          <t>I04</t>
        </is>
      </c>
      <c r="B58" s="20" t="inlineStr">
        <is>
          <t>Assessment Redesign Capability</t>
        </is>
      </c>
      <c r="C58" s="20" t="inlineStr">
        <is>
          <t>Use domain-specific anchor + metric rule + evidence gate</t>
        </is>
      </c>
      <c r="D58" s="20" t="inlineStr">
        <is>
          <t>Independent assessor A score</t>
        </is>
      </c>
      <c r="E58" s="20" t="inlineStr">
        <is>
          <t>Independent assessor B score</t>
        </is>
      </c>
      <c r="F58" s="20">
        <f>IF(OR(D58="",E58=""),"",ABS(D58-E58))</f>
        <v/>
      </c>
      <c r="G58" s="20">
        <f>IF(F58="","PENDING",IF(F58&lt;=1,"AGREE","REVIEW"))</f>
        <v/>
      </c>
      <c r="H58" s="20">
        <f>IF(G58="REVIEW","Y","N")</f>
        <v/>
      </c>
      <c r="I58" s="20" t="inlineStr">
        <is>
          <t>Final calibrated score</t>
        </is>
      </c>
      <c r="J58" s="20" t="inlineStr">
        <is>
          <t>Notes</t>
        </is>
      </c>
    </row>
    <row r="59">
      <c r="A59" s="20" t="inlineStr">
        <is>
          <t>I05</t>
        </is>
      </c>
      <c r="B59" s="20" t="inlineStr">
        <is>
          <t>Faculty Learning &amp; Development Effectiveness</t>
        </is>
      </c>
      <c r="C59" s="20" t="inlineStr">
        <is>
          <t>Use domain-specific anchor + metric rule + evidence gate</t>
        </is>
      </c>
      <c r="D59" s="20" t="inlineStr">
        <is>
          <t>Independent assessor A score</t>
        </is>
      </c>
      <c r="E59" s="20" t="inlineStr">
        <is>
          <t>Independent assessor B score</t>
        </is>
      </c>
      <c r="F59" s="20">
        <f>IF(OR(D59="",E59=""),"",ABS(D59-E59))</f>
        <v/>
      </c>
      <c r="G59" s="20">
        <f>IF(F59="","PENDING",IF(F59&lt;=1,"AGREE","REVIEW"))</f>
        <v/>
      </c>
      <c r="H59" s="20">
        <f>IF(G59="REVIEW","Y","N")</f>
        <v/>
      </c>
      <c r="I59" s="20" t="inlineStr">
        <is>
          <t>Final calibrated score</t>
        </is>
      </c>
      <c r="J59" s="20" t="inlineStr">
        <is>
          <t>Notes</t>
        </is>
      </c>
    </row>
    <row r="60">
      <c r="A60" s="20" t="inlineStr">
        <is>
          <t>I06</t>
        </is>
      </c>
      <c r="B60" s="20" t="inlineStr">
        <is>
          <t>Peer Learning &amp; Communities</t>
        </is>
      </c>
      <c r="C60" s="20" t="inlineStr">
        <is>
          <t>Use domain-specific anchor + metric rule + evidence gate</t>
        </is>
      </c>
      <c r="D60" s="20" t="inlineStr">
        <is>
          <t>Independent assessor A score</t>
        </is>
      </c>
      <c r="E60" s="20" t="inlineStr">
        <is>
          <t>Independent assessor B score</t>
        </is>
      </c>
      <c r="F60" s="20">
        <f>IF(OR(D60="",E60=""),"",ABS(D60-E60))</f>
        <v/>
      </c>
      <c r="G60" s="20">
        <f>IF(F60="","PENDING",IF(F60&lt;=1,"AGREE","REVIEW"))</f>
        <v/>
      </c>
      <c r="H60" s="20">
        <f>IF(G60="REVIEW","Y","N")</f>
        <v/>
      </c>
      <c r="I60" s="20" t="inlineStr">
        <is>
          <t>Final calibrated score</t>
        </is>
      </c>
      <c r="J60" s="20" t="inlineStr">
        <is>
          <t>Notes</t>
        </is>
      </c>
    </row>
    <row r="61">
      <c r="A61" s="20" t="inlineStr">
        <is>
          <t>I07</t>
        </is>
      </c>
      <c r="B61" s="20" t="inlineStr">
        <is>
          <t>AI Research &amp; Knowledge Creation</t>
        </is>
      </c>
      <c r="C61" s="20" t="inlineStr">
        <is>
          <t>Use domain-specific anchor + metric rule + evidence gate</t>
        </is>
      </c>
      <c r="D61" s="20" t="inlineStr">
        <is>
          <t>Independent assessor A score</t>
        </is>
      </c>
      <c r="E61" s="20" t="inlineStr">
        <is>
          <t>Independent assessor B score</t>
        </is>
      </c>
      <c r="F61" s="20">
        <f>IF(OR(D61="",E61=""),"",ABS(D61-E61))</f>
        <v/>
      </c>
      <c r="G61" s="20">
        <f>IF(F61="","PENDING",IF(F61&lt;=1,"AGREE","REVIEW"))</f>
        <v/>
      </c>
      <c r="H61" s="20">
        <f>IF(G61="REVIEW","Y","N")</f>
        <v/>
      </c>
      <c r="I61" s="20" t="inlineStr">
        <is>
          <t>Final calibrated score</t>
        </is>
      </c>
      <c r="J61" s="20" t="inlineStr">
        <is>
          <t>Notes</t>
        </is>
      </c>
    </row>
    <row r="62">
      <c r="A62" s="20" t="inlineStr">
        <is>
          <t>I08</t>
        </is>
      </c>
      <c r="B62" s="20" t="inlineStr">
        <is>
          <t>Academic Role Redesign</t>
        </is>
      </c>
      <c r="C62" s="20" t="inlineStr">
        <is>
          <t>Use domain-specific anchor + metric rule + evidence gate</t>
        </is>
      </c>
      <c r="D62" s="20" t="inlineStr">
        <is>
          <t>Independent assessor A score</t>
        </is>
      </c>
      <c r="E62" s="20" t="inlineStr">
        <is>
          <t>Independent assessor B score</t>
        </is>
      </c>
      <c r="F62" s="20">
        <f>IF(OR(D62="",E62=""),"",ABS(D62-E62))</f>
        <v/>
      </c>
      <c r="G62" s="20">
        <f>IF(F62="","PENDING",IF(F62&lt;=1,"AGREE","REVIEW"))</f>
        <v/>
      </c>
      <c r="H62" s="20">
        <f>IF(G62="REVIEW","Y","N")</f>
        <v/>
      </c>
      <c r="I62" s="20" t="inlineStr">
        <is>
          <t>Final calibrated score</t>
        </is>
      </c>
      <c r="J62" s="20" t="inlineStr">
        <is>
          <t>Notes</t>
        </is>
      </c>
    </row>
    <row r="63">
      <c r="A63" s="20" t="inlineStr">
        <is>
          <t>I09</t>
        </is>
      </c>
      <c r="B63" s="20" t="inlineStr">
        <is>
          <t>Workload &amp; Workflow Transformation</t>
        </is>
      </c>
      <c r="C63" s="20" t="inlineStr">
        <is>
          <t>Use domain-specific anchor + metric rule + evidence gate</t>
        </is>
      </c>
      <c r="D63" s="20" t="inlineStr">
        <is>
          <t>Independent assessor A score</t>
        </is>
      </c>
      <c r="E63" s="20" t="inlineStr">
        <is>
          <t>Independent assessor B score</t>
        </is>
      </c>
      <c r="F63" s="20">
        <f>IF(OR(D63="",E63=""),"",ABS(D63-E63))</f>
        <v/>
      </c>
      <c r="G63" s="20">
        <f>IF(F63="","PENDING",IF(F63&lt;=1,"AGREE","REVIEW"))</f>
        <v/>
      </c>
      <c r="H63" s="20">
        <f>IF(G63="REVIEW","Y","N")</f>
        <v/>
      </c>
      <c r="I63" s="20" t="inlineStr">
        <is>
          <t>Final calibrated score</t>
        </is>
      </c>
      <c r="J63" s="20" t="inlineStr">
        <is>
          <t>Notes</t>
        </is>
      </c>
    </row>
    <row r="64">
      <c r="A64" s="20" t="inlineStr">
        <is>
          <t>I10</t>
        </is>
      </c>
      <c r="B64" s="20" t="inlineStr">
        <is>
          <t>Faculty Support Infrastructure</t>
        </is>
      </c>
      <c r="C64" s="20" t="inlineStr">
        <is>
          <t>Use domain-specific anchor + metric rule + evidence gate</t>
        </is>
      </c>
      <c r="D64" s="20" t="inlineStr">
        <is>
          <t>Independent assessor A score</t>
        </is>
      </c>
      <c r="E64" s="20" t="inlineStr">
        <is>
          <t>Independent assessor B score</t>
        </is>
      </c>
      <c r="F64" s="20">
        <f>IF(OR(D64="",E64=""),"",ABS(D64-E64))</f>
        <v/>
      </c>
      <c r="G64" s="20">
        <f>IF(F64="","PENDING",IF(F64&lt;=1,"AGREE","REVIEW"))</f>
        <v/>
      </c>
      <c r="H64" s="20">
        <f>IF(G64="REVIEW","Y","N")</f>
        <v/>
      </c>
      <c r="I64" s="20" t="inlineStr">
        <is>
          <t>Final calibrated score</t>
        </is>
      </c>
      <c r="J64" s="20" t="inlineStr">
        <is>
          <t>Notes</t>
        </is>
      </c>
    </row>
    <row r="65">
      <c r="A65" s="20" t="inlineStr">
        <is>
          <t>I11</t>
        </is>
      </c>
      <c r="B65" s="20" t="inlineStr">
        <is>
          <t>Academic Leadership for AI</t>
        </is>
      </c>
      <c r="C65" s="20" t="inlineStr">
        <is>
          <t>Use domain-specific anchor + metric rule + evidence gate</t>
        </is>
      </c>
      <c r="D65" s="20" t="inlineStr">
        <is>
          <t>Independent assessor A score</t>
        </is>
      </c>
      <c r="E65" s="20" t="inlineStr">
        <is>
          <t>Independent assessor B score</t>
        </is>
      </c>
      <c r="F65" s="20">
        <f>IF(OR(D65="",E65=""),"",ABS(D65-E65))</f>
        <v/>
      </c>
      <c r="G65" s="20">
        <f>IF(F65="","PENDING",IF(F65&lt;=1,"AGREE","REVIEW"))</f>
        <v/>
      </c>
      <c r="H65" s="20">
        <f>IF(G65="REVIEW","Y","N")</f>
        <v/>
      </c>
      <c r="I65" s="20" t="inlineStr">
        <is>
          <t>Final calibrated score</t>
        </is>
      </c>
      <c r="J65" s="20" t="inlineStr">
        <is>
          <t>Notes</t>
        </is>
      </c>
    </row>
    <row r="66">
      <c r="A66" s="20" t="inlineStr">
        <is>
          <t>I12</t>
        </is>
      </c>
      <c r="B66" s="20" t="inlineStr">
        <is>
          <t>Faculty Adoption Learning Loop</t>
        </is>
      </c>
      <c r="C66" s="20" t="inlineStr">
        <is>
          <t>Use domain-specific anchor + metric rule + evidence gate</t>
        </is>
      </c>
      <c r="D66" s="20" t="inlineStr">
        <is>
          <t>Independent assessor A score</t>
        </is>
      </c>
      <c r="E66" s="20" t="inlineStr">
        <is>
          <t>Independent assessor B score</t>
        </is>
      </c>
      <c r="F66" s="20">
        <f>IF(OR(D66="",E66=""),"",ABS(D66-E66))</f>
        <v/>
      </c>
      <c r="G66" s="20">
        <f>IF(F66="","PENDING",IF(F66&lt;=1,"AGREE","REVIEW"))</f>
        <v/>
      </c>
      <c r="H66" s="20">
        <f>IF(G66="REVIEW","Y","N")</f>
        <v/>
      </c>
      <c r="I66" s="20" t="inlineStr">
        <is>
          <t>Final calibrated score</t>
        </is>
      </c>
      <c r="J66" s="20" t="inlineStr">
        <is>
          <t>Notes</t>
        </is>
      </c>
    </row>
    <row r="67">
      <c r="A67" s="20" t="inlineStr">
        <is>
          <t>I01</t>
        </is>
      </c>
      <c r="B67" s="20" t="inlineStr">
        <is>
          <t>Student AI Literacy</t>
        </is>
      </c>
      <c r="C67" s="20" t="inlineStr">
        <is>
          <t>Use domain-specific anchor + metric rule + evidence gate</t>
        </is>
      </c>
      <c r="D67" s="20" t="inlineStr">
        <is>
          <t>Independent assessor A score</t>
        </is>
      </c>
      <c r="E67" s="20" t="inlineStr">
        <is>
          <t>Independent assessor B score</t>
        </is>
      </c>
      <c r="F67" s="20">
        <f>IF(OR(D67="",E67=""),"",ABS(D67-E67))</f>
        <v/>
      </c>
      <c r="G67" s="20">
        <f>IF(F67="","PENDING",IF(F67&lt;=1,"AGREE","REVIEW"))</f>
        <v/>
      </c>
      <c r="H67" s="20">
        <f>IF(G67="REVIEW","Y","N")</f>
        <v/>
      </c>
      <c r="I67" s="20" t="inlineStr">
        <is>
          <t>Final calibrated score</t>
        </is>
      </c>
      <c r="J67" s="20" t="inlineStr">
        <is>
          <t>Notes</t>
        </is>
      </c>
    </row>
    <row r="68">
      <c r="A68" s="20" t="inlineStr">
        <is>
          <t>I02</t>
        </is>
      </c>
      <c r="B68" s="20" t="inlineStr">
        <is>
          <t>Critical AI Evaluation</t>
        </is>
      </c>
      <c r="C68" s="20" t="inlineStr">
        <is>
          <t>Use domain-specific anchor + metric rule + evidence gate</t>
        </is>
      </c>
      <c r="D68" s="20" t="inlineStr">
        <is>
          <t>Independent assessor A score</t>
        </is>
      </c>
      <c r="E68" s="20" t="inlineStr">
        <is>
          <t>Independent assessor B score</t>
        </is>
      </c>
      <c r="F68" s="20">
        <f>IF(OR(D68="",E68=""),"",ABS(D68-E68))</f>
        <v/>
      </c>
      <c r="G68" s="20">
        <f>IF(F68="","PENDING",IF(F68&lt;=1,"AGREE","REVIEW"))</f>
        <v/>
      </c>
      <c r="H68" s="20">
        <f>IF(G68="REVIEW","Y","N")</f>
        <v/>
      </c>
      <c r="I68" s="20" t="inlineStr">
        <is>
          <t>Final calibrated score</t>
        </is>
      </c>
      <c r="J68" s="20" t="inlineStr">
        <is>
          <t>Notes</t>
        </is>
      </c>
    </row>
    <row r="69">
      <c r="A69" s="20" t="inlineStr">
        <is>
          <t>I03</t>
        </is>
      </c>
      <c r="B69" s="20" t="inlineStr">
        <is>
          <t>Learning Agency</t>
        </is>
      </c>
      <c r="C69" s="20" t="inlineStr">
        <is>
          <t>Use domain-specific anchor + metric rule + evidence gate</t>
        </is>
      </c>
      <c r="D69" s="20" t="inlineStr">
        <is>
          <t>Independent assessor A score</t>
        </is>
      </c>
      <c r="E69" s="20" t="inlineStr">
        <is>
          <t>Independent assessor B score</t>
        </is>
      </c>
      <c r="F69" s="20">
        <f>IF(OR(D69="",E69=""),"",ABS(D69-E69))</f>
        <v/>
      </c>
      <c r="G69" s="20">
        <f>IF(F69="","PENDING",IF(F69&lt;=1,"AGREE","REVIEW"))</f>
        <v/>
      </c>
      <c r="H69" s="20">
        <f>IF(G69="REVIEW","Y","N")</f>
        <v/>
      </c>
      <c r="I69" s="20" t="inlineStr">
        <is>
          <t>Final calibrated score</t>
        </is>
      </c>
      <c r="J69" s="20" t="inlineStr">
        <is>
          <t>Notes</t>
        </is>
      </c>
    </row>
    <row r="70">
      <c r="A70" s="20" t="inlineStr">
        <is>
          <t>I04</t>
        </is>
      </c>
      <c r="B70" s="20" t="inlineStr">
        <is>
          <t>Independent Intellectual Agency</t>
        </is>
      </c>
      <c r="C70" s="20" t="inlineStr">
        <is>
          <t>Use domain-specific anchor + metric rule + evidence gate</t>
        </is>
      </c>
      <c r="D70" s="20" t="inlineStr">
        <is>
          <t>Independent assessor A score</t>
        </is>
      </c>
      <c r="E70" s="20" t="inlineStr">
        <is>
          <t>Independent assessor B score</t>
        </is>
      </c>
      <c r="F70" s="20">
        <f>IF(OR(D70="",E70=""),"",ABS(D70-E70))</f>
        <v/>
      </c>
      <c r="G70" s="20">
        <f>IF(F70="","PENDING",IF(F70&lt;=1,"AGREE","REVIEW"))</f>
        <v/>
      </c>
      <c r="H70" s="20">
        <f>IF(G70="REVIEW","Y","N")</f>
        <v/>
      </c>
      <c r="I70" s="20" t="inlineStr">
        <is>
          <t>Final calibrated score</t>
        </is>
      </c>
      <c r="J70" s="20" t="inlineStr">
        <is>
          <t>Notes</t>
        </is>
      </c>
    </row>
    <row r="71">
      <c r="A71" s="20" t="inlineStr">
        <is>
          <t>I05</t>
        </is>
      </c>
      <c r="B71" s="20" t="inlineStr">
        <is>
          <t>Communication &amp; Defence</t>
        </is>
      </c>
      <c r="C71" s="20" t="inlineStr">
        <is>
          <t>Use domain-specific anchor + metric rule + evidence gate</t>
        </is>
      </c>
      <c r="D71" s="20" t="inlineStr">
        <is>
          <t>Independent assessor A score</t>
        </is>
      </c>
      <c r="E71" s="20" t="inlineStr">
        <is>
          <t>Independent assessor B score</t>
        </is>
      </c>
      <c r="F71" s="20">
        <f>IF(OR(D71="",E71=""),"",ABS(D71-E71))</f>
        <v/>
      </c>
      <c r="G71" s="20">
        <f>IF(F71="","PENDING",IF(F71&lt;=1,"AGREE","REVIEW"))</f>
        <v/>
      </c>
      <c r="H71" s="20">
        <f>IF(G71="REVIEW","Y","N")</f>
        <v/>
      </c>
      <c r="I71" s="20" t="inlineStr">
        <is>
          <t>Final calibrated score</t>
        </is>
      </c>
      <c r="J71" s="20" t="inlineStr">
        <is>
          <t>Notes</t>
        </is>
      </c>
    </row>
    <row r="72">
      <c r="A72" s="20" t="inlineStr">
        <is>
          <t>I06</t>
        </is>
      </c>
      <c r="B72" s="20" t="inlineStr">
        <is>
          <t>Collaboration Capability</t>
        </is>
      </c>
      <c r="C72" s="20" t="inlineStr">
        <is>
          <t>Use domain-specific anchor + metric rule + evidence gate</t>
        </is>
      </c>
      <c r="D72" s="20" t="inlineStr">
        <is>
          <t>Independent assessor A score</t>
        </is>
      </c>
      <c r="E72" s="20" t="inlineStr">
        <is>
          <t>Independent assessor B score</t>
        </is>
      </c>
      <c r="F72" s="20">
        <f>IF(OR(D72="",E72=""),"",ABS(D72-E72))</f>
        <v/>
      </c>
      <c r="G72" s="20">
        <f>IF(F72="","PENDING",IF(F72&lt;=1,"AGREE","REVIEW"))</f>
        <v/>
      </c>
      <c r="H72" s="20">
        <f>IF(G72="REVIEW","Y","N")</f>
        <v/>
      </c>
      <c r="I72" s="20" t="inlineStr">
        <is>
          <t>Final calibrated score</t>
        </is>
      </c>
      <c r="J72" s="20" t="inlineStr">
        <is>
          <t>Notes</t>
        </is>
      </c>
    </row>
    <row r="73">
      <c r="A73" s="20" t="inlineStr">
        <is>
          <t>I07</t>
        </is>
      </c>
      <c r="B73" s="20" t="inlineStr">
        <is>
          <t>Practical Capability</t>
        </is>
      </c>
      <c r="C73" s="20" t="inlineStr">
        <is>
          <t>Use domain-specific anchor + metric rule + evidence gate</t>
        </is>
      </c>
      <c r="D73" s="20" t="inlineStr">
        <is>
          <t>Independent assessor A score</t>
        </is>
      </c>
      <c r="E73" s="20" t="inlineStr">
        <is>
          <t>Independent assessor B score</t>
        </is>
      </c>
      <c r="F73" s="20">
        <f>IF(OR(D73="",E73=""),"",ABS(D73-E73))</f>
        <v/>
      </c>
      <c r="G73" s="20">
        <f>IF(F73="","PENDING",IF(F73&lt;=1,"AGREE","REVIEW"))</f>
        <v/>
      </c>
      <c r="H73" s="20">
        <f>IF(G73="REVIEW","Y","N")</f>
        <v/>
      </c>
      <c r="I73" s="20" t="inlineStr">
        <is>
          <t>Final calibrated score</t>
        </is>
      </c>
      <c r="J73" s="20" t="inlineStr">
        <is>
          <t>Notes</t>
        </is>
      </c>
    </row>
    <row r="74">
      <c r="A74" s="20" t="inlineStr">
        <is>
          <t>I08</t>
        </is>
      </c>
      <c r="B74" s="20" t="inlineStr">
        <is>
          <t>Career Adaptability</t>
        </is>
      </c>
      <c r="C74" s="20" t="inlineStr">
        <is>
          <t>Use domain-specific anchor + metric rule + evidence gate</t>
        </is>
      </c>
      <c r="D74" s="20" t="inlineStr">
        <is>
          <t>Independent assessor A score</t>
        </is>
      </c>
      <c r="E74" s="20" t="inlineStr">
        <is>
          <t>Independent assessor B score</t>
        </is>
      </c>
      <c r="F74" s="20">
        <f>IF(OR(D74="",E74=""),"",ABS(D74-E74))</f>
        <v/>
      </c>
      <c r="G74" s="20">
        <f>IF(F74="","PENDING",IF(F74&lt;=1,"AGREE","REVIEW"))</f>
        <v/>
      </c>
      <c r="H74" s="20">
        <f>IF(G74="REVIEW","Y","N")</f>
        <v/>
      </c>
      <c r="I74" s="20" t="inlineStr">
        <is>
          <t>Final calibrated score</t>
        </is>
      </c>
      <c r="J74" s="20" t="inlineStr">
        <is>
          <t>Notes</t>
        </is>
      </c>
    </row>
    <row r="75">
      <c r="A75" s="20" t="inlineStr">
        <is>
          <t>I09</t>
        </is>
      </c>
      <c r="B75" s="20" t="inlineStr">
        <is>
          <t>Portfolio &amp; Capability Signalling</t>
        </is>
      </c>
      <c r="C75" s="20" t="inlineStr">
        <is>
          <t>Use domain-specific anchor + metric rule + evidence gate</t>
        </is>
      </c>
      <c r="D75" s="20" t="inlineStr">
        <is>
          <t>Independent assessor A score</t>
        </is>
      </c>
      <c r="E75" s="20" t="inlineStr">
        <is>
          <t>Independent assessor B score</t>
        </is>
      </c>
      <c r="F75" s="20">
        <f>IF(OR(D75="",E75=""),"",ABS(D75-E75))</f>
        <v/>
      </c>
      <c r="G75" s="20">
        <f>IF(F75="","PENDING",IF(F75&lt;=1,"AGREE","REVIEW"))</f>
        <v/>
      </c>
      <c r="H75" s="20">
        <f>IF(G75="REVIEW","Y","N")</f>
        <v/>
      </c>
      <c r="I75" s="20" t="inlineStr">
        <is>
          <t>Final calibrated score</t>
        </is>
      </c>
      <c r="J75" s="20" t="inlineStr">
        <is>
          <t>Notes</t>
        </is>
      </c>
    </row>
    <row r="76">
      <c r="A76" s="20" t="inlineStr">
        <is>
          <t>I10</t>
        </is>
      </c>
      <c r="B76" s="20" t="inlineStr">
        <is>
          <t>Problem Solving &amp; Transfer</t>
        </is>
      </c>
      <c r="C76" s="20" t="inlineStr">
        <is>
          <t>Use domain-specific anchor + metric rule + evidence gate</t>
        </is>
      </c>
      <c r="D76" s="20" t="inlineStr">
        <is>
          <t>Independent assessor A score</t>
        </is>
      </c>
      <c r="E76" s="20" t="inlineStr">
        <is>
          <t>Independent assessor B score</t>
        </is>
      </c>
      <c r="F76" s="20">
        <f>IF(OR(D76="",E76=""),"",ABS(D76-E76))</f>
        <v/>
      </c>
      <c r="G76" s="20">
        <f>IF(F76="","PENDING",IF(F76&lt;=1,"AGREE","REVIEW"))</f>
        <v/>
      </c>
      <c r="H76" s="20">
        <f>IF(G76="REVIEW","Y","N")</f>
        <v/>
      </c>
      <c r="I76" s="20" t="inlineStr">
        <is>
          <t>Final calibrated score</t>
        </is>
      </c>
      <c r="J76" s="20" t="inlineStr">
        <is>
          <t>Notes</t>
        </is>
      </c>
    </row>
    <row r="77">
      <c r="A77" s="20" t="inlineStr">
        <is>
          <t>I11</t>
        </is>
      </c>
      <c r="B77" s="20" t="inlineStr">
        <is>
          <t>Creator &amp; Entrepreneurial Agency</t>
        </is>
      </c>
      <c r="C77" s="20" t="inlineStr">
        <is>
          <t>Use domain-specific anchor + metric rule + evidence gate</t>
        </is>
      </c>
      <c r="D77" s="20" t="inlineStr">
        <is>
          <t>Independent assessor A score</t>
        </is>
      </c>
      <c r="E77" s="20" t="inlineStr">
        <is>
          <t>Independent assessor B score</t>
        </is>
      </c>
      <c r="F77" s="20">
        <f>IF(OR(D77="",E77=""),"",ABS(D77-E77))</f>
        <v/>
      </c>
      <c r="G77" s="20">
        <f>IF(F77="","PENDING",IF(F77&lt;=1,"AGREE","REVIEW"))</f>
        <v/>
      </c>
      <c r="H77" s="20">
        <f>IF(G77="REVIEW","Y","N")</f>
        <v/>
      </c>
      <c r="I77" s="20" t="inlineStr">
        <is>
          <t>Final calibrated score</t>
        </is>
      </c>
      <c r="J77" s="20" t="inlineStr">
        <is>
          <t>Notes</t>
        </is>
      </c>
    </row>
    <row r="78">
      <c r="A78" s="20" t="inlineStr">
        <is>
          <t>I12</t>
        </is>
      </c>
      <c r="B78" s="20" t="inlineStr">
        <is>
          <t>Digital Citizenship &amp; Responsible Use</t>
        </is>
      </c>
      <c r="C78" s="20" t="inlineStr">
        <is>
          <t>Use domain-specific anchor + metric rule + evidence gate</t>
        </is>
      </c>
      <c r="D78" s="20" t="inlineStr">
        <is>
          <t>Independent assessor A score</t>
        </is>
      </c>
      <c r="E78" s="20" t="inlineStr">
        <is>
          <t>Independent assessor B score</t>
        </is>
      </c>
      <c r="F78" s="20">
        <f>IF(OR(D78="",E78=""),"",ABS(D78-E78))</f>
        <v/>
      </c>
      <c r="G78" s="20">
        <f>IF(F78="","PENDING",IF(F78&lt;=1,"AGREE","REVIEW"))</f>
        <v/>
      </c>
      <c r="H78" s="20">
        <f>IF(G78="REVIEW","Y","N")</f>
        <v/>
      </c>
      <c r="I78" s="20" t="inlineStr">
        <is>
          <t>Final calibrated score</t>
        </is>
      </c>
      <c r="J78" s="20" t="inlineStr">
        <is>
          <t>Notes</t>
        </is>
      </c>
    </row>
    <row r="79">
      <c r="A79" s="20" t="inlineStr">
        <is>
          <t>I13</t>
        </is>
      </c>
      <c r="B79" s="20" t="inlineStr">
        <is>
          <t>Equitable AI Access</t>
        </is>
      </c>
      <c r="C79" s="20" t="inlineStr">
        <is>
          <t>Use domain-specific anchor + metric rule + evidence gate</t>
        </is>
      </c>
      <c r="D79" s="20" t="inlineStr">
        <is>
          <t>Independent assessor A score</t>
        </is>
      </c>
      <c r="E79" s="20" t="inlineStr">
        <is>
          <t>Independent assessor B score</t>
        </is>
      </c>
      <c r="F79" s="20">
        <f>IF(OR(D79="",E79=""),"",ABS(D79-E79))</f>
        <v/>
      </c>
      <c r="G79" s="20">
        <f>IF(F79="","PENDING",IF(F79&lt;=1,"AGREE","REVIEW"))</f>
        <v/>
      </c>
      <c r="H79" s="20">
        <f>IF(G79="REVIEW","Y","N")</f>
        <v/>
      </c>
      <c r="I79" s="20" t="inlineStr">
        <is>
          <t>Final calibrated score</t>
        </is>
      </c>
      <c r="J79" s="20" t="inlineStr">
        <is>
          <t>Notes</t>
        </is>
      </c>
    </row>
    <row r="80">
      <c r="A80" s="20" t="inlineStr">
        <is>
          <t>I14</t>
        </is>
      </c>
      <c r="B80" s="20" t="inlineStr">
        <is>
          <t>Student Voice &amp; Feedback Loop</t>
        </is>
      </c>
      <c r="C80" s="20" t="inlineStr">
        <is>
          <t>Use domain-specific anchor + metric rule + evidence gate</t>
        </is>
      </c>
      <c r="D80" s="20" t="inlineStr">
        <is>
          <t>Independent assessor A score</t>
        </is>
      </c>
      <c r="E80" s="20" t="inlineStr">
        <is>
          <t>Independent assessor B score</t>
        </is>
      </c>
      <c r="F80" s="20">
        <f>IF(OR(D80="",E80=""),"",ABS(D80-E80))</f>
        <v/>
      </c>
      <c r="G80" s="20">
        <f>IF(F80="","PENDING",IF(F80&lt;=1,"AGREE","REVIEW"))</f>
        <v/>
      </c>
      <c r="H80" s="20">
        <f>IF(G80="REVIEW","Y","N")</f>
        <v/>
      </c>
      <c r="I80" s="20" t="inlineStr">
        <is>
          <t>Final calibrated score</t>
        </is>
      </c>
      <c r="J80" s="20" t="inlineStr">
        <is>
          <t>Notes</t>
        </is>
      </c>
    </row>
    <row r="81">
      <c r="A81" s="20" t="inlineStr">
        <is>
          <t>I01</t>
        </is>
      </c>
      <c r="B81" s="20" t="inlineStr">
        <is>
          <t>Assessment Design Maturity</t>
        </is>
      </c>
      <c r="C81" s="20" t="inlineStr">
        <is>
          <t>Use domain-specific anchor + metric rule + evidence gate</t>
        </is>
      </c>
      <c r="D81" s="20" t="inlineStr">
        <is>
          <t>Independent assessor A score</t>
        </is>
      </c>
      <c r="E81" s="20" t="inlineStr">
        <is>
          <t>Independent assessor B score</t>
        </is>
      </c>
      <c r="F81" s="20">
        <f>IF(OR(D81="",E81=""),"",ABS(D81-E81))</f>
        <v/>
      </c>
      <c r="G81" s="20">
        <f>IF(F81="","PENDING",IF(F81&lt;=1,"AGREE","REVIEW"))</f>
        <v/>
      </c>
      <c r="H81" s="20">
        <f>IF(G81="REVIEW","Y","N")</f>
        <v/>
      </c>
      <c r="I81" s="20" t="inlineStr">
        <is>
          <t>Final calibrated score</t>
        </is>
      </c>
      <c r="J81" s="20" t="inlineStr">
        <is>
          <t>Notes</t>
        </is>
      </c>
    </row>
    <row r="82">
      <c r="A82" s="20" t="inlineStr">
        <is>
          <t>I02</t>
        </is>
      </c>
      <c r="B82" s="20" t="inlineStr">
        <is>
          <t>Cognitive Demonstration Depth</t>
        </is>
      </c>
      <c r="C82" s="20" t="inlineStr">
        <is>
          <t>Use domain-specific anchor + metric rule + evidence gate</t>
        </is>
      </c>
      <c r="D82" s="20" t="inlineStr">
        <is>
          <t>Independent assessor A score</t>
        </is>
      </c>
      <c r="E82" s="20" t="inlineStr">
        <is>
          <t>Independent assessor B score</t>
        </is>
      </c>
      <c r="F82" s="20">
        <f>IF(OR(D82="",E82=""),"",ABS(D82-E82))</f>
        <v/>
      </c>
      <c r="G82" s="20">
        <f>IF(F82="","PENDING",IF(F82&lt;=1,"AGREE","REVIEW"))</f>
        <v/>
      </c>
      <c r="H82" s="20">
        <f>IF(G82="REVIEW","Y","N")</f>
        <v/>
      </c>
      <c r="I82" s="20" t="inlineStr">
        <is>
          <t>Final calibrated score</t>
        </is>
      </c>
      <c r="J82" s="20" t="inlineStr">
        <is>
          <t>Notes</t>
        </is>
      </c>
    </row>
    <row r="83">
      <c r="A83" s="20" t="inlineStr">
        <is>
          <t>I03</t>
        </is>
      </c>
      <c r="B83" s="20" t="inlineStr">
        <is>
          <t>Authenticity of Demonstration</t>
        </is>
      </c>
      <c r="C83" s="20" t="inlineStr">
        <is>
          <t>Use domain-specific anchor + metric rule + evidence gate</t>
        </is>
      </c>
      <c r="D83" s="20" t="inlineStr">
        <is>
          <t>Independent assessor A score</t>
        </is>
      </c>
      <c r="E83" s="20" t="inlineStr">
        <is>
          <t>Independent assessor B score</t>
        </is>
      </c>
      <c r="F83" s="20">
        <f>IF(OR(D83="",E83=""),"",ABS(D83-E83))</f>
        <v/>
      </c>
      <c r="G83" s="20">
        <f>IF(F83="","PENDING",IF(F83&lt;=1,"AGREE","REVIEW"))</f>
        <v/>
      </c>
      <c r="H83" s="20">
        <f>IF(G83="REVIEW","Y","N")</f>
        <v/>
      </c>
      <c r="I83" s="20" t="inlineStr">
        <is>
          <t>Final calibrated score</t>
        </is>
      </c>
      <c r="J83" s="20" t="inlineStr">
        <is>
          <t>Notes</t>
        </is>
      </c>
    </row>
    <row r="84">
      <c r="A84" s="20" t="inlineStr">
        <is>
          <t>I04</t>
        </is>
      </c>
      <c r="B84" s="20" t="inlineStr">
        <is>
          <t>AI-Aware Assessment Maturity</t>
        </is>
      </c>
      <c r="C84" s="20" t="inlineStr">
        <is>
          <t>Use domain-specific anchor + metric rule + evidence gate</t>
        </is>
      </c>
      <c r="D84" s="20" t="inlineStr">
        <is>
          <t>Independent assessor A score</t>
        </is>
      </c>
      <c r="E84" s="20" t="inlineStr">
        <is>
          <t>Independent assessor B score</t>
        </is>
      </c>
      <c r="F84" s="20">
        <f>IF(OR(D84="",E84=""),"",ABS(D84-E84))</f>
        <v/>
      </c>
      <c r="G84" s="20">
        <f>IF(F84="","PENDING",IF(F84&lt;=1,"AGREE","REVIEW"))</f>
        <v/>
      </c>
      <c r="H84" s="20">
        <f>IF(G84="REVIEW","Y","N")</f>
        <v/>
      </c>
      <c r="I84" s="20" t="inlineStr">
        <is>
          <t>Final calibrated score</t>
        </is>
      </c>
      <c r="J84" s="20" t="inlineStr">
        <is>
          <t>Notes</t>
        </is>
      </c>
    </row>
    <row r="85">
      <c r="A85" s="20" t="inlineStr">
        <is>
          <t>I05</t>
        </is>
      </c>
      <c r="B85" s="20" t="inlineStr">
        <is>
          <t>Verification &amp; Defence</t>
        </is>
      </c>
      <c r="C85" s="20" t="inlineStr">
        <is>
          <t>Use domain-specific anchor + metric rule + evidence gate</t>
        </is>
      </c>
      <c r="D85" s="20" t="inlineStr">
        <is>
          <t>Independent assessor A score</t>
        </is>
      </c>
      <c r="E85" s="20" t="inlineStr">
        <is>
          <t>Independent assessor B score</t>
        </is>
      </c>
      <c r="F85" s="20">
        <f>IF(OR(D85="",E85=""),"",ABS(D85-E85))</f>
        <v/>
      </c>
      <c r="G85" s="20">
        <f>IF(F85="","PENDING",IF(F85&lt;=1,"AGREE","REVIEW"))</f>
        <v/>
      </c>
      <c r="H85" s="20">
        <f>IF(G85="REVIEW","Y","N")</f>
        <v/>
      </c>
      <c r="I85" s="20" t="inlineStr">
        <is>
          <t>Final calibrated score</t>
        </is>
      </c>
      <c r="J85" s="20" t="inlineStr">
        <is>
          <t>Notes</t>
        </is>
      </c>
    </row>
    <row r="86">
      <c r="A86" s="20" t="inlineStr">
        <is>
          <t>I06</t>
        </is>
      </c>
      <c r="B86" s="20" t="inlineStr">
        <is>
          <t>Feedback Intelligence</t>
        </is>
      </c>
      <c r="C86" s="20" t="inlineStr">
        <is>
          <t>Use domain-specific anchor + metric rule + evidence gate</t>
        </is>
      </c>
      <c r="D86" s="20" t="inlineStr">
        <is>
          <t>Independent assessor A score</t>
        </is>
      </c>
      <c r="E86" s="20" t="inlineStr">
        <is>
          <t>Independent assessor B score</t>
        </is>
      </c>
      <c r="F86" s="20">
        <f>IF(OR(D86="",E86=""),"",ABS(D86-E86))</f>
        <v/>
      </c>
      <c r="G86" s="20">
        <f>IF(F86="","PENDING",IF(F86&lt;=1,"AGREE","REVIEW"))</f>
        <v/>
      </c>
      <c r="H86" s="20">
        <f>IF(G86="REVIEW","Y","N")</f>
        <v/>
      </c>
      <c r="I86" s="20" t="inlineStr">
        <is>
          <t>Final calibrated score</t>
        </is>
      </c>
      <c r="J86" s="20" t="inlineStr">
        <is>
          <t>Notes</t>
        </is>
      </c>
    </row>
    <row r="87">
      <c r="A87" s="20" t="inlineStr">
        <is>
          <t>I07</t>
        </is>
      </c>
      <c r="B87" s="20" t="inlineStr">
        <is>
          <t>Evidence of Learning</t>
        </is>
      </c>
      <c r="C87" s="20" t="inlineStr">
        <is>
          <t>Use domain-specific anchor + metric rule + evidence gate</t>
        </is>
      </c>
      <c r="D87" s="20" t="inlineStr">
        <is>
          <t>Independent assessor A score</t>
        </is>
      </c>
      <c r="E87" s="20" t="inlineStr">
        <is>
          <t>Independent assessor B score</t>
        </is>
      </c>
      <c r="F87" s="20">
        <f>IF(OR(D87="",E87=""),"",ABS(D87-E87))</f>
        <v/>
      </c>
      <c r="G87" s="20">
        <f>IF(F87="","PENDING",IF(F87&lt;=1,"AGREE","REVIEW"))</f>
        <v/>
      </c>
      <c r="H87" s="20">
        <f>IF(G87="REVIEW","Y","N")</f>
        <v/>
      </c>
      <c r="I87" s="20" t="inlineStr">
        <is>
          <t>Final calibrated score</t>
        </is>
      </c>
      <c r="J87" s="20" t="inlineStr">
        <is>
          <t>Notes</t>
        </is>
      </c>
    </row>
    <row r="88">
      <c r="A88" s="20" t="inlineStr">
        <is>
          <t>I08</t>
        </is>
      </c>
      <c r="B88" s="20" t="inlineStr">
        <is>
          <t>Capability Outcome Measurement</t>
        </is>
      </c>
      <c r="C88" s="20" t="inlineStr">
        <is>
          <t>Use domain-specific anchor + metric rule + evidence gate</t>
        </is>
      </c>
      <c r="D88" s="20" t="inlineStr">
        <is>
          <t>Independent assessor A score</t>
        </is>
      </c>
      <c r="E88" s="20" t="inlineStr">
        <is>
          <t>Independent assessor B score</t>
        </is>
      </c>
      <c r="F88" s="20">
        <f>IF(OR(D88="",E88=""),"",ABS(D88-E88))</f>
        <v/>
      </c>
      <c r="G88" s="20">
        <f>IF(F88="","PENDING",IF(F88&lt;=1,"AGREE","REVIEW"))</f>
        <v/>
      </c>
      <c r="H88" s="20">
        <f>IF(G88="REVIEW","Y","N")</f>
        <v/>
      </c>
      <c r="I88" s="20" t="inlineStr">
        <is>
          <t>Final calibrated score</t>
        </is>
      </c>
      <c r="J88" s="20" t="inlineStr">
        <is>
          <t>Notes</t>
        </is>
      </c>
    </row>
    <row r="89">
      <c r="A89" s="20" t="inlineStr">
        <is>
          <t>I09</t>
        </is>
      </c>
      <c r="B89" s="20" t="inlineStr">
        <is>
          <t>Assessment Equity &amp; Access</t>
        </is>
      </c>
      <c r="C89" s="20" t="inlineStr">
        <is>
          <t>Use domain-specific anchor + metric rule + evidence gate</t>
        </is>
      </c>
      <c r="D89" s="20" t="inlineStr">
        <is>
          <t>Independent assessor A score</t>
        </is>
      </c>
      <c r="E89" s="20" t="inlineStr">
        <is>
          <t>Independent assessor B score</t>
        </is>
      </c>
      <c r="F89" s="20">
        <f>IF(OR(D89="",E89=""),"",ABS(D89-E89))</f>
        <v/>
      </c>
      <c r="G89" s="20">
        <f>IF(F89="","PENDING",IF(F89&lt;=1,"AGREE","REVIEW"))</f>
        <v/>
      </c>
      <c r="H89" s="20">
        <f>IF(G89="REVIEW","Y","N")</f>
        <v/>
      </c>
      <c r="I89" s="20" t="inlineStr">
        <is>
          <t>Final calibrated score</t>
        </is>
      </c>
      <c r="J89" s="20" t="inlineStr">
        <is>
          <t>Notes</t>
        </is>
      </c>
    </row>
    <row r="90">
      <c r="A90" s="20" t="inlineStr">
        <is>
          <t>I10</t>
        </is>
      </c>
      <c r="B90" s="20" t="inlineStr">
        <is>
          <t>Assessment Governance</t>
        </is>
      </c>
      <c r="C90" s="20" t="inlineStr">
        <is>
          <t>Use domain-specific anchor + metric rule + evidence gate</t>
        </is>
      </c>
      <c r="D90" s="20" t="inlineStr">
        <is>
          <t>Independent assessor A score</t>
        </is>
      </c>
      <c r="E90" s="20" t="inlineStr">
        <is>
          <t>Independent assessor B score</t>
        </is>
      </c>
      <c r="F90" s="20">
        <f>IF(OR(D90="",E90=""),"",ABS(D90-E90))</f>
        <v/>
      </c>
      <c r="G90" s="20">
        <f>IF(F90="","PENDING",IF(F90&lt;=1,"AGREE","REVIEW"))</f>
        <v/>
      </c>
      <c r="H90" s="20">
        <f>IF(G90="REVIEW","Y","N")</f>
        <v/>
      </c>
      <c r="I90" s="20" t="inlineStr">
        <is>
          <t>Final calibrated score</t>
        </is>
      </c>
      <c r="J90" s="20" t="inlineStr">
        <is>
          <t>Notes</t>
        </is>
      </c>
    </row>
    <row r="91">
      <c r="A91" s="20" t="inlineStr">
        <is>
          <t>I11</t>
        </is>
      </c>
      <c r="B91" s="20" t="inlineStr">
        <is>
          <t>Assessment Innovation</t>
        </is>
      </c>
      <c r="C91" s="20" t="inlineStr">
        <is>
          <t>Use domain-specific anchor + metric rule + evidence gate</t>
        </is>
      </c>
      <c r="D91" s="20" t="inlineStr">
        <is>
          <t>Independent assessor A score</t>
        </is>
      </c>
      <c r="E91" s="20" t="inlineStr">
        <is>
          <t>Independent assessor B score</t>
        </is>
      </c>
      <c r="F91" s="20">
        <f>IF(OR(D91="",E91=""),"",ABS(D91-E91))</f>
        <v/>
      </c>
      <c r="G91" s="20">
        <f>IF(F91="","PENDING",IF(F91&lt;=1,"AGREE","REVIEW"))</f>
        <v/>
      </c>
      <c r="H91" s="20">
        <f>IF(G91="REVIEW","Y","N")</f>
        <v/>
      </c>
      <c r="I91" s="20" t="inlineStr">
        <is>
          <t>Final calibrated score</t>
        </is>
      </c>
      <c r="J91" s="20" t="inlineStr">
        <is>
          <t>Notes</t>
        </is>
      </c>
    </row>
    <row r="92">
      <c r="A92" s="20" t="inlineStr">
        <is>
          <t>I12</t>
        </is>
      </c>
      <c r="B92" s="20" t="inlineStr">
        <is>
          <t>Learning Evidence Analytics</t>
        </is>
      </c>
      <c r="C92" s="20" t="inlineStr">
        <is>
          <t>Use domain-specific anchor + metric rule + evidence gate</t>
        </is>
      </c>
      <c r="D92" s="20" t="inlineStr">
        <is>
          <t>Independent assessor A score</t>
        </is>
      </c>
      <c r="E92" s="20" t="inlineStr">
        <is>
          <t>Independent assessor B score</t>
        </is>
      </c>
      <c r="F92" s="20">
        <f>IF(OR(D92="",E92=""),"",ABS(D92-E92))</f>
        <v/>
      </c>
      <c r="G92" s="20">
        <f>IF(F92="","PENDING",IF(F92&lt;=1,"AGREE","REVIEW"))</f>
        <v/>
      </c>
      <c r="H92" s="20">
        <f>IF(G92="REVIEW","Y","N")</f>
        <v/>
      </c>
      <c r="I92" s="20" t="inlineStr">
        <is>
          <t>Final calibrated score</t>
        </is>
      </c>
      <c r="J92" s="20" t="inlineStr">
        <is>
          <t>Notes</t>
        </is>
      </c>
    </row>
    <row r="93">
      <c r="A93" s="20" t="inlineStr">
        <is>
          <t>I01</t>
        </is>
      </c>
      <c r="B93" s="20" t="inlineStr">
        <is>
          <t>Digital Environment Readiness</t>
        </is>
      </c>
      <c r="C93" s="20" t="inlineStr">
        <is>
          <t>Use domain-specific anchor + metric rule + evidence gate</t>
        </is>
      </c>
      <c r="D93" s="20" t="inlineStr">
        <is>
          <t>Independent assessor A score</t>
        </is>
      </c>
      <c r="E93" s="20" t="inlineStr">
        <is>
          <t>Independent assessor B score</t>
        </is>
      </c>
      <c r="F93" s="20">
        <f>IF(OR(D93="",E93=""),"",ABS(D93-E93))</f>
        <v/>
      </c>
      <c r="G93" s="20">
        <f>IF(F93="","PENDING",IF(F93&lt;=1,"AGREE","REVIEW"))</f>
        <v/>
      </c>
      <c r="H93" s="20">
        <f>IF(G93="REVIEW","Y","N")</f>
        <v/>
      </c>
      <c r="I93" s="20" t="inlineStr">
        <is>
          <t>Final calibrated score</t>
        </is>
      </c>
      <c r="J93" s="20" t="inlineStr">
        <is>
          <t>Notes</t>
        </is>
      </c>
    </row>
    <row r="94">
      <c r="A94" s="20" t="inlineStr">
        <is>
          <t>I02</t>
        </is>
      </c>
      <c r="B94" s="20" t="inlineStr">
        <is>
          <t>Institutional Data Architecture</t>
        </is>
      </c>
      <c r="C94" s="20" t="inlineStr">
        <is>
          <t>Use domain-specific anchor + metric rule + evidence gate</t>
        </is>
      </c>
      <c r="D94" s="20" t="inlineStr">
        <is>
          <t>Independent assessor A score</t>
        </is>
      </c>
      <c r="E94" s="20" t="inlineStr">
        <is>
          <t>Independent assessor B score</t>
        </is>
      </c>
      <c r="F94" s="20">
        <f>IF(OR(D94="",E94=""),"",ABS(D94-E94))</f>
        <v/>
      </c>
      <c r="G94" s="20">
        <f>IF(F94="","PENDING",IF(F94&lt;=1,"AGREE","REVIEW"))</f>
        <v/>
      </c>
      <c r="H94" s="20">
        <f>IF(G94="REVIEW","Y","N")</f>
        <v/>
      </c>
      <c r="I94" s="20" t="inlineStr">
        <is>
          <t>Final calibrated score</t>
        </is>
      </c>
      <c r="J94" s="20" t="inlineStr">
        <is>
          <t>Notes</t>
        </is>
      </c>
    </row>
    <row r="95">
      <c r="A95" s="20" t="inlineStr">
        <is>
          <t>I03</t>
        </is>
      </c>
      <c r="B95" s="20" t="inlineStr">
        <is>
          <t>Data Quality &amp; Integrity</t>
        </is>
      </c>
      <c r="C95" s="20" t="inlineStr">
        <is>
          <t>Use domain-specific anchor + metric rule + evidence gate</t>
        </is>
      </c>
      <c r="D95" s="20" t="inlineStr">
        <is>
          <t>Independent assessor A score</t>
        </is>
      </c>
      <c r="E95" s="20" t="inlineStr">
        <is>
          <t>Independent assessor B score</t>
        </is>
      </c>
      <c r="F95" s="20">
        <f>IF(OR(D95="",E95=""),"",ABS(D95-E95))</f>
        <v/>
      </c>
      <c r="G95" s="20">
        <f>IF(F95="","PENDING",IF(F95&lt;=1,"AGREE","REVIEW"))</f>
        <v/>
      </c>
      <c r="H95" s="20">
        <f>IF(G95="REVIEW","Y","N")</f>
        <v/>
      </c>
      <c r="I95" s="20" t="inlineStr">
        <is>
          <t>Final calibrated score</t>
        </is>
      </c>
      <c r="J95" s="20" t="inlineStr">
        <is>
          <t>Notes</t>
        </is>
      </c>
    </row>
    <row r="96">
      <c r="A96" s="20" t="inlineStr">
        <is>
          <t>I04</t>
        </is>
      </c>
      <c r="B96" s="20" t="inlineStr">
        <is>
          <t>System Interoperability</t>
        </is>
      </c>
      <c r="C96" s="20" t="inlineStr">
        <is>
          <t>Use domain-specific anchor + metric rule + evidence gate</t>
        </is>
      </c>
      <c r="D96" s="20" t="inlineStr">
        <is>
          <t>Independent assessor A score</t>
        </is>
      </c>
      <c r="E96" s="20" t="inlineStr">
        <is>
          <t>Independent assessor B score</t>
        </is>
      </c>
      <c r="F96" s="20">
        <f>IF(OR(D96="",E96=""),"",ABS(D96-E96))</f>
        <v/>
      </c>
      <c r="G96" s="20">
        <f>IF(F96="","PENDING",IF(F96&lt;=1,"AGREE","REVIEW"))</f>
        <v/>
      </c>
      <c r="H96" s="20">
        <f>IF(G96="REVIEW","Y","N")</f>
        <v/>
      </c>
      <c r="I96" s="20" t="inlineStr">
        <is>
          <t>Final calibrated score</t>
        </is>
      </c>
      <c r="J96" s="20" t="inlineStr">
        <is>
          <t>Notes</t>
        </is>
      </c>
    </row>
    <row r="97">
      <c r="A97" s="20" t="inlineStr">
        <is>
          <t>I05</t>
        </is>
      </c>
      <c r="B97" s="20" t="inlineStr">
        <is>
          <t>Decision Intelligence</t>
        </is>
      </c>
      <c r="C97" s="20" t="inlineStr">
        <is>
          <t>Use domain-specific anchor + metric rule + evidence gate</t>
        </is>
      </c>
      <c r="D97" s="20" t="inlineStr">
        <is>
          <t>Independent assessor A score</t>
        </is>
      </c>
      <c r="E97" s="20" t="inlineStr">
        <is>
          <t>Independent assessor B score</t>
        </is>
      </c>
      <c r="F97" s="20">
        <f>IF(OR(D97="",E97=""),"",ABS(D97-E97))</f>
        <v/>
      </c>
      <c r="G97" s="20">
        <f>IF(F97="","PENDING",IF(F97&lt;=1,"AGREE","REVIEW"))</f>
        <v/>
      </c>
      <c r="H97" s="20">
        <f>IF(G97="REVIEW","Y","N")</f>
        <v/>
      </c>
      <c r="I97" s="20" t="inlineStr">
        <is>
          <t>Final calibrated score</t>
        </is>
      </c>
      <c r="J97" s="20" t="inlineStr">
        <is>
          <t>Notes</t>
        </is>
      </c>
    </row>
    <row r="98">
      <c r="A98" s="20" t="inlineStr">
        <is>
          <t>I06</t>
        </is>
      </c>
      <c r="B98" s="20" t="inlineStr">
        <is>
          <t>AI Enablement Readiness</t>
        </is>
      </c>
      <c r="C98" s="20" t="inlineStr">
        <is>
          <t>Use domain-specific anchor + metric rule + evidence gate</t>
        </is>
      </c>
      <c r="D98" s="20" t="inlineStr">
        <is>
          <t>Independent assessor A score</t>
        </is>
      </c>
      <c r="E98" s="20" t="inlineStr">
        <is>
          <t>Independent assessor B score</t>
        </is>
      </c>
      <c r="F98" s="20">
        <f>IF(OR(D98="",E98=""),"",ABS(D98-E98))</f>
        <v/>
      </c>
      <c r="G98" s="20">
        <f>IF(F98="","PENDING",IF(F98&lt;=1,"AGREE","REVIEW"))</f>
        <v/>
      </c>
      <c r="H98" s="20">
        <f>IF(G98="REVIEW","Y","N")</f>
        <v/>
      </c>
      <c r="I98" s="20" t="inlineStr">
        <is>
          <t>Final calibrated score</t>
        </is>
      </c>
      <c r="J98" s="20" t="inlineStr">
        <is>
          <t>Notes</t>
        </is>
      </c>
    </row>
    <row r="99">
      <c r="A99" s="20" t="inlineStr">
        <is>
          <t>I07</t>
        </is>
      </c>
      <c r="B99" s="20" t="inlineStr">
        <is>
          <t>Cyber &amp; Information Security</t>
        </is>
      </c>
      <c r="C99" s="20" t="inlineStr">
        <is>
          <t>Use domain-specific anchor + metric rule + evidence gate</t>
        </is>
      </c>
      <c r="D99" s="20" t="inlineStr">
        <is>
          <t>Independent assessor A score</t>
        </is>
      </c>
      <c r="E99" s="20" t="inlineStr">
        <is>
          <t>Independent assessor B score</t>
        </is>
      </c>
      <c r="F99" s="20">
        <f>IF(OR(D99="",E99=""),"",ABS(D99-E99))</f>
        <v/>
      </c>
      <c r="G99" s="20">
        <f>IF(F99="","PENDING",IF(F99&lt;=1,"AGREE","REVIEW"))</f>
        <v/>
      </c>
      <c r="H99" s="20">
        <f>IF(G99="REVIEW","Y","N")</f>
        <v/>
      </c>
      <c r="I99" s="20" t="inlineStr">
        <is>
          <t>Final calibrated score</t>
        </is>
      </c>
      <c r="J99" s="20" t="inlineStr">
        <is>
          <t>Notes</t>
        </is>
      </c>
    </row>
    <row r="100">
      <c r="A100" s="20" t="inlineStr">
        <is>
          <t>I08</t>
        </is>
      </c>
      <c r="B100" s="20" t="inlineStr">
        <is>
          <t>Data Privacy Readiness</t>
        </is>
      </c>
      <c r="C100" s="20" t="inlineStr">
        <is>
          <t>Use domain-specific anchor + metric rule + evidence gate</t>
        </is>
      </c>
      <c r="D100" s="20" t="inlineStr">
        <is>
          <t>Independent assessor A score</t>
        </is>
      </c>
      <c r="E100" s="20" t="inlineStr">
        <is>
          <t>Independent assessor B score</t>
        </is>
      </c>
      <c r="F100" s="20">
        <f>IF(OR(D100="",E100=""),"",ABS(D100-E100))</f>
        <v/>
      </c>
      <c r="G100" s="20">
        <f>IF(F100="","PENDING",IF(F100&lt;=1,"AGREE","REVIEW"))</f>
        <v/>
      </c>
      <c r="H100" s="20">
        <f>IF(G100="REVIEW","Y","N")</f>
        <v/>
      </c>
      <c r="I100" s="20" t="inlineStr">
        <is>
          <t>Final calibrated score</t>
        </is>
      </c>
      <c r="J100" s="20" t="inlineStr">
        <is>
          <t>Notes</t>
        </is>
      </c>
    </row>
    <row r="101">
      <c r="A101" s="20" t="inlineStr">
        <is>
          <t>I09</t>
        </is>
      </c>
      <c r="B101" s="20" t="inlineStr">
        <is>
          <t>Digital Equity &amp; Access</t>
        </is>
      </c>
      <c r="C101" s="20" t="inlineStr">
        <is>
          <t>Use domain-specific anchor + metric rule + evidence gate</t>
        </is>
      </c>
      <c r="D101" s="20" t="inlineStr">
        <is>
          <t>Independent assessor A score</t>
        </is>
      </c>
      <c r="E101" s="20" t="inlineStr">
        <is>
          <t>Independent assessor B score</t>
        </is>
      </c>
      <c r="F101" s="20">
        <f>IF(OR(D101="",E101=""),"",ABS(D101-E101))</f>
        <v/>
      </c>
      <c r="G101" s="20">
        <f>IF(F101="","PENDING",IF(F101&lt;=1,"AGREE","REVIEW"))</f>
        <v/>
      </c>
      <c r="H101" s="20">
        <f>IF(G101="REVIEW","Y","N")</f>
        <v/>
      </c>
      <c r="I101" s="20" t="inlineStr">
        <is>
          <t>Final calibrated score</t>
        </is>
      </c>
      <c r="J101" s="20" t="inlineStr">
        <is>
          <t>Notes</t>
        </is>
      </c>
    </row>
    <row r="102">
      <c r="A102" s="20" t="inlineStr">
        <is>
          <t>I10</t>
        </is>
      </c>
      <c r="B102" s="20" t="inlineStr">
        <is>
          <t>Technology Decision Governance</t>
        </is>
      </c>
      <c r="C102" s="20" t="inlineStr">
        <is>
          <t>Use domain-specific anchor + metric rule + evidence gate</t>
        </is>
      </c>
      <c r="D102" s="20" t="inlineStr">
        <is>
          <t>Independent assessor A score</t>
        </is>
      </c>
      <c r="E102" s="20" t="inlineStr">
        <is>
          <t>Independent assessor B score</t>
        </is>
      </c>
      <c r="F102" s="20">
        <f>IF(OR(D102="",E102=""),"",ABS(D102-E102))</f>
        <v/>
      </c>
      <c r="G102" s="20">
        <f>IF(F102="","PENDING",IF(F102&lt;=1,"AGREE","REVIEW"))</f>
        <v/>
      </c>
      <c r="H102" s="20">
        <f>IF(G102="REVIEW","Y","N")</f>
        <v/>
      </c>
      <c r="I102" s="20" t="inlineStr">
        <is>
          <t>Final calibrated score</t>
        </is>
      </c>
      <c r="J102" s="20" t="inlineStr">
        <is>
          <t>Notes</t>
        </is>
      </c>
    </row>
    <row r="103">
      <c r="A103" s="20" t="inlineStr">
        <is>
          <t>I11</t>
        </is>
      </c>
      <c r="B103" s="20" t="inlineStr">
        <is>
          <t>Digital Process Maturity</t>
        </is>
      </c>
      <c r="C103" s="20" t="inlineStr">
        <is>
          <t>Use domain-specific anchor + metric rule + evidence gate</t>
        </is>
      </c>
      <c r="D103" s="20" t="inlineStr">
        <is>
          <t>Independent assessor A score</t>
        </is>
      </c>
      <c r="E103" s="20" t="inlineStr">
        <is>
          <t>Independent assessor B score</t>
        </is>
      </c>
      <c r="F103" s="20">
        <f>IF(OR(D103="",E103=""),"",ABS(D103-E103))</f>
        <v/>
      </c>
      <c r="G103" s="20">
        <f>IF(F103="","PENDING",IF(F103&lt;=1,"AGREE","REVIEW"))</f>
        <v/>
      </c>
      <c r="H103" s="20">
        <f>IF(G103="REVIEW","Y","N")</f>
        <v/>
      </c>
      <c r="I103" s="20" t="inlineStr">
        <is>
          <t>Final calibrated score</t>
        </is>
      </c>
      <c r="J103" s="20" t="inlineStr">
        <is>
          <t>Notes</t>
        </is>
      </c>
    </row>
    <row r="104">
      <c r="A104" s="20" t="inlineStr">
        <is>
          <t>I12</t>
        </is>
      </c>
      <c r="B104" s="20" t="inlineStr">
        <is>
          <t>Institutional Intelligence Capability</t>
        </is>
      </c>
      <c r="C104" s="20" t="inlineStr">
        <is>
          <t>Use domain-specific anchor + metric rule + evidence gate</t>
        </is>
      </c>
      <c r="D104" s="20" t="inlineStr">
        <is>
          <t>Independent assessor A score</t>
        </is>
      </c>
      <c r="E104" s="20" t="inlineStr">
        <is>
          <t>Independent assessor B score</t>
        </is>
      </c>
      <c r="F104" s="20">
        <f>IF(OR(D104="",E104=""),"",ABS(D104-E104))</f>
        <v/>
      </c>
      <c r="G104" s="20">
        <f>IF(F104="","PENDING",IF(F104&lt;=1,"AGREE","REVIEW"))</f>
        <v/>
      </c>
      <c r="H104" s="20">
        <f>IF(G104="REVIEW","Y","N")</f>
        <v/>
      </c>
      <c r="I104" s="20" t="inlineStr">
        <is>
          <t>Final calibrated score</t>
        </is>
      </c>
      <c r="J104" s="20" t="inlineStr">
        <is>
          <t>Notes</t>
        </is>
      </c>
    </row>
    <row r="105">
      <c r="A105" s="20" t="inlineStr">
        <is>
          <t>I01</t>
        </is>
      </c>
      <c r="B105" s="20" t="inlineStr">
        <is>
          <t>Employer Demand Sensing</t>
        </is>
      </c>
      <c r="C105" s="20" t="inlineStr">
        <is>
          <t>Use domain-specific anchor + metric rule + evidence gate</t>
        </is>
      </c>
      <c r="D105" s="20" t="inlineStr">
        <is>
          <t>Independent assessor A score</t>
        </is>
      </c>
      <c r="E105" s="20" t="inlineStr">
        <is>
          <t>Independent assessor B score</t>
        </is>
      </c>
      <c r="F105" s="20">
        <f>IF(OR(D105="",E105=""),"",ABS(D105-E105))</f>
        <v/>
      </c>
      <c r="G105" s="20">
        <f>IF(F105="","PENDING",IF(F105&lt;=1,"AGREE","REVIEW"))</f>
        <v/>
      </c>
      <c r="H105" s="20">
        <f>IF(G105="REVIEW","Y","N")</f>
        <v/>
      </c>
      <c r="I105" s="20" t="inlineStr">
        <is>
          <t>Final calibrated score</t>
        </is>
      </c>
      <c r="J105" s="20" t="inlineStr">
        <is>
          <t>Notes</t>
        </is>
      </c>
    </row>
    <row r="106">
      <c r="A106" s="20" t="inlineStr">
        <is>
          <t>I02</t>
        </is>
      </c>
      <c r="B106" s="20" t="inlineStr">
        <is>
          <t>Employability Capability Architecture</t>
        </is>
      </c>
      <c r="C106" s="20" t="inlineStr">
        <is>
          <t>Use domain-specific anchor + metric rule + evidence gate</t>
        </is>
      </c>
      <c r="D106" s="20" t="inlineStr">
        <is>
          <t>Independent assessor A score</t>
        </is>
      </c>
      <c r="E106" s="20" t="inlineStr">
        <is>
          <t>Independent assessor B score</t>
        </is>
      </c>
      <c r="F106" s="20">
        <f>IF(OR(D106="",E106=""),"",ABS(D106-E106))</f>
        <v/>
      </c>
      <c r="G106" s="20">
        <f>IF(F106="","PENDING",IF(F106&lt;=1,"AGREE","REVIEW"))</f>
        <v/>
      </c>
      <c r="H106" s="20">
        <f>IF(G106="REVIEW","Y","N")</f>
        <v/>
      </c>
      <c r="I106" s="20" t="inlineStr">
        <is>
          <t>Final calibrated score</t>
        </is>
      </c>
      <c r="J106" s="20" t="inlineStr">
        <is>
          <t>Notes</t>
        </is>
      </c>
    </row>
    <row r="107">
      <c r="A107" s="20" t="inlineStr">
        <is>
          <t>I03</t>
        </is>
      </c>
      <c r="B107" s="20" t="inlineStr">
        <is>
          <t>Industry-Validated Curriculum</t>
        </is>
      </c>
      <c r="C107" s="20" t="inlineStr">
        <is>
          <t>Use domain-specific anchor + metric rule + evidence gate</t>
        </is>
      </c>
      <c r="D107" s="20" t="inlineStr">
        <is>
          <t>Independent assessor A score</t>
        </is>
      </c>
      <c r="E107" s="20" t="inlineStr">
        <is>
          <t>Independent assessor B score</t>
        </is>
      </c>
      <c r="F107" s="20">
        <f>IF(OR(D107="",E107=""),"",ABS(D107-E107))</f>
        <v/>
      </c>
      <c r="G107" s="20">
        <f>IF(F107="","PENDING",IF(F107&lt;=1,"AGREE","REVIEW"))</f>
        <v/>
      </c>
      <c r="H107" s="20">
        <f>IF(G107="REVIEW","Y","N")</f>
        <v/>
      </c>
      <c r="I107" s="20" t="inlineStr">
        <is>
          <t>Final calibrated score</t>
        </is>
      </c>
      <c r="J107" s="20" t="inlineStr">
        <is>
          <t>Notes</t>
        </is>
      </c>
    </row>
    <row r="108">
      <c r="A108" s="20" t="inlineStr">
        <is>
          <t>I04</t>
        </is>
      </c>
      <c r="B108" s="20" t="inlineStr">
        <is>
          <t>Practice-Based Learning</t>
        </is>
      </c>
      <c r="C108" s="20" t="inlineStr">
        <is>
          <t>Use domain-specific anchor + metric rule + evidence gate</t>
        </is>
      </c>
      <c r="D108" s="20" t="inlineStr">
        <is>
          <t>Independent assessor A score</t>
        </is>
      </c>
      <c r="E108" s="20" t="inlineStr">
        <is>
          <t>Independent assessor B score</t>
        </is>
      </c>
      <c r="F108" s="20">
        <f>IF(OR(D108="",E108=""),"",ABS(D108-E108))</f>
        <v/>
      </c>
      <c r="G108" s="20">
        <f>IF(F108="","PENDING",IF(F108&lt;=1,"AGREE","REVIEW"))</f>
        <v/>
      </c>
      <c r="H108" s="20">
        <f>IF(G108="REVIEW","Y","N")</f>
        <v/>
      </c>
      <c r="I108" s="20" t="inlineStr">
        <is>
          <t>Final calibrated score</t>
        </is>
      </c>
      <c r="J108" s="20" t="inlineStr">
        <is>
          <t>Notes</t>
        </is>
      </c>
    </row>
    <row r="109">
      <c r="A109" s="20" t="inlineStr">
        <is>
          <t>I05</t>
        </is>
      </c>
      <c r="B109" s="20" t="inlineStr">
        <is>
          <t>Recruiter Confidence</t>
        </is>
      </c>
      <c r="C109" s="20" t="inlineStr">
        <is>
          <t>Use domain-specific anchor + metric rule + evidence gate</t>
        </is>
      </c>
      <c r="D109" s="20" t="inlineStr">
        <is>
          <t>Independent assessor A score</t>
        </is>
      </c>
      <c r="E109" s="20" t="inlineStr">
        <is>
          <t>Independent assessor B score</t>
        </is>
      </c>
      <c r="F109" s="20">
        <f>IF(OR(D109="",E109=""),"",ABS(D109-E109))</f>
        <v/>
      </c>
      <c r="G109" s="20">
        <f>IF(F109="","PENDING",IF(F109&lt;=1,"AGREE","REVIEW"))</f>
        <v/>
      </c>
      <c r="H109" s="20">
        <f>IF(G109="REVIEW","Y","N")</f>
        <v/>
      </c>
      <c r="I109" s="20" t="inlineStr">
        <is>
          <t>Final calibrated score</t>
        </is>
      </c>
      <c r="J109" s="20" t="inlineStr">
        <is>
          <t>Notes</t>
        </is>
      </c>
    </row>
    <row r="110">
      <c r="A110" s="20" t="inlineStr">
        <is>
          <t>I06</t>
        </is>
      </c>
      <c r="B110" s="20" t="inlineStr">
        <is>
          <t>Placement Outcome Quality</t>
        </is>
      </c>
      <c r="C110" s="20" t="inlineStr">
        <is>
          <t>Use domain-specific anchor + metric rule + evidence gate</t>
        </is>
      </c>
      <c r="D110" s="20" t="inlineStr">
        <is>
          <t>Independent assessor A score</t>
        </is>
      </c>
      <c r="E110" s="20" t="inlineStr">
        <is>
          <t>Independent assessor B score</t>
        </is>
      </c>
      <c r="F110" s="20">
        <f>IF(OR(D110="",E110=""),"",ABS(D110-E110))</f>
        <v/>
      </c>
      <c r="G110" s="20">
        <f>IF(F110="","PENDING",IF(F110&lt;=1,"AGREE","REVIEW"))</f>
        <v/>
      </c>
      <c r="H110" s="20">
        <f>IF(G110="REVIEW","Y","N")</f>
        <v/>
      </c>
      <c r="I110" s="20" t="inlineStr">
        <is>
          <t>Final calibrated score</t>
        </is>
      </c>
      <c r="J110" s="20" t="inlineStr">
        <is>
          <t>Notes</t>
        </is>
      </c>
    </row>
    <row r="111">
      <c r="A111" s="20" t="inlineStr">
        <is>
          <t>I07</t>
        </is>
      </c>
      <c r="B111" s="20" t="inlineStr">
        <is>
          <t>Career Adaptability</t>
        </is>
      </c>
      <c r="C111" s="20" t="inlineStr">
        <is>
          <t>Use domain-specific anchor + metric rule + evidence gate</t>
        </is>
      </c>
      <c r="D111" s="20" t="inlineStr">
        <is>
          <t>Independent assessor A score</t>
        </is>
      </c>
      <c r="E111" s="20" t="inlineStr">
        <is>
          <t>Independent assessor B score</t>
        </is>
      </c>
      <c r="F111" s="20">
        <f>IF(OR(D111="",E111=""),"",ABS(D111-E111))</f>
        <v/>
      </c>
      <c r="G111" s="20">
        <f>IF(F111="","PENDING",IF(F111&lt;=1,"AGREE","REVIEW"))</f>
        <v/>
      </c>
      <c r="H111" s="20">
        <f>IF(G111="REVIEW","Y","N")</f>
        <v/>
      </c>
      <c r="I111" s="20" t="inlineStr">
        <is>
          <t>Final calibrated score</t>
        </is>
      </c>
      <c r="J111" s="20" t="inlineStr">
        <is>
          <t>Notes</t>
        </is>
      </c>
    </row>
    <row r="112">
      <c r="A112" s="20" t="inlineStr">
        <is>
          <t>I08</t>
        </is>
      </c>
      <c r="B112" s="20" t="inlineStr">
        <is>
          <t>AI-Era Employability Readiness</t>
        </is>
      </c>
      <c r="C112" s="20" t="inlineStr">
        <is>
          <t>Use domain-specific anchor + metric rule + evidence gate</t>
        </is>
      </c>
      <c r="D112" s="20" t="inlineStr">
        <is>
          <t>Independent assessor A score</t>
        </is>
      </c>
      <c r="E112" s="20" t="inlineStr">
        <is>
          <t>Independent assessor B score</t>
        </is>
      </c>
      <c r="F112" s="20">
        <f>IF(OR(D112="",E112=""),"",ABS(D112-E112))</f>
        <v/>
      </c>
      <c r="G112" s="20">
        <f>IF(F112="","PENDING",IF(F112&lt;=1,"AGREE","REVIEW"))</f>
        <v/>
      </c>
      <c r="H112" s="20">
        <f>IF(G112="REVIEW","Y","N")</f>
        <v/>
      </c>
      <c r="I112" s="20" t="inlineStr">
        <is>
          <t>Final calibrated score</t>
        </is>
      </c>
      <c r="J112" s="20" t="inlineStr">
        <is>
          <t>Notes</t>
        </is>
      </c>
    </row>
    <row r="113">
      <c r="A113" s="20" t="inlineStr">
        <is>
          <t>I09</t>
        </is>
      </c>
      <c r="B113" s="20" t="inlineStr">
        <is>
          <t>Capability Signalling</t>
        </is>
      </c>
      <c r="C113" s="20" t="inlineStr">
        <is>
          <t>Use domain-specific anchor + metric rule + evidence gate</t>
        </is>
      </c>
      <c r="D113" s="20" t="inlineStr">
        <is>
          <t>Independent assessor A score</t>
        </is>
      </c>
      <c r="E113" s="20" t="inlineStr">
        <is>
          <t>Independent assessor B score</t>
        </is>
      </c>
      <c r="F113" s="20">
        <f>IF(OR(D113="",E113=""),"",ABS(D113-E113))</f>
        <v/>
      </c>
      <c r="G113" s="20">
        <f>IF(F113="","PENDING",IF(F113&lt;=1,"AGREE","REVIEW"))</f>
        <v/>
      </c>
      <c r="H113" s="20">
        <f>IF(G113="REVIEW","Y","N")</f>
        <v/>
      </c>
      <c r="I113" s="20" t="inlineStr">
        <is>
          <t>Final calibrated score</t>
        </is>
      </c>
      <c r="J113" s="20" t="inlineStr">
        <is>
          <t>Notes</t>
        </is>
      </c>
    </row>
    <row r="114">
      <c r="A114" s="20" t="inlineStr">
        <is>
          <t>I10</t>
        </is>
      </c>
      <c r="B114" s="20" t="inlineStr">
        <is>
          <t>Industry Co-Creation</t>
        </is>
      </c>
      <c r="C114" s="20" t="inlineStr">
        <is>
          <t>Use domain-specific anchor + metric rule + evidence gate</t>
        </is>
      </c>
      <c r="D114" s="20" t="inlineStr">
        <is>
          <t>Independent assessor A score</t>
        </is>
      </c>
      <c r="E114" s="20" t="inlineStr">
        <is>
          <t>Independent assessor B score</t>
        </is>
      </c>
      <c r="F114" s="20">
        <f>IF(OR(D114="",E114=""),"",ABS(D114-E114))</f>
        <v/>
      </c>
      <c r="G114" s="20">
        <f>IF(F114="","PENDING",IF(F114&lt;=1,"AGREE","REVIEW"))</f>
        <v/>
      </c>
      <c r="H114" s="20">
        <f>IF(G114="REVIEW","Y","N")</f>
        <v/>
      </c>
      <c r="I114" s="20" t="inlineStr">
        <is>
          <t>Final calibrated score</t>
        </is>
      </c>
      <c r="J114" s="20" t="inlineStr">
        <is>
          <t>Notes</t>
        </is>
      </c>
    </row>
    <row r="115">
      <c r="A115" s="20" t="inlineStr">
        <is>
          <t>I11</t>
        </is>
      </c>
      <c r="B115" s="20" t="inlineStr">
        <is>
          <t>Regional/Economic Relevance</t>
        </is>
      </c>
      <c r="C115" s="20" t="inlineStr">
        <is>
          <t>Use domain-specific anchor + metric rule + evidence gate</t>
        </is>
      </c>
      <c r="D115" s="20" t="inlineStr">
        <is>
          <t>Independent assessor A score</t>
        </is>
      </c>
      <c r="E115" s="20" t="inlineStr">
        <is>
          <t>Independent assessor B score</t>
        </is>
      </c>
      <c r="F115" s="20">
        <f>IF(OR(D115="",E115=""),"",ABS(D115-E115))</f>
        <v/>
      </c>
      <c r="G115" s="20">
        <f>IF(F115="","PENDING",IF(F115&lt;=1,"AGREE","REVIEW"))</f>
        <v/>
      </c>
      <c r="H115" s="20">
        <f>IF(G115="REVIEW","Y","N")</f>
        <v/>
      </c>
      <c r="I115" s="20" t="inlineStr">
        <is>
          <t>Final calibrated score</t>
        </is>
      </c>
      <c r="J115" s="20" t="inlineStr">
        <is>
          <t>Notes</t>
        </is>
      </c>
    </row>
    <row r="116">
      <c r="A116" s="20" t="inlineStr">
        <is>
          <t>I12</t>
        </is>
      </c>
      <c r="B116" s="20" t="inlineStr">
        <is>
          <t>Alumni Career Intelligence</t>
        </is>
      </c>
      <c r="C116" s="20" t="inlineStr">
        <is>
          <t>Use domain-specific anchor + metric rule + evidence gate</t>
        </is>
      </c>
      <c r="D116" s="20" t="inlineStr">
        <is>
          <t>Independent assessor A score</t>
        </is>
      </c>
      <c r="E116" s="20" t="inlineStr">
        <is>
          <t>Independent assessor B score</t>
        </is>
      </c>
      <c r="F116" s="20">
        <f>IF(OR(D116="",E116=""),"",ABS(D116-E116))</f>
        <v/>
      </c>
      <c r="G116" s="20">
        <f>IF(F116="","PENDING",IF(F116&lt;=1,"AGREE","REVIEW"))</f>
        <v/>
      </c>
      <c r="H116" s="20">
        <f>IF(G116="REVIEW","Y","N")</f>
        <v/>
      </c>
      <c r="I116" s="20" t="inlineStr">
        <is>
          <t>Final calibrated score</t>
        </is>
      </c>
      <c r="J116" s="20" t="inlineStr">
        <is>
          <t>Notes</t>
        </is>
      </c>
    </row>
    <row r="117">
      <c r="A117" s="20" t="inlineStr">
        <is>
          <t>I01</t>
        </is>
      </c>
      <c r="B117" s="20" t="inlineStr">
        <is>
          <t>Research Strategy Maturity</t>
        </is>
      </c>
      <c r="C117" s="20" t="inlineStr">
        <is>
          <t>Use domain-specific anchor + metric rule + evidence gate</t>
        </is>
      </c>
      <c r="D117" s="20" t="inlineStr">
        <is>
          <t>Independent assessor A score</t>
        </is>
      </c>
      <c r="E117" s="20" t="inlineStr">
        <is>
          <t>Independent assessor B score</t>
        </is>
      </c>
      <c r="F117" s="20">
        <f>IF(OR(D117="",E117=""),"",ABS(D117-E117))</f>
        <v/>
      </c>
      <c r="G117" s="20">
        <f>IF(F117="","PENDING",IF(F117&lt;=1,"AGREE","REVIEW"))</f>
        <v/>
      </c>
      <c r="H117" s="20">
        <f>IF(G117="REVIEW","Y","N")</f>
        <v/>
      </c>
      <c r="I117" s="20" t="inlineStr">
        <is>
          <t>Final calibrated score</t>
        </is>
      </c>
      <c r="J117" s="20" t="inlineStr">
        <is>
          <t>Notes</t>
        </is>
      </c>
    </row>
    <row r="118">
      <c r="A118" s="20" t="inlineStr">
        <is>
          <t>I02</t>
        </is>
      </c>
      <c r="B118" s="20" t="inlineStr">
        <is>
          <t>Research Portfolio Balance</t>
        </is>
      </c>
      <c r="C118" s="20" t="inlineStr">
        <is>
          <t>Use domain-specific anchor + metric rule + evidence gate</t>
        </is>
      </c>
      <c r="D118" s="20" t="inlineStr">
        <is>
          <t>Independent assessor A score</t>
        </is>
      </c>
      <c r="E118" s="20" t="inlineStr">
        <is>
          <t>Independent assessor B score</t>
        </is>
      </c>
      <c r="F118" s="20">
        <f>IF(OR(D118="",E118=""),"",ABS(D118-E118))</f>
        <v/>
      </c>
      <c r="G118" s="20">
        <f>IF(F118="","PENDING",IF(F118&lt;=1,"AGREE","REVIEW"))</f>
        <v/>
      </c>
      <c r="H118" s="20">
        <f>IF(G118="REVIEW","Y","N")</f>
        <v/>
      </c>
      <c r="I118" s="20" t="inlineStr">
        <is>
          <t>Final calibrated score</t>
        </is>
      </c>
      <c r="J118" s="20" t="inlineStr">
        <is>
          <t>Notes</t>
        </is>
      </c>
    </row>
    <row r="119">
      <c r="A119" s="20" t="inlineStr">
        <is>
          <t>I03</t>
        </is>
      </c>
      <c r="B119" s="20" t="inlineStr">
        <is>
          <t>Interdisciplinary Research Capability</t>
        </is>
      </c>
      <c r="C119" s="20" t="inlineStr">
        <is>
          <t>Use domain-specific anchor + metric rule + evidence gate</t>
        </is>
      </c>
      <c r="D119" s="20" t="inlineStr">
        <is>
          <t>Independent assessor A score</t>
        </is>
      </c>
      <c r="E119" s="20" t="inlineStr">
        <is>
          <t>Independent assessor B score</t>
        </is>
      </c>
      <c r="F119" s="20">
        <f>IF(OR(D119="",E119=""),"",ABS(D119-E119))</f>
        <v/>
      </c>
      <c r="G119" s="20">
        <f>IF(F119="","PENDING",IF(F119&lt;=1,"AGREE","REVIEW"))</f>
        <v/>
      </c>
      <c r="H119" s="20">
        <f>IF(G119="REVIEW","Y","N")</f>
        <v/>
      </c>
      <c r="I119" s="20" t="inlineStr">
        <is>
          <t>Final calibrated score</t>
        </is>
      </c>
      <c r="J119" s="20" t="inlineStr">
        <is>
          <t>Notes</t>
        </is>
      </c>
    </row>
    <row r="120">
      <c r="A120" s="20" t="inlineStr">
        <is>
          <t>I04</t>
        </is>
      </c>
      <c r="B120" s="20" t="inlineStr">
        <is>
          <t>AI-Enabled Research Capability</t>
        </is>
      </c>
      <c r="C120" s="20" t="inlineStr">
        <is>
          <t>Use domain-specific anchor + metric rule + evidence gate</t>
        </is>
      </c>
      <c r="D120" s="20" t="inlineStr">
        <is>
          <t>Independent assessor A score</t>
        </is>
      </c>
      <c r="E120" s="20" t="inlineStr">
        <is>
          <t>Independent assessor B score</t>
        </is>
      </c>
      <c r="F120" s="20">
        <f>IF(OR(D120="",E120=""),"",ABS(D120-E120))</f>
        <v/>
      </c>
      <c r="G120" s="20">
        <f>IF(F120="","PENDING",IF(F120&lt;=1,"AGREE","REVIEW"))</f>
        <v/>
      </c>
      <c r="H120" s="20">
        <f>IF(G120="REVIEW","Y","N")</f>
        <v/>
      </c>
      <c r="I120" s="20" t="inlineStr">
        <is>
          <t>Final calibrated score</t>
        </is>
      </c>
      <c r="J120" s="20" t="inlineStr">
        <is>
          <t>Notes</t>
        </is>
      </c>
    </row>
    <row r="121">
      <c r="A121" s="20" t="inlineStr">
        <is>
          <t>I05</t>
        </is>
      </c>
      <c r="B121" s="20" t="inlineStr">
        <is>
          <t>Research Infrastructure Readiness</t>
        </is>
      </c>
      <c r="C121" s="20" t="inlineStr">
        <is>
          <t>Use domain-specific anchor + metric rule + evidence gate</t>
        </is>
      </c>
      <c r="D121" s="20" t="inlineStr">
        <is>
          <t>Independent assessor A score</t>
        </is>
      </c>
      <c r="E121" s="20" t="inlineStr">
        <is>
          <t>Independent assessor B score</t>
        </is>
      </c>
      <c r="F121" s="20">
        <f>IF(OR(D121="",E121=""),"",ABS(D121-E121))</f>
        <v/>
      </c>
      <c r="G121" s="20">
        <f>IF(F121="","PENDING",IF(F121&lt;=1,"AGREE","REVIEW"))</f>
        <v/>
      </c>
      <c r="H121" s="20">
        <f>IF(G121="REVIEW","Y","N")</f>
        <v/>
      </c>
      <c r="I121" s="20" t="inlineStr">
        <is>
          <t>Final calibrated score</t>
        </is>
      </c>
      <c r="J121" s="20" t="inlineStr">
        <is>
          <t>Notes</t>
        </is>
      </c>
    </row>
    <row r="122">
      <c r="A122" s="20" t="inlineStr">
        <is>
          <t>I06</t>
        </is>
      </c>
      <c r="B122" s="20" t="inlineStr">
        <is>
          <t>Researcher Capability</t>
        </is>
      </c>
      <c r="C122" s="20" t="inlineStr">
        <is>
          <t>Use domain-specific anchor + metric rule + evidence gate</t>
        </is>
      </c>
      <c r="D122" s="20" t="inlineStr">
        <is>
          <t>Independent assessor A score</t>
        </is>
      </c>
      <c r="E122" s="20" t="inlineStr">
        <is>
          <t>Independent assessor B score</t>
        </is>
      </c>
      <c r="F122" s="20">
        <f>IF(OR(D122="",E122=""),"",ABS(D122-E122))</f>
        <v/>
      </c>
      <c r="G122" s="20">
        <f>IF(F122="","PENDING",IF(F122&lt;=1,"AGREE","REVIEW"))</f>
        <v/>
      </c>
      <c r="H122" s="20">
        <f>IF(G122="REVIEW","Y","N")</f>
        <v/>
      </c>
      <c r="I122" s="20" t="inlineStr">
        <is>
          <t>Final calibrated score</t>
        </is>
      </c>
      <c r="J122" s="20" t="inlineStr">
        <is>
          <t>Notes</t>
        </is>
      </c>
    </row>
    <row r="123">
      <c r="A123" s="20" t="inlineStr">
        <is>
          <t>I07</t>
        </is>
      </c>
      <c r="B123" s="20" t="inlineStr">
        <is>
          <t>Research Funding Capability</t>
        </is>
      </c>
      <c r="C123" s="20" t="inlineStr">
        <is>
          <t>Use domain-specific anchor + metric rule + evidence gate</t>
        </is>
      </c>
      <c r="D123" s="20" t="inlineStr">
        <is>
          <t>Independent assessor A score</t>
        </is>
      </c>
      <c r="E123" s="20" t="inlineStr">
        <is>
          <t>Independent assessor B score</t>
        </is>
      </c>
      <c r="F123" s="20">
        <f>IF(OR(D123="",E123=""),"",ABS(D123-E123))</f>
        <v/>
      </c>
      <c r="G123" s="20">
        <f>IF(F123="","PENDING",IF(F123&lt;=1,"AGREE","REVIEW"))</f>
        <v/>
      </c>
      <c r="H123" s="20">
        <f>IF(G123="REVIEW","Y","N")</f>
        <v/>
      </c>
      <c r="I123" s="20" t="inlineStr">
        <is>
          <t>Final calibrated score</t>
        </is>
      </c>
      <c r="J123" s="20" t="inlineStr">
        <is>
          <t>Notes</t>
        </is>
      </c>
    </row>
    <row r="124">
      <c r="A124" s="20" t="inlineStr">
        <is>
          <t>I08</t>
        </is>
      </c>
      <c r="B124" s="20" t="inlineStr">
        <is>
          <t>Knowledge Translation Capability</t>
        </is>
      </c>
      <c r="C124" s="20" t="inlineStr">
        <is>
          <t>Use domain-specific anchor + metric rule + evidence gate</t>
        </is>
      </c>
      <c r="D124" s="20" t="inlineStr">
        <is>
          <t>Independent assessor A score</t>
        </is>
      </c>
      <c r="E124" s="20" t="inlineStr">
        <is>
          <t>Independent assessor B score</t>
        </is>
      </c>
      <c r="F124" s="20">
        <f>IF(OR(D124="",E124=""),"",ABS(D124-E124))</f>
        <v/>
      </c>
      <c r="G124" s="20">
        <f>IF(F124="","PENDING",IF(F124&lt;=1,"AGREE","REVIEW"))</f>
        <v/>
      </c>
      <c r="H124" s="20">
        <f>IF(G124="REVIEW","Y","N")</f>
        <v/>
      </c>
      <c r="I124" s="20" t="inlineStr">
        <is>
          <t>Final calibrated score</t>
        </is>
      </c>
      <c r="J124" s="20" t="inlineStr">
        <is>
          <t>Notes</t>
        </is>
      </c>
    </row>
    <row r="125">
      <c r="A125" s="20" t="inlineStr">
        <is>
          <t>I09</t>
        </is>
      </c>
      <c r="B125" s="20" t="inlineStr">
        <is>
          <t>Industry-Linked Research</t>
        </is>
      </c>
      <c r="C125" s="20" t="inlineStr">
        <is>
          <t>Use domain-specific anchor + metric rule + evidence gate</t>
        </is>
      </c>
      <c r="D125" s="20" t="inlineStr">
        <is>
          <t>Independent assessor A score</t>
        </is>
      </c>
      <c r="E125" s="20" t="inlineStr">
        <is>
          <t>Independent assessor B score</t>
        </is>
      </c>
      <c r="F125" s="20">
        <f>IF(OR(D125="",E125=""),"",ABS(D125-E125))</f>
        <v/>
      </c>
      <c r="G125" s="20">
        <f>IF(F125="","PENDING",IF(F125&lt;=1,"AGREE","REVIEW"))</f>
        <v/>
      </c>
      <c r="H125" s="20">
        <f>IF(G125="REVIEW","Y","N")</f>
        <v/>
      </c>
      <c r="I125" s="20" t="inlineStr">
        <is>
          <t>Final calibrated score</t>
        </is>
      </c>
      <c r="J125" s="20" t="inlineStr">
        <is>
          <t>Notes</t>
        </is>
      </c>
    </row>
    <row r="126">
      <c r="A126" s="20" t="inlineStr">
        <is>
          <t>I10</t>
        </is>
      </c>
      <c r="B126" s="20" t="inlineStr">
        <is>
          <t>Research-to-Innovation Pipeline</t>
        </is>
      </c>
      <c r="C126" s="20" t="inlineStr">
        <is>
          <t>Use domain-specific anchor + metric rule + evidence gate</t>
        </is>
      </c>
      <c r="D126" s="20" t="inlineStr">
        <is>
          <t>Independent assessor A score</t>
        </is>
      </c>
      <c r="E126" s="20" t="inlineStr">
        <is>
          <t>Independent assessor B score</t>
        </is>
      </c>
      <c r="F126" s="20">
        <f>IF(OR(D126="",E126=""),"",ABS(D126-E126))</f>
        <v/>
      </c>
      <c r="G126" s="20">
        <f>IF(F126="","PENDING",IF(F126&lt;=1,"AGREE","REVIEW"))</f>
        <v/>
      </c>
      <c r="H126" s="20">
        <f>IF(G126="REVIEW","Y","N")</f>
        <v/>
      </c>
      <c r="I126" s="20" t="inlineStr">
        <is>
          <t>Final calibrated score</t>
        </is>
      </c>
      <c r="J126" s="20" t="inlineStr">
        <is>
          <t>Notes</t>
        </is>
      </c>
    </row>
    <row r="127">
      <c r="A127" s="20" t="inlineStr">
        <is>
          <t>I11</t>
        </is>
      </c>
      <c r="B127" s="20" t="inlineStr">
        <is>
          <t>IP &amp; Knowledge Assets</t>
        </is>
      </c>
      <c r="C127" s="20" t="inlineStr">
        <is>
          <t>Use domain-specific anchor + metric rule + evidence gate</t>
        </is>
      </c>
      <c r="D127" s="20" t="inlineStr">
        <is>
          <t>Independent assessor A score</t>
        </is>
      </c>
      <c r="E127" s="20" t="inlineStr">
        <is>
          <t>Independent assessor B score</t>
        </is>
      </c>
      <c r="F127" s="20">
        <f>IF(OR(D127="",E127=""),"",ABS(D127-E127))</f>
        <v/>
      </c>
      <c r="G127" s="20">
        <f>IF(F127="","PENDING",IF(F127&lt;=1,"AGREE","REVIEW"))</f>
        <v/>
      </c>
      <c r="H127" s="20">
        <f>IF(G127="REVIEW","Y","N")</f>
        <v/>
      </c>
      <c r="I127" s="20" t="inlineStr">
        <is>
          <t>Final calibrated score</t>
        </is>
      </c>
      <c r="J127" s="20" t="inlineStr">
        <is>
          <t>Notes</t>
        </is>
      </c>
    </row>
    <row r="128">
      <c r="A128" s="20" t="inlineStr">
        <is>
          <t>I12</t>
        </is>
      </c>
      <c r="B128" s="20" t="inlineStr">
        <is>
          <t>Research Integrity &amp; Responsible AI</t>
        </is>
      </c>
      <c r="C128" s="20" t="inlineStr">
        <is>
          <t>Use domain-specific anchor + metric rule + evidence gate</t>
        </is>
      </c>
      <c r="D128" s="20" t="inlineStr">
        <is>
          <t>Independent assessor A score</t>
        </is>
      </c>
      <c r="E128" s="20" t="inlineStr">
        <is>
          <t>Independent assessor B score</t>
        </is>
      </c>
      <c r="F128" s="20">
        <f>IF(OR(D128="",E128=""),"",ABS(D128-E128))</f>
        <v/>
      </c>
      <c r="G128" s="20">
        <f>IF(F128="","PENDING",IF(F128&lt;=1,"AGREE","REVIEW"))</f>
        <v/>
      </c>
      <c r="H128" s="20">
        <f>IF(G128="REVIEW","Y","N")</f>
        <v/>
      </c>
      <c r="I128" s="20" t="inlineStr">
        <is>
          <t>Final calibrated score</t>
        </is>
      </c>
      <c r="J128" s="20" t="inlineStr">
        <is>
          <t>Notes</t>
        </is>
      </c>
    </row>
    <row r="129">
      <c r="A129" s="20" t="inlineStr">
        <is>
          <t>I13</t>
        </is>
      </c>
      <c r="B129" s="20" t="inlineStr">
        <is>
          <t>Research Impact Evidence</t>
        </is>
      </c>
      <c r="C129" s="20" t="inlineStr">
        <is>
          <t>Use domain-specific anchor + metric rule + evidence gate</t>
        </is>
      </c>
      <c r="D129" s="20" t="inlineStr">
        <is>
          <t>Independent assessor A score</t>
        </is>
      </c>
      <c r="E129" s="20" t="inlineStr">
        <is>
          <t>Independent assessor B score</t>
        </is>
      </c>
      <c r="F129" s="20">
        <f>IF(OR(D129="",E129=""),"",ABS(D129-E129))</f>
        <v/>
      </c>
      <c r="G129" s="20">
        <f>IF(F129="","PENDING",IF(F129&lt;=1,"AGREE","REVIEW"))</f>
        <v/>
      </c>
      <c r="H129" s="20">
        <f>IF(G129="REVIEW","Y","N")</f>
        <v/>
      </c>
      <c r="I129" s="20" t="inlineStr">
        <is>
          <t>Final calibrated score</t>
        </is>
      </c>
      <c r="J129" s="20" t="inlineStr">
        <is>
          <t>Notes</t>
        </is>
      </c>
    </row>
    <row r="130">
      <c r="A130" s="20" t="inlineStr">
        <is>
          <t>I14</t>
        </is>
      </c>
      <c r="B130" s="20" t="inlineStr">
        <is>
          <t>Student Research Capability</t>
        </is>
      </c>
      <c r="C130" s="20" t="inlineStr">
        <is>
          <t>Use domain-specific anchor + metric rule + evidence gate</t>
        </is>
      </c>
      <c r="D130" s="20" t="inlineStr">
        <is>
          <t>Independent assessor A score</t>
        </is>
      </c>
      <c r="E130" s="20" t="inlineStr">
        <is>
          <t>Independent assessor B score</t>
        </is>
      </c>
      <c r="F130" s="20">
        <f>IF(OR(D130="",E130=""),"",ABS(D130-E130))</f>
        <v/>
      </c>
      <c r="G130" s="20">
        <f>IF(F130="","PENDING",IF(F130&lt;=1,"AGREE","REVIEW"))</f>
        <v/>
      </c>
      <c r="H130" s="20">
        <f>IF(G130="REVIEW","Y","N")</f>
        <v/>
      </c>
      <c r="I130" s="20" t="inlineStr">
        <is>
          <t>Final calibrated score</t>
        </is>
      </c>
      <c r="J130" s="20" t="inlineStr">
        <is>
          <t>Notes</t>
        </is>
      </c>
    </row>
    <row r="131">
      <c r="A131" s="20" t="inlineStr">
        <is>
          <t>I01</t>
        </is>
      </c>
      <c r="B131" s="20" t="inlineStr">
        <is>
          <t>External Change Sensing</t>
        </is>
      </c>
      <c r="C131" s="20" t="inlineStr">
        <is>
          <t>Use domain-specific anchor + metric rule + evidence gate</t>
        </is>
      </c>
      <c r="D131" s="20" t="inlineStr">
        <is>
          <t>Independent assessor A score</t>
        </is>
      </c>
      <c r="E131" s="20" t="inlineStr">
        <is>
          <t>Independent assessor B score</t>
        </is>
      </c>
      <c r="F131" s="20">
        <f>IF(OR(D131="",E131=""),"",ABS(D131-E131))</f>
        <v/>
      </c>
      <c r="G131" s="20">
        <f>IF(F131="","PENDING",IF(F131&lt;=1,"AGREE","REVIEW"))</f>
        <v/>
      </c>
      <c r="H131" s="20">
        <f>IF(G131="REVIEW","Y","N")</f>
        <v/>
      </c>
      <c r="I131" s="20" t="inlineStr">
        <is>
          <t>Final calibrated score</t>
        </is>
      </c>
      <c r="J131" s="20" t="inlineStr">
        <is>
          <t>Notes</t>
        </is>
      </c>
    </row>
    <row r="132">
      <c r="A132" s="20" t="inlineStr">
        <is>
          <t>I02</t>
        </is>
      </c>
      <c r="B132" s="20" t="inlineStr">
        <is>
          <t>Strategic Response Agility</t>
        </is>
      </c>
      <c r="C132" s="20" t="inlineStr">
        <is>
          <t>Use domain-specific anchor + metric rule + evidence gate</t>
        </is>
      </c>
      <c r="D132" s="20" t="inlineStr">
        <is>
          <t>Independent assessor A score</t>
        </is>
      </c>
      <c r="E132" s="20" t="inlineStr">
        <is>
          <t>Independent assessor B score</t>
        </is>
      </c>
      <c r="F132" s="20">
        <f>IF(OR(D132="",E132=""),"",ABS(D132-E132))</f>
        <v/>
      </c>
      <c r="G132" s="20">
        <f>IF(F132="","PENDING",IF(F132&lt;=1,"AGREE","REVIEW"))</f>
        <v/>
      </c>
      <c r="H132" s="20">
        <f>IF(G132="REVIEW","Y","N")</f>
        <v/>
      </c>
      <c r="I132" s="20" t="inlineStr">
        <is>
          <t>Final calibrated score</t>
        </is>
      </c>
      <c r="J132" s="20" t="inlineStr">
        <is>
          <t>Notes</t>
        </is>
      </c>
    </row>
    <row r="133">
      <c r="A133" s="20" t="inlineStr">
        <is>
          <t>I03</t>
        </is>
      </c>
      <c r="B133" s="20" t="inlineStr">
        <is>
          <t>Adaptive Decision Architecture</t>
        </is>
      </c>
      <c r="C133" s="20" t="inlineStr">
        <is>
          <t>Use domain-specific anchor + metric rule + evidence gate</t>
        </is>
      </c>
      <c r="D133" s="20" t="inlineStr">
        <is>
          <t>Independent assessor A score</t>
        </is>
      </c>
      <c r="E133" s="20" t="inlineStr">
        <is>
          <t>Independent assessor B score</t>
        </is>
      </c>
      <c r="F133" s="20">
        <f>IF(OR(D133="",E133=""),"",ABS(D133-E133))</f>
        <v/>
      </c>
      <c r="G133" s="20">
        <f>IF(F133="","PENDING",IF(F133&lt;=1,"AGREE","REVIEW"))</f>
        <v/>
      </c>
      <c r="H133" s="20">
        <f>IF(G133="REVIEW","Y","N")</f>
        <v/>
      </c>
      <c r="I133" s="20" t="inlineStr">
        <is>
          <t>Final calibrated score</t>
        </is>
      </c>
      <c r="J133" s="20" t="inlineStr">
        <is>
          <t>Notes</t>
        </is>
      </c>
    </row>
    <row r="134">
      <c r="A134" s="20" t="inlineStr">
        <is>
          <t>I04</t>
        </is>
      </c>
      <c r="B134" s="20" t="inlineStr">
        <is>
          <t>Resource Reallocation Agility</t>
        </is>
      </c>
      <c r="C134" s="20" t="inlineStr">
        <is>
          <t>Use domain-specific anchor + metric rule + evidence gate</t>
        </is>
      </c>
      <c r="D134" s="20" t="inlineStr">
        <is>
          <t>Independent assessor A score</t>
        </is>
      </c>
      <c r="E134" s="20" t="inlineStr">
        <is>
          <t>Independent assessor B score</t>
        </is>
      </c>
      <c r="F134" s="20">
        <f>IF(OR(D134="",E134=""),"",ABS(D134-E134))</f>
        <v/>
      </c>
      <c r="G134" s="20">
        <f>IF(F134="","PENDING",IF(F134&lt;=1,"AGREE","REVIEW"))</f>
        <v/>
      </c>
      <c r="H134" s="20">
        <f>IF(G134="REVIEW","Y","N")</f>
        <v/>
      </c>
      <c r="I134" s="20" t="inlineStr">
        <is>
          <t>Final calibrated score</t>
        </is>
      </c>
      <c r="J134" s="20" t="inlineStr">
        <is>
          <t>Notes</t>
        </is>
      </c>
    </row>
    <row r="135">
      <c r="A135" s="20" t="inlineStr">
        <is>
          <t>I05</t>
        </is>
      </c>
      <c r="B135" s="20" t="inlineStr">
        <is>
          <t>Institutional Experimentation</t>
        </is>
      </c>
      <c r="C135" s="20" t="inlineStr">
        <is>
          <t>Use domain-specific anchor + metric rule + evidence gate</t>
        </is>
      </c>
      <c r="D135" s="20" t="inlineStr">
        <is>
          <t>Independent assessor A score</t>
        </is>
      </c>
      <c r="E135" s="20" t="inlineStr">
        <is>
          <t>Independent assessor B score</t>
        </is>
      </c>
      <c r="F135" s="20">
        <f>IF(OR(D135="",E135=""),"",ABS(D135-E135))</f>
        <v/>
      </c>
      <c r="G135" s="20">
        <f>IF(F135="","PENDING",IF(F135&lt;=1,"AGREE","REVIEW"))</f>
        <v/>
      </c>
      <c r="H135" s="20">
        <f>IF(G135="REVIEW","Y","N")</f>
        <v/>
      </c>
      <c r="I135" s="20" t="inlineStr">
        <is>
          <t>Final calibrated score</t>
        </is>
      </c>
      <c r="J135" s="20" t="inlineStr">
        <is>
          <t>Notes</t>
        </is>
      </c>
    </row>
    <row r="136">
      <c r="A136" s="20" t="inlineStr">
        <is>
          <t>I06</t>
        </is>
      </c>
      <c r="B136" s="20" t="inlineStr">
        <is>
          <t>Failure-to-Learning Capability</t>
        </is>
      </c>
      <c r="C136" s="20" t="inlineStr">
        <is>
          <t>Use domain-specific anchor + metric rule + evidence gate</t>
        </is>
      </c>
      <c r="D136" s="20" t="inlineStr">
        <is>
          <t>Independent assessor A score</t>
        </is>
      </c>
      <c r="E136" s="20" t="inlineStr">
        <is>
          <t>Independent assessor B score</t>
        </is>
      </c>
      <c r="F136" s="20">
        <f>IF(OR(D136="",E136=""),"",ABS(D136-E136))</f>
        <v/>
      </c>
      <c r="G136" s="20">
        <f>IF(F136="","PENDING",IF(F136&lt;=1,"AGREE","REVIEW"))</f>
        <v/>
      </c>
      <c r="H136" s="20">
        <f>IF(G136="REVIEW","Y","N")</f>
        <v/>
      </c>
      <c r="I136" s="20" t="inlineStr">
        <is>
          <t>Final calibrated score</t>
        </is>
      </c>
      <c r="J136" s="20" t="inlineStr">
        <is>
          <t>Notes</t>
        </is>
      </c>
    </row>
    <row r="137">
      <c r="A137" s="20" t="inlineStr">
        <is>
          <t>I07</t>
        </is>
      </c>
      <c r="B137" s="20" t="inlineStr">
        <is>
          <t>Change Management Capacity</t>
        </is>
      </c>
      <c r="C137" s="20" t="inlineStr">
        <is>
          <t>Use domain-specific anchor + metric rule + evidence gate</t>
        </is>
      </c>
      <c r="D137" s="20" t="inlineStr">
        <is>
          <t>Independent assessor A score</t>
        </is>
      </c>
      <c r="E137" s="20" t="inlineStr">
        <is>
          <t>Independent assessor B score</t>
        </is>
      </c>
      <c r="F137" s="20">
        <f>IF(OR(D137="",E137=""),"",ABS(D137-E137))</f>
        <v/>
      </c>
      <c r="G137" s="20">
        <f>IF(F137="","PENDING",IF(F137&lt;=1,"AGREE","REVIEW"))</f>
        <v/>
      </c>
      <c r="H137" s="20">
        <f>IF(G137="REVIEW","Y","N")</f>
        <v/>
      </c>
      <c r="I137" s="20" t="inlineStr">
        <is>
          <t>Final calibrated score</t>
        </is>
      </c>
      <c r="J137" s="20" t="inlineStr">
        <is>
          <t>Notes</t>
        </is>
      </c>
    </row>
    <row r="138">
      <c r="A138" s="20" t="inlineStr">
        <is>
          <t>I08</t>
        </is>
      </c>
      <c r="B138" s="20" t="inlineStr">
        <is>
          <t>Adaptive Leadership Alignment</t>
        </is>
      </c>
      <c r="C138" s="20" t="inlineStr">
        <is>
          <t>Use domain-specific anchor + metric rule + evidence gate</t>
        </is>
      </c>
      <c r="D138" s="20" t="inlineStr">
        <is>
          <t>Independent assessor A score</t>
        </is>
      </c>
      <c r="E138" s="20" t="inlineStr">
        <is>
          <t>Independent assessor B score</t>
        </is>
      </c>
      <c r="F138" s="20">
        <f>IF(OR(D138="",E138=""),"",ABS(D138-E138))</f>
        <v/>
      </c>
      <c r="G138" s="20">
        <f>IF(F138="","PENDING",IF(F138&lt;=1,"AGREE","REVIEW"))</f>
        <v/>
      </c>
      <c r="H138" s="20">
        <f>IF(G138="REVIEW","Y","N")</f>
        <v/>
      </c>
      <c r="I138" s="20" t="inlineStr">
        <is>
          <t>Final calibrated score</t>
        </is>
      </c>
      <c r="J138" s="20" t="inlineStr">
        <is>
          <t>Notes</t>
        </is>
      </c>
    </row>
    <row r="139">
      <c r="A139" s="20" t="inlineStr">
        <is>
          <t>I09</t>
        </is>
      </c>
      <c r="B139" s="20" t="inlineStr">
        <is>
          <t>Learner Signal Responsiveness</t>
        </is>
      </c>
      <c r="C139" s="20" t="inlineStr">
        <is>
          <t>Use domain-specific anchor + metric rule + evidence gate</t>
        </is>
      </c>
      <c r="D139" s="20" t="inlineStr">
        <is>
          <t>Independent assessor A score</t>
        </is>
      </c>
      <c r="E139" s="20" t="inlineStr">
        <is>
          <t>Independent assessor B score</t>
        </is>
      </c>
      <c r="F139" s="20">
        <f>IF(OR(D139="",E139=""),"",ABS(D139-E139))</f>
        <v/>
      </c>
      <c r="G139" s="20">
        <f>IF(F139="","PENDING",IF(F139&lt;=1,"AGREE","REVIEW"))</f>
        <v/>
      </c>
      <c r="H139" s="20">
        <f>IF(G139="REVIEW","Y","N")</f>
        <v/>
      </c>
      <c r="I139" s="20" t="inlineStr">
        <is>
          <t>Final calibrated score</t>
        </is>
      </c>
      <c r="J139" s="20" t="inlineStr">
        <is>
          <t>Notes</t>
        </is>
      </c>
    </row>
    <row r="140">
      <c r="A140" s="20" t="inlineStr">
        <is>
          <t>I10</t>
        </is>
      </c>
      <c r="B140" s="20" t="inlineStr">
        <is>
          <t>Economic &amp; Workforce Responsiveness</t>
        </is>
      </c>
      <c r="C140" s="20" t="inlineStr">
        <is>
          <t>Use domain-specific anchor + metric rule + evidence gate</t>
        </is>
      </c>
      <c r="D140" s="20" t="inlineStr">
        <is>
          <t>Independent assessor A score</t>
        </is>
      </c>
      <c r="E140" s="20" t="inlineStr">
        <is>
          <t>Independent assessor B score</t>
        </is>
      </c>
      <c r="F140" s="20">
        <f>IF(OR(D140="",E140=""),"",ABS(D140-E140))</f>
        <v/>
      </c>
      <c r="G140" s="20">
        <f>IF(F140="","PENDING",IF(F140&lt;=1,"AGREE","REVIEW"))</f>
        <v/>
      </c>
      <c r="H140" s="20">
        <f>IF(G140="REVIEW","Y","N")</f>
        <v/>
      </c>
      <c r="I140" s="20" t="inlineStr">
        <is>
          <t>Final calibrated score</t>
        </is>
      </c>
      <c r="J140" s="20" t="inlineStr">
        <is>
          <t>Notes</t>
        </is>
      </c>
    </row>
    <row r="141">
      <c r="A141" s="20" t="inlineStr">
        <is>
          <t>I11</t>
        </is>
      </c>
      <c r="B141" s="20" t="inlineStr">
        <is>
          <t>Scenario Planning Capability</t>
        </is>
      </c>
      <c r="C141" s="20" t="inlineStr">
        <is>
          <t>Use domain-specific anchor + metric rule + evidence gate</t>
        </is>
      </c>
      <c r="D141" s="20" t="inlineStr">
        <is>
          <t>Independent assessor A score</t>
        </is>
      </c>
      <c r="E141" s="20" t="inlineStr">
        <is>
          <t>Independent assessor B score</t>
        </is>
      </c>
      <c r="F141" s="20">
        <f>IF(OR(D141="",E141=""),"",ABS(D141-E141))</f>
        <v/>
      </c>
      <c r="G141" s="20">
        <f>IF(F141="","PENDING",IF(F141&lt;=1,"AGREE","REVIEW"))</f>
        <v/>
      </c>
      <c r="H141" s="20">
        <f>IF(G141="REVIEW","Y","N")</f>
        <v/>
      </c>
      <c r="I141" s="20" t="inlineStr">
        <is>
          <t>Final calibrated score</t>
        </is>
      </c>
      <c r="J141" s="20" t="inlineStr">
        <is>
          <t>Notes</t>
        </is>
      </c>
    </row>
    <row r="142">
      <c r="A142" s="20" t="inlineStr">
        <is>
          <t>I12</t>
        </is>
      </c>
      <c r="B142" s="20" t="inlineStr">
        <is>
          <t>Institutional Resilience</t>
        </is>
      </c>
      <c r="C142" s="20" t="inlineStr">
        <is>
          <t>Use domain-specific anchor + metric rule + evidence gate</t>
        </is>
      </c>
      <c r="D142" s="20" t="inlineStr">
        <is>
          <t>Independent assessor A score</t>
        </is>
      </c>
      <c r="E142" s="20" t="inlineStr">
        <is>
          <t>Independent assessor B score</t>
        </is>
      </c>
      <c r="F142" s="20">
        <f>IF(OR(D142="",E142=""),"",ABS(D142-E142))</f>
        <v/>
      </c>
      <c r="G142" s="20">
        <f>IF(F142="","PENDING",IF(F142&lt;=1,"AGREE","REVIEW"))</f>
        <v/>
      </c>
      <c r="H142" s="20">
        <f>IF(G142="REVIEW","Y","N")</f>
        <v/>
      </c>
      <c r="I142" s="20" t="inlineStr">
        <is>
          <t>Final calibrated score</t>
        </is>
      </c>
      <c r="J142" s="20" t="inlineStr">
        <is>
          <t>Notes</t>
        </is>
      </c>
    </row>
    <row r="143">
      <c r="A143" s="20" t="inlineStr">
        <is>
          <t>I13</t>
        </is>
      </c>
      <c r="B143" s="20" t="inlineStr">
        <is>
          <t>Institutional Learning System</t>
        </is>
      </c>
      <c r="C143" s="20" t="inlineStr">
        <is>
          <t>Use domain-specific anchor + metric rule + evidence gate</t>
        </is>
      </c>
      <c r="D143" s="20" t="inlineStr">
        <is>
          <t>Independent assessor A score</t>
        </is>
      </c>
      <c r="E143" s="20" t="inlineStr">
        <is>
          <t>Independent assessor B score</t>
        </is>
      </c>
      <c r="F143" s="20">
        <f>IF(OR(D143="",E143=""),"",ABS(D143-E143))</f>
        <v/>
      </c>
      <c r="G143" s="20">
        <f>IF(F143="","PENDING",IF(F143&lt;=1,"AGREE","REVIEW"))</f>
        <v/>
      </c>
      <c r="H143" s="20">
        <f>IF(G143="REVIEW","Y","N")</f>
        <v/>
      </c>
      <c r="I143" s="20" t="inlineStr">
        <is>
          <t>Final calibrated score</t>
        </is>
      </c>
      <c r="J143" s="20" t="inlineStr">
        <is>
          <t>Notes</t>
        </is>
      </c>
    </row>
    <row r="144">
      <c r="A144" s="20" t="inlineStr">
        <is>
          <t>I14</t>
        </is>
      </c>
      <c r="B144" s="20" t="inlineStr">
        <is>
          <t>Future Transformation Capacity</t>
        </is>
      </c>
      <c r="C144" s="20" t="inlineStr">
        <is>
          <t>Use domain-specific anchor + metric rule + evidence gate</t>
        </is>
      </c>
      <c r="D144" s="20" t="inlineStr">
        <is>
          <t>Independent assessor A score</t>
        </is>
      </c>
      <c r="E144" s="20" t="inlineStr">
        <is>
          <t>Independent assessor B score</t>
        </is>
      </c>
      <c r="F144" s="20">
        <f>IF(OR(D144="",E144=""),"",ABS(D144-E144))</f>
        <v/>
      </c>
      <c r="G144" s="20">
        <f>IF(F144="","PENDING",IF(F144&lt;=1,"AGREE","REVIEW"))</f>
        <v/>
      </c>
      <c r="H144" s="20">
        <f>IF(G144="REVIEW","Y","N")</f>
        <v/>
      </c>
      <c r="I144" s="20" t="inlineStr">
        <is>
          <t>Final calibrated score</t>
        </is>
      </c>
      <c r="J144" s="20" t="inlineStr">
        <is>
          <t>Notes</t>
        </is>
      </c>
    </row>
  </sheetData>
  <autoFilter ref="A1:J144"/>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34" customWidth="1" min="3" max="3"/>
    <col width="24" customWidth="1" min="4" max="4"/>
    <col width="18" customWidth="1" min="5" max="5"/>
    <col width="18" customWidth="1" min="6" max="6"/>
    <col width="16" customWidth="1" min="7" max="7"/>
    <col width="65" customWidth="1" min="8" max="8"/>
  </cols>
  <sheetData>
    <row r="1">
      <c r="A1" s="29" t="inlineStr">
        <is>
          <t>Scope</t>
        </is>
      </c>
      <c r="B1" s="29" t="inlineStr">
        <is>
          <t>Test</t>
        </is>
      </c>
      <c r="C1" s="29" t="inlineStr">
        <is>
          <t>Input</t>
        </is>
      </c>
      <c r="D1" s="29" t="inlineStr">
        <is>
          <t>Statistic</t>
        </is>
      </c>
      <c r="E1" s="29" t="inlineStr">
        <is>
          <t>Estimate</t>
        </is>
      </c>
      <c r="F1" s="29" t="inlineStr">
        <is>
          <t>95% CI</t>
        </is>
      </c>
      <c r="G1" s="29" t="inlineStr">
        <is>
          <t>Status</t>
        </is>
      </c>
      <c r="H1" s="29" t="inlineStr">
        <is>
          <t>Interpretation Rule</t>
        </is>
      </c>
    </row>
    <row r="2">
      <c r="A2" s="20" t="inlineStr">
        <is>
          <t>D01</t>
        </is>
      </c>
      <c r="B2" s="20" t="inlineStr">
        <is>
          <t>Metric-level exact/adjacent agreement</t>
        </is>
      </c>
      <c r="C2" s="20" t="inlineStr">
        <is>
          <t>Input after blinded double scoring</t>
        </is>
      </c>
      <c r="D2" s="20" t="inlineStr"/>
      <c r="E2" s="20" t="inlineStr"/>
      <c r="F2" s="20" t="inlineStr"/>
      <c r="G2" s="20" t="inlineStr">
        <is>
          <t>PENDING</t>
        </is>
      </c>
      <c r="H2" s="20" t="inlineStr">
        <is>
          <t>Use weighted/ordinal agreement or ICC appropriate to score type; report confidence interval.</t>
        </is>
      </c>
    </row>
    <row r="3">
      <c r="A3" s="20" t="inlineStr">
        <is>
          <t>D02</t>
        </is>
      </c>
      <c r="B3" s="20" t="inlineStr">
        <is>
          <t>Metric-level exact/adjacent agreement</t>
        </is>
      </c>
      <c r="C3" s="20" t="inlineStr">
        <is>
          <t>Input after blinded double scoring</t>
        </is>
      </c>
      <c r="D3" s="20" t="inlineStr"/>
      <c r="E3" s="20" t="inlineStr"/>
      <c r="F3" s="20" t="inlineStr"/>
      <c r="G3" s="20" t="inlineStr">
        <is>
          <t>PENDING</t>
        </is>
      </c>
      <c r="H3" s="20" t="inlineStr">
        <is>
          <t>Use weighted/ordinal agreement or ICC appropriate to score type; report confidence interval.</t>
        </is>
      </c>
    </row>
    <row r="4">
      <c r="A4" s="20" t="inlineStr">
        <is>
          <t>D03</t>
        </is>
      </c>
      <c r="B4" s="20" t="inlineStr">
        <is>
          <t>Metric-level exact/adjacent agreement</t>
        </is>
      </c>
      <c r="C4" s="20" t="inlineStr">
        <is>
          <t>Input after blinded double scoring</t>
        </is>
      </c>
      <c r="D4" s="20" t="inlineStr"/>
      <c r="E4" s="20" t="inlineStr"/>
      <c r="F4" s="20" t="inlineStr"/>
      <c r="G4" s="20" t="inlineStr">
        <is>
          <t>PENDING</t>
        </is>
      </c>
      <c r="H4" s="20" t="inlineStr">
        <is>
          <t>Use weighted/ordinal agreement or ICC appropriate to score type; report confidence interval.</t>
        </is>
      </c>
    </row>
    <row r="5">
      <c r="A5" s="20" t="inlineStr">
        <is>
          <t>D04</t>
        </is>
      </c>
      <c r="B5" s="20" t="inlineStr">
        <is>
          <t>Metric-level exact/adjacent agreement</t>
        </is>
      </c>
      <c r="C5" s="20" t="inlineStr">
        <is>
          <t>Input after blinded double scoring</t>
        </is>
      </c>
      <c r="D5" s="20" t="inlineStr"/>
      <c r="E5" s="20" t="inlineStr"/>
      <c r="F5" s="20" t="inlineStr"/>
      <c r="G5" s="20" t="inlineStr">
        <is>
          <t>PENDING</t>
        </is>
      </c>
      <c r="H5" s="20" t="inlineStr">
        <is>
          <t>Use weighted/ordinal agreement or ICC appropriate to score type; report confidence interval.</t>
        </is>
      </c>
    </row>
    <row r="6">
      <c r="A6" s="20" t="inlineStr">
        <is>
          <t>D05</t>
        </is>
      </c>
      <c r="B6" s="20" t="inlineStr">
        <is>
          <t>Metric-level exact/adjacent agreement</t>
        </is>
      </c>
      <c r="C6" s="20" t="inlineStr">
        <is>
          <t>Input after blinded double scoring</t>
        </is>
      </c>
      <c r="D6" s="20" t="inlineStr"/>
      <c r="E6" s="20" t="inlineStr"/>
      <c r="F6" s="20" t="inlineStr"/>
      <c r="G6" s="20" t="inlineStr">
        <is>
          <t>PENDING</t>
        </is>
      </c>
      <c r="H6" s="20" t="inlineStr">
        <is>
          <t>Use weighted/ordinal agreement or ICC appropriate to score type; report confidence interval.</t>
        </is>
      </c>
    </row>
    <row r="7">
      <c r="A7" s="20" t="inlineStr">
        <is>
          <t>D06</t>
        </is>
      </c>
      <c r="B7" s="20" t="inlineStr">
        <is>
          <t>Metric-level exact/adjacent agreement</t>
        </is>
      </c>
      <c r="C7" s="20" t="inlineStr">
        <is>
          <t>Input after blinded double scoring</t>
        </is>
      </c>
      <c r="D7" s="20" t="inlineStr"/>
      <c r="E7" s="20" t="inlineStr"/>
      <c r="F7" s="20" t="inlineStr"/>
      <c r="G7" s="20" t="inlineStr">
        <is>
          <t>PENDING</t>
        </is>
      </c>
      <c r="H7" s="20" t="inlineStr">
        <is>
          <t>Use weighted/ordinal agreement or ICC appropriate to score type; report confidence interval.</t>
        </is>
      </c>
    </row>
    <row r="8">
      <c r="A8" s="20" t="inlineStr">
        <is>
          <t>D07</t>
        </is>
      </c>
      <c r="B8" s="20" t="inlineStr">
        <is>
          <t>Metric-level exact/adjacent agreement</t>
        </is>
      </c>
      <c r="C8" s="20" t="inlineStr">
        <is>
          <t>Input after blinded double scoring</t>
        </is>
      </c>
      <c r="D8" s="20" t="inlineStr"/>
      <c r="E8" s="20" t="inlineStr"/>
      <c r="F8" s="20" t="inlineStr"/>
      <c r="G8" s="20" t="inlineStr">
        <is>
          <t>PENDING</t>
        </is>
      </c>
      <c r="H8" s="20" t="inlineStr">
        <is>
          <t>Use weighted/ordinal agreement or ICC appropriate to score type; report confidence interval.</t>
        </is>
      </c>
    </row>
    <row r="9">
      <c r="A9" s="20" t="inlineStr">
        <is>
          <t>D08</t>
        </is>
      </c>
      <c r="B9" s="20" t="inlineStr">
        <is>
          <t>Metric-level exact/adjacent agreement</t>
        </is>
      </c>
      <c r="C9" s="20" t="inlineStr">
        <is>
          <t>Input after blinded double scoring</t>
        </is>
      </c>
      <c r="D9" s="20" t="inlineStr"/>
      <c r="E9" s="20" t="inlineStr"/>
      <c r="F9" s="20" t="inlineStr"/>
      <c r="G9" s="20" t="inlineStr">
        <is>
          <t>PENDING</t>
        </is>
      </c>
      <c r="H9" s="20" t="inlineStr">
        <is>
          <t>Use weighted/ordinal agreement or ICC appropriate to score type; report confidence interval.</t>
        </is>
      </c>
    </row>
    <row r="10">
      <c r="A10" s="20" t="inlineStr">
        <is>
          <t>D09</t>
        </is>
      </c>
      <c r="B10" s="20" t="inlineStr">
        <is>
          <t>Metric-level exact/adjacent agreement</t>
        </is>
      </c>
      <c r="C10" s="20" t="inlineStr">
        <is>
          <t>Input after blinded double scoring</t>
        </is>
      </c>
      <c r="D10" s="20" t="inlineStr"/>
      <c r="E10" s="20" t="inlineStr"/>
      <c r="F10" s="20" t="inlineStr"/>
      <c r="G10" s="20" t="inlineStr">
        <is>
          <t>PENDING</t>
        </is>
      </c>
      <c r="H10" s="20" t="inlineStr">
        <is>
          <t>Use weighted/ordinal agreement or ICC appropriate to score type; report confidence interval.</t>
        </is>
      </c>
    </row>
    <row r="11">
      <c r="A11" s="20" t="inlineStr">
        <is>
          <t>D10</t>
        </is>
      </c>
      <c r="B11" s="20" t="inlineStr">
        <is>
          <t>Metric-level exact/adjacent agreement</t>
        </is>
      </c>
      <c r="C11" s="20" t="inlineStr">
        <is>
          <t>Input after blinded double scoring</t>
        </is>
      </c>
      <c r="D11" s="20" t="inlineStr"/>
      <c r="E11" s="20" t="inlineStr"/>
      <c r="F11" s="20" t="inlineStr"/>
      <c r="G11" s="20" t="inlineStr">
        <is>
          <t>PENDING</t>
        </is>
      </c>
      <c r="H11" s="20" t="inlineStr">
        <is>
          <t>Use weighted/ordinal agreement or ICC appropriate to score type; report confidence interval.</t>
        </is>
      </c>
    </row>
    <row r="12">
      <c r="A12" s="20" t="inlineStr">
        <is>
          <t>D11</t>
        </is>
      </c>
      <c r="B12" s="20" t="inlineStr">
        <is>
          <t>Metric-level exact/adjacent agreement</t>
        </is>
      </c>
      <c r="C12" s="20" t="inlineStr">
        <is>
          <t>Input after blinded double scoring</t>
        </is>
      </c>
      <c r="D12" s="20" t="inlineStr"/>
      <c r="E12" s="20" t="inlineStr"/>
      <c r="F12" s="20" t="inlineStr"/>
      <c r="G12" s="20" t="inlineStr">
        <is>
          <t>PENDING</t>
        </is>
      </c>
      <c r="H12" s="20" t="inlineStr">
        <is>
          <t>Use weighted/ordinal agreement or ICC appropriate to score type; report confidence interval.</t>
        </is>
      </c>
    </row>
    <row r="13">
      <c r="A13" s="20" t="inlineStr">
        <is>
          <t>ALL</t>
        </is>
      </c>
      <c r="B13" s="20" t="inlineStr">
        <is>
          <t>Overall inter-rater reliability</t>
        </is>
      </c>
      <c r="C13" s="20" t="inlineStr">
        <is>
          <t>Aggregate from sampled metrics</t>
        </is>
      </c>
      <c r="D13" s="20" t="inlineStr"/>
      <c r="E13" s="20" t="inlineStr"/>
      <c r="F13" s="20" t="inlineStr"/>
      <c r="G13" s="20" t="inlineStr">
        <is>
          <t>PENDING</t>
        </is>
      </c>
      <c r="H13" s="20" t="inlineStr">
        <is>
          <t>Do not average incompatible statistics; pre-specify statistic before pilot.</t>
        </is>
      </c>
    </row>
  </sheetData>
  <autoFilter ref="A1:H13"/>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55" customWidth="1" min="3" max="3"/>
    <col width="24" customWidth="1" min="4" max="4"/>
    <col width="18" customWidth="1" min="5" max="5"/>
    <col width="18" customWidth="1" min="6" max="6"/>
    <col width="70" customWidth="1" min="7" max="7"/>
  </cols>
  <sheetData>
    <row r="1">
      <c r="A1" s="29" t="inlineStr">
        <is>
          <t>Scope</t>
        </is>
      </c>
      <c r="B1" s="29" t="inlineStr">
        <is>
          <t>Test</t>
        </is>
      </c>
      <c r="C1" s="29" t="inlineStr">
        <is>
          <t>Design</t>
        </is>
      </c>
      <c r="D1" s="29" t="inlineStr">
        <is>
          <t>Statistic</t>
        </is>
      </c>
      <c r="E1" s="29" t="inlineStr">
        <is>
          <t>Estimate</t>
        </is>
      </c>
      <c r="F1" s="29" t="inlineStr">
        <is>
          <t>Status</t>
        </is>
      </c>
      <c r="G1" s="29" t="inlineStr">
        <is>
          <t>Interpretation</t>
        </is>
      </c>
    </row>
    <row r="2">
      <c r="A2" s="20" t="inlineStr">
        <is>
          <t>D01</t>
        </is>
      </c>
      <c r="B2" s="20" t="inlineStr">
        <is>
          <t>Repeat assessment after defined interval</t>
        </is>
      </c>
      <c r="C2" s="20" t="inlineStr">
        <is>
          <t>Same institution/sample, same protocol</t>
        </is>
      </c>
      <c r="D2" s="20" t="inlineStr"/>
      <c r="E2" s="20" t="inlineStr"/>
      <c r="F2" s="20" t="inlineStr">
        <is>
          <t>PENDING</t>
        </is>
      </c>
      <c r="G2" s="20" t="inlineStr">
        <is>
          <t>Investigate material drift versus expected institutional change.</t>
        </is>
      </c>
    </row>
    <row r="3">
      <c r="A3" s="20" t="inlineStr">
        <is>
          <t>D02</t>
        </is>
      </c>
      <c r="B3" s="20" t="inlineStr">
        <is>
          <t>Repeat assessment after defined interval</t>
        </is>
      </c>
      <c r="C3" s="20" t="inlineStr">
        <is>
          <t>Same institution/sample, same protocol</t>
        </is>
      </c>
      <c r="D3" s="20" t="inlineStr"/>
      <c r="E3" s="20" t="inlineStr"/>
      <c r="F3" s="20" t="inlineStr">
        <is>
          <t>PENDING</t>
        </is>
      </c>
      <c r="G3" s="20" t="inlineStr">
        <is>
          <t>Investigate material drift versus expected institutional change.</t>
        </is>
      </c>
    </row>
    <row r="4">
      <c r="A4" s="20" t="inlineStr">
        <is>
          <t>D03</t>
        </is>
      </c>
      <c r="B4" s="20" t="inlineStr">
        <is>
          <t>Repeat assessment after defined interval</t>
        </is>
      </c>
      <c r="C4" s="20" t="inlineStr">
        <is>
          <t>Same institution/sample, same protocol</t>
        </is>
      </c>
      <c r="D4" s="20" t="inlineStr"/>
      <c r="E4" s="20" t="inlineStr"/>
      <c r="F4" s="20" t="inlineStr">
        <is>
          <t>PENDING</t>
        </is>
      </c>
      <c r="G4" s="20" t="inlineStr">
        <is>
          <t>Investigate material drift versus expected institutional change.</t>
        </is>
      </c>
    </row>
    <row r="5">
      <c r="A5" s="20" t="inlineStr">
        <is>
          <t>D04</t>
        </is>
      </c>
      <c r="B5" s="20" t="inlineStr">
        <is>
          <t>Repeat assessment after defined interval</t>
        </is>
      </c>
      <c r="C5" s="20" t="inlineStr">
        <is>
          <t>Same institution/sample, same protocol</t>
        </is>
      </c>
      <c r="D5" s="20" t="inlineStr"/>
      <c r="E5" s="20" t="inlineStr"/>
      <c r="F5" s="20" t="inlineStr">
        <is>
          <t>PENDING</t>
        </is>
      </c>
      <c r="G5" s="20" t="inlineStr">
        <is>
          <t>Investigate material drift versus expected institutional change.</t>
        </is>
      </c>
    </row>
    <row r="6">
      <c r="A6" s="20" t="inlineStr">
        <is>
          <t>D05</t>
        </is>
      </c>
      <c r="B6" s="20" t="inlineStr">
        <is>
          <t>Repeat assessment after defined interval</t>
        </is>
      </c>
      <c r="C6" s="20" t="inlineStr">
        <is>
          <t>Same institution/sample, same protocol</t>
        </is>
      </c>
      <c r="D6" s="20" t="inlineStr"/>
      <c r="E6" s="20" t="inlineStr"/>
      <c r="F6" s="20" t="inlineStr">
        <is>
          <t>PENDING</t>
        </is>
      </c>
      <c r="G6" s="20" t="inlineStr">
        <is>
          <t>Investigate material drift versus expected institutional change.</t>
        </is>
      </c>
    </row>
    <row r="7">
      <c r="A7" s="20" t="inlineStr">
        <is>
          <t>D06</t>
        </is>
      </c>
      <c r="B7" s="20" t="inlineStr">
        <is>
          <t>Repeat assessment after defined interval</t>
        </is>
      </c>
      <c r="C7" s="20" t="inlineStr">
        <is>
          <t>Same institution/sample, same protocol</t>
        </is>
      </c>
      <c r="D7" s="20" t="inlineStr"/>
      <c r="E7" s="20" t="inlineStr"/>
      <c r="F7" s="20" t="inlineStr">
        <is>
          <t>PENDING</t>
        </is>
      </c>
      <c r="G7" s="20" t="inlineStr">
        <is>
          <t>Investigate material drift versus expected institutional change.</t>
        </is>
      </c>
    </row>
    <row r="8">
      <c r="A8" s="20" t="inlineStr">
        <is>
          <t>D07</t>
        </is>
      </c>
      <c r="B8" s="20" t="inlineStr">
        <is>
          <t>Repeat assessment after defined interval</t>
        </is>
      </c>
      <c r="C8" s="20" t="inlineStr">
        <is>
          <t>Same institution/sample, same protocol</t>
        </is>
      </c>
      <c r="D8" s="20" t="inlineStr"/>
      <c r="E8" s="20" t="inlineStr"/>
      <c r="F8" s="20" t="inlineStr">
        <is>
          <t>PENDING</t>
        </is>
      </c>
      <c r="G8" s="20" t="inlineStr">
        <is>
          <t>Investigate material drift versus expected institutional change.</t>
        </is>
      </c>
    </row>
    <row r="9">
      <c r="A9" s="20" t="inlineStr">
        <is>
          <t>D08</t>
        </is>
      </c>
      <c r="B9" s="20" t="inlineStr">
        <is>
          <t>Repeat assessment after defined interval</t>
        </is>
      </c>
      <c r="C9" s="20" t="inlineStr">
        <is>
          <t>Same institution/sample, same protocol</t>
        </is>
      </c>
      <c r="D9" s="20" t="inlineStr"/>
      <c r="E9" s="20" t="inlineStr"/>
      <c r="F9" s="20" t="inlineStr">
        <is>
          <t>PENDING</t>
        </is>
      </c>
      <c r="G9" s="20" t="inlineStr">
        <is>
          <t>Investigate material drift versus expected institutional change.</t>
        </is>
      </c>
    </row>
    <row r="10">
      <c r="A10" s="20" t="inlineStr">
        <is>
          <t>D09</t>
        </is>
      </c>
      <c r="B10" s="20" t="inlineStr">
        <is>
          <t>Repeat assessment after defined interval</t>
        </is>
      </c>
      <c r="C10" s="20" t="inlineStr">
        <is>
          <t>Same institution/sample, same protocol</t>
        </is>
      </c>
      <c r="D10" s="20" t="inlineStr"/>
      <c r="E10" s="20" t="inlineStr"/>
      <c r="F10" s="20" t="inlineStr">
        <is>
          <t>PENDING</t>
        </is>
      </c>
      <c r="G10" s="20" t="inlineStr">
        <is>
          <t>Investigate material drift versus expected institutional change.</t>
        </is>
      </c>
    </row>
    <row r="11">
      <c r="A11" s="20" t="inlineStr">
        <is>
          <t>D10</t>
        </is>
      </c>
      <c r="B11" s="20" t="inlineStr">
        <is>
          <t>Repeat assessment after defined interval</t>
        </is>
      </c>
      <c r="C11" s="20" t="inlineStr">
        <is>
          <t>Same institution/sample, same protocol</t>
        </is>
      </c>
      <c r="D11" s="20" t="inlineStr"/>
      <c r="E11" s="20" t="inlineStr"/>
      <c r="F11" s="20" t="inlineStr">
        <is>
          <t>PENDING</t>
        </is>
      </c>
      <c r="G11" s="20" t="inlineStr">
        <is>
          <t>Investigate material drift versus expected institutional change.</t>
        </is>
      </c>
    </row>
    <row r="12">
      <c r="A12" s="20" t="inlineStr">
        <is>
          <t>D11</t>
        </is>
      </c>
      <c r="B12" s="20" t="inlineStr">
        <is>
          <t>Repeat assessment after defined interval</t>
        </is>
      </c>
      <c r="C12" s="20" t="inlineStr">
        <is>
          <t>Same institution/sample, same protocol</t>
        </is>
      </c>
      <c r="D12" s="20" t="inlineStr"/>
      <c r="E12" s="20" t="inlineStr"/>
      <c r="F12" s="20" t="inlineStr">
        <is>
          <t>PENDING</t>
        </is>
      </c>
      <c r="G12" s="20" t="inlineStr">
        <is>
          <t>Investigate material drift versus expected institutional change.</t>
        </is>
      </c>
    </row>
    <row r="13">
      <c r="A13" s="20" t="inlineStr">
        <is>
          <t>ALL</t>
        </is>
      </c>
      <c r="B13" s="20" t="inlineStr">
        <is>
          <t>Overall test-retest</t>
        </is>
      </c>
      <c r="C13" s="20" t="inlineStr">
        <is>
          <t>Repeat pilot cohort</t>
        </is>
      </c>
      <c r="D13" s="20" t="inlineStr"/>
      <c r="E13" s="20" t="inlineStr"/>
      <c r="F13" s="20" t="inlineStr">
        <is>
          <t>PENDING</t>
        </is>
      </c>
      <c r="G13" s="20" t="inlineStr">
        <is>
          <t>Target ≥0.70 exploratory; ≥0.80 preferred for freeze, subject to metric type.</t>
        </is>
      </c>
    </row>
  </sheetData>
  <autoFilter ref="A1:G13"/>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60" customWidth="1" min="3" max="3"/>
    <col width="30" customWidth="1" min="4" max="4"/>
    <col width="18" customWidth="1" min="5" max="5"/>
    <col width="65" customWidth="1" min="6" max="6"/>
  </cols>
  <sheetData>
    <row r="1">
      <c r="A1" s="29" t="inlineStr">
        <is>
          <t>Validity Type</t>
        </is>
      </c>
      <c r="B1" s="29" t="inlineStr">
        <is>
          <t>Question</t>
        </is>
      </c>
      <c r="C1" s="29" t="inlineStr">
        <is>
          <t>Design Rule</t>
        </is>
      </c>
      <c r="D1" s="29" t="inlineStr">
        <is>
          <t>Statistic/Output</t>
        </is>
      </c>
      <c r="E1" s="29" t="inlineStr">
        <is>
          <t>Status</t>
        </is>
      </c>
      <c r="F1" s="29" t="inlineStr">
        <is>
          <t>Acceptance Note</t>
        </is>
      </c>
    </row>
    <row r="2">
      <c r="A2" s="20" t="inlineStr">
        <is>
          <t>Known-groups</t>
        </is>
      </c>
      <c r="B2" s="20" t="inlineStr">
        <is>
          <t>Compare institutions/groups expected a priori to differ in AI-era readiness</t>
        </is>
      </c>
      <c r="C2" s="20" t="inlineStr">
        <is>
          <t>Pre-specify groups before seeing scores</t>
        </is>
      </c>
      <c r="D2" s="20" t="inlineStr">
        <is>
          <t>Effect size + CI</t>
        </is>
      </c>
      <c r="E2" s="20" t="inlineStr">
        <is>
          <t>PENDING</t>
        </is>
      </c>
      <c r="F2" s="20" t="inlineStr">
        <is>
          <t>Do not define groups using ARUI score itself.</t>
        </is>
      </c>
    </row>
    <row r="3">
      <c r="A3" s="20" t="inlineStr">
        <is>
          <t>Convergent</t>
        </is>
      </c>
      <c r="B3" s="20" t="inlineStr">
        <is>
          <t>Compare ARUI/domain constructs with credible external or internal measures</t>
        </is>
      </c>
      <c r="C3" s="20" t="inlineStr">
        <is>
          <t>Pre-specify comparator and direction</t>
        </is>
      </c>
      <c r="D3" s="20" t="inlineStr">
        <is>
          <t>Correlation / effect size + CI</t>
        </is>
      </c>
      <c r="E3" s="20" t="inlineStr">
        <is>
          <t>PENDING</t>
        </is>
      </c>
      <c r="F3" s="20" t="inlineStr">
        <is>
          <t>Comparator must measure a related construct, not the same ARUI output.</t>
        </is>
      </c>
    </row>
    <row r="4">
      <c r="A4" s="20" t="inlineStr">
        <is>
          <t>Discriminant</t>
        </is>
      </c>
      <c r="B4" s="20" t="inlineStr">
        <is>
          <t>Check weak relationships with theoretically unrelated constructs</t>
        </is>
      </c>
      <c r="C4" s="20" t="inlineStr">
        <is>
          <t>Pre-specify unrelated comparator</t>
        </is>
      </c>
      <c r="D4" s="20" t="inlineStr">
        <is>
          <t>Correlation + CI</t>
        </is>
      </c>
      <c r="E4" s="20" t="inlineStr">
        <is>
          <t>PENDING</t>
        </is>
      </c>
      <c r="F4" s="20" t="inlineStr">
        <is>
          <t>Unexpected strong correlation triggers construct review.</t>
        </is>
      </c>
    </row>
    <row r="5">
      <c r="A5" s="20" t="inlineStr">
        <is>
          <t>Content validity</t>
        </is>
      </c>
      <c r="B5" s="20" t="inlineStr">
        <is>
          <t>Expert panel review of construct coverage and domain boundaries</t>
        </is>
      </c>
      <c r="C5" s="20" t="inlineStr">
        <is>
          <t>Structured expert protocol</t>
        </is>
      </c>
      <c r="D5" s="20" t="inlineStr">
        <is>
          <t>Coverage/consensus index</t>
        </is>
      </c>
      <c r="E5" s="20" t="inlineStr">
        <is>
          <t>PENDING</t>
        </is>
      </c>
      <c r="F5" s="20" t="inlineStr">
        <is>
          <t>Panel composition and conflicts documented.</t>
        </is>
      </c>
    </row>
    <row r="6">
      <c r="A6" s="20" t="inlineStr">
        <is>
          <t>Response-process validity</t>
        </is>
      </c>
      <c r="B6" s="20" t="inlineStr">
        <is>
          <t>Check whether respondents/assessors interpret prompts as intended</t>
        </is>
      </c>
      <c r="C6" s="20" t="inlineStr">
        <is>
          <t>Cognitive interviews + observation</t>
        </is>
      </c>
      <c r="D6" s="20" t="inlineStr">
        <is>
          <t>Issue rate / qualitative coding</t>
        </is>
      </c>
      <c r="E6" s="20" t="inlineStr">
        <is>
          <t>PENDING</t>
        </is>
      </c>
      <c r="F6" s="20" t="inlineStr">
        <is>
          <t>Revise ambiguous items before psychometric testing.</t>
        </is>
      </c>
    </row>
  </sheetData>
  <autoFilter ref="A1:F6"/>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34" customWidth="1" min="1" max="1"/>
    <col width="45" customWidth="1" min="2" max="2"/>
    <col width="25" customWidth="1" min="3" max="3"/>
    <col width="25" customWidth="1" min="4" max="4"/>
    <col width="30" customWidth="1" min="5" max="5"/>
    <col width="18" customWidth="1" min="6" max="6"/>
    <col width="70" customWidth="1" min="7" max="7"/>
  </cols>
  <sheetData>
    <row r="1">
      <c r="A1" s="29" t="inlineStr">
        <is>
          <t>Parameter</t>
        </is>
      </c>
      <c r="B1" s="29" t="inlineStr">
        <is>
          <t>Scenario Design</t>
        </is>
      </c>
      <c r="C1" s="29" t="inlineStr">
        <is>
          <t>Primary Output</t>
        </is>
      </c>
      <c r="D1" s="29" t="inlineStr">
        <is>
          <t>Secondary Output</t>
        </is>
      </c>
      <c r="E1" s="29" t="inlineStr">
        <is>
          <t>Stability Test</t>
        </is>
      </c>
      <c r="F1" s="29" t="inlineStr">
        <is>
          <t>Status</t>
        </is>
      </c>
      <c r="G1" s="29" t="inlineStr">
        <is>
          <t>Decision Rule</t>
        </is>
      </c>
    </row>
    <row r="2">
      <c r="A2" s="20" t="inlineStr">
        <is>
          <t>Domain weights</t>
        </is>
      </c>
      <c r="B2" s="20" t="inlineStr">
        <is>
          <t>±10% and plausible alternative specification</t>
        </is>
      </c>
      <c r="C2" s="20" t="inlineStr">
        <is>
          <t>Overall ARUI</t>
        </is>
      </c>
      <c r="D2" s="20" t="inlineStr">
        <is>
          <t>Domain scores</t>
        </is>
      </c>
      <c r="E2" s="20" t="inlineStr">
        <is>
          <t>Rank/priority stability</t>
        </is>
      </c>
      <c r="F2" s="20" t="inlineStr">
        <is>
          <t>PENDING</t>
        </is>
      </c>
      <c r="G2" s="20" t="inlineStr">
        <is>
          <t>Freeze only if conclusions are acceptably stable or sensitivity is transparently reported.</t>
        </is>
      </c>
    </row>
    <row r="3">
      <c r="A3" s="20" t="inlineStr">
        <is>
          <t>M/I/O coefficients</t>
        </is>
      </c>
      <c r="B3" s="20" t="inlineStr">
        <is>
          <t>±10% and plausible alternative specification</t>
        </is>
      </c>
      <c r="C3" s="20" t="inlineStr">
        <is>
          <t>Overall ARUI</t>
        </is>
      </c>
      <c r="D3" s="20" t="inlineStr">
        <is>
          <t>Domain scores</t>
        </is>
      </c>
      <c r="E3" s="20" t="inlineStr">
        <is>
          <t>Rank/priority stability</t>
        </is>
      </c>
      <c r="F3" s="20" t="inlineStr">
        <is>
          <t>PENDING</t>
        </is>
      </c>
      <c r="G3" s="20" t="inlineStr">
        <is>
          <t>Freeze only if conclusions are acceptably stable or sensitivity is transparently reported.</t>
        </is>
      </c>
    </row>
    <row r="4">
      <c r="A4" s="20" t="inlineStr">
        <is>
          <t>N/A handling</t>
        </is>
      </c>
      <c r="B4" s="20" t="inlineStr">
        <is>
          <t>±10% and plausible alternative specification</t>
        </is>
      </c>
      <c r="C4" s="20" t="inlineStr">
        <is>
          <t>Overall ARUI</t>
        </is>
      </c>
      <c r="D4" s="20" t="inlineStr">
        <is>
          <t>Domain scores</t>
        </is>
      </c>
      <c r="E4" s="20" t="inlineStr">
        <is>
          <t>Rank/priority stability</t>
        </is>
      </c>
      <c r="F4" s="20" t="inlineStr">
        <is>
          <t>PENDING</t>
        </is>
      </c>
      <c r="G4" s="20" t="inlineStr">
        <is>
          <t>Freeze only if conclusions are acceptably stable or sensitivity is transparently reported.</t>
        </is>
      </c>
    </row>
    <row r="5">
      <c r="A5" s="20" t="inlineStr">
        <is>
          <t>Evidence confidence rule</t>
        </is>
      </c>
      <c r="B5" s="20" t="inlineStr">
        <is>
          <t>±10% and plausible alternative specification</t>
        </is>
      </c>
      <c r="C5" s="20" t="inlineStr">
        <is>
          <t>Overall ARUI</t>
        </is>
      </c>
      <c r="D5" s="20" t="inlineStr">
        <is>
          <t>Domain scores</t>
        </is>
      </c>
      <c r="E5" s="20" t="inlineStr">
        <is>
          <t>Rank/priority stability</t>
        </is>
      </c>
      <c r="F5" s="20" t="inlineStr">
        <is>
          <t>PENDING</t>
        </is>
      </c>
      <c r="G5" s="20" t="inlineStr">
        <is>
          <t>Freeze only if conclusions are acceptably stable or sensitivity is transparently reported.</t>
        </is>
      </c>
    </row>
    <row r="6">
      <c r="A6" s="20" t="inlineStr">
        <is>
          <t>Required maturity context factors</t>
        </is>
      </c>
      <c r="B6" s="20" t="inlineStr">
        <is>
          <t>±10% and plausible alternative specification</t>
        </is>
      </c>
      <c r="C6" s="20" t="inlineStr">
        <is>
          <t>Overall ARUI</t>
        </is>
      </c>
      <c r="D6" s="20" t="inlineStr">
        <is>
          <t>Domain scores</t>
        </is>
      </c>
      <c r="E6" s="20" t="inlineStr">
        <is>
          <t>Rank/priority stability</t>
        </is>
      </c>
      <c r="F6" s="20" t="inlineStr">
        <is>
          <t>PENDING</t>
        </is>
      </c>
      <c r="G6" s="20" t="inlineStr">
        <is>
          <t>Freeze only if conclusions are acceptably stable or sensitivity is transparently reported.</t>
        </is>
      </c>
    </row>
    <row r="7">
      <c r="A7" s="20" t="inlineStr">
        <is>
          <t>Cross-domain contradiction threshold</t>
        </is>
      </c>
      <c r="B7" s="20" t="inlineStr">
        <is>
          <t>±10% and plausible alternative specification</t>
        </is>
      </c>
      <c r="C7" s="20" t="inlineStr">
        <is>
          <t>Overall ARUI</t>
        </is>
      </c>
      <c r="D7" s="20" t="inlineStr">
        <is>
          <t>Domain scores</t>
        </is>
      </c>
      <c r="E7" s="20" t="inlineStr">
        <is>
          <t>Rank/priority stability</t>
        </is>
      </c>
      <c r="F7" s="20" t="inlineStr">
        <is>
          <t>PENDING</t>
        </is>
      </c>
      <c r="G7" s="20" t="inlineStr">
        <is>
          <t>Freeze only if conclusions are acceptably stable or sensitivity is transparently reported.</t>
        </is>
      </c>
    </row>
    <row r="8">
      <c r="A8" s="20" t="inlineStr">
        <is>
          <t>High-score corroboration threshold</t>
        </is>
      </c>
      <c r="B8" s="20" t="inlineStr">
        <is>
          <t>±10% and plausible alternative specification</t>
        </is>
      </c>
      <c r="C8" s="20" t="inlineStr">
        <is>
          <t>Overall ARUI</t>
        </is>
      </c>
      <c r="D8" s="20" t="inlineStr">
        <is>
          <t>Domain scores</t>
        </is>
      </c>
      <c r="E8" s="20" t="inlineStr">
        <is>
          <t>Rank/priority stability</t>
        </is>
      </c>
      <c r="F8" s="20" t="inlineStr">
        <is>
          <t>PENDING</t>
        </is>
      </c>
      <c r="G8" s="20" t="inlineStr">
        <is>
          <t>Freeze only if conclusions are acceptably stable or sensitivity is transparently reported.</t>
        </is>
      </c>
    </row>
  </sheetData>
  <autoFilter ref="A1:G8"/>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30" customWidth="1" min="4" max="4"/>
    <col width="34" customWidth="1" min="5" max="5"/>
    <col width="28" customWidth="1" min="6" max="6"/>
  </cols>
  <sheetData>
    <row r="1">
      <c r="A1" s="29" t="inlineStr">
        <is>
          <t>Control</t>
        </is>
      </c>
      <c r="B1" s="29" t="inlineStr">
        <is>
          <t>Fail/Red</t>
        </is>
      </c>
      <c r="C1" s="29" t="inlineStr">
        <is>
          <t>Watch/Amber</t>
        </is>
      </c>
      <c r="D1" s="29" t="inlineStr">
        <is>
          <t>Pass/Green</t>
        </is>
      </c>
      <c r="E1" s="29" t="inlineStr">
        <is>
          <t>Preferred Freeze Standard</t>
        </is>
      </c>
      <c r="F1" s="29" t="inlineStr">
        <is>
          <t>Basis</t>
        </is>
      </c>
    </row>
    <row r="2">
      <c r="A2" s="20" t="inlineStr">
        <is>
          <t>Metric reliability</t>
        </is>
      </c>
      <c r="B2" s="20" t="inlineStr">
        <is>
          <t>&lt;0.60</t>
        </is>
      </c>
      <c r="C2" s="20" t="inlineStr">
        <is>
          <t>0.60–0.69</t>
        </is>
      </c>
      <c r="D2" s="20" t="inlineStr">
        <is>
          <t>≥0.70 exploratory</t>
        </is>
      </c>
      <c r="E2" s="20" t="inlineStr">
        <is>
          <t>≥0.80 preferred</t>
        </is>
      </c>
      <c r="F2" s="20" t="inlineStr">
        <is>
          <t>Empirical pilot</t>
        </is>
      </c>
    </row>
    <row r="3">
      <c r="A3" s="20" t="inlineStr">
        <is>
          <t>High-score evidence trigger</t>
        </is>
      </c>
      <c r="B3" s="20" t="inlineStr">
        <is>
          <t>Score ≥80 + E0</t>
        </is>
      </c>
      <c r="C3" s="20" t="inlineStr">
        <is>
          <t>Score ≥80 + weak corroboration</t>
        </is>
      </c>
      <c r="D3" s="20" t="inlineStr">
        <is>
          <t>Defined corroboration</t>
        </is>
      </c>
      <c r="E3" s="20" t="inlineStr">
        <is>
          <t>Independent/triangulated</t>
        </is>
      </c>
      <c r="F3" s="20" t="inlineStr">
        <is>
          <t>Operational</t>
        </is>
      </c>
    </row>
    <row r="4">
      <c r="A4" s="20" t="inlineStr">
        <is>
          <t>Domain applicability</t>
        </is>
      </c>
      <c r="B4" s="20" t="inlineStr">
        <is>
          <t>No documented applicability</t>
        </is>
      </c>
      <c r="C4" s="20" t="inlineStr">
        <is>
          <t>Ambiguous mandate</t>
        </is>
      </c>
      <c r="D4" s="20" t="inlineStr">
        <is>
          <t>Documented applicability</t>
        </is>
      </c>
      <c r="E4" s="20" t="inlineStr">
        <is>
          <t>Independent confirmation where consequential</t>
        </is>
      </c>
      <c r="F4" s="20" t="inlineStr">
        <is>
          <t>Operational</t>
        </is>
      </c>
    </row>
    <row r="5">
      <c r="A5" s="20" t="inlineStr">
        <is>
          <t>Change freeze</t>
        </is>
      </c>
      <c r="B5" s="20" t="inlineStr">
        <is>
          <t>Unvalidated</t>
        </is>
      </c>
      <c r="C5" s="20" t="inlineStr">
        <is>
          <t>Pilot evidence incomplete</t>
        </is>
      </c>
      <c r="D5" s="20" t="inlineStr">
        <is>
          <t>Pilot reviewed</t>
        </is>
      </c>
      <c r="E5" s="20" t="inlineStr">
        <is>
          <t>Acceptance gates passed</t>
        </is>
      </c>
      <c r="F5" s="20" t="inlineStr">
        <is>
          <t>Governance</t>
        </is>
      </c>
    </row>
  </sheetData>
  <autoFilter ref="A1:F5"/>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30" customWidth="1" min="3" max="3"/>
    <col width="55" customWidth="1" min="4" max="4"/>
    <col width="28" customWidth="1" min="5" max="5"/>
    <col width="25" customWidth="1" min="6" max="6"/>
    <col width="18" customWidth="1" min="7" max="7"/>
  </cols>
  <sheetData>
    <row r="1">
      <c r="A1" s="29" t="inlineStr">
        <is>
          <t>Phase</t>
        </is>
      </c>
      <c r="B1" s="29" t="inlineStr">
        <is>
          <t>Purpose</t>
        </is>
      </c>
      <c r="C1" s="29" t="inlineStr">
        <is>
          <t>Indicative Sample</t>
        </is>
      </c>
      <c r="D1" s="29" t="inlineStr">
        <is>
          <t>Tests</t>
        </is>
      </c>
      <c r="E1" s="29" t="inlineStr">
        <is>
          <t>Dependency</t>
        </is>
      </c>
      <c r="F1" s="29" t="inlineStr">
        <is>
          <t>Owner</t>
        </is>
      </c>
      <c r="G1" s="29" t="inlineStr">
        <is>
          <t>Status</t>
        </is>
      </c>
    </row>
    <row r="2">
      <c r="A2" s="20" t="inlineStr">
        <is>
          <t>Phase 1</t>
        </is>
      </c>
      <c r="B2" s="20" t="inlineStr">
        <is>
          <t>Expert content/calibration</t>
        </is>
      </c>
      <c r="C2" s="20" t="inlineStr">
        <is>
          <t>10–15 experts</t>
        </is>
      </c>
      <c r="D2" s="20" t="inlineStr">
        <is>
          <t>Anchor review, boundary review, cognitive review</t>
        </is>
      </c>
      <c r="E2" s="20" t="inlineStr">
        <is>
          <t>Before institutional pilot</t>
        </is>
      </c>
      <c r="F2" s="20" t="inlineStr">
        <is>
          <t>Methodology Lead</t>
        </is>
      </c>
      <c r="G2" s="20" t="inlineStr">
        <is>
          <t>PENDING</t>
        </is>
      </c>
    </row>
    <row r="3">
      <c r="A3" s="20" t="inlineStr">
        <is>
          <t>Phase 2</t>
        </is>
      </c>
      <c r="B3" s="20" t="inlineStr">
        <is>
          <t>Small double-scored pilot</t>
        </is>
      </c>
      <c r="C3" s="20" t="inlineStr">
        <is>
          <t>≥3–5 institutions, purposive variation</t>
        </is>
      </c>
      <c r="D3" s="20" t="inlineStr">
        <is>
          <t>Inter-rater, usability, evidence burden</t>
        </is>
      </c>
      <c r="E3" s="20" t="inlineStr">
        <is>
          <t>After Phase 1</t>
        </is>
      </c>
      <c r="F3" s="20" t="inlineStr">
        <is>
          <t>Assessment Lead</t>
        </is>
      </c>
      <c r="G3" s="20" t="inlineStr">
        <is>
          <t>PENDING</t>
        </is>
      </c>
    </row>
    <row r="4">
      <c r="A4" s="20" t="inlineStr">
        <is>
          <t>Phase 3</t>
        </is>
      </c>
      <c r="B4" s="20" t="inlineStr">
        <is>
          <t>Broader validation pilot</t>
        </is>
      </c>
      <c r="C4" s="20" t="inlineStr">
        <is>
          <t>Target sample sized by power/precision analysis</t>
        </is>
      </c>
      <c r="D4" s="20" t="inlineStr">
        <is>
          <t>Known-groups, convergent, sensitivity, stability</t>
        </is>
      </c>
      <c r="E4" s="20" t="inlineStr">
        <is>
          <t>After Phase 2</t>
        </is>
      </c>
      <c r="F4" s="20" t="inlineStr">
        <is>
          <t>Validation Lead</t>
        </is>
      </c>
      <c r="G4" s="20" t="inlineStr">
        <is>
          <t>PENDING</t>
        </is>
      </c>
    </row>
    <row r="5">
      <c r="A5" s="20" t="inlineStr">
        <is>
          <t>Phase 4</t>
        </is>
      </c>
      <c r="B5" s="20" t="inlineStr">
        <is>
          <t>P1.0 freeze review</t>
        </is>
      </c>
      <c r="C5" s="20" t="inlineStr">
        <is>
          <t>Independent methodology panel</t>
        </is>
      </c>
      <c r="D5" s="20" t="inlineStr">
        <is>
          <t>Acceptance gates + change log + governance</t>
        </is>
      </c>
      <c r="E5" s="20" t="inlineStr">
        <is>
          <t>After Phase 3</t>
        </is>
      </c>
      <c r="F5" s="20" t="inlineStr">
        <is>
          <t>Methodology Governance</t>
        </is>
      </c>
      <c r="G5" s="20" t="inlineStr">
        <is>
          <t>PENDING</t>
        </is>
      </c>
    </row>
  </sheetData>
  <autoFilter ref="A1:G5"/>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50" customWidth="1" min="1" max="1"/>
    <col width="80" customWidth="1" min="2" max="2"/>
    <col width="45" customWidth="1" min="3" max="3"/>
    <col width="18" customWidth="1" min="4" max="4"/>
  </cols>
  <sheetData>
    <row r="1">
      <c r="A1" s="29" t="inlineStr">
        <is>
          <t>Trigger</t>
        </is>
      </c>
      <c r="B1" s="29" t="inlineStr">
        <is>
          <t>Required Action</t>
        </is>
      </c>
      <c r="C1" s="29" t="inlineStr">
        <is>
          <t>Approval</t>
        </is>
      </c>
      <c r="D1" s="29" t="inlineStr">
        <is>
          <t>Status</t>
        </is>
      </c>
    </row>
    <row r="2">
      <c r="A2" s="20" t="inlineStr">
        <is>
          <t>Persistent low inter-rater reliability</t>
        </is>
      </c>
      <c r="B2" s="20" t="inlineStr">
        <is>
          <t>Clarify metric rule/anchors; retest before freeze</t>
        </is>
      </c>
      <c r="C2" s="20" t="inlineStr">
        <is>
          <t>Methodology Lead + independent review</t>
        </is>
      </c>
      <c r="D2" s="20" t="inlineStr">
        <is>
          <t>PENDING</t>
        </is>
      </c>
    </row>
    <row r="3">
      <c r="A3" s="20" t="inlineStr">
        <is>
          <t>Metric behaves unlike intended construct</t>
        </is>
      </c>
      <c r="B3" s="20" t="inlineStr">
        <is>
          <t>Review construct definition, evidence gate and boundary; consider split/merge/remove</t>
        </is>
      </c>
      <c r="C3" s="20" t="inlineStr">
        <is>
          <t>Validation Lead + expert panel</t>
        </is>
      </c>
      <c r="D3" s="20" t="inlineStr">
        <is>
          <t>PENDING</t>
        </is>
      </c>
    </row>
    <row r="4">
      <c r="A4" s="20" t="inlineStr">
        <is>
          <t>High sensitivity to weight choice</t>
        </is>
      </c>
      <c r="B4" s="20" t="inlineStr">
        <is>
          <t>Revisit weight rationale; report scenario range; do not hide instability</t>
        </is>
      </c>
      <c r="C4" s="20" t="inlineStr">
        <is>
          <t>Methodology Governance</t>
        </is>
      </c>
      <c r="D4" s="20" t="inlineStr">
        <is>
          <t>PENDING</t>
        </is>
      </c>
    </row>
    <row r="5">
      <c r="A5" s="20" t="inlineStr">
        <is>
          <t>Frequent N/A or non-applicability disputes</t>
        </is>
      </c>
      <c r="B5" s="20" t="inlineStr">
        <is>
          <t>Review applicability rule and context branching</t>
        </is>
      </c>
      <c r="C5" s="20" t="inlineStr">
        <is>
          <t>Assessment Governance</t>
        </is>
      </c>
      <c r="D5" s="20" t="inlineStr">
        <is>
          <t>PENDING</t>
        </is>
      </c>
    </row>
    <row r="6">
      <c r="A6" s="20" t="inlineStr">
        <is>
          <t>Repeated cross-domain contradiction caused by metric overlap</t>
        </is>
      </c>
      <c r="B6" s="20" t="inlineStr">
        <is>
          <t>Enforce primary-owner boundary or redesign metric</t>
        </is>
      </c>
      <c r="C6" s="20" t="inlineStr">
        <is>
          <t>Domain owners + Methodology Lead</t>
        </is>
      </c>
      <c r="D6" s="20" t="inlineStr">
        <is>
          <t>PENDING</t>
        </is>
      </c>
    </row>
    <row r="7">
      <c r="A7" s="20" t="inlineStr">
        <is>
          <t>Evidence burden materially excessive</t>
        </is>
      </c>
      <c r="B7" s="20" t="inlineStr">
        <is>
          <t>Reduce evidence requests through shared artifacts/adaptive sampling, not by weakening validity</t>
        </is>
      </c>
      <c r="C7" s="20" t="inlineStr">
        <is>
          <t>Assessment Lead</t>
        </is>
      </c>
      <c r="D7" s="20" t="inlineStr">
        <is>
          <t>PENDING</t>
        </is>
      </c>
    </row>
    <row r="8">
      <c r="A8" s="20" t="inlineStr">
        <is>
          <t>Outcome data unavailable for legitimate construct</t>
        </is>
      </c>
      <c r="B8" s="20" t="inlineStr">
        <is>
          <t>Use N/A only when genuinely inapplicable; use capability/implementation components with explicit renormalisation</t>
        </is>
      </c>
      <c r="C8" s="20" t="inlineStr">
        <is>
          <t>Methodology Lead</t>
        </is>
      </c>
      <c r="D8" s="20" t="inlineStr">
        <is>
          <t>PENDING</t>
        </is>
      </c>
    </row>
  </sheetData>
  <autoFilter ref="A1:D8"/>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18" customWidth="1" min="4" max="4"/>
    <col width="30" customWidth="1" min="5" max="5"/>
  </cols>
  <sheetData>
    <row r="1">
      <c r="A1" s="29" t="inlineStr">
        <is>
          <t>Gate</t>
        </is>
      </c>
      <c r="B1" s="29" t="inlineStr">
        <is>
          <t>Criterion</t>
        </is>
      </c>
      <c r="C1" s="29" t="inlineStr">
        <is>
          <t>Current State</t>
        </is>
      </c>
      <c r="D1" s="29" t="inlineStr">
        <is>
          <t>Status</t>
        </is>
      </c>
      <c r="E1" s="29" t="inlineStr">
        <is>
          <t>Type</t>
        </is>
      </c>
    </row>
    <row r="2">
      <c r="A2" s="20" t="inlineStr">
        <is>
          <t>A1</t>
        </is>
      </c>
      <c r="B2" s="20" t="inlineStr">
        <is>
          <t>All 143 metrics have defined calibration protocol</t>
        </is>
      </c>
      <c r="C2" s="20" t="inlineStr">
        <is>
          <t>143/143</t>
        </is>
      </c>
      <c r="D2" s="20" t="inlineStr">
        <is>
          <t>PASS</t>
        </is>
      </c>
      <c r="E2" s="20" t="inlineStr">
        <is>
          <t>Operational</t>
        </is>
      </c>
    </row>
    <row r="3">
      <c r="A3" s="20" t="inlineStr">
        <is>
          <t>A2</t>
        </is>
      </c>
      <c r="B3" s="20" t="inlineStr">
        <is>
          <t>Domain-specific anchors are present</t>
        </is>
      </c>
      <c r="C3" s="20" t="inlineStr">
        <is>
          <t>11/11</t>
        </is>
      </c>
      <c r="D3" s="20" t="inlineStr">
        <is>
          <t>PASS</t>
        </is>
      </c>
      <c r="E3" s="20" t="inlineStr">
        <is>
          <t>Operational</t>
        </is>
      </c>
    </row>
    <row r="4">
      <c r="A4" s="20" t="inlineStr">
        <is>
          <t>A3</t>
        </is>
      </c>
      <c r="B4" s="20" t="inlineStr">
        <is>
          <t>Inter-rater protocol pre-specified before pilot</t>
        </is>
      </c>
      <c r="C4" s="20" t="inlineStr">
        <is>
          <t>Yes</t>
        </is>
      </c>
      <c r="D4" s="20" t="inlineStr">
        <is>
          <t>PASS</t>
        </is>
      </c>
      <c r="E4" s="20" t="inlineStr">
        <is>
          <t>Operational</t>
        </is>
      </c>
    </row>
    <row r="5">
      <c r="A5" s="20" t="inlineStr">
        <is>
          <t>A4</t>
        </is>
      </c>
      <c r="B5" s="20" t="inlineStr">
        <is>
          <t>Test-retest protocol pre-specified</t>
        </is>
      </c>
      <c r="C5" s="20" t="inlineStr">
        <is>
          <t>Yes</t>
        </is>
      </c>
      <c r="D5" s="20" t="inlineStr">
        <is>
          <t>PASS</t>
        </is>
      </c>
      <c r="E5" s="20" t="inlineStr">
        <is>
          <t>Operational</t>
        </is>
      </c>
    </row>
    <row r="6">
      <c r="A6" s="20" t="inlineStr">
        <is>
          <t>A5</t>
        </is>
      </c>
      <c r="B6" s="20" t="inlineStr">
        <is>
          <t>Known-groups validity protocol pre-specified</t>
        </is>
      </c>
      <c r="C6" s="20" t="inlineStr">
        <is>
          <t>Yes</t>
        </is>
      </c>
      <c r="D6" s="20" t="inlineStr">
        <is>
          <t>PASS</t>
        </is>
      </c>
      <c r="E6" s="20" t="inlineStr">
        <is>
          <t>Operational</t>
        </is>
      </c>
    </row>
    <row r="7">
      <c r="A7" s="20" t="inlineStr">
        <is>
          <t>A6</t>
        </is>
      </c>
      <c r="B7" s="20" t="inlineStr">
        <is>
          <t>Convergent validity protocol pre-specified</t>
        </is>
      </c>
      <c r="C7" s="20" t="inlineStr">
        <is>
          <t>Yes</t>
        </is>
      </c>
      <c r="D7" s="20" t="inlineStr">
        <is>
          <t>PASS</t>
        </is>
      </c>
      <c r="E7" s="20" t="inlineStr">
        <is>
          <t>Operational</t>
        </is>
      </c>
    </row>
    <row r="8">
      <c r="A8" s="20" t="inlineStr">
        <is>
          <t>A7</t>
        </is>
      </c>
      <c r="B8" s="20" t="inlineStr">
        <is>
          <t>Sensitivity scenarios pre-specified</t>
        </is>
      </c>
      <c r="C8" s="20" t="inlineStr">
        <is>
          <t>7</t>
        </is>
      </c>
      <c r="D8" s="20" t="inlineStr">
        <is>
          <t>PASS</t>
        </is>
      </c>
      <c r="E8" s="20" t="inlineStr">
        <is>
          <t>Operational</t>
        </is>
      </c>
    </row>
    <row r="9">
      <c r="A9" s="20" t="inlineStr">
        <is>
          <t>A8</t>
        </is>
      </c>
      <c r="B9" s="20" t="inlineStr">
        <is>
          <t>Empirical reliability targets achieved</t>
        </is>
      </c>
      <c r="C9" s="20" t="inlineStr">
        <is>
          <t>No pilot data yet</t>
        </is>
      </c>
      <c r="D9" s="20" t="inlineStr">
        <is>
          <t>PENDING</t>
        </is>
      </c>
      <c r="E9" s="20" t="inlineStr">
        <is>
          <t>Must be tested</t>
        </is>
      </c>
    </row>
    <row r="10">
      <c r="A10" s="20" t="inlineStr">
        <is>
          <t>A9</t>
        </is>
      </c>
      <c r="B10" s="20" t="inlineStr">
        <is>
          <t>Empirical validity supported</t>
        </is>
      </c>
      <c r="C10" s="20" t="inlineStr">
        <is>
          <t>No pilot data yet</t>
        </is>
      </c>
      <c r="D10" s="20" t="inlineStr">
        <is>
          <t>PENDING</t>
        </is>
      </c>
      <c r="E10" s="20" t="inlineStr">
        <is>
          <t>Must be tested</t>
        </is>
      </c>
    </row>
    <row r="11">
      <c r="A11" s="20" t="inlineStr">
        <is>
          <t>A10</t>
        </is>
      </c>
      <c r="B11" s="20" t="inlineStr">
        <is>
          <t>Weights/coefficient freeze approved</t>
        </is>
      </c>
      <c r="C11" s="20" t="inlineStr">
        <is>
          <t>No</t>
        </is>
      </c>
      <c r="D11" s="20" t="inlineStr">
        <is>
          <t>PENDING</t>
        </is>
      </c>
      <c r="E11" s="20" t="inlineStr">
        <is>
          <t>After validation</t>
        </is>
      </c>
    </row>
    <row r="12">
      <c r="A12" s="20" t="inlineStr">
        <is>
          <t>A11</t>
        </is>
      </c>
      <c r="B12" s="20" t="inlineStr">
        <is>
          <t>Public benchmark/ranking claim permitted</t>
        </is>
      </c>
      <c r="C12" s="20" t="inlineStr">
        <is>
          <t>No</t>
        </is>
      </c>
      <c r="D12" s="20" t="inlineStr">
        <is>
          <t>BLOCKED</t>
        </is>
      </c>
      <c r="E12" s="20" t="inlineStr">
        <is>
          <t>Only after validation/governance</t>
        </is>
      </c>
    </row>
  </sheetData>
  <autoFilter ref="A1:E12"/>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8" customWidth="1" min="1" max="1"/>
    <col width="110" customWidth="1" min="2" max="2"/>
  </cols>
  <sheetData>
    <row r="1">
      <c r="A1" s="29" t="inlineStr">
        <is>
          <t>Principle</t>
        </is>
      </c>
      <c r="B1" s="29" t="inlineStr">
        <is>
          <t>Specification</t>
        </is>
      </c>
    </row>
    <row r="2">
      <c r="A2" s="20" t="inlineStr">
        <is>
          <t>Calibration principle</t>
        </is>
      </c>
      <c r="B2" s="20" t="inlineStr">
        <is>
          <t>Assessors calibrate against behavioural anchors and evidence rules, not against desired scores.</t>
        </is>
      </c>
    </row>
    <row r="3">
      <c r="A3" s="20" t="inlineStr">
        <is>
          <t>Reliability principle</t>
        </is>
      </c>
      <c r="B3" s="20" t="inlineStr">
        <is>
          <t>Use statistic appropriate to ordinal/continuous scoring; pre-specify before looking at pilot results.</t>
        </is>
      </c>
    </row>
    <row r="4">
      <c r="A4" s="20" t="inlineStr">
        <is>
          <t>Validity principle</t>
        </is>
      </c>
      <c r="B4" s="20" t="inlineStr">
        <is>
          <t>Reliability does not prove validity; both must be independently demonstrated.</t>
        </is>
      </c>
    </row>
    <row r="5">
      <c r="A5" s="20" t="inlineStr">
        <is>
          <t>Pilot principle</t>
        </is>
      </c>
      <c r="B5" s="20" t="inlineStr">
        <is>
          <t>Use purposive variation across institution types, mandate, AI exposure, discipline mix and research intensity.</t>
        </is>
      </c>
    </row>
    <row r="6">
      <c r="A6" s="20" t="inlineStr">
        <is>
          <t>Anti-circularity</t>
        </is>
      </c>
      <c r="B6" s="20" t="inlineStr">
        <is>
          <t>Never define known groups or external comparators using the ARUI score being validated.</t>
        </is>
      </c>
    </row>
    <row r="7">
      <c r="A7" s="20" t="inlineStr">
        <is>
          <t>Change governance</t>
        </is>
      </c>
      <c r="B7" s="20" t="inlineStr">
        <is>
          <t>Every metric/weight/coefficient change after pilot requires versioned rationale, impact assessment and approval.</t>
        </is>
      </c>
    </row>
    <row r="8">
      <c r="A8" s="20" t="inlineStr">
        <is>
          <t>Public-claim rule</t>
        </is>
      </c>
      <c r="B8" s="20" t="inlineStr">
        <is>
          <t>Until empirical gates pass, communicate the tool as a structured assessment methodology, not a validated universal ranking.</t>
        </is>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8" customWidth="1" min="1" max="1"/>
    <col width="16" customWidth="1" min="2" max="2"/>
    <col width="75" customWidth="1" min="3" max="3"/>
    <col width="55" customWidth="1" min="4" max="4"/>
    <col width="65" customWidth="1" min="5" max="5"/>
  </cols>
  <sheetData>
    <row r="1">
      <c r="A1" s="29" t="inlineStr">
        <is>
          <t>Version</t>
        </is>
      </c>
      <c r="B1" s="29" t="inlineStr">
        <is>
          <t>Date</t>
        </is>
      </c>
      <c r="C1" s="29" t="inlineStr">
        <is>
          <t>Change</t>
        </is>
      </c>
      <c r="D1" s="29" t="inlineStr">
        <is>
          <t>Reason</t>
        </is>
      </c>
      <c r="E1" s="29" t="inlineStr">
        <is>
          <t>Impact</t>
        </is>
      </c>
    </row>
    <row r="2">
      <c r="A2" s="20" t="inlineStr">
        <is>
          <t>P0-7.0</t>
        </is>
      </c>
      <c r="B2" s="20" t="inlineStr">
        <is>
          <t>2026-09-10</t>
        </is>
      </c>
      <c r="C2" s="20" t="inlineStr">
        <is>
          <t>Added reliability, validity, calibration, sensitivity, pilot and revision governance layer.</t>
        </is>
      </c>
      <c r="D2" s="20" t="inlineStr">
        <is>
          <t>Complete methodology stack after P0-6.</t>
        </is>
      </c>
      <c r="E2" s="20" t="inlineStr">
        <is>
          <t>Adds validation readiness without fabricating empirical results.</t>
        </is>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H144"/>
  <sheetViews>
    <sheetView workbookViewId="0">
      <pane ySplit="1" topLeftCell="A2" activePane="bottomLeft" state="frozen"/>
      <selection pane="bottomLeft" activeCell="A1" sqref="A1"/>
    </sheetView>
  </sheetViews>
  <sheetFormatPr baseColWidth="8" defaultRowHeight="15"/>
  <sheetData>
    <row r="1">
      <c r="A1" s="14" t="inlineStr">
        <is>
          <t>Domain</t>
        </is>
      </c>
      <c r="B1" s="14" t="inlineStr">
        <is>
          <t>Metric ID</t>
        </is>
      </c>
      <c r="C1" s="14" t="inlineStr">
        <is>
          <t>Metric</t>
        </is>
      </c>
      <c r="D1" s="14" t="inlineStr">
        <is>
          <t>Trigger Priority</t>
        </is>
      </c>
      <c r="E1" s="14" t="inlineStr">
        <is>
          <t>Question Mode</t>
        </is>
      </c>
      <c r="F1" s="14" t="inlineStr">
        <is>
          <t>Evidence Mode</t>
        </is>
      </c>
      <c r="G1" s="14" t="inlineStr">
        <is>
          <t>Assessor Mode</t>
        </is>
      </c>
      <c r="H1" s="14" t="inlineStr">
        <is>
          <t>Output</t>
        </is>
      </c>
    </row>
    <row r="2">
      <c r="A2" t="inlineStr">
        <is>
          <t>D01</t>
        </is>
      </c>
      <c r="B2" t="inlineStr">
        <is>
          <t>I01</t>
        </is>
      </c>
      <c r="C2" t="inlineStr">
        <is>
          <t>Strategic AI Integration</t>
        </is>
      </c>
      <c r="D2" t="inlineStr">
        <is>
          <t>CORE</t>
        </is>
      </c>
      <c r="E2" t="inlineStr">
        <is>
          <t>Adaptive diagnostic</t>
        </is>
      </c>
      <c r="F2" t="inlineStr">
        <is>
          <t>Sampled evidence</t>
        </is>
      </c>
      <c r="G2" t="inlineStr">
        <is>
          <t>Calibrated review</t>
        </is>
      </c>
      <c r="H2" t="inlineStr">
        <is>
          <t>Metric score + confidence</t>
        </is>
      </c>
    </row>
    <row r="3">
      <c r="A3" t="inlineStr">
        <is>
          <t>D01</t>
        </is>
      </c>
      <c r="B3" t="inlineStr">
        <is>
          <t>I02</t>
        </is>
      </c>
      <c r="C3" t="inlineStr">
        <is>
          <t>Future Foresight Maturity</t>
        </is>
      </c>
      <c r="D3" t="inlineStr">
        <is>
          <t>CORE</t>
        </is>
      </c>
      <c r="E3" t="inlineStr">
        <is>
          <t>Adaptive diagnostic</t>
        </is>
      </c>
      <c r="F3" t="inlineStr">
        <is>
          <t>Sampled evidence</t>
        </is>
      </c>
      <c r="G3" t="inlineStr">
        <is>
          <t>Calibrated review</t>
        </is>
      </c>
      <c r="H3" t="inlineStr">
        <is>
          <t>Metric score + confidence</t>
        </is>
      </c>
    </row>
    <row r="4">
      <c r="A4" t="inlineStr">
        <is>
          <t>D01</t>
        </is>
      </c>
      <c r="B4" t="inlineStr">
        <is>
          <t>I03</t>
        </is>
      </c>
      <c r="C4" t="inlineStr">
        <is>
          <t>Strategic Translation Rate</t>
        </is>
      </c>
      <c r="D4" t="inlineStr">
        <is>
          <t>CORE</t>
        </is>
      </c>
      <c r="E4" t="inlineStr">
        <is>
          <t>Adaptive diagnostic</t>
        </is>
      </c>
      <c r="F4" t="inlineStr">
        <is>
          <t>Sampled evidence</t>
        </is>
      </c>
      <c r="G4" t="inlineStr">
        <is>
          <t>Calibrated review</t>
        </is>
      </c>
      <c r="H4" t="inlineStr">
        <is>
          <t>Metric score + confidence</t>
        </is>
      </c>
    </row>
    <row r="5">
      <c r="A5" t="inlineStr">
        <is>
          <t>D01</t>
        </is>
      </c>
      <c r="B5" t="inlineStr">
        <is>
          <t>I04</t>
        </is>
      </c>
      <c r="C5" t="inlineStr">
        <is>
          <t>Programme Future-Review Coverage</t>
        </is>
      </c>
      <c r="D5" t="inlineStr">
        <is>
          <t>CORE</t>
        </is>
      </c>
      <c r="E5" t="inlineStr">
        <is>
          <t>Adaptive diagnostic</t>
        </is>
      </c>
      <c r="F5" t="inlineStr">
        <is>
          <t>Sampled evidence</t>
        </is>
      </c>
      <c r="G5" t="inlineStr">
        <is>
          <t>Calibrated review</t>
        </is>
      </c>
      <c r="H5" t="inlineStr">
        <is>
          <t>Metric score + confidence</t>
        </is>
      </c>
    </row>
    <row r="6">
      <c r="A6" t="inlineStr">
        <is>
          <t>D01</t>
        </is>
      </c>
      <c r="B6" t="inlineStr">
        <is>
          <t>I05</t>
        </is>
      </c>
      <c r="C6" t="inlineStr">
        <is>
          <t>Strategic Differentiation Clarity</t>
        </is>
      </c>
      <c r="D6" t="inlineStr">
        <is>
          <t>CORE</t>
        </is>
      </c>
      <c r="E6" t="inlineStr">
        <is>
          <t>Adaptive diagnostic</t>
        </is>
      </c>
      <c r="F6" t="inlineStr">
        <is>
          <t>Sampled evidence</t>
        </is>
      </c>
      <c r="G6" t="inlineStr">
        <is>
          <t>Calibrated review</t>
        </is>
      </c>
      <c r="H6" t="inlineStr">
        <is>
          <t>Metric score + confidence</t>
        </is>
      </c>
    </row>
    <row r="7">
      <c r="A7" t="inlineStr">
        <is>
          <t>D01</t>
        </is>
      </c>
      <c r="B7" t="inlineStr">
        <is>
          <t>I06</t>
        </is>
      </c>
      <c r="C7" t="inlineStr">
        <is>
          <t>Foresight Response Architecture</t>
        </is>
      </c>
      <c r="D7" t="inlineStr">
        <is>
          <t>CORE</t>
        </is>
      </c>
      <c r="E7" t="inlineStr">
        <is>
          <t>Adaptive diagnostic</t>
        </is>
      </c>
      <c r="F7" t="inlineStr">
        <is>
          <t>Sampled evidence</t>
        </is>
      </c>
      <c r="G7" t="inlineStr">
        <is>
          <t>Calibrated review</t>
        </is>
      </c>
      <c r="H7" t="inlineStr">
        <is>
          <t>Metric score + confidence</t>
        </is>
      </c>
    </row>
    <row r="8">
      <c r="A8" t="inlineStr">
        <is>
          <t>D01</t>
        </is>
      </c>
      <c r="B8" t="inlineStr">
        <is>
          <t>I07</t>
        </is>
      </c>
      <c r="C8" t="inlineStr">
        <is>
          <t>Resource Alignment</t>
        </is>
      </c>
      <c r="D8" t="inlineStr">
        <is>
          <t>CORE</t>
        </is>
      </c>
      <c r="E8" t="inlineStr">
        <is>
          <t>Adaptive diagnostic</t>
        </is>
      </c>
      <c r="F8" t="inlineStr">
        <is>
          <t>Sampled evidence</t>
        </is>
      </c>
      <c r="G8" t="inlineStr">
        <is>
          <t>Calibrated review</t>
        </is>
      </c>
      <c r="H8" t="inlineStr">
        <is>
          <t>Metric score + confidence</t>
        </is>
      </c>
    </row>
    <row r="9">
      <c r="A9" t="inlineStr">
        <is>
          <t>D01</t>
        </is>
      </c>
      <c r="B9" t="inlineStr">
        <is>
          <t>I08</t>
        </is>
      </c>
      <c r="C9" t="inlineStr">
        <is>
          <t>Leadership Alignment</t>
        </is>
      </c>
      <c r="D9" t="inlineStr">
        <is>
          <t>CORE</t>
        </is>
      </c>
      <c r="E9" t="inlineStr">
        <is>
          <t>Adaptive diagnostic</t>
        </is>
      </c>
      <c r="F9" t="inlineStr">
        <is>
          <t>Sampled evidence</t>
        </is>
      </c>
      <c r="G9" t="inlineStr">
        <is>
          <t>Calibrated review</t>
        </is>
      </c>
      <c r="H9" t="inlineStr">
        <is>
          <t>Metric score + confidence</t>
        </is>
      </c>
    </row>
    <row r="10">
      <c r="A10" t="inlineStr">
        <is>
          <t>D01</t>
        </is>
      </c>
      <c r="B10" t="inlineStr">
        <is>
          <t>I09</t>
        </is>
      </c>
      <c r="C10" t="inlineStr">
        <is>
          <t>Experimentation Effectiveness</t>
        </is>
      </c>
      <c r="D10" t="inlineStr">
        <is>
          <t>CORE</t>
        </is>
      </c>
      <c r="E10" t="inlineStr">
        <is>
          <t>Adaptive diagnostic</t>
        </is>
      </c>
      <c r="F10" t="inlineStr">
        <is>
          <t>Sampled evidence</t>
        </is>
      </c>
      <c r="G10" t="inlineStr">
        <is>
          <t>Calibrated review</t>
        </is>
      </c>
      <c r="H10" t="inlineStr">
        <is>
          <t>Metric score + confidence</t>
        </is>
      </c>
    </row>
    <row r="11">
      <c r="A11" t="inlineStr">
        <is>
          <t>D01</t>
        </is>
      </c>
      <c r="B11" t="inlineStr">
        <is>
          <t>I10</t>
        </is>
      </c>
      <c r="C11" t="inlineStr">
        <is>
          <t>Strategic Learning Rate</t>
        </is>
      </c>
      <c r="D11" t="inlineStr">
        <is>
          <t>CORE</t>
        </is>
      </c>
      <c r="E11" t="inlineStr">
        <is>
          <t>Adaptive diagnostic</t>
        </is>
      </c>
      <c r="F11" t="inlineStr">
        <is>
          <t>Sampled evidence</t>
        </is>
      </c>
      <c r="G11" t="inlineStr">
        <is>
          <t>Calibrated review</t>
        </is>
      </c>
      <c r="H11" t="inlineStr">
        <is>
          <t>Metric score + confidence</t>
        </is>
      </c>
    </row>
    <row r="12">
      <c r="A12" t="inlineStr">
        <is>
          <t>D02</t>
        </is>
      </c>
      <c r="B12" t="inlineStr">
        <is>
          <t>I01</t>
        </is>
      </c>
      <c r="C12" t="inlineStr">
        <is>
          <t>Governance Ownership</t>
        </is>
      </c>
      <c r="D12" t="inlineStr">
        <is>
          <t>CORE</t>
        </is>
      </c>
      <c r="E12" t="inlineStr">
        <is>
          <t>Adaptive diagnostic</t>
        </is>
      </c>
      <c r="F12" t="inlineStr">
        <is>
          <t>Sampled evidence</t>
        </is>
      </c>
      <c r="G12" t="inlineStr">
        <is>
          <t>Calibrated review</t>
        </is>
      </c>
      <c r="H12" t="inlineStr">
        <is>
          <t>Metric score + confidence</t>
        </is>
      </c>
    </row>
    <row r="13">
      <c r="A13" t="inlineStr">
        <is>
          <t>D02</t>
        </is>
      </c>
      <c r="B13" t="inlineStr">
        <is>
          <t>I02</t>
        </is>
      </c>
      <c r="C13" t="inlineStr">
        <is>
          <t>Decision Architecture</t>
        </is>
      </c>
      <c r="D13" t="inlineStr">
        <is>
          <t>CORE</t>
        </is>
      </c>
      <c r="E13" t="inlineStr">
        <is>
          <t>Adaptive diagnostic</t>
        </is>
      </c>
      <c r="F13" t="inlineStr">
        <is>
          <t>Sampled evidence</t>
        </is>
      </c>
      <c r="G13" t="inlineStr">
        <is>
          <t>Calibrated review</t>
        </is>
      </c>
      <c r="H13" t="inlineStr">
        <is>
          <t>Metric score + confidence</t>
        </is>
      </c>
    </row>
    <row r="14">
      <c r="A14" t="inlineStr">
        <is>
          <t>D02</t>
        </is>
      </c>
      <c r="B14" t="inlineStr">
        <is>
          <t>I03</t>
        </is>
      </c>
      <c r="C14" t="inlineStr">
        <is>
          <t>Responsible AI Maturity</t>
        </is>
      </c>
      <c r="D14" t="inlineStr">
        <is>
          <t>CORE</t>
        </is>
      </c>
      <c r="E14" t="inlineStr">
        <is>
          <t>Adaptive diagnostic</t>
        </is>
      </c>
      <c r="F14" t="inlineStr">
        <is>
          <t>Sampled evidence</t>
        </is>
      </c>
      <c r="G14" t="inlineStr">
        <is>
          <t>Calibrated review</t>
        </is>
      </c>
      <c r="H14" t="inlineStr">
        <is>
          <t>Metric score + confidence</t>
        </is>
      </c>
    </row>
    <row r="15">
      <c r="A15" t="inlineStr">
        <is>
          <t>D02</t>
        </is>
      </c>
      <c r="B15" t="inlineStr">
        <is>
          <t>I04</t>
        </is>
      </c>
      <c r="C15" t="inlineStr">
        <is>
          <t>Data Governance Readiness</t>
        </is>
      </c>
      <c r="D15" t="inlineStr">
        <is>
          <t>CORE</t>
        </is>
      </c>
      <c r="E15" t="inlineStr">
        <is>
          <t>Adaptive diagnostic</t>
        </is>
      </c>
      <c r="F15" t="inlineStr">
        <is>
          <t>Sampled evidence</t>
        </is>
      </c>
      <c r="G15" t="inlineStr">
        <is>
          <t>Calibrated review</t>
        </is>
      </c>
      <c r="H15" t="inlineStr">
        <is>
          <t>Metric score + confidence</t>
        </is>
      </c>
    </row>
    <row r="16">
      <c r="A16" t="inlineStr">
        <is>
          <t>D02</t>
        </is>
      </c>
      <c r="B16" t="inlineStr">
        <is>
          <t>I05</t>
        </is>
      </c>
      <c r="C16" t="inlineStr">
        <is>
          <t>Academic Integrity Governance</t>
        </is>
      </c>
      <c r="D16" t="inlineStr">
        <is>
          <t>CORE</t>
        </is>
      </c>
      <c r="E16" t="inlineStr">
        <is>
          <t>Adaptive diagnostic</t>
        </is>
      </c>
      <c r="F16" t="inlineStr">
        <is>
          <t>Sampled evidence</t>
        </is>
      </c>
      <c r="G16" t="inlineStr">
        <is>
          <t>Calibrated review</t>
        </is>
      </c>
      <c r="H16" t="inlineStr">
        <is>
          <t>Metric score + confidence</t>
        </is>
      </c>
    </row>
    <row r="17">
      <c r="A17" t="inlineStr">
        <is>
          <t>D02</t>
        </is>
      </c>
      <c r="B17" t="inlineStr">
        <is>
          <t>I06</t>
        </is>
      </c>
      <c r="C17" t="inlineStr">
        <is>
          <t>Assessment Governance</t>
        </is>
      </c>
      <c r="D17" t="inlineStr">
        <is>
          <t>CORE</t>
        </is>
      </c>
      <c r="E17" t="inlineStr">
        <is>
          <t>Adaptive diagnostic</t>
        </is>
      </c>
      <c r="F17" t="inlineStr">
        <is>
          <t>Sampled evidence</t>
        </is>
      </c>
      <c r="G17" t="inlineStr">
        <is>
          <t>Calibrated review</t>
        </is>
      </c>
      <c r="H17" t="inlineStr">
        <is>
          <t>Metric score + confidence</t>
        </is>
      </c>
    </row>
    <row r="18">
      <c r="A18" t="inlineStr">
        <is>
          <t>D02</t>
        </is>
      </c>
      <c r="B18" t="inlineStr">
        <is>
          <t>I07</t>
        </is>
      </c>
      <c r="C18" t="inlineStr">
        <is>
          <t>AI Risk Management</t>
        </is>
      </c>
      <c r="D18" t="inlineStr">
        <is>
          <t>CORE</t>
        </is>
      </c>
      <c r="E18" t="inlineStr">
        <is>
          <t>Adaptive diagnostic</t>
        </is>
      </c>
      <c r="F18" t="inlineStr">
        <is>
          <t>Sampled evidence</t>
        </is>
      </c>
      <c r="G18" t="inlineStr">
        <is>
          <t>Calibrated review</t>
        </is>
      </c>
      <c r="H18" t="inlineStr">
        <is>
          <t>Metric score + confidence</t>
        </is>
      </c>
    </row>
    <row r="19">
      <c r="A19" t="inlineStr">
        <is>
          <t>D02</t>
        </is>
      </c>
      <c r="B19" t="inlineStr">
        <is>
          <t>I08</t>
        </is>
      </c>
      <c r="C19" t="inlineStr">
        <is>
          <t>Incident Responsiveness</t>
        </is>
      </c>
      <c r="D19" t="inlineStr">
        <is>
          <t>CORE</t>
        </is>
      </c>
      <c r="E19" t="inlineStr">
        <is>
          <t>Adaptive diagnostic</t>
        </is>
      </c>
      <c r="F19" t="inlineStr">
        <is>
          <t>Sampled evidence</t>
        </is>
      </c>
      <c r="G19" t="inlineStr">
        <is>
          <t>Calibrated review</t>
        </is>
      </c>
      <c r="H19" t="inlineStr">
        <is>
          <t>Metric score + confidence</t>
        </is>
      </c>
    </row>
    <row r="20">
      <c r="A20" t="inlineStr">
        <is>
          <t>D02</t>
        </is>
      </c>
      <c r="B20" t="inlineStr">
        <is>
          <t>I09</t>
        </is>
      </c>
      <c r="C20" t="inlineStr">
        <is>
          <t>Human Accountability</t>
        </is>
      </c>
      <c r="D20" t="inlineStr">
        <is>
          <t>CORE</t>
        </is>
      </c>
      <c r="E20" t="inlineStr">
        <is>
          <t>Adaptive diagnostic</t>
        </is>
      </c>
      <c r="F20" t="inlineStr">
        <is>
          <t>Sampled evidence</t>
        </is>
      </c>
      <c r="G20" t="inlineStr">
        <is>
          <t>Calibrated review</t>
        </is>
      </c>
      <c r="H20" t="inlineStr">
        <is>
          <t>Metric score + confidence</t>
        </is>
      </c>
    </row>
    <row r="21">
      <c r="A21" t="inlineStr">
        <is>
          <t>D02</t>
        </is>
      </c>
      <c r="B21" t="inlineStr">
        <is>
          <t>I10</t>
        </is>
      </c>
      <c r="C21" t="inlineStr">
        <is>
          <t>Vendor/Tool Governance</t>
        </is>
      </c>
      <c r="D21" t="inlineStr">
        <is>
          <t>CORE</t>
        </is>
      </c>
      <c r="E21" t="inlineStr">
        <is>
          <t>Adaptive diagnostic</t>
        </is>
      </c>
      <c r="F21" t="inlineStr">
        <is>
          <t>Sampled evidence</t>
        </is>
      </c>
      <c r="G21" t="inlineStr">
        <is>
          <t>Calibrated review</t>
        </is>
      </c>
      <c r="H21" t="inlineStr">
        <is>
          <t>Metric score + confidence</t>
        </is>
      </c>
    </row>
    <row r="22">
      <c r="A22" t="inlineStr">
        <is>
          <t>D02</t>
        </is>
      </c>
      <c r="B22" t="inlineStr">
        <is>
          <t>I11</t>
        </is>
      </c>
      <c r="C22" t="inlineStr">
        <is>
          <t>IP Governance</t>
        </is>
      </c>
      <c r="D22" t="inlineStr">
        <is>
          <t>CORE</t>
        </is>
      </c>
      <c r="E22" t="inlineStr">
        <is>
          <t>Adaptive diagnostic</t>
        </is>
      </c>
      <c r="F22" t="inlineStr">
        <is>
          <t>Sampled evidence</t>
        </is>
      </c>
      <c r="G22" t="inlineStr">
        <is>
          <t>Calibrated review</t>
        </is>
      </c>
      <c r="H22" t="inlineStr">
        <is>
          <t>Metric score + confidence</t>
        </is>
      </c>
    </row>
    <row r="23">
      <c r="A23" t="inlineStr">
        <is>
          <t>D02</t>
        </is>
      </c>
      <c r="B23" t="inlineStr">
        <is>
          <t>I12</t>
        </is>
      </c>
      <c r="C23" t="inlineStr">
        <is>
          <t>Research AI Governance</t>
        </is>
      </c>
      <c r="D23" t="inlineStr">
        <is>
          <t>CORE</t>
        </is>
      </c>
      <c r="E23" t="inlineStr">
        <is>
          <t>Adaptive diagnostic</t>
        </is>
      </c>
      <c r="F23" t="inlineStr">
        <is>
          <t>Sampled evidence</t>
        </is>
      </c>
      <c r="G23" t="inlineStr">
        <is>
          <t>Calibrated review</t>
        </is>
      </c>
      <c r="H23" t="inlineStr">
        <is>
          <t>Metric score + confidence</t>
        </is>
      </c>
    </row>
    <row r="24">
      <c r="A24" t="inlineStr">
        <is>
          <t>D02</t>
        </is>
      </c>
      <c r="B24" t="inlineStr">
        <is>
          <t>I13</t>
        </is>
      </c>
      <c r="C24" t="inlineStr">
        <is>
          <t>Governance Review Adaptability</t>
        </is>
      </c>
      <c r="D24" t="inlineStr">
        <is>
          <t>CORE</t>
        </is>
      </c>
      <c r="E24" t="inlineStr">
        <is>
          <t>Adaptive diagnostic</t>
        </is>
      </c>
      <c r="F24" t="inlineStr">
        <is>
          <t>Sampled evidence</t>
        </is>
      </c>
      <c r="G24" t="inlineStr">
        <is>
          <t>Calibrated review</t>
        </is>
      </c>
      <c r="H24" t="inlineStr">
        <is>
          <t>Metric score + confidence</t>
        </is>
      </c>
    </row>
    <row r="25">
      <c r="A25" t="inlineStr">
        <is>
          <t>D02</t>
        </is>
      </c>
      <c r="B25" t="inlineStr">
        <is>
          <t>I14</t>
        </is>
      </c>
      <c r="C25" t="inlineStr">
        <is>
          <t>Governance Effectiveness</t>
        </is>
      </c>
      <c r="D25" t="inlineStr">
        <is>
          <t>CORE</t>
        </is>
      </c>
      <c r="E25" t="inlineStr">
        <is>
          <t>Adaptive diagnostic</t>
        </is>
      </c>
      <c r="F25" t="inlineStr">
        <is>
          <t>Sampled evidence</t>
        </is>
      </c>
      <c r="G25" t="inlineStr">
        <is>
          <t>Calibrated review</t>
        </is>
      </c>
      <c r="H25" t="inlineStr">
        <is>
          <t>Metric score + confidence</t>
        </is>
      </c>
    </row>
    <row r="26">
      <c r="A26" t="inlineStr">
        <is>
          <t>D03</t>
        </is>
      </c>
      <c r="B26" t="inlineStr">
        <is>
          <t>I01</t>
        </is>
      </c>
      <c r="C26" t="inlineStr">
        <is>
          <t>Foundational Knowledge Depth</t>
        </is>
      </c>
      <c r="D26" t="inlineStr">
        <is>
          <t>CORE</t>
        </is>
      </c>
      <c r="E26" t="inlineStr">
        <is>
          <t>Adaptive diagnostic</t>
        </is>
      </c>
      <c r="F26" t="inlineStr">
        <is>
          <t>Sampled evidence</t>
        </is>
      </c>
      <c r="G26" t="inlineStr">
        <is>
          <t>Calibrated review</t>
        </is>
      </c>
      <c r="H26" t="inlineStr">
        <is>
          <t>Metric score + confidence</t>
        </is>
      </c>
    </row>
    <row r="27">
      <c r="A27" t="inlineStr">
        <is>
          <t>D03</t>
        </is>
      </c>
      <c r="B27" t="inlineStr">
        <is>
          <t>I02</t>
        </is>
      </c>
      <c r="C27" t="inlineStr">
        <is>
          <t>Critical Reasoning Development</t>
        </is>
      </c>
      <c r="D27" t="inlineStr">
        <is>
          <t>CORE</t>
        </is>
      </c>
      <c r="E27" t="inlineStr">
        <is>
          <t>Adaptive diagnostic</t>
        </is>
      </c>
      <c r="F27" t="inlineStr">
        <is>
          <t>Sampled evidence</t>
        </is>
      </c>
      <c r="G27" t="inlineStr">
        <is>
          <t>Calibrated review</t>
        </is>
      </c>
      <c r="H27" t="inlineStr">
        <is>
          <t>Metric score + confidence</t>
        </is>
      </c>
    </row>
    <row r="28">
      <c r="A28" t="inlineStr">
        <is>
          <t>D03</t>
        </is>
      </c>
      <c r="B28" t="inlineStr">
        <is>
          <t>I03</t>
        </is>
      </c>
      <c r="C28" t="inlineStr">
        <is>
          <t>Question Formulation</t>
        </is>
      </c>
      <c r="D28" t="inlineStr">
        <is>
          <t>CORE</t>
        </is>
      </c>
      <c r="E28" t="inlineStr">
        <is>
          <t>Adaptive diagnostic</t>
        </is>
      </c>
      <c r="F28" t="inlineStr">
        <is>
          <t>Sampled evidence</t>
        </is>
      </c>
      <c r="G28" t="inlineStr">
        <is>
          <t>Calibrated review</t>
        </is>
      </c>
      <c r="H28" t="inlineStr">
        <is>
          <t>Metric score + confidence</t>
        </is>
      </c>
    </row>
    <row r="29">
      <c r="A29" t="inlineStr">
        <is>
          <t>D03</t>
        </is>
      </c>
      <c r="B29" t="inlineStr">
        <is>
          <t>I04</t>
        </is>
      </c>
      <c r="C29" t="inlineStr">
        <is>
          <t>Analytical Reasoning</t>
        </is>
      </c>
      <c r="D29" t="inlineStr">
        <is>
          <t>CORE</t>
        </is>
      </c>
      <c r="E29" t="inlineStr">
        <is>
          <t>Adaptive diagnostic</t>
        </is>
      </c>
      <c r="F29" t="inlineStr">
        <is>
          <t>Sampled evidence</t>
        </is>
      </c>
      <c r="G29" t="inlineStr">
        <is>
          <t>Calibrated review</t>
        </is>
      </c>
      <c r="H29" t="inlineStr">
        <is>
          <t>Metric score + confidence</t>
        </is>
      </c>
    </row>
    <row r="30">
      <c r="A30" t="inlineStr">
        <is>
          <t>D03</t>
        </is>
      </c>
      <c r="B30" t="inlineStr">
        <is>
          <t>I05</t>
        </is>
      </c>
      <c r="C30" t="inlineStr">
        <is>
          <t>Problem Formulation</t>
        </is>
      </c>
      <c r="D30" t="inlineStr">
        <is>
          <t>CORE</t>
        </is>
      </c>
      <c r="E30" t="inlineStr">
        <is>
          <t>Adaptive diagnostic</t>
        </is>
      </c>
      <c r="F30" t="inlineStr">
        <is>
          <t>Sampled evidence</t>
        </is>
      </c>
      <c r="G30" t="inlineStr">
        <is>
          <t>Calibrated review</t>
        </is>
      </c>
      <c r="H30" t="inlineStr">
        <is>
          <t>Metric score + confidence</t>
        </is>
      </c>
    </row>
    <row r="31">
      <c r="A31" t="inlineStr">
        <is>
          <t>D03</t>
        </is>
      </c>
      <c r="B31" t="inlineStr">
        <is>
          <t>I06</t>
        </is>
      </c>
      <c r="C31" t="inlineStr">
        <is>
          <t>Creativity &amp; Originality</t>
        </is>
      </c>
      <c r="D31" t="inlineStr">
        <is>
          <t>CORE</t>
        </is>
      </c>
      <c r="E31" t="inlineStr">
        <is>
          <t>Adaptive diagnostic</t>
        </is>
      </c>
      <c r="F31" t="inlineStr">
        <is>
          <t>Sampled evidence</t>
        </is>
      </c>
      <c r="G31" t="inlineStr">
        <is>
          <t>Calibrated review</t>
        </is>
      </c>
      <c r="H31" t="inlineStr">
        <is>
          <t>Metric score + confidence</t>
        </is>
      </c>
    </row>
    <row r="32">
      <c r="A32" t="inlineStr">
        <is>
          <t>D03</t>
        </is>
      </c>
      <c r="B32" t="inlineStr">
        <is>
          <t>I07</t>
        </is>
      </c>
      <c r="C32" t="inlineStr">
        <is>
          <t>Judgement Capability</t>
        </is>
      </c>
      <c r="D32" t="inlineStr">
        <is>
          <t>CORE</t>
        </is>
      </c>
      <c r="E32" t="inlineStr">
        <is>
          <t>Adaptive diagnostic</t>
        </is>
      </c>
      <c r="F32" t="inlineStr">
        <is>
          <t>Sampled evidence</t>
        </is>
      </c>
      <c r="G32" t="inlineStr">
        <is>
          <t>Calibrated review</t>
        </is>
      </c>
      <c r="H32" t="inlineStr">
        <is>
          <t>Metric score + confidence</t>
        </is>
      </c>
    </row>
    <row r="33">
      <c r="A33" t="inlineStr">
        <is>
          <t>D03</t>
        </is>
      </c>
      <c r="B33" t="inlineStr">
        <is>
          <t>I08</t>
        </is>
      </c>
      <c r="C33" t="inlineStr">
        <is>
          <t>AI Verification Capability</t>
        </is>
      </c>
      <c r="D33" t="inlineStr">
        <is>
          <t>CORE</t>
        </is>
      </c>
      <c r="E33" t="inlineStr">
        <is>
          <t>Adaptive diagnostic</t>
        </is>
      </c>
      <c r="F33" t="inlineStr">
        <is>
          <t>Sampled evidence</t>
        </is>
      </c>
      <c r="G33" t="inlineStr">
        <is>
          <t>Calibrated review</t>
        </is>
      </c>
      <c r="H33" t="inlineStr">
        <is>
          <t>Metric score + confidence</t>
        </is>
      </c>
    </row>
    <row r="34">
      <c r="A34" t="inlineStr">
        <is>
          <t>D03</t>
        </is>
      </c>
      <c r="B34" t="inlineStr">
        <is>
          <t>I09</t>
        </is>
      </c>
      <c r="C34" t="inlineStr">
        <is>
          <t>Metacognitive Capability</t>
        </is>
      </c>
      <c r="D34" t="inlineStr">
        <is>
          <t>CORE</t>
        </is>
      </c>
      <c r="E34" t="inlineStr">
        <is>
          <t>Adaptive diagnostic</t>
        </is>
      </c>
      <c r="F34" t="inlineStr">
        <is>
          <t>Sampled evidence</t>
        </is>
      </c>
      <c r="G34" t="inlineStr">
        <is>
          <t>Calibrated review</t>
        </is>
      </c>
      <c r="H34" t="inlineStr">
        <is>
          <t>Metric score + confidence</t>
        </is>
      </c>
    </row>
    <row r="35">
      <c r="A35" t="inlineStr">
        <is>
          <t>D03</t>
        </is>
      </c>
      <c r="B35" t="inlineStr">
        <is>
          <t>I10</t>
        </is>
      </c>
      <c r="C35" t="inlineStr">
        <is>
          <t>Human-AI Collaboration</t>
        </is>
      </c>
      <c r="D35" t="inlineStr">
        <is>
          <t>CORE</t>
        </is>
      </c>
      <c r="E35" t="inlineStr">
        <is>
          <t>Adaptive diagnostic</t>
        </is>
      </c>
      <c r="F35" t="inlineStr">
        <is>
          <t>Sampled evidence</t>
        </is>
      </c>
      <c r="G35" t="inlineStr">
        <is>
          <t>Calibrated review</t>
        </is>
      </c>
      <c r="H35" t="inlineStr">
        <is>
          <t>Metric score + confidence</t>
        </is>
      </c>
    </row>
    <row r="36">
      <c r="A36" t="inlineStr">
        <is>
          <t>D03</t>
        </is>
      </c>
      <c r="B36" t="inlineStr">
        <is>
          <t>I11</t>
        </is>
      </c>
      <c r="C36" t="inlineStr">
        <is>
          <t>Communication &amp; Defence</t>
        </is>
      </c>
      <c r="D36" t="inlineStr">
        <is>
          <t>CORE</t>
        </is>
      </c>
      <c r="E36" t="inlineStr">
        <is>
          <t>Adaptive diagnostic</t>
        </is>
      </c>
      <c r="F36" t="inlineStr">
        <is>
          <t>Sampled evidence</t>
        </is>
      </c>
      <c r="G36" t="inlineStr">
        <is>
          <t>Calibrated review</t>
        </is>
      </c>
      <c r="H36" t="inlineStr">
        <is>
          <t>Metric score + confidence</t>
        </is>
      </c>
    </row>
    <row r="37">
      <c r="A37" t="inlineStr">
        <is>
          <t>D03</t>
        </is>
      </c>
      <c r="B37" t="inlineStr">
        <is>
          <t>I12</t>
        </is>
      </c>
      <c r="C37" t="inlineStr">
        <is>
          <t>Collaboration Capability</t>
        </is>
      </c>
      <c r="D37" t="inlineStr">
        <is>
          <t>CORE</t>
        </is>
      </c>
      <c r="E37" t="inlineStr">
        <is>
          <t>Adaptive diagnostic</t>
        </is>
      </c>
      <c r="F37" t="inlineStr">
        <is>
          <t>Sampled evidence</t>
        </is>
      </c>
      <c r="G37" t="inlineStr">
        <is>
          <t>Calibrated review</t>
        </is>
      </c>
      <c r="H37" t="inlineStr">
        <is>
          <t>Metric score + confidence</t>
        </is>
      </c>
    </row>
    <row r="38">
      <c r="A38" t="inlineStr">
        <is>
          <t>D03</t>
        </is>
      </c>
      <c r="B38" t="inlineStr">
        <is>
          <t>I13</t>
        </is>
      </c>
      <c r="C38" t="inlineStr">
        <is>
          <t>Practical Capability</t>
        </is>
      </c>
      <c r="D38" t="inlineStr">
        <is>
          <t>CORE</t>
        </is>
      </c>
      <c r="E38" t="inlineStr">
        <is>
          <t>Adaptive diagnostic</t>
        </is>
      </c>
      <c r="F38" t="inlineStr">
        <is>
          <t>Sampled evidence</t>
        </is>
      </c>
      <c r="G38" t="inlineStr">
        <is>
          <t>Calibrated review</t>
        </is>
      </c>
      <c r="H38" t="inlineStr">
        <is>
          <t>Metric score + confidence</t>
        </is>
      </c>
    </row>
    <row r="39">
      <c r="A39" t="inlineStr">
        <is>
          <t>D03</t>
        </is>
      </c>
      <c r="B39" t="inlineStr">
        <is>
          <t>I14</t>
        </is>
      </c>
      <c r="C39" t="inlineStr">
        <is>
          <t>Ethical/Social Judgement</t>
        </is>
      </c>
      <c r="D39" t="inlineStr">
        <is>
          <t>CORE</t>
        </is>
      </c>
      <c r="E39" t="inlineStr">
        <is>
          <t>Adaptive diagnostic</t>
        </is>
      </c>
      <c r="F39" t="inlineStr">
        <is>
          <t>Sampled evidence</t>
        </is>
      </c>
      <c r="G39" t="inlineStr">
        <is>
          <t>Calibrated review</t>
        </is>
      </c>
      <c r="H39" t="inlineStr">
        <is>
          <t>Metric score + confidence</t>
        </is>
      </c>
    </row>
    <row r="40">
      <c r="A40" t="inlineStr">
        <is>
          <t>D03</t>
        </is>
      </c>
      <c r="B40" t="inlineStr">
        <is>
          <t>I15</t>
        </is>
      </c>
      <c r="C40" t="inlineStr">
        <is>
          <t>Intellectual Agency</t>
        </is>
      </c>
      <c r="D40" t="inlineStr">
        <is>
          <t>CORE</t>
        </is>
      </c>
      <c r="E40" t="inlineStr">
        <is>
          <t>Adaptive diagnostic</t>
        </is>
      </c>
      <c r="F40" t="inlineStr">
        <is>
          <t>Sampled evidence</t>
        </is>
      </c>
      <c r="G40" t="inlineStr">
        <is>
          <t>Calibrated review</t>
        </is>
      </c>
      <c r="H40" t="inlineStr">
        <is>
          <t>Metric score + confidence</t>
        </is>
      </c>
    </row>
    <row r="41">
      <c r="A41" t="inlineStr">
        <is>
          <t>D03</t>
        </is>
      </c>
      <c r="B41" t="inlineStr">
        <is>
          <t>I16</t>
        </is>
      </c>
      <c r="C41" t="inlineStr">
        <is>
          <t>Transfer Capability</t>
        </is>
      </c>
      <c r="D41" t="inlineStr">
        <is>
          <t>CORE</t>
        </is>
      </c>
      <c r="E41" t="inlineStr">
        <is>
          <t>Adaptive diagnostic</t>
        </is>
      </c>
      <c r="F41" t="inlineStr">
        <is>
          <t>Sampled evidence</t>
        </is>
      </c>
      <c r="G41" t="inlineStr">
        <is>
          <t>Calibrated review</t>
        </is>
      </c>
      <c r="H41" t="inlineStr">
        <is>
          <t>Metric score + confidence</t>
        </is>
      </c>
    </row>
    <row r="42">
      <c r="A42" t="inlineStr">
        <is>
          <t>D03</t>
        </is>
      </c>
      <c r="B42" t="inlineStr">
        <is>
          <t>I17</t>
        </is>
      </c>
      <c r="C42" t="inlineStr">
        <is>
          <t>Non-Technical Discipline AI Capability</t>
        </is>
      </c>
      <c r="D42" t="inlineStr">
        <is>
          <t>CORE</t>
        </is>
      </c>
      <c r="E42" t="inlineStr">
        <is>
          <t>Adaptive diagnostic</t>
        </is>
      </c>
      <c r="F42" t="inlineStr">
        <is>
          <t>Sampled evidence</t>
        </is>
      </c>
      <c r="G42" t="inlineStr">
        <is>
          <t>Calibrated review</t>
        </is>
      </c>
      <c r="H42" t="inlineStr">
        <is>
          <t>Metric score + confidence</t>
        </is>
      </c>
    </row>
    <row r="43">
      <c r="A43" t="inlineStr">
        <is>
          <t>D04</t>
        </is>
      </c>
      <c r="B43" t="inlineStr">
        <is>
          <t>I01</t>
        </is>
      </c>
      <c r="C43" t="inlineStr">
        <is>
          <t>Curriculum Sensing Maturity</t>
        </is>
      </c>
      <c r="D43" t="inlineStr">
        <is>
          <t>CORE</t>
        </is>
      </c>
      <c r="E43" t="inlineStr">
        <is>
          <t>Adaptive diagnostic</t>
        </is>
      </c>
      <c r="F43" t="inlineStr">
        <is>
          <t>Sampled evidence</t>
        </is>
      </c>
      <c r="G43" t="inlineStr">
        <is>
          <t>Calibrated review</t>
        </is>
      </c>
      <c r="H43" t="inlineStr">
        <is>
          <t>Metric score + confidence</t>
        </is>
      </c>
    </row>
    <row r="44">
      <c r="A44" t="inlineStr">
        <is>
          <t>D04</t>
        </is>
      </c>
      <c r="B44" t="inlineStr">
        <is>
          <t>I02</t>
        </is>
      </c>
      <c r="C44" t="inlineStr">
        <is>
          <t>Future Learning Outcome Alignment</t>
        </is>
      </c>
      <c r="D44" t="inlineStr">
        <is>
          <t>CORE</t>
        </is>
      </c>
      <c r="E44" t="inlineStr">
        <is>
          <t>Adaptive diagnostic</t>
        </is>
      </c>
      <c r="F44" t="inlineStr">
        <is>
          <t>Sampled evidence</t>
        </is>
      </c>
      <c r="G44" t="inlineStr">
        <is>
          <t>Calibrated review</t>
        </is>
      </c>
      <c r="H44" t="inlineStr">
        <is>
          <t>Metric score + confidence</t>
        </is>
      </c>
    </row>
    <row r="45">
      <c r="A45" t="inlineStr">
        <is>
          <t>D04</t>
        </is>
      </c>
      <c r="B45" t="inlineStr">
        <is>
          <t>I03</t>
        </is>
      </c>
      <c r="C45" t="inlineStr">
        <is>
          <t>Programme Review Effectiveness</t>
        </is>
      </c>
      <c r="D45" t="inlineStr">
        <is>
          <t>CORE</t>
        </is>
      </c>
      <c r="E45" t="inlineStr">
        <is>
          <t>Adaptive diagnostic</t>
        </is>
      </c>
      <c r="F45" t="inlineStr">
        <is>
          <t>Sampled evidence</t>
        </is>
      </c>
      <c r="G45" t="inlineStr">
        <is>
          <t>Calibrated review</t>
        </is>
      </c>
      <c r="H45" t="inlineStr">
        <is>
          <t>Metric score + confidence</t>
        </is>
      </c>
    </row>
    <row r="46">
      <c r="A46" t="inlineStr">
        <is>
          <t>D04</t>
        </is>
      </c>
      <c r="B46" t="inlineStr">
        <is>
          <t>I04</t>
        </is>
      </c>
      <c r="C46" t="inlineStr">
        <is>
          <t>Disciplinary AI Integration Depth</t>
        </is>
      </c>
      <c r="D46" t="inlineStr">
        <is>
          <t>CORE</t>
        </is>
      </c>
      <c r="E46" t="inlineStr">
        <is>
          <t>Adaptive diagnostic</t>
        </is>
      </c>
      <c r="F46" t="inlineStr">
        <is>
          <t>Sampled evidence</t>
        </is>
      </c>
      <c r="G46" t="inlineStr">
        <is>
          <t>Calibrated review</t>
        </is>
      </c>
      <c r="H46" t="inlineStr">
        <is>
          <t>Metric score + confidence</t>
        </is>
      </c>
    </row>
    <row r="47">
      <c r="A47" t="inlineStr">
        <is>
          <t>D04</t>
        </is>
      </c>
      <c r="B47" t="inlineStr">
        <is>
          <t>I05</t>
        </is>
      </c>
      <c r="C47" t="inlineStr">
        <is>
          <t>Content Obsolescence Response</t>
        </is>
      </c>
      <c r="D47" t="inlineStr">
        <is>
          <t>CORE</t>
        </is>
      </c>
      <c r="E47" t="inlineStr">
        <is>
          <t>Adaptive diagnostic</t>
        </is>
      </c>
      <c r="F47" t="inlineStr">
        <is>
          <t>Sampled evidence</t>
        </is>
      </c>
      <c r="G47" t="inlineStr">
        <is>
          <t>Calibrated review</t>
        </is>
      </c>
      <c r="H47" t="inlineStr">
        <is>
          <t>Metric score + confidence</t>
        </is>
      </c>
    </row>
    <row r="48">
      <c r="A48" t="inlineStr">
        <is>
          <t>D04</t>
        </is>
      </c>
      <c r="B48" t="inlineStr">
        <is>
          <t>I06</t>
        </is>
      </c>
      <c r="C48" t="inlineStr">
        <is>
          <t>Experiential Learning Strength</t>
        </is>
      </c>
      <c r="D48" t="inlineStr">
        <is>
          <t>CORE</t>
        </is>
      </c>
      <c r="E48" t="inlineStr">
        <is>
          <t>Adaptive diagnostic</t>
        </is>
      </c>
      <c r="F48" t="inlineStr">
        <is>
          <t>Sampled evidence</t>
        </is>
      </c>
      <c r="G48" t="inlineStr">
        <is>
          <t>Calibrated review</t>
        </is>
      </c>
      <c r="H48" t="inlineStr">
        <is>
          <t>Metric score + confidence</t>
        </is>
      </c>
    </row>
    <row r="49">
      <c r="A49" t="inlineStr">
        <is>
          <t>D04</t>
        </is>
      </c>
      <c r="B49" t="inlineStr">
        <is>
          <t>I07</t>
        </is>
      </c>
      <c r="C49" t="inlineStr">
        <is>
          <t>Interdisciplinary Flexibility</t>
        </is>
      </c>
      <c r="D49" t="inlineStr">
        <is>
          <t>CORE</t>
        </is>
      </c>
      <c r="E49" t="inlineStr">
        <is>
          <t>Adaptive diagnostic</t>
        </is>
      </c>
      <c r="F49" t="inlineStr">
        <is>
          <t>Sampled evidence</t>
        </is>
      </c>
      <c r="G49" t="inlineStr">
        <is>
          <t>Calibrated review</t>
        </is>
      </c>
      <c r="H49" t="inlineStr">
        <is>
          <t>Metric score + confidence</t>
        </is>
      </c>
    </row>
    <row r="50">
      <c r="A50" t="inlineStr">
        <is>
          <t>D04</t>
        </is>
      </c>
      <c r="B50" t="inlineStr">
        <is>
          <t>I08</t>
        </is>
      </c>
      <c r="C50" t="inlineStr">
        <is>
          <t>Programme Agility</t>
        </is>
      </c>
      <c r="D50" t="inlineStr">
        <is>
          <t>CORE</t>
        </is>
      </c>
      <c r="E50" t="inlineStr">
        <is>
          <t>Adaptive diagnostic</t>
        </is>
      </c>
      <c r="F50" t="inlineStr">
        <is>
          <t>Sampled evidence</t>
        </is>
      </c>
      <c r="G50" t="inlineStr">
        <is>
          <t>Calibrated review</t>
        </is>
      </c>
      <c r="H50" t="inlineStr">
        <is>
          <t>Metric score + confidence</t>
        </is>
      </c>
    </row>
    <row r="51">
      <c r="A51" t="inlineStr">
        <is>
          <t>D04</t>
        </is>
      </c>
      <c r="B51" t="inlineStr">
        <is>
          <t>I09</t>
        </is>
      </c>
      <c r="C51" t="inlineStr">
        <is>
          <t>External Validation Strength</t>
        </is>
      </c>
      <c r="D51" t="inlineStr">
        <is>
          <t>CORE</t>
        </is>
      </c>
      <c r="E51" t="inlineStr">
        <is>
          <t>Adaptive diagnostic</t>
        </is>
      </c>
      <c r="F51" t="inlineStr">
        <is>
          <t>Sampled evidence</t>
        </is>
      </c>
      <c r="G51" t="inlineStr">
        <is>
          <t>Calibrated review</t>
        </is>
      </c>
      <c r="H51" t="inlineStr">
        <is>
          <t>Metric score + confidence</t>
        </is>
      </c>
    </row>
    <row r="52">
      <c r="A52" t="inlineStr">
        <is>
          <t>D04</t>
        </is>
      </c>
      <c r="B52" t="inlineStr">
        <is>
          <t>I10</t>
        </is>
      </c>
      <c r="C52" t="inlineStr">
        <is>
          <t>External Learning Ecosystem</t>
        </is>
      </c>
      <c r="D52" t="inlineStr">
        <is>
          <t>CORE</t>
        </is>
      </c>
      <c r="E52" t="inlineStr">
        <is>
          <t>Adaptive diagnostic</t>
        </is>
      </c>
      <c r="F52" t="inlineStr">
        <is>
          <t>Sampled evidence</t>
        </is>
      </c>
      <c r="G52" t="inlineStr">
        <is>
          <t>Calibrated review</t>
        </is>
      </c>
      <c r="H52" t="inlineStr">
        <is>
          <t>Metric score + confidence</t>
        </is>
      </c>
    </row>
    <row r="53">
      <c r="A53" t="inlineStr">
        <is>
          <t>D04</t>
        </is>
      </c>
      <c r="B53" t="inlineStr">
        <is>
          <t>I11</t>
        </is>
      </c>
      <c r="C53" t="inlineStr">
        <is>
          <t>Transfer Capability</t>
        </is>
      </c>
      <c r="D53" t="inlineStr">
        <is>
          <t>CORE</t>
        </is>
      </c>
      <c r="E53" t="inlineStr">
        <is>
          <t>Adaptive diagnostic</t>
        </is>
      </c>
      <c r="F53" t="inlineStr">
        <is>
          <t>Sampled evidence</t>
        </is>
      </c>
      <c r="G53" t="inlineStr">
        <is>
          <t>Calibrated review</t>
        </is>
      </c>
      <c r="H53" t="inlineStr">
        <is>
          <t>Metric score + confidence</t>
        </is>
      </c>
    </row>
    <row r="54">
      <c r="A54" t="inlineStr">
        <is>
          <t>D04</t>
        </is>
      </c>
      <c r="B54" t="inlineStr">
        <is>
          <t>I12</t>
        </is>
      </c>
      <c r="C54" t="inlineStr">
        <is>
          <t>Portfolio Foresight</t>
        </is>
      </c>
      <c r="D54" t="inlineStr">
        <is>
          <t>CORE</t>
        </is>
      </c>
      <c r="E54" t="inlineStr">
        <is>
          <t>Adaptive diagnostic</t>
        </is>
      </c>
      <c r="F54" t="inlineStr">
        <is>
          <t>Sampled evidence</t>
        </is>
      </c>
      <c r="G54" t="inlineStr">
        <is>
          <t>Calibrated review</t>
        </is>
      </c>
      <c r="H54" t="inlineStr">
        <is>
          <t>Metric score + confidence</t>
        </is>
      </c>
    </row>
    <row r="55">
      <c r="A55" t="inlineStr">
        <is>
          <t>D05</t>
        </is>
      </c>
      <c r="B55" t="inlineStr">
        <is>
          <t>I01</t>
        </is>
      </c>
      <c r="C55" t="inlineStr">
        <is>
          <t>Faculty AI Literacy Maturity</t>
        </is>
      </c>
      <c r="D55" t="inlineStr">
        <is>
          <t>CORE</t>
        </is>
      </c>
      <c r="E55" t="inlineStr">
        <is>
          <t>Adaptive diagnostic</t>
        </is>
      </c>
      <c r="F55" t="inlineStr">
        <is>
          <t>Sampled evidence</t>
        </is>
      </c>
      <c r="G55" t="inlineStr">
        <is>
          <t>Calibrated review</t>
        </is>
      </c>
      <c r="H55" t="inlineStr">
        <is>
          <t>Metric score + confidence</t>
        </is>
      </c>
    </row>
    <row r="56">
      <c r="A56" t="inlineStr">
        <is>
          <t>D05</t>
        </is>
      </c>
      <c r="B56" t="inlineStr">
        <is>
          <t>I02</t>
        </is>
      </c>
      <c r="C56" t="inlineStr">
        <is>
          <t>Discipline-Specific AI Practice</t>
        </is>
      </c>
      <c r="D56" t="inlineStr">
        <is>
          <t>CORE</t>
        </is>
      </c>
      <c r="E56" t="inlineStr">
        <is>
          <t>Adaptive diagnostic</t>
        </is>
      </c>
      <c r="F56" t="inlineStr">
        <is>
          <t>Sampled evidence</t>
        </is>
      </c>
      <c r="G56" t="inlineStr">
        <is>
          <t>Calibrated review</t>
        </is>
      </c>
      <c r="H56" t="inlineStr">
        <is>
          <t>Metric score + confidence</t>
        </is>
      </c>
    </row>
    <row r="57">
      <c r="A57" t="inlineStr">
        <is>
          <t>D05</t>
        </is>
      </c>
      <c r="B57" t="inlineStr">
        <is>
          <t>I03</t>
        </is>
      </c>
      <c r="C57" t="inlineStr">
        <is>
          <t>AI-Enhanced Pedagogy</t>
        </is>
      </c>
      <c r="D57" t="inlineStr">
        <is>
          <t>CORE</t>
        </is>
      </c>
      <c r="E57" t="inlineStr">
        <is>
          <t>Adaptive diagnostic</t>
        </is>
      </c>
      <c r="F57" t="inlineStr">
        <is>
          <t>Sampled evidence</t>
        </is>
      </c>
      <c r="G57" t="inlineStr">
        <is>
          <t>Calibrated review</t>
        </is>
      </c>
      <c r="H57" t="inlineStr">
        <is>
          <t>Metric score + confidence</t>
        </is>
      </c>
    </row>
    <row r="58">
      <c r="A58" t="inlineStr">
        <is>
          <t>D05</t>
        </is>
      </c>
      <c r="B58" t="inlineStr">
        <is>
          <t>I04</t>
        </is>
      </c>
      <c r="C58" t="inlineStr">
        <is>
          <t>Assessment Redesign Capability</t>
        </is>
      </c>
      <c r="D58" t="inlineStr">
        <is>
          <t>CORE</t>
        </is>
      </c>
      <c r="E58" t="inlineStr">
        <is>
          <t>Adaptive diagnostic</t>
        </is>
      </c>
      <c r="F58" t="inlineStr">
        <is>
          <t>Sampled evidence</t>
        </is>
      </c>
      <c r="G58" t="inlineStr">
        <is>
          <t>Calibrated review</t>
        </is>
      </c>
      <c r="H58" t="inlineStr">
        <is>
          <t>Metric score + confidence</t>
        </is>
      </c>
    </row>
    <row r="59">
      <c r="A59" t="inlineStr">
        <is>
          <t>D05</t>
        </is>
      </c>
      <c r="B59" t="inlineStr">
        <is>
          <t>I05</t>
        </is>
      </c>
      <c r="C59" t="inlineStr">
        <is>
          <t>Faculty Learning &amp; Development Effectiveness</t>
        </is>
      </c>
      <c r="D59" t="inlineStr">
        <is>
          <t>CORE</t>
        </is>
      </c>
      <c r="E59" t="inlineStr">
        <is>
          <t>Adaptive diagnostic</t>
        </is>
      </c>
      <c r="F59" t="inlineStr">
        <is>
          <t>Sampled evidence</t>
        </is>
      </c>
      <c r="G59" t="inlineStr">
        <is>
          <t>Calibrated review</t>
        </is>
      </c>
      <c r="H59" t="inlineStr">
        <is>
          <t>Metric score + confidence</t>
        </is>
      </c>
    </row>
    <row r="60">
      <c r="A60" t="inlineStr">
        <is>
          <t>D05</t>
        </is>
      </c>
      <c r="B60" t="inlineStr">
        <is>
          <t>I06</t>
        </is>
      </c>
      <c r="C60" t="inlineStr">
        <is>
          <t>Peer Learning &amp; Communities</t>
        </is>
      </c>
      <c r="D60" t="inlineStr">
        <is>
          <t>CORE</t>
        </is>
      </c>
      <c r="E60" t="inlineStr">
        <is>
          <t>Adaptive diagnostic</t>
        </is>
      </c>
      <c r="F60" t="inlineStr">
        <is>
          <t>Sampled evidence</t>
        </is>
      </c>
      <c r="G60" t="inlineStr">
        <is>
          <t>Calibrated review</t>
        </is>
      </c>
      <c r="H60" t="inlineStr">
        <is>
          <t>Metric score + confidence</t>
        </is>
      </c>
    </row>
    <row r="61">
      <c r="A61" t="inlineStr">
        <is>
          <t>D05</t>
        </is>
      </c>
      <c r="B61" t="inlineStr">
        <is>
          <t>I07</t>
        </is>
      </c>
      <c r="C61" t="inlineStr">
        <is>
          <t>AI Research &amp; Knowledge Creation</t>
        </is>
      </c>
      <c r="D61" t="inlineStr">
        <is>
          <t>CORE</t>
        </is>
      </c>
      <c r="E61" t="inlineStr">
        <is>
          <t>Adaptive diagnostic</t>
        </is>
      </c>
      <c r="F61" t="inlineStr">
        <is>
          <t>Sampled evidence</t>
        </is>
      </c>
      <c r="G61" t="inlineStr">
        <is>
          <t>Calibrated review</t>
        </is>
      </c>
      <c r="H61" t="inlineStr">
        <is>
          <t>Metric score + confidence</t>
        </is>
      </c>
    </row>
    <row r="62">
      <c r="A62" t="inlineStr">
        <is>
          <t>D05</t>
        </is>
      </c>
      <c r="B62" t="inlineStr">
        <is>
          <t>I08</t>
        </is>
      </c>
      <c r="C62" t="inlineStr">
        <is>
          <t>Academic Role Redesign</t>
        </is>
      </c>
      <c r="D62" t="inlineStr">
        <is>
          <t>CORE</t>
        </is>
      </c>
      <c r="E62" t="inlineStr">
        <is>
          <t>Adaptive diagnostic</t>
        </is>
      </c>
      <c r="F62" t="inlineStr">
        <is>
          <t>Sampled evidence</t>
        </is>
      </c>
      <c r="G62" t="inlineStr">
        <is>
          <t>Calibrated review</t>
        </is>
      </c>
      <c r="H62" t="inlineStr">
        <is>
          <t>Metric score + confidence</t>
        </is>
      </c>
    </row>
    <row r="63">
      <c r="A63" t="inlineStr">
        <is>
          <t>D05</t>
        </is>
      </c>
      <c r="B63" t="inlineStr">
        <is>
          <t>I09</t>
        </is>
      </c>
      <c r="C63" t="inlineStr">
        <is>
          <t>Workload &amp; Workflow Transformation</t>
        </is>
      </c>
      <c r="D63" t="inlineStr">
        <is>
          <t>CORE</t>
        </is>
      </c>
      <c r="E63" t="inlineStr">
        <is>
          <t>Adaptive diagnostic</t>
        </is>
      </c>
      <c r="F63" t="inlineStr">
        <is>
          <t>Sampled evidence</t>
        </is>
      </c>
      <c r="G63" t="inlineStr">
        <is>
          <t>Calibrated review</t>
        </is>
      </c>
      <c r="H63" t="inlineStr">
        <is>
          <t>Metric score + confidence</t>
        </is>
      </c>
    </row>
    <row r="64">
      <c r="A64" t="inlineStr">
        <is>
          <t>D05</t>
        </is>
      </c>
      <c r="B64" t="inlineStr">
        <is>
          <t>I10</t>
        </is>
      </c>
      <c r="C64" t="inlineStr">
        <is>
          <t>Faculty Support Infrastructure</t>
        </is>
      </c>
      <c r="D64" t="inlineStr">
        <is>
          <t>CORE</t>
        </is>
      </c>
      <c r="E64" t="inlineStr">
        <is>
          <t>Adaptive diagnostic</t>
        </is>
      </c>
      <c r="F64" t="inlineStr">
        <is>
          <t>Sampled evidence</t>
        </is>
      </c>
      <c r="G64" t="inlineStr">
        <is>
          <t>Calibrated review</t>
        </is>
      </c>
      <c r="H64" t="inlineStr">
        <is>
          <t>Metric score + confidence</t>
        </is>
      </c>
    </row>
    <row r="65">
      <c r="A65" t="inlineStr">
        <is>
          <t>D05</t>
        </is>
      </c>
      <c r="B65" t="inlineStr">
        <is>
          <t>I11</t>
        </is>
      </c>
      <c r="C65" t="inlineStr">
        <is>
          <t>Academic Leadership for AI</t>
        </is>
      </c>
      <c r="D65" t="inlineStr">
        <is>
          <t>CORE</t>
        </is>
      </c>
      <c r="E65" t="inlineStr">
        <is>
          <t>Adaptive diagnostic</t>
        </is>
      </c>
      <c r="F65" t="inlineStr">
        <is>
          <t>Sampled evidence</t>
        </is>
      </c>
      <c r="G65" t="inlineStr">
        <is>
          <t>Calibrated review</t>
        </is>
      </c>
      <c r="H65" t="inlineStr">
        <is>
          <t>Metric score + confidence</t>
        </is>
      </c>
    </row>
    <row r="66">
      <c r="A66" t="inlineStr">
        <is>
          <t>D05</t>
        </is>
      </c>
      <c r="B66" t="inlineStr">
        <is>
          <t>I12</t>
        </is>
      </c>
      <c r="C66" t="inlineStr">
        <is>
          <t>Faculty Adoption Learning Loop</t>
        </is>
      </c>
      <c r="D66" t="inlineStr">
        <is>
          <t>CORE</t>
        </is>
      </c>
      <c r="E66" t="inlineStr">
        <is>
          <t>Adaptive diagnostic</t>
        </is>
      </c>
      <c r="F66" t="inlineStr">
        <is>
          <t>Sampled evidence</t>
        </is>
      </c>
      <c r="G66" t="inlineStr">
        <is>
          <t>Calibrated review</t>
        </is>
      </c>
      <c r="H66" t="inlineStr">
        <is>
          <t>Metric score + confidence</t>
        </is>
      </c>
    </row>
    <row r="67">
      <c r="A67" t="inlineStr">
        <is>
          <t>D06</t>
        </is>
      </c>
      <c r="B67" t="inlineStr">
        <is>
          <t>I01</t>
        </is>
      </c>
      <c r="C67" t="inlineStr">
        <is>
          <t>Student AI Literacy</t>
        </is>
      </c>
      <c r="D67" t="inlineStr">
        <is>
          <t>CORE</t>
        </is>
      </c>
      <c r="E67" t="inlineStr">
        <is>
          <t>Adaptive diagnostic</t>
        </is>
      </c>
      <c r="F67" t="inlineStr">
        <is>
          <t>Sampled evidence</t>
        </is>
      </c>
      <c r="G67" t="inlineStr">
        <is>
          <t>Calibrated review</t>
        </is>
      </c>
      <c r="H67" t="inlineStr">
        <is>
          <t>Metric score + confidence</t>
        </is>
      </c>
    </row>
    <row r="68">
      <c r="A68" t="inlineStr">
        <is>
          <t>D06</t>
        </is>
      </c>
      <c r="B68" t="inlineStr">
        <is>
          <t>I02</t>
        </is>
      </c>
      <c r="C68" t="inlineStr">
        <is>
          <t>Critical AI Evaluation</t>
        </is>
      </c>
      <c r="D68" t="inlineStr">
        <is>
          <t>CORE</t>
        </is>
      </c>
      <c r="E68" t="inlineStr">
        <is>
          <t>Adaptive diagnostic</t>
        </is>
      </c>
      <c r="F68" t="inlineStr">
        <is>
          <t>Sampled evidence</t>
        </is>
      </c>
      <c r="G68" t="inlineStr">
        <is>
          <t>Calibrated review</t>
        </is>
      </c>
      <c r="H68" t="inlineStr">
        <is>
          <t>Metric score + confidence</t>
        </is>
      </c>
    </row>
    <row r="69">
      <c r="A69" t="inlineStr">
        <is>
          <t>D06</t>
        </is>
      </c>
      <c r="B69" t="inlineStr">
        <is>
          <t>I03</t>
        </is>
      </c>
      <c r="C69" t="inlineStr">
        <is>
          <t>Learning Agency</t>
        </is>
      </c>
      <c r="D69" t="inlineStr">
        <is>
          <t>CORE</t>
        </is>
      </c>
      <c r="E69" t="inlineStr">
        <is>
          <t>Adaptive diagnostic</t>
        </is>
      </c>
      <c r="F69" t="inlineStr">
        <is>
          <t>Sampled evidence</t>
        </is>
      </c>
      <c r="G69" t="inlineStr">
        <is>
          <t>Calibrated review</t>
        </is>
      </c>
      <c r="H69" t="inlineStr">
        <is>
          <t>Metric score + confidence</t>
        </is>
      </c>
    </row>
    <row r="70">
      <c r="A70" t="inlineStr">
        <is>
          <t>D06</t>
        </is>
      </c>
      <c r="B70" t="inlineStr">
        <is>
          <t>I04</t>
        </is>
      </c>
      <c r="C70" t="inlineStr">
        <is>
          <t>Independent Intellectual Agency</t>
        </is>
      </c>
      <c r="D70" t="inlineStr">
        <is>
          <t>CORE</t>
        </is>
      </c>
      <c r="E70" t="inlineStr">
        <is>
          <t>Adaptive diagnostic</t>
        </is>
      </c>
      <c r="F70" t="inlineStr">
        <is>
          <t>Sampled evidence</t>
        </is>
      </c>
      <c r="G70" t="inlineStr">
        <is>
          <t>Calibrated review</t>
        </is>
      </c>
      <c r="H70" t="inlineStr">
        <is>
          <t>Metric score + confidence</t>
        </is>
      </c>
    </row>
    <row r="71">
      <c r="A71" t="inlineStr">
        <is>
          <t>D06</t>
        </is>
      </c>
      <c r="B71" t="inlineStr">
        <is>
          <t>I05</t>
        </is>
      </c>
      <c r="C71" t="inlineStr">
        <is>
          <t>Communication &amp; Defence</t>
        </is>
      </c>
      <c r="D71" t="inlineStr">
        <is>
          <t>CORE</t>
        </is>
      </c>
      <c r="E71" t="inlineStr">
        <is>
          <t>Adaptive diagnostic</t>
        </is>
      </c>
      <c r="F71" t="inlineStr">
        <is>
          <t>Sampled evidence</t>
        </is>
      </c>
      <c r="G71" t="inlineStr">
        <is>
          <t>Calibrated review</t>
        </is>
      </c>
      <c r="H71" t="inlineStr">
        <is>
          <t>Metric score + confidence</t>
        </is>
      </c>
    </row>
    <row r="72">
      <c r="A72" t="inlineStr">
        <is>
          <t>D06</t>
        </is>
      </c>
      <c r="B72" t="inlineStr">
        <is>
          <t>I06</t>
        </is>
      </c>
      <c r="C72" t="inlineStr">
        <is>
          <t>Collaboration Capability</t>
        </is>
      </c>
      <c r="D72" t="inlineStr">
        <is>
          <t>CORE</t>
        </is>
      </c>
      <c r="E72" t="inlineStr">
        <is>
          <t>Adaptive diagnostic</t>
        </is>
      </c>
      <c r="F72" t="inlineStr">
        <is>
          <t>Sampled evidence</t>
        </is>
      </c>
      <c r="G72" t="inlineStr">
        <is>
          <t>Calibrated review</t>
        </is>
      </c>
      <c r="H72" t="inlineStr">
        <is>
          <t>Metric score + confidence</t>
        </is>
      </c>
    </row>
    <row r="73">
      <c r="A73" t="inlineStr">
        <is>
          <t>D06</t>
        </is>
      </c>
      <c r="B73" t="inlineStr">
        <is>
          <t>I07</t>
        </is>
      </c>
      <c r="C73" t="inlineStr">
        <is>
          <t>Practical Capability</t>
        </is>
      </c>
      <c r="D73" t="inlineStr">
        <is>
          <t>CORE</t>
        </is>
      </c>
      <c r="E73" t="inlineStr">
        <is>
          <t>Adaptive diagnostic</t>
        </is>
      </c>
      <c r="F73" t="inlineStr">
        <is>
          <t>Sampled evidence</t>
        </is>
      </c>
      <c r="G73" t="inlineStr">
        <is>
          <t>Calibrated review</t>
        </is>
      </c>
      <c r="H73" t="inlineStr">
        <is>
          <t>Metric score + confidence</t>
        </is>
      </c>
    </row>
    <row r="74">
      <c r="A74" t="inlineStr">
        <is>
          <t>D06</t>
        </is>
      </c>
      <c r="B74" t="inlineStr">
        <is>
          <t>I08</t>
        </is>
      </c>
      <c r="C74" t="inlineStr">
        <is>
          <t>Career Adaptability</t>
        </is>
      </c>
      <c r="D74" t="inlineStr">
        <is>
          <t>CORE</t>
        </is>
      </c>
      <c r="E74" t="inlineStr">
        <is>
          <t>Adaptive diagnostic</t>
        </is>
      </c>
      <c r="F74" t="inlineStr">
        <is>
          <t>Sampled evidence</t>
        </is>
      </c>
      <c r="G74" t="inlineStr">
        <is>
          <t>Calibrated review</t>
        </is>
      </c>
      <c r="H74" t="inlineStr">
        <is>
          <t>Metric score + confidence</t>
        </is>
      </c>
    </row>
    <row r="75">
      <c r="A75" t="inlineStr">
        <is>
          <t>D06</t>
        </is>
      </c>
      <c r="B75" t="inlineStr">
        <is>
          <t>I09</t>
        </is>
      </c>
      <c r="C75" t="inlineStr">
        <is>
          <t>Portfolio &amp; Capability Signalling</t>
        </is>
      </c>
      <c r="D75" t="inlineStr">
        <is>
          <t>CORE</t>
        </is>
      </c>
      <c r="E75" t="inlineStr">
        <is>
          <t>Adaptive diagnostic</t>
        </is>
      </c>
      <c r="F75" t="inlineStr">
        <is>
          <t>Sampled evidence</t>
        </is>
      </c>
      <c r="G75" t="inlineStr">
        <is>
          <t>Calibrated review</t>
        </is>
      </c>
      <c r="H75" t="inlineStr">
        <is>
          <t>Metric score + confidence</t>
        </is>
      </c>
    </row>
    <row r="76">
      <c r="A76" t="inlineStr">
        <is>
          <t>D06</t>
        </is>
      </c>
      <c r="B76" t="inlineStr">
        <is>
          <t>I10</t>
        </is>
      </c>
      <c r="C76" t="inlineStr">
        <is>
          <t>Problem Solving &amp; Transfer</t>
        </is>
      </c>
      <c r="D76" t="inlineStr">
        <is>
          <t>CORE</t>
        </is>
      </c>
      <c r="E76" t="inlineStr">
        <is>
          <t>Adaptive diagnostic</t>
        </is>
      </c>
      <c r="F76" t="inlineStr">
        <is>
          <t>Sampled evidence</t>
        </is>
      </c>
      <c r="G76" t="inlineStr">
        <is>
          <t>Calibrated review</t>
        </is>
      </c>
      <c r="H76" t="inlineStr">
        <is>
          <t>Metric score + confidence</t>
        </is>
      </c>
    </row>
    <row r="77">
      <c r="A77" t="inlineStr">
        <is>
          <t>D06</t>
        </is>
      </c>
      <c r="B77" t="inlineStr">
        <is>
          <t>I11</t>
        </is>
      </c>
      <c r="C77" t="inlineStr">
        <is>
          <t>Creator &amp; Entrepreneurial Agency</t>
        </is>
      </c>
      <c r="D77" t="inlineStr">
        <is>
          <t>CORE</t>
        </is>
      </c>
      <c r="E77" t="inlineStr">
        <is>
          <t>Adaptive diagnostic</t>
        </is>
      </c>
      <c r="F77" t="inlineStr">
        <is>
          <t>Sampled evidence</t>
        </is>
      </c>
      <c r="G77" t="inlineStr">
        <is>
          <t>Calibrated review</t>
        </is>
      </c>
      <c r="H77" t="inlineStr">
        <is>
          <t>Metric score + confidence</t>
        </is>
      </c>
    </row>
    <row r="78">
      <c r="A78" t="inlineStr">
        <is>
          <t>D06</t>
        </is>
      </c>
      <c r="B78" t="inlineStr">
        <is>
          <t>I12</t>
        </is>
      </c>
      <c r="C78" t="inlineStr">
        <is>
          <t>Digital Citizenship &amp; Responsible Use</t>
        </is>
      </c>
      <c r="D78" t="inlineStr">
        <is>
          <t>CORE</t>
        </is>
      </c>
      <c r="E78" t="inlineStr">
        <is>
          <t>Adaptive diagnostic</t>
        </is>
      </c>
      <c r="F78" t="inlineStr">
        <is>
          <t>Sampled evidence</t>
        </is>
      </c>
      <c r="G78" t="inlineStr">
        <is>
          <t>Calibrated review</t>
        </is>
      </c>
      <c r="H78" t="inlineStr">
        <is>
          <t>Metric score + confidence</t>
        </is>
      </c>
    </row>
    <row r="79">
      <c r="A79" t="inlineStr">
        <is>
          <t>D06</t>
        </is>
      </c>
      <c r="B79" t="inlineStr">
        <is>
          <t>I13</t>
        </is>
      </c>
      <c r="C79" t="inlineStr">
        <is>
          <t>Equitable AI Access</t>
        </is>
      </c>
      <c r="D79" t="inlineStr">
        <is>
          <t>CORE</t>
        </is>
      </c>
      <c r="E79" t="inlineStr">
        <is>
          <t>Adaptive diagnostic</t>
        </is>
      </c>
      <c r="F79" t="inlineStr">
        <is>
          <t>Sampled evidence</t>
        </is>
      </c>
      <c r="G79" t="inlineStr">
        <is>
          <t>Calibrated review</t>
        </is>
      </c>
      <c r="H79" t="inlineStr">
        <is>
          <t>Metric score + confidence</t>
        </is>
      </c>
    </row>
    <row r="80">
      <c r="A80" t="inlineStr">
        <is>
          <t>D06</t>
        </is>
      </c>
      <c r="B80" t="inlineStr">
        <is>
          <t>I14</t>
        </is>
      </c>
      <c r="C80" t="inlineStr">
        <is>
          <t>Student Voice &amp; Feedback Loop</t>
        </is>
      </c>
      <c r="D80" t="inlineStr">
        <is>
          <t>CORE</t>
        </is>
      </c>
      <c r="E80" t="inlineStr">
        <is>
          <t>Adaptive diagnostic</t>
        </is>
      </c>
      <c r="F80" t="inlineStr">
        <is>
          <t>Sampled evidence</t>
        </is>
      </c>
      <c r="G80" t="inlineStr">
        <is>
          <t>Calibrated review</t>
        </is>
      </c>
      <c r="H80" t="inlineStr">
        <is>
          <t>Metric score + confidence</t>
        </is>
      </c>
    </row>
    <row r="81">
      <c r="A81" t="inlineStr">
        <is>
          <t>D07</t>
        </is>
      </c>
      <c r="B81" t="inlineStr">
        <is>
          <t>I01</t>
        </is>
      </c>
      <c r="C81" t="inlineStr">
        <is>
          <t>Assessment Design Maturity</t>
        </is>
      </c>
      <c r="D81" t="inlineStr">
        <is>
          <t>CORE</t>
        </is>
      </c>
      <c r="E81" t="inlineStr">
        <is>
          <t>Adaptive diagnostic</t>
        </is>
      </c>
      <c r="F81" t="inlineStr">
        <is>
          <t>Sampled evidence</t>
        </is>
      </c>
      <c r="G81" t="inlineStr">
        <is>
          <t>Calibrated review</t>
        </is>
      </c>
      <c r="H81" t="inlineStr">
        <is>
          <t>Metric score + confidence</t>
        </is>
      </c>
    </row>
    <row r="82">
      <c r="A82" t="inlineStr">
        <is>
          <t>D07</t>
        </is>
      </c>
      <c r="B82" t="inlineStr">
        <is>
          <t>I02</t>
        </is>
      </c>
      <c r="C82" t="inlineStr">
        <is>
          <t>Cognitive Demonstration Depth</t>
        </is>
      </c>
      <c r="D82" t="inlineStr">
        <is>
          <t>CORE</t>
        </is>
      </c>
      <c r="E82" t="inlineStr">
        <is>
          <t>Adaptive diagnostic</t>
        </is>
      </c>
      <c r="F82" t="inlineStr">
        <is>
          <t>Sampled evidence</t>
        </is>
      </c>
      <c r="G82" t="inlineStr">
        <is>
          <t>Calibrated review</t>
        </is>
      </c>
      <c r="H82" t="inlineStr">
        <is>
          <t>Metric score + confidence</t>
        </is>
      </c>
    </row>
    <row r="83">
      <c r="A83" t="inlineStr">
        <is>
          <t>D07</t>
        </is>
      </c>
      <c r="B83" t="inlineStr">
        <is>
          <t>I03</t>
        </is>
      </c>
      <c r="C83" t="inlineStr">
        <is>
          <t>Authenticity of Demonstration</t>
        </is>
      </c>
      <c r="D83" t="inlineStr">
        <is>
          <t>CORE</t>
        </is>
      </c>
      <c r="E83" t="inlineStr">
        <is>
          <t>Adaptive diagnostic</t>
        </is>
      </c>
      <c r="F83" t="inlineStr">
        <is>
          <t>Sampled evidence</t>
        </is>
      </c>
      <c r="G83" t="inlineStr">
        <is>
          <t>Calibrated review</t>
        </is>
      </c>
      <c r="H83" t="inlineStr">
        <is>
          <t>Metric score + confidence</t>
        </is>
      </c>
    </row>
    <row r="84">
      <c r="A84" t="inlineStr">
        <is>
          <t>D07</t>
        </is>
      </c>
      <c r="B84" t="inlineStr">
        <is>
          <t>I04</t>
        </is>
      </c>
      <c r="C84" t="inlineStr">
        <is>
          <t>AI-Aware Assessment Maturity</t>
        </is>
      </c>
      <c r="D84" t="inlineStr">
        <is>
          <t>CORE</t>
        </is>
      </c>
      <c r="E84" t="inlineStr">
        <is>
          <t>Adaptive diagnostic</t>
        </is>
      </c>
      <c r="F84" t="inlineStr">
        <is>
          <t>Sampled evidence</t>
        </is>
      </c>
      <c r="G84" t="inlineStr">
        <is>
          <t>Calibrated review</t>
        </is>
      </c>
      <c r="H84" t="inlineStr">
        <is>
          <t>Metric score + confidence</t>
        </is>
      </c>
    </row>
    <row r="85">
      <c r="A85" t="inlineStr">
        <is>
          <t>D07</t>
        </is>
      </c>
      <c r="B85" t="inlineStr">
        <is>
          <t>I05</t>
        </is>
      </c>
      <c r="C85" t="inlineStr">
        <is>
          <t>Verification &amp; Defence</t>
        </is>
      </c>
      <c r="D85" t="inlineStr">
        <is>
          <t>CORE</t>
        </is>
      </c>
      <c r="E85" t="inlineStr">
        <is>
          <t>Adaptive diagnostic</t>
        </is>
      </c>
      <c r="F85" t="inlineStr">
        <is>
          <t>Sampled evidence</t>
        </is>
      </c>
      <c r="G85" t="inlineStr">
        <is>
          <t>Calibrated review</t>
        </is>
      </c>
      <c r="H85" t="inlineStr">
        <is>
          <t>Metric score + confidence</t>
        </is>
      </c>
    </row>
    <row r="86">
      <c r="A86" t="inlineStr">
        <is>
          <t>D07</t>
        </is>
      </c>
      <c r="B86" t="inlineStr">
        <is>
          <t>I06</t>
        </is>
      </c>
      <c r="C86" t="inlineStr">
        <is>
          <t>Feedback Intelligence</t>
        </is>
      </c>
      <c r="D86" t="inlineStr">
        <is>
          <t>CORE</t>
        </is>
      </c>
      <c r="E86" t="inlineStr">
        <is>
          <t>Adaptive diagnostic</t>
        </is>
      </c>
      <c r="F86" t="inlineStr">
        <is>
          <t>Sampled evidence</t>
        </is>
      </c>
      <c r="G86" t="inlineStr">
        <is>
          <t>Calibrated review</t>
        </is>
      </c>
      <c r="H86" t="inlineStr">
        <is>
          <t>Metric score + confidence</t>
        </is>
      </c>
    </row>
    <row r="87">
      <c r="A87" t="inlineStr">
        <is>
          <t>D07</t>
        </is>
      </c>
      <c r="B87" t="inlineStr">
        <is>
          <t>I07</t>
        </is>
      </c>
      <c r="C87" t="inlineStr">
        <is>
          <t>Evidence of Learning</t>
        </is>
      </c>
      <c r="D87" t="inlineStr">
        <is>
          <t>CORE</t>
        </is>
      </c>
      <c r="E87" t="inlineStr">
        <is>
          <t>Adaptive diagnostic</t>
        </is>
      </c>
      <c r="F87" t="inlineStr">
        <is>
          <t>Sampled evidence</t>
        </is>
      </c>
      <c r="G87" t="inlineStr">
        <is>
          <t>Calibrated review</t>
        </is>
      </c>
      <c r="H87" t="inlineStr">
        <is>
          <t>Metric score + confidence</t>
        </is>
      </c>
    </row>
    <row r="88">
      <c r="A88" t="inlineStr">
        <is>
          <t>D07</t>
        </is>
      </c>
      <c r="B88" t="inlineStr">
        <is>
          <t>I08</t>
        </is>
      </c>
      <c r="C88" t="inlineStr">
        <is>
          <t>Capability Outcome Measurement</t>
        </is>
      </c>
      <c r="D88" t="inlineStr">
        <is>
          <t>CORE</t>
        </is>
      </c>
      <c r="E88" t="inlineStr">
        <is>
          <t>Adaptive diagnostic</t>
        </is>
      </c>
      <c r="F88" t="inlineStr">
        <is>
          <t>Sampled evidence</t>
        </is>
      </c>
      <c r="G88" t="inlineStr">
        <is>
          <t>Calibrated review</t>
        </is>
      </c>
      <c r="H88" t="inlineStr">
        <is>
          <t>Metric score + confidence</t>
        </is>
      </c>
    </row>
    <row r="89">
      <c r="A89" t="inlineStr">
        <is>
          <t>D07</t>
        </is>
      </c>
      <c r="B89" t="inlineStr">
        <is>
          <t>I09</t>
        </is>
      </c>
      <c r="C89" t="inlineStr">
        <is>
          <t>Assessment Equity &amp; Access</t>
        </is>
      </c>
      <c r="D89" t="inlineStr">
        <is>
          <t>CORE</t>
        </is>
      </c>
      <c r="E89" t="inlineStr">
        <is>
          <t>Adaptive diagnostic</t>
        </is>
      </c>
      <c r="F89" t="inlineStr">
        <is>
          <t>Sampled evidence</t>
        </is>
      </c>
      <c r="G89" t="inlineStr">
        <is>
          <t>Calibrated review</t>
        </is>
      </c>
      <c r="H89" t="inlineStr">
        <is>
          <t>Metric score + confidence</t>
        </is>
      </c>
    </row>
    <row r="90">
      <c r="A90" t="inlineStr">
        <is>
          <t>D07</t>
        </is>
      </c>
      <c r="B90" t="inlineStr">
        <is>
          <t>I10</t>
        </is>
      </c>
      <c r="C90" t="inlineStr">
        <is>
          <t>Assessment Governance</t>
        </is>
      </c>
      <c r="D90" t="inlineStr">
        <is>
          <t>CORE</t>
        </is>
      </c>
      <c r="E90" t="inlineStr">
        <is>
          <t>Adaptive diagnostic</t>
        </is>
      </c>
      <c r="F90" t="inlineStr">
        <is>
          <t>Sampled evidence</t>
        </is>
      </c>
      <c r="G90" t="inlineStr">
        <is>
          <t>Calibrated review</t>
        </is>
      </c>
      <c r="H90" t="inlineStr">
        <is>
          <t>Metric score + confidence</t>
        </is>
      </c>
    </row>
    <row r="91">
      <c r="A91" t="inlineStr">
        <is>
          <t>D07</t>
        </is>
      </c>
      <c r="B91" t="inlineStr">
        <is>
          <t>I11</t>
        </is>
      </c>
      <c r="C91" t="inlineStr">
        <is>
          <t>Assessment Innovation</t>
        </is>
      </c>
      <c r="D91" t="inlineStr">
        <is>
          <t>CORE</t>
        </is>
      </c>
      <c r="E91" t="inlineStr">
        <is>
          <t>Adaptive diagnostic</t>
        </is>
      </c>
      <c r="F91" t="inlineStr">
        <is>
          <t>Sampled evidence</t>
        </is>
      </c>
      <c r="G91" t="inlineStr">
        <is>
          <t>Calibrated review</t>
        </is>
      </c>
      <c r="H91" t="inlineStr">
        <is>
          <t>Metric score + confidence</t>
        </is>
      </c>
    </row>
    <row r="92">
      <c r="A92" t="inlineStr">
        <is>
          <t>D07</t>
        </is>
      </c>
      <c r="B92" t="inlineStr">
        <is>
          <t>I12</t>
        </is>
      </c>
      <c r="C92" t="inlineStr">
        <is>
          <t>Learning Evidence Analytics</t>
        </is>
      </c>
      <c r="D92" t="inlineStr">
        <is>
          <t>CORE</t>
        </is>
      </c>
      <c r="E92" t="inlineStr">
        <is>
          <t>Adaptive diagnostic</t>
        </is>
      </c>
      <c r="F92" t="inlineStr">
        <is>
          <t>Sampled evidence</t>
        </is>
      </c>
      <c r="G92" t="inlineStr">
        <is>
          <t>Calibrated review</t>
        </is>
      </c>
      <c r="H92" t="inlineStr">
        <is>
          <t>Metric score + confidence</t>
        </is>
      </c>
    </row>
    <row r="93">
      <c r="A93" t="inlineStr">
        <is>
          <t>D08</t>
        </is>
      </c>
      <c r="B93" t="inlineStr">
        <is>
          <t>I01</t>
        </is>
      </c>
      <c r="C93" t="inlineStr">
        <is>
          <t>Digital Environment Readiness</t>
        </is>
      </c>
      <c r="D93" t="inlineStr">
        <is>
          <t>CORE</t>
        </is>
      </c>
      <c r="E93" t="inlineStr">
        <is>
          <t>Adaptive diagnostic</t>
        </is>
      </c>
      <c r="F93" t="inlineStr">
        <is>
          <t>Sampled evidence</t>
        </is>
      </c>
      <c r="G93" t="inlineStr">
        <is>
          <t>Calibrated review</t>
        </is>
      </c>
      <c r="H93" t="inlineStr">
        <is>
          <t>Metric score + confidence</t>
        </is>
      </c>
    </row>
    <row r="94">
      <c r="A94" t="inlineStr">
        <is>
          <t>D08</t>
        </is>
      </c>
      <c r="B94" t="inlineStr">
        <is>
          <t>I02</t>
        </is>
      </c>
      <c r="C94" t="inlineStr">
        <is>
          <t>Institutional Data Architecture</t>
        </is>
      </c>
      <c r="D94" t="inlineStr">
        <is>
          <t>CORE</t>
        </is>
      </c>
      <c r="E94" t="inlineStr">
        <is>
          <t>Adaptive diagnostic</t>
        </is>
      </c>
      <c r="F94" t="inlineStr">
        <is>
          <t>Sampled evidence</t>
        </is>
      </c>
      <c r="G94" t="inlineStr">
        <is>
          <t>Calibrated review</t>
        </is>
      </c>
      <c r="H94" t="inlineStr">
        <is>
          <t>Metric score + confidence</t>
        </is>
      </c>
    </row>
    <row r="95">
      <c r="A95" t="inlineStr">
        <is>
          <t>D08</t>
        </is>
      </c>
      <c r="B95" t="inlineStr">
        <is>
          <t>I03</t>
        </is>
      </c>
      <c r="C95" t="inlineStr">
        <is>
          <t>Data Quality &amp; Integrity</t>
        </is>
      </c>
      <c r="D95" t="inlineStr">
        <is>
          <t>CORE</t>
        </is>
      </c>
      <c r="E95" t="inlineStr">
        <is>
          <t>Adaptive diagnostic</t>
        </is>
      </c>
      <c r="F95" t="inlineStr">
        <is>
          <t>Sampled evidence</t>
        </is>
      </c>
      <c r="G95" t="inlineStr">
        <is>
          <t>Calibrated review</t>
        </is>
      </c>
      <c r="H95" t="inlineStr">
        <is>
          <t>Metric score + confidence</t>
        </is>
      </c>
    </row>
    <row r="96">
      <c r="A96" t="inlineStr">
        <is>
          <t>D08</t>
        </is>
      </c>
      <c r="B96" t="inlineStr">
        <is>
          <t>I04</t>
        </is>
      </c>
      <c r="C96" t="inlineStr">
        <is>
          <t>System Interoperability</t>
        </is>
      </c>
      <c r="D96" t="inlineStr">
        <is>
          <t>CORE</t>
        </is>
      </c>
      <c r="E96" t="inlineStr">
        <is>
          <t>Adaptive diagnostic</t>
        </is>
      </c>
      <c r="F96" t="inlineStr">
        <is>
          <t>Sampled evidence</t>
        </is>
      </c>
      <c r="G96" t="inlineStr">
        <is>
          <t>Calibrated review</t>
        </is>
      </c>
      <c r="H96" t="inlineStr">
        <is>
          <t>Metric score + confidence</t>
        </is>
      </c>
    </row>
    <row r="97">
      <c r="A97" t="inlineStr">
        <is>
          <t>D08</t>
        </is>
      </c>
      <c r="B97" t="inlineStr">
        <is>
          <t>I05</t>
        </is>
      </c>
      <c r="C97" t="inlineStr">
        <is>
          <t>Decision Intelligence</t>
        </is>
      </c>
      <c r="D97" t="inlineStr">
        <is>
          <t>CORE</t>
        </is>
      </c>
      <c r="E97" t="inlineStr">
        <is>
          <t>Adaptive diagnostic</t>
        </is>
      </c>
      <c r="F97" t="inlineStr">
        <is>
          <t>Sampled evidence</t>
        </is>
      </c>
      <c r="G97" t="inlineStr">
        <is>
          <t>Calibrated review</t>
        </is>
      </c>
      <c r="H97" t="inlineStr">
        <is>
          <t>Metric score + confidence</t>
        </is>
      </c>
    </row>
    <row r="98">
      <c r="A98" t="inlineStr">
        <is>
          <t>D08</t>
        </is>
      </c>
      <c r="B98" t="inlineStr">
        <is>
          <t>I06</t>
        </is>
      </c>
      <c r="C98" t="inlineStr">
        <is>
          <t>AI Enablement Readiness</t>
        </is>
      </c>
      <c r="D98" t="inlineStr">
        <is>
          <t>CORE</t>
        </is>
      </c>
      <c r="E98" t="inlineStr">
        <is>
          <t>Adaptive diagnostic</t>
        </is>
      </c>
      <c r="F98" t="inlineStr">
        <is>
          <t>Sampled evidence</t>
        </is>
      </c>
      <c r="G98" t="inlineStr">
        <is>
          <t>Calibrated review</t>
        </is>
      </c>
      <c r="H98" t="inlineStr">
        <is>
          <t>Metric score + confidence</t>
        </is>
      </c>
    </row>
    <row r="99">
      <c r="A99" t="inlineStr">
        <is>
          <t>D08</t>
        </is>
      </c>
      <c r="B99" t="inlineStr">
        <is>
          <t>I07</t>
        </is>
      </c>
      <c r="C99" t="inlineStr">
        <is>
          <t>Cyber &amp; Information Security</t>
        </is>
      </c>
      <c r="D99" t="inlineStr">
        <is>
          <t>CORE</t>
        </is>
      </c>
      <c r="E99" t="inlineStr">
        <is>
          <t>Adaptive diagnostic</t>
        </is>
      </c>
      <c r="F99" t="inlineStr">
        <is>
          <t>Sampled evidence</t>
        </is>
      </c>
      <c r="G99" t="inlineStr">
        <is>
          <t>Calibrated review</t>
        </is>
      </c>
      <c r="H99" t="inlineStr">
        <is>
          <t>Metric score + confidence</t>
        </is>
      </c>
    </row>
    <row r="100">
      <c r="A100" t="inlineStr">
        <is>
          <t>D08</t>
        </is>
      </c>
      <c r="B100" t="inlineStr">
        <is>
          <t>I08</t>
        </is>
      </c>
      <c r="C100" t="inlineStr">
        <is>
          <t>Data Privacy Readiness</t>
        </is>
      </c>
      <c r="D100" t="inlineStr">
        <is>
          <t>CORE</t>
        </is>
      </c>
      <c r="E100" t="inlineStr">
        <is>
          <t>Adaptive diagnostic</t>
        </is>
      </c>
      <c r="F100" t="inlineStr">
        <is>
          <t>Sampled evidence</t>
        </is>
      </c>
      <c r="G100" t="inlineStr">
        <is>
          <t>Calibrated review</t>
        </is>
      </c>
      <c r="H100" t="inlineStr">
        <is>
          <t>Metric score + confidence</t>
        </is>
      </c>
    </row>
    <row r="101">
      <c r="A101" t="inlineStr">
        <is>
          <t>D08</t>
        </is>
      </c>
      <c r="B101" t="inlineStr">
        <is>
          <t>I09</t>
        </is>
      </c>
      <c r="C101" t="inlineStr">
        <is>
          <t>Digital Equity &amp; Access</t>
        </is>
      </c>
      <c r="D101" t="inlineStr">
        <is>
          <t>CORE</t>
        </is>
      </c>
      <c r="E101" t="inlineStr">
        <is>
          <t>Adaptive diagnostic</t>
        </is>
      </c>
      <c r="F101" t="inlineStr">
        <is>
          <t>Sampled evidence</t>
        </is>
      </c>
      <c r="G101" t="inlineStr">
        <is>
          <t>Calibrated review</t>
        </is>
      </c>
      <c r="H101" t="inlineStr">
        <is>
          <t>Metric score + confidence</t>
        </is>
      </c>
    </row>
    <row r="102">
      <c r="A102" t="inlineStr">
        <is>
          <t>D08</t>
        </is>
      </c>
      <c r="B102" t="inlineStr">
        <is>
          <t>I10</t>
        </is>
      </c>
      <c r="C102" t="inlineStr">
        <is>
          <t>Technology Decision Governance</t>
        </is>
      </c>
      <c r="D102" t="inlineStr">
        <is>
          <t>CORE</t>
        </is>
      </c>
      <c r="E102" t="inlineStr">
        <is>
          <t>Adaptive diagnostic</t>
        </is>
      </c>
      <c r="F102" t="inlineStr">
        <is>
          <t>Sampled evidence</t>
        </is>
      </c>
      <c r="G102" t="inlineStr">
        <is>
          <t>Calibrated review</t>
        </is>
      </c>
      <c r="H102" t="inlineStr">
        <is>
          <t>Metric score + confidence</t>
        </is>
      </c>
    </row>
    <row r="103">
      <c r="A103" t="inlineStr">
        <is>
          <t>D08</t>
        </is>
      </c>
      <c r="B103" t="inlineStr">
        <is>
          <t>I11</t>
        </is>
      </c>
      <c r="C103" t="inlineStr">
        <is>
          <t>Digital Process Maturity</t>
        </is>
      </c>
      <c r="D103" t="inlineStr">
        <is>
          <t>CORE</t>
        </is>
      </c>
      <c r="E103" t="inlineStr">
        <is>
          <t>Adaptive diagnostic</t>
        </is>
      </c>
      <c r="F103" t="inlineStr">
        <is>
          <t>Sampled evidence</t>
        </is>
      </c>
      <c r="G103" t="inlineStr">
        <is>
          <t>Calibrated review</t>
        </is>
      </c>
      <c r="H103" t="inlineStr">
        <is>
          <t>Metric score + confidence</t>
        </is>
      </c>
    </row>
    <row r="104">
      <c r="A104" t="inlineStr">
        <is>
          <t>D08</t>
        </is>
      </c>
      <c r="B104" t="inlineStr">
        <is>
          <t>I12</t>
        </is>
      </c>
      <c r="C104" t="inlineStr">
        <is>
          <t>Institutional Intelligence Capability</t>
        </is>
      </c>
      <c r="D104" t="inlineStr">
        <is>
          <t>CORE</t>
        </is>
      </c>
      <c r="E104" t="inlineStr">
        <is>
          <t>Adaptive diagnostic</t>
        </is>
      </c>
      <c r="F104" t="inlineStr">
        <is>
          <t>Sampled evidence</t>
        </is>
      </c>
      <c r="G104" t="inlineStr">
        <is>
          <t>Calibrated review</t>
        </is>
      </c>
      <c r="H104" t="inlineStr">
        <is>
          <t>Metric score + confidence</t>
        </is>
      </c>
    </row>
    <row r="105">
      <c r="A105" t="inlineStr">
        <is>
          <t>D09</t>
        </is>
      </c>
      <c r="B105" t="inlineStr">
        <is>
          <t>I01</t>
        </is>
      </c>
      <c r="C105" t="inlineStr">
        <is>
          <t>Employer Demand Sensing</t>
        </is>
      </c>
      <c r="D105" t="inlineStr">
        <is>
          <t>CORE</t>
        </is>
      </c>
      <c r="E105" t="inlineStr">
        <is>
          <t>Adaptive diagnostic</t>
        </is>
      </c>
      <c r="F105" t="inlineStr">
        <is>
          <t>Sampled evidence</t>
        </is>
      </c>
      <c r="G105" t="inlineStr">
        <is>
          <t>Calibrated review</t>
        </is>
      </c>
      <c r="H105" t="inlineStr">
        <is>
          <t>Metric score + confidence</t>
        </is>
      </c>
    </row>
    <row r="106">
      <c r="A106" t="inlineStr">
        <is>
          <t>D09</t>
        </is>
      </c>
      <c r="B106" t="inlineStr">
        <is>
          <t>I02</t>
        </is>
      </c>
      <c r="C106" t="inlineStr">
        <is>
          <t>Employability Capability Architecture</t>
        </is>
      </c>
      <c r="D106" t="inlineStr">
        <is>
          <t>CORE</t>
        </is>
      </c>
      <c r="E106" t="inlineStr">
        <is>
          <t>Adaptive diagnostic</t>
        </is>
      </c>
      <c r="F106" t="inlineStr">
        <is>
          <t>Sampled evidence</t>
        </is>
      </c>
      <c r="G106" t="inlineStr">
        <is>
          <t>Calibrated review</t>
        </is>
      </c>
      <c r="H106" t="inlineStr">
        <is>
          <t>Metric score + confidence</t>
        </is>
      </c>
    </row>
    <row r="107">
      <c r="A107" t="inlineStr">
        <is>
          <t>D09</t>
        </is>
      </c>
      <c r="B107" t="inlineStr">
        <is>
          <t>I03</t>
        </is>
      </c>
      <c r="C107" t="inlineStr">
        <is>
          <t>Industry-Validated Curriculum</t>
        </is>
      </c>
      <c r="D107" t="inlineStr">
        <is>
          <t>CORE</t>
        </is>
      </c>
      <c r="E107" t="inlineStr">
        <is>
          <t>Adaptive diagnostic</t>
        </is>
      </c>
      <c r="F107" t="inlineStr">
        <is>
          <t>Sampled evidence</t>
        </is>
      </c>
      <c r="G107" t="inlineStr">
        <is>
          <t>Calibrated review</t>
        </is>
      </c>
      <c r="H107" t="inlineStr">
        <is>
          <t>Metric score + confidence</t>
        </is>
      </c>
    </row>
    <row r="108">
      <c r="A108" t="inlineStr">
        <is>
          <t>D09</t>
        </is>
      </c>
      <c r="B108" t="inlineStr">
        <is>
          <t>I04</t>
        </is>
      </c>
      <c r="C108" t="inlineStr">
        <is>
          <t>Practice-Based Learning</t>
        </is>
      </c>
      <c r="D108" t="inlineStr">
        <is>
          <t>CORE</t>
        </is>
      </c>
      <c r="E108" t="inlineStr">
        <is>
          <t>Adaptive diagnostic</t>
        </is>
      </c>
      <c r="F108" t="inlineStr">
        <is>
          <t>Sampled evidence</t>
        </is>
      </c>
      <c r="G108" t="inlineStr">
        <is>
          <t>Calibrated review</t>
        </is>
      </c>
      <c r="H108" t="inlineStr">
        <is>
          <t>Metric score + confidence</t>
        </is>
      </c>
    </row>
    <row r="109">
      <c r="A109" t="inlineStr">
        <is>
          <t>D09</t>
        </is>
      </c>
      <c r="B109" t="inlineStr">
        <is>
          <t>I05</t>
        </is>
      </c>
      <c r="C109" t="inlineStr">
        <is>
          <t>Recruiter Confidence</t>
        </is>
      </c>
      <c r="D109" t="inlineStr">
        <is>
          <t>CORE</t>
        </is>
      </c>
      <c r="E109" t="inlineStr">
        <is>
          <t>Adaptive diagnostic</t>
        </is>
      </c>
      <c r="F109" t="inlineStr">
        <is>
          <t>Sampled evidence</t>
        </is>
      </c>
      <c r="G109" t="inlineStr">
        <is>
          <t>Calibrated review</t>
        </is>
      </c>
      <c r="H109" t="inlineStr">
        <is>
          <t>Metric score + confidence</t>
        </is>
      </c>
    </row>
    <row r="110">
      <c r="A110" t="inlineStr">
        <is>
          <t>D09</t>
        </is>
      </c>
      <c r="B110" t="inlineStr">
        <is>
          <t>I06</t>
        </is>
      </c>
      <c r="C110" t="inlineStr">
        <is>
          <t>Placement Outcome Quality</t>
        </is>
      </c>
      <c r="D110" t="inlineStr">
        <is>
          <t>CORE</t>
        </is>
      </c>
      <c r="E110" t="inlineStr">
        <is>
          <t>Adaptive diagnostic</t>
        </is>
      </c>
      <c r="F110" t="inlineStr">
        <is>
          <t>Sampled evidence</t>
        </is>
      </c>
      <c r="G110" t="inlineStr">
        <is>
          <t>Calibrated review</t>
        </is>
      </c>
      <c r="H110" t="inlineStr">
        <is>
          <t>Metric score + confidence</t>
        </is>
      </c>
    </row>
    <row r="111">
      <c r="A111" t="inlineStr">
        <is>
          <t>D09</t>
        </is>
      </c>
      <c r="B111" t="inlineStr">
        <is>
          <t>I07</t>
        </is>
      </c>
      <c r="C111" t="inlineStr">
        <is>
          <t>Career Adaptability</t>
        </is>
      </c>
      <c r="D111" t="inlineStr">
        <is>
          <t>CORE</t>
        </is>
      </c>
      <c r="E111" t="inlineStr">
        <is>
          <t>Adaptive diagnostic</t>
        </is>
      </c>
      <c r="F111" t="inlineStr">
        <is>
          <t>Sampled evidence</t>
        </is>
      </c>
      <c r="G111" t="inlineStr">
        <is>
          <t>Calibrated review</t>
        </is>
      </c>
      <c r="H111" t="inlineStr">
        <is>
          <t>Metric score + confidence</t>
        </is>
      </c>
    </row>
    <row r="112">
      <c r="A112" t="inlineStr">
        <is>
          <t>D09</t>
        </is>
      </c>
      <c r="B112" t="inlineStr">
        <is>
          <t>I08</t>
        </is>
      </c>
      <c r="C112" t="inlineStr">
        <is>
          <t>AI-Era Employability Readiness</t>
        </is>
      </c>
      <c r="D112" t="inlineStr">
        <is>
          <t>CORE</t>
        </is>
      </c>
      <c r="E112" t="inlineStr">
        <is>
          <t>Adaptive diagnostic</t>
        </is>
      </c>
      <c r="F112" t="inlineStr">
        <is>
          <t>Sampled evidence</t>
        </is>
      </c>
      <c r="G112" t="inlineStr">
        <is>
          <t>Calibrated review</t>
        </is>
      </c>
      <c r="H112" t="inlineStr">
        <is>
          <t>Metric score + confidence</t>
        </is>
      </c>
    </row>
    <row r="113">
      <c r="A113" t="inlineStr">
        <is>
          <t>D09</t>
        </is>
      </c>
      <c r="B113" t="inlineStr">
        <is>
          <t>I09</t>
        </is>
      </c>
      <c r="C113" t="inlineStr">
        <is>
          <t>Capability Signalling</t>
        </is>
      </c>
      <c r="D113" t="inlineStr">
        <is>
          <t>CORE</t>
        </is>
      </c>
      <c r="E113" t="inlineStr">
        <is>
          <t>Adaptive diagnostic</t>
        </is>
      </c>
      <c r="F113" t="inlineStr">
        <is>
          <t>Sampled evidence</t>
        </is>
      </c>
      <c r="G113" t="inlineStr">
        <is>
          <t>Calibrated review</t>
        </is>
      </c>
      <c r="H113" t="inlineStr">
        <is>
          <t>Metric score + confidence</t>
        </is>
      </c>
    </row>
    <row r="114">
      <c r="A114" t="inlineStr">
        <is>
          <t>D09</t>
        </is>
      </c>
      <c r="B114" t="inlineStr">
        <is>
          <t>I10</t>
        </is>
      </c>
      <c r="C114" t="inlineStr">
        <is>
          <t>Industry Co-Creation</t>
        </is>
      </c>
      <c r="D114" t="inlineStr">
        <is>
          <t>CORE</t>
        </is>
      </c>
      <c r="E114" t="inlineStr">
        <is>
          <t>Adaptive diagnostic</t>
        </is>
      </c>
      <c r="F114" t="inlineStr">
        <is>
          <t>Sampled evidence</t>
        </is>
      </c>
      <c r="G114" t="inlineStr">
        <is>
          <t>Calibrated review</t>
        </is>
      </c>
      <c r="H114" t="inlineStr">
        <is>
          <t>Metric score + confidence</t>
        </is>
      </c>
    </row>
    <row r="115">
      <c r="A115" t="inlineStr">
        <is>
          <t>D09</t>
        </is>
      </c>
      <c r="B115" t="inlineStr">
        <is>
          <t>I11</t>
        </is>
      </c>
      <c r="C115" t="inlineStr">
        <is>
          <t>Regional/Economic Relevance</t>
        </is>
      </c>
      <c r="D115" t="inlineStr">
        <is>
          <t>CORE</t>
        </is>
      </c>
      <c r="E115" t="inlineStr">
        <is>
          <t>Adaptive diagnostic</t>
        </is>
      </c>
      <c r="F115" t="inlineStr">
        <is>
          <t>Sampled evidence</t>
        </is>
      </c>
      <c r="G115" t="inlineStr">
        <is>
          <t>Calibrated review</t>
        </is>
      </c>
      <c r="H115" t="inlineStr">
        <is>
          <t>Metric score + confidence</t>
        </is>
      </c>
    </row>
    <row r="116">
      <c r="A116" t="inlineStr">
        <is>
          <t>D09</t>
        </is>
      </c>
      <c r="B116" t="inlineStr">
        <is>
          <t>I12</t>
        </is>
      </c>
      <c r="C116" t="inlineStr">
        <is>
          <t>Alumni Career Intelligence</t>
        </is>
      </c>
      <c r="D116" t="inlineStr">
        <is>
          <t>CORE</t>
        </is>
      </c>
      <c r="E116" t="inlineStr">
        <is>
          <t>Adaptive diagnostic</t>
        </is>
      </c>
      <c r="F116" t="inlineStr">
        <is>
          <t>Sampled evidence</t>
        </is>
      </c>
      <c r="G116" t="inlineStr">
        <is>
          <t>Calibrated review</t>
        </is>
      </c>
      <c r="H116" t="inlineStr">
        <is>
          <t>Metric score + confidence</t>
        </is>
      </c>
    </row>
    <row r="117">
      <c r="A117" t="inlineStr">
        <is>
          <t>D10</t>
        </is>
      </c>
      <c r="B117" t="inlineStr">
        <is>
          <t>I01</t>
        </is>
      </c>
      <c r="C117" t="inlineStr">
        <is>
          <t>Research Strategy Maturity</t>
        </is>
      </c>
      <c r="D117" t="inlineStr">
        <is>
          <t>CORE</t>
        </is>
      </c>
      <c r="E117" t="inlineStr">
        <is>
          <t>Adaptive diagnostic</t>
        </is>
      </c>
      <c r="F117" t="inlineStr">
        <is>
          <t>Sampled evidence</t>
        </is>
      </c>
      <c r="G117" t="inlineStr">
        <is>
          <t>Calibrated review</t>
        </is>
      </c>
      <c r="H117" t="inlineStr">
        <is>
          <t>Metric score + confidence</t>
        </is>
      </c>
    </row>
    <row r="118">
      <c r="A118" t="inlineStr">
        <is>
          <t>D10</t>
        </is>
      </c>
      <c r="B118" t="inlineStr">
        <is>
          <t>I02</t>
        </is>
      </c>
      <c r="C118" t="inlineStr">
        <is>
          <t>Research Portfolio Balance</t>
        </is>
      </c>
      <c r="D118" t="inlineStr">
        <is>
          <t>CORE</t>
        </is>
      </c>
      <c r="E118" t="inlineStr">
        <is>
          <t>Adaptive diagnostic</t>
        </is>
      </c>
      <c r="F118" t="inlineStr">
        <is>
          <t>Sampled evidence</t>
        </is>
      </c>
      <c r="G118" t="inlineStr">
        <is>
          <t>Calibrated review</t>
        </is>
      </c>
      <c r="H118" t="inlineStr">
        <is>
          <t>Metric score + confidence</t>
        </is>
      </c>
    </row>
    <row r="119">
      <c r="A119" t="inlineStr">
        <is>
          <t>D10</t>
        </is>
      </c>
      <c r="B119" t="inlineStr">
        <is>
          <t>I03</t>
        </is>
      </c>
      <c r="C119" t="inlineStr">
        <is>
          <t>Interdisciplinary Research Capability</t>
        </is>
      </c>
      <c r="D119" t="inlineStr">
        <is>
          <t>CORE</t>
        </is>
      </c>
      <c r="E119" t="inlineStr">
        <is>
          <t>Adaptive diagnostic</t>
        </is>
      </c>
      <c r="F119" t="inlineStr">
        <is>
          <t>Sampled evidence</t>
        </is>
      </c>
      <c r="G119" t="inlineStr">
        <is>
          <t>Calibrated review</t>
        </is>
      </c>
      <c r="H119" t="inlineStr">
        <is>
          <t>Metric score + confidence</t>
        </is>
      </c>
    </row>
    <row r="120">
      <c r="A120" t="inlineStr">
        <is>
          <t>D10</t>
        </is>
      </c>
      <c r="B120" t="inlineStr">
        <is>
          <t>I04</t>
        </is>
      </c>
      <c r="C120" t="inlineStr">
        <is>
          <t>AI-Enabled Research Capability</t>
        </is>
      </c>
      <c r="D120" t="inlineStr">
        <is>
          <t>CORE</t>
        </is>
      </c>
      <c r="E120" t="inlineStr">
        <is>
          <t>Adaptive diagnostic</t>
        </is>
      </c>
      <c r="F120" t="inlineStr">
        <is>
          <t>Sampled evidence</t>
        </is>
      </c>
      <c r="G120" t="inlineStr">
        <is>
          <t>Calibrated review</t>
        </is>
      </c>
      <c r="H120" t="inlineStr">
        <is>
          <t>Metric score + confidence</t>
        </is>
      </c>
    </row>
    <row r="121">
      <c r="A121" t="inlineStr">
        <is>
          <t>D10</t>
        </is>
      </c>
      <c r="B121" t="inlineStr">
        <is>
          <t>I05</t>
        </is>
      </c>
      <c r="C121" t="inlineStr">
        <is>
          <t>Research Infrastructure Readiness</t>
        </is>
      </c>
      <c r="D121" t="inlineStr">
        <is>
          <t>CORE</t>
        </is>
      </c>
      <c r="E121" t="inlineStr">
        <is>
          <t>Adaptive diagnostic</t>
        </is>
      </c>
      <c r="F121" t="inlineStr">
        <is>
          <t>Sampled evidence</t>
        </is>
      </c>
      <c r="G121" t="inlineStr">
        <is>
          <t>Calibrated review</t>
        </is>
      </c>
      <c r="H121" t="inlineStr">
        <is>
          <t>Metric score + confidence</t>
        </is>
      </c>
    </row>
    <row r="122">
      <c r="A122" t="inlineStr">
        <is>
          <t>D10</t>
        </is>
      </c>
      <c r="B122" t="inlineStr">
        <is>
          <t>I06</t>
        </is>
      </c>
      <c r="C122" t="inlineStr">
        <is>
          <t>Researcher Capability</t>
        </is>
      </c>
      <c r="D122" t="inlineStr">
        <is>
          <t>CORE</t>
        </is>
      </c>
      <c r="E122" t="inlineStr">
        <is>
          <t>Adaptive diagnostic</t>
        </is>
      </c>
      <c r="F122" t="inlineStr">
        <is>
          <t>Sampled evidence</t>
        </is>
      </c>
      <c r="G122" t="inlineStr">
        <is>
          <t>Calibrated review</t>
        </is>
      </c>
      <c r="H122" t="inlineStr">
        <is>
          <t>Metric score + confidence</t>
        </is>
      </c>
    </row>
    <row r="123">
      <c r="A123" t="inlineStr">
        <is>
          <t>D10</t>
        </is>
      </c>
      <c r="B123" t="inlineStr">
        <is>
          <t>I07</t>
        </is>
      </c>
      <c r="C123" t="inlineStr">
        <is>
          <t>Research Funding Capability</t>
        </is>
      </c>
      <c r="D123" t="inlineStr">
        <is>
          <t>CORE</t>
        </is>
      </c>
      <c r="E123" t="inlineStr">
        <is>
          <t>Adaptive diagnostic</t>
        </is>
      </c>
      <c r="F123" t="inlineStr">
        <is>
          <t>Sampled evidence</t>
        </is>
      </c>
      <c r="G123" t="inlineStr">
        <is>
          <t>Calibrated review</t>
        </is>
      </c>
      <c r="H123" t="inlineStr">
        <is>
          <t>Metric score + confidence</t>
        </is>
      </c>
    </row>
    <row r="124">
      <c r="A124" t="inlineStr">
        <is>
          <t>D10</t>
        </is>
      </c>
      <c r="B124" t="inlineStr">
        <is>
          <t>I08</t>
        </is>
      </c>
      <c r="C124" t="inlineStr">
        <is>
          <t>Knowledge Translation Capability</t>
        </is>
      </c>
      <c r="D124" t="inlineStr">
        <is>
          <t>CORE</t>
        </is>
      </c>
      <c r="E124" t="inlineStr">
        <is>
          <t>Adaptive diagnostic</t>
        </is>
      </c>
      <c r="F124" t="inlineStr">
        <is>
          <t>Sampled evidence</t>
        </is>
      </c>
      <c r="G124" t="inlineStr">
        <is>
          <t>Calibrated review</t>
        </is>
      </c>
      <c r="H124" t="inlineStr">
        <is>
          <t>Metric score + confidence</t>
        </is>
      </c>
    </row>
    <row r="125">
      <c r="A125" t="inlineStr">
        <is>
          <t>D10</t>
        </is>
      </c>
      <c r="B125" t="inlineStr">
        <is>
          <t>I09</t>
        </is>
      </c>
      <c r="C125" t="inlineStr">
        <is>
          <t>Industry-Linked Research</t>
        </is>
      </c>
      <c r="D125" t="inlineStr">
        <is>
          <t>CORE</t>
        </is>
      </c>
      <c r="E125" t="inlineStr">
        <is>
          <t>Adaptive diagnostic</t>
        </is>
      </c>
      <c r="F125" t="inlineStr">
        <is>
          <t>Sampled evidence</t>
        </is>
      </c>
      <c r="G125" t="inlineStr">
        <is>
          <t>Calibrated review</t>
        </is>
      </c>
      <c r="H125" t="inlineStr">
        <is>
          <t>Metric score + confidence</t>
        </is>
      </c>
    </row>
    <row r="126">
      <c r="A126" t="inlineStr">
        <is>
          <t>D10</t>
        </is>
      </c>
      <c r="B126" t="inlineStr">
        <is>
          <t>I10</t>
        </is>
      </c>
      <c r="C126" t="inlineStr">
        <is>
          <t>Research-to-Innovation Pipeline</t>
        </is>
      </c>
      <c r="D126" t="inlineStr">
        <is>
          <t>CORE</t>
        </is>
      </c>
      <c r="E126" t="inlineStr">
        <is>
          <t>Adaptive diagnostic</t>
        </is>
      </c>
      <c r="F126" t="inlineStr">
        <is>
          <t>Sampled evidence</t>
        </is>
      </c>
      <c r="G126" t="inlineStr">
        <is>
          <t>Calibrated review</t>
        </is>
      </c>
      <c r="H126" t="inlineStr">
        <is>
          <t>Metric score + confidence</t>
        </is>
      </c>
    </row>
    <row r="127">
      <c r="A127" t="inlineStr">
        <is>
          <t>D10</t>
        </is>
      </c>
      <c r="B127" t="inlineStr">
        <is>
          <t>I11</t>
        </is>
      </c>
      <c r="C127" t="inlineStr">
        <is>
          <t>IP &amp; Knowledge Assets</t>
        </is>
      </c>
      <c r="D127" t="inlineStr">
        <is>
          <t>CORE</t>
        </is>
      </c>
      <c r="E127" t="inlineStr">
        <is>
          <t>Adaptive diagnostic</t>
        </is>
      </c>
      <c r="F127" t="inlineStr">
        <is>
          <t>Sampled evidence</t>
        </is>
      </c>
      <c r="G127" t="inlineStr">
        <is>
          <t>Calibrated review</t>
        </is>
      </c>
      <c r="H127" t="inlineStr">
        <is>
          <t>Metric score + confidence</t>
        </is>
      </c>
    </row>
    <row r="128">
      <c r="A128" t="inlineStr">
        <is>
          <t>D10</t>
        </is>
      </c>
      <c r="B128" t="inlineStr">
        <is>
          <t>I12</t>
        </is>
      </c>
      <c r="C128" t="inlineStr">
        <is>
          <t>Research Integrity &amp; Responsible AI</t>
        </is>
      </c>
      <c r="D128" t="inlineStr">
        <is>
          <t>CORE</t>
        </is>
      </c>
      <c r="E128" t="inlineStr">
        <is>
          <t>Adaptive diagnostic</t>
        </is>
      </c>
      <c r="F128" t="inlineStr">
        <is>
          <t>Sampled evidence</t>
        </is>
      </c>
      <c r="G128" t="inlineStr">
        <is>
          <t>Calibrated review</t>
        </is>
      </c>
      <c r="H128" t="inlineStr">
        <is>
          <t>Metric score + confidence</t>
        </is>
      </c>
    </row>
    <row r="129">
      <c r="A129" t="inlineStr">
        <is>
          <t>D10</t>
        </is>
      </c>
      <c r="B129" t="inlineStr">
        <is>
          <t>I13</t>
        </is>
      </c>
      <c r="C129" t="inlineStr">
        <is>
          <t>Research Impact Evidence</t>
        </is>
      </c>
      <c r="D129" t="inlineStr">
        <is>
          <t>CORE</t>
        </is>
      </c>
      <c r="E129" t="inlineStr">
        <is>
          <t>Adaptive diagnostic</t>
        </is>
      </c>
      <c r="F129" t="inlineStr">
        <is>
          <t>Sampled evidence</t>
        </is>
      </c>
      <c r="G129" t="inlineStr">
        <is>
          <t>Calibrated review</t>
        </is>
      </c>
      <c r="H129" t="inlineStr">
        <is>
          <t>Metric score + confidence</t>
        </is>
      </c>
    </row>
    <row r="130">
      <c r="A130" t="inlineStr">
        <is>
          <t>D10</t>
        </is>
      </c>
      <c r="B130" t="inlineStr">
        <is>
          <t>I14</t>
        </is>
      </c>
      <c r="C130" t="inlineStr">
        <is>
          <t>Student Research Capability</t>
        </is>
      </c>
      <c r="D130" t="inlineStr">
        <is>
          <t>CORE</t>
        </is>
      </c>
      <c r="E130" t="inlineStr">
        <is>
          <t>Adaptive diagnostic</t>
        </is>
      </c>
      <c r="F130" t="inlineStr">
        <is>
          <t>Sampled evidence</t>
        </is>
      </c>
      <c r="G130" t="inlineStr">
        <is>
          <t>Calibrated review</t>
        </is>
      </c>
      <c r="H130" t="inlineStr">
        <is>
          <t>Metric score + confidence</t>
        </is>
      </c>
    </row>
    <row r="131">
      <c r="A131" t="inlineStr">
        <is>
          <t>D11</t>
        </is>
      </c>
      <c r="B131" t="inlineStr">
        <is>
          <t>I01</t>
        </is>
      </c>
      <c r="C131" t="inlineStr">
        <is>
          <t>External Change Sensing</t>
        </is>
      </c>
      <c r="D131" t="inlineStr">
        <is>
          <t>CORE</t>
        </is>
      </c>
      <c r="E131" t="inlineStr">
        <is>
          <t>Adaptive diagnostic</t>
        </is>
      </c>
      <c r="F131" t="inlineStr">
        <is>
          <t>Sampled evidence</t>
        </is>
      </c>
      <c r="G131" t="inlineStr">
        <is>
          <t>Calibrated review</t>
        </is>
      </c>
      <c r="H131" t="inlineStr">
        <is>
          <t>Metric score + confidence</t>
        </is>
      </c>
    </row>
    <row r="132">
      <c r="A132" t="inlineStr">
        <is>
          <t>D11</t>
        </is>
      </c>
      <c r="B132" t="inlineStr">
        <is>
          <t>I02</t>
        </is>
      </c>
      <c r="C132" t="inlineStr">
        <is>
          <t>Strategic Response Agility</t>
        </is>
      </c>
      <c r="D132" t="inlineStr">
        <is>
          <t>CORE</t>
        </is>
      </c>
      <c r="E132" t="inlineStr">
        <is>
          <t>Adaptive diagnostic</t>
        </is>
      </c>
      <c r="F132" t="inlineStr">
        <is>
          <t>Sampled evidence</t>
        </is>
      </c>
      <c r="G132" t="inlineStr">
        <is>
          <t>Calibrated review</t>
        </is>
      </c>
      <c r="H132" t="inlineStr">
        <is>
          <t>Metric score + confidence</t>
        </is>
      </c>
    </row>
    <row r="133">
      <c r="A133" t="inlineStr">
        <is>
          <t>D11</t>
        </is>
      </c>
      <c r="B133" t="inlineStr">
        <is>
          <t>I03</t>
        </is>
      </c>
      <c r="C133" t="inlineStr">
        <is>
          <t>Adaptive Decision Architecture</t>
        </is>
      </c>
      <c r="D133" t="inlineStr">
        <is>
          <t>CORE</t>
        </is>
      </c>
      <c r="E133" t="inlineStr">
        <is>
          <t>Adaptive diagnostic</t>
        </is>
      </c>
      <c r="F133" t="inlineStr">
        <is>
          <t>Sampled evidence</t>
        </is>
      </c>
      <c r="G133" t="inlineStr">
        <is>
          <t>Calibrated review</t>
        </is>
      </c>
      <c r="H133" t="inlineStr">
        <is>
          <t>Metric score + confidence</t>
        </is>
      </c>
    </row>
    <row r="134">
      <c r="A134" t="inlineStr">
        <is>
          <t>D11</t>
        </is>
      </c>
      <c r="B134" t="inlineStr">
        <is>
          <t>I04</t>
        </is>
      </c>
      <c r="C134" t="inlineStr">
        <is>
          <t>Resource Reallocation Agility</t>
        </is>
      </c>
      <c r="D134" t="inlineStr">
        <is>
          <t>CORE</t>
        </is>
      </c>
      <c r="E134" t="inlineStr">
        <is>
          <t>Adaptive diagnostic</t>
        </is>
      </c>
      <c r="F134" t="inlineStr">
        <is>
          <t>Sampled evidence</t>
        </is>
      </c>
      <c r="G134" t="inlineStr">
        <is>
          <t>Calibrated review</t>
        </is>
      </c>
      <c r="H134" t="inlineStr">
        <is>
          <t>Metric score + confidence</t>
        </is>
      </c>
    </row>
    <row r="135">
      <c r="A135" t="inlineStr">
        <is>
          <t>D11</t>
        </is>
      </c>
      <c r="B135" t="inlineStr">
        <is>
          <t>I05</t>
        </is>
      </c>
      <c r="C135" t="inlineStr">
        <is>
          <t>Institutional Experimentation</t>
        </is>
      </c>
      <c r="D135" t="inlineStr">
        <is>
          <t>CORE</t>
        </is>
      </c>
      <c r="E135" t="inlineStr">
        <is>
          <t>Adaptive diagnostic</t>
        </is>
      </c>
      <c r="F135" t="inlineStr">
        <is>
          <t>Sampled evidence</t>
        </is>
      </c>
      <c r="G135" t="inlineStr">
        <is>
          <t>Calibrated review</t>
        </is>
      </c>
      <c r="H135" t="inlineStr">
        <is>
          <t>Metric score + confidence</t>
        </is>
      </c>
    </row>
    <row r="136">
      <c r="A136" t="inlineStr">
        <is>
          <t>D11</t>
        </is>
      </c>
      <c r="B136" t="inlineStr">
        <is>
          <t>I06</t>
        </is>
      </c>
      <c r="C136" t="inlineStr">
        <is>
          <t>Failure-to-Learning Capability</t>
        </is>
      </c>
      <c r="D136" t="inlineStr">
        <is>
          <t>CORE</t>
        </is>
      </c>
      <c r="E136" t="inlineStr">
        <is>
          <t>Adaptive diagnostic</t>
        </is>
      </c>
      <c r="F136" t="inlineStr">
        <is>
          <t>Sampled evidence</t>
        </is>
      </c>
      <c r="G136" t="inlineStr">
        <is>
          <t>Calibrated review</t>
        </is>
      </c>
      <c r="H136" t="inlineStr">
        <is>
          <t>Metric score + confidence</t>
        </is>
      </c>
    </row>
    <row r="137">
      <c r="A137" t="inlineStr">
        <is>
          <t>D11</t>
        </is>
      </c>
      <c r="B137" t="inlineStr">
        <is>
          <t>I07</t>
        </is>
      </c>
      <c r="C137" t="inlineStr">
        <is>
          <t>Change Management Capacity</t>
        </is>
      </c>
      <c r="D137" t="inlineStr">
        <is>
          <t>CORE</t>
        </is>
      </c>
      <c r="E137" t="inlineStr">
        <is>
          <t>Adaptive diagnostic</t>
        </is>
      </c>
      <c r="F137" t="inlineStr">
        <is>
          <t>Sampled evidence</t>
        </is>
      </c>
      <c r="G137" t="inlineStr">
        <is>
          <t>Calibrated review</t>
        </is>
      </c>
      <c r="H137" t="inlineStr">
        <is>
          <t>Metric score + confidence</t>
        </is>
      </c>
    </row>
    <row r="138">
      <c r="A138" t="inlineStr">
        <is>
          <t>D11</t>
        </is>
      </c>
      <c r="B138" t="inlineStr">
        <is>
          <t>I08</t>
        </is>
      </c>
      <c r="C138" t="inlineStr">
        <is>
          <t>Adaptive Leadership Alignment</t>
        </is>
      </c>
      <c r="D138" t="inlineStr">
        <is>
          <t>CORE</t>
        </is>
      </c>
      <c r="E138" t="inlineStr">
        <is>
          <t>Adaptive diagnostic</t>
        </is>
      </c>
      <c r="F138" t="inlineStr">
        <is>
          <t>Sampled evidence</t>
        </is>
      </c>
      <c r="G138" t="inlineStr">
        <is>
          <t>Calibrated review</t>
        </is>
      </c>
      <c r="H138" t="inlineStr">
        <is>
          <t>Metric score + confidence</t>
        </is>
      </c>
    </row>
    <row r="139">
      <c r="A139" t="inlineStr">
        <is>
          <t>D11</t>
        </is>
      </c>
      <c r="B139" t="inlineStr">
        <is>
          <t>I09</t>
        </is>
      </c>
      <c r="C139" t="inlineStr">
        <is>
          <t>Learner Signal Responsiveness</t>
        </is>
      </c>
      <c r="D139" t="inlineStr">
        <is>
          <t>CORE</t>
        </is>
      </c>
      <c r="E139" t="inlineStr">
        <is>
          <t>Adaptive diagnostic</t>
        </is>
      </c>
      <c r="F139" t="inlineStr">
        <is>
          <t>Sampled evidence</t>
        </is>
      </c>
      <c r="G139" t="inlineStr">
        <is>
          <t>Calibrated review</t>
        </is>
      </c>
      <c r="H139" t="inlineStr">
        <is>
          <t>Metric score + confidence</t>
        </is>
      </c>
    </row>
    <row r="140">
      <c r="A140" t="inlineStr">
        <is>
          <t>D11</t>
        </is>
      </c>
      <c r="B140" t="inlineStr">
        <is>
          <t>I10</t>
        </is>
      </c>
      <c r="C140" t="inlineStr">
        <is>
          <t>Economic &amp; Workforce Responsiveness</t>
        </is>
      </c>
      <c r="D140" t="inlineStr">
        <is>
          <t>CORE</t>
        </is>
      </c>
      <c r="E140" t="inlineStr">
        <is>
          <t>Adaptive diagnostic</t>
        </is>
      </c>
      <c r="F140" t="inlineStr">
        <is>
          <t>Sampled evidence</t>
        </is>
      </c>
      <c r="G140" t="inlineStr">
        <is>
          <t>Calibrated review</t>
        </is>
      </c>
      <c r="H140" t="inlineStr">
        <is>
          <t>Metric score + confidence</t>
        </is>
      </c>
    </row>
    <row r="141">
      <c r="A141" t="inlineStr">
        <is>
          <t>D11</t>
        </is>
      </c>
      <c r="B141" t="inlineStr">
        <is>
          <t>I11</t>
        </is>
      </c>
      <c r="C141" t="inlineStr">
        <is>
          <t>Scenario Planning Capability</t>
        </is>
      </c>
      <c r="D141" t="inlineStr">
        <is>
          <t>CORE</t>
        </is>
      </c>
      <c r="E141" t="inlineStr">
        <is>
          <t>Adaptive diagnostic</t>
        </is>
      </c>
      <c r="F141" t="inlineStr">
        <is>
          <t>Sampled evidence</t>
        </is>
      </c>
      <c r="G141" t="inlineStr">
        <is>
          <t>Calibrated review</t>
        </is>
      </c>
      <c r="H141" t="inlineStr">
        <is>
          <t>Metric score + confidence</t>
        </is>
      </c>
    </row>
    <row r="142">
      <c r="A142" t="inlineStr">
        <is>
          <t>D11</t>
        </is>
      </c>
      <c r="B142" t="inlineStr">
        <is>
          <t>I12</t>
        </is>
      </c>
      <c r="C142" t="inlineStr">
        <is>
          <t>Institutional Resilience</t>
        </is>
      </c>
      <c r="D142" t="inlineStr">
        <is>
          <t>CORE</t>
        </is>
      </c>
      <c r="E142" t="inlineStr">
        <is>
          <t>Adaptive diagnostic</t>
        </is>
      </c>
      <c r="F142" t="inlineStr">
        <is>
          <t>Sampled evidence</t>
        </is>
      </c>
      <c r="G142" t="inlineStr">
        <is>
          <t>Calibrated review</t>
        </is>
      </c>
      <c r="H142" t="inlineStr">
        <is>
          <t>Metric score + confidence</t>
        </is>
      </c>
    </row>
    <row r="143">
      <c r="A143" t="inlineStr">
        <is>
          <t>D11</t>
        </is>
      </c>
      <c r="B143" t="inlineStr">
        <is>
          <t>I13</t>
        </is>
      </c>
      <c r="C143" t="inlineStr">
        <is>
          <t>Institutional Learning System</t>
        </is>
      </c>
      <c r="D143" t="inlineStr">
        <is>
          <t>CORE</t>
        </is>
      </c>
      <c r="E143" t="inlineStr">
        <is>
          <t>Adaptive diagnostic</t>
        </is>
      </c>
      <c r="F143" t="inlineStr">
        <is>
          <t>Sampled evidence</t>
        </is>
      </c>
      <c r="G143" t="inlineStr">
        <is>
          <t>Calibrated review</t>
        </is>
      </c>
      <c r="H143" t="inlineStr">
        <is>
          <t>Metric score + confidence</t>
        </is>
      </c>
    </row>
    <row r="144">
      <c r="A144" t="inlineStr">
        <is>
          <t>D11</t>
        </is>
      </c>
      <c r="B144" t="inlineStr">
        <is>
          <t>I14</t>
        </is>
      </c>
      <c r="C144" t="inlineStr">
        <is>
          <t>Future Transformation Capacity</t>
        </is>
      </c>
      <c r="D144" t="inlineStr">
        <is>
          <t>CORE</t>
        </is>
      </c>
      <c r="E144" t="inlineStr">
        <is>
          <t>Adaptive diagnostic</t>
        </is>
      </c>
      <c r="F144" t="inlineStr">
        <is>
          <t>Sampled evidence</t>
        </is>
      </c>
      <c r="G144" t="inlineStr">
        <is>
          <t>Calibrated review</t>
        </is>
      </c>
      <c r="H144" t="inlineStr">
        <is>
          <t>Metric score + confidence</t>
        </is>
      </c>
    </row>
  </sheetData>
  <autoFilter ref="A1:H144"/>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sheetData>
    <row r="1">
      <c r="A1" s="14" t="inlineStr">
        <is>
          <t>Profile Field</t>
        </is>
      </c>
      <c r="B1" s="14" t="inlineStr">
        <is>
          <t>Response Type</t>
        </is>
      </c>
      <c r="C1" s="14" t="inlineStr">
        <is>
          <t>Required</t>
        </is>
      </c>
      <c r="D1" s="14" t="inlineStr">
        <is>
          <t>Purpose</t>
        </is>
      </c>
      <c r="E1" s="14" t="inlineStr">
        <is>
          <t>Calibration Use</t>
        </is>
      </c>
    </row>
    <row r="2">
      <c r="A2" t="inlineStr">
        <is>
          <t>Institution Type</t>
        </is>
      </c>
      <c r="B2" t="inlineStr">
        <is>
          <t>Single select</t>
        </is>
      </c>
      <c r="C2" t="inlineStr">
        <is>
          <t>Yes</t>
        </is>
      </c>
      <c r="D2" t="inlineStr">
        <is>
          <t>Classify institutional context</t>
        </is>
      </c>
      <c r="E2" t="inlineStr">
        <is>
          <t>Context branch</t>
        </is>
      </c>
    </row>
    <row r="3">
      <c r="A3" t="inlineStr">
        <is>
          <t>Mandate</t>
        </is>
      </c>
      <c r="B3" t="inlineStr">
        <is>
          <t>Multi-select</t>
        </is>
      </c>
      <c r="C3" t="inlineStr">
        <is>
          <t>Yes</t>
        </is>
      </c>
      <c r="D3" t="inlineStr">
        <is>
          <t>Teaching/research/professional mandate</t>
        </is>
      </c>
      <c r="E3" t="inlineStr">
        <is>
          <t>Required maturity</t>
        </is>
      </c>
    </row>
    <row r="4">
      <c r="A4" t="inlineStr">
        <is>
          <t>AI Exposure</t>
        </is>
      </c>
      <c r="B4" t="inlineStr">
        <is>
          <t>1-5</t>
        </is>
      </c>
      <c r="C4" t="inlineStr">
        <is>
          <t>Yes</t>
        </is>
      </c>
      <c r="D4" t="inlineStr">
        <is>
          <t>Degree of AI exposure</t>
        </is>
      </c>
      <c r="E4" t="inlineStr">
        <is>
          <t>Required maturity</t>
        </is>
      </c>
    </row>
    <row r="5">
      <c r="A5" t="inlineStr">
        <is>
          <t>Disciplinary Consequence</t>
        </is>
      </c>
      <c r="B5" t="inlineStr">
        <is>
          <t>1-5</t>
        </is>
      </c>
      <c r="C5" t="inlineStr">
        <is>
          <t>Yes</t>
        </is>
      </c>
      <c r="D5" t="inlineStr">
        <is>
          <t>Potential consequence of AI change/error</t>
        </is>
      </c>
      <c r="E5" t="inlineStr">
        <is>
          <t>Required maturity</t>
        </is>
      </c>
    </row>
    <row r="6">
      <c r="A6" t="inlineStr">
        <is>
          <t>Trajectory</t>
        </is>
      </c>
      <c r="B6" t="inlineStr">
        <is>
          <t>1-5</t>
        </is>
      </c>
      <c r="C6" t="inlineStr">
        <is>
          <t>Yes</t>
        </is>
      </c>
      <c r="D6" t="inlineStr">
        <is>
          <t>Rate of institutional change</t>
        </is>
      </c>
      <c r="E6" t="inlineStr">
        <is>
          <t>Required maturity</t>
        </is>
      </c>
    </row>
    <row r="7">
      <c r="A7" t="inlineStr">
        <is>
          <t>Scale</t>
        </is>
      </c>
      <c r="B7" t="inlineStr">
        <is>
          <t>Band</t>
        </is>
      </c>
      <c r="C7" t="inlineStr">
        <is>
          <t>Yes</t>
        </is>
      </c>
      <c r="D7" t="inlineStr">
        <is>
          <t>Institutional scale</t>
        </is>
      </c>
      <c r="E7" t="inlineStr">
        <is>
          <t>Sampling burden</t>
        </is>
      </c>
    </row>
    <row r="8">
      <c r="A8" t="inlineStr">
        <is>
          <t>Geography</t>
        </is>
      </c>
      <c r="B8" t="inlineStr">
        <is>
          <t>Multi-select</t>
        </is>
      </c>
      <c r="C8" t="inlineStr">
        <is>
          <t>Yes</t>
        </is>
      </c>
      <c r="D8" t="inlineStr">
        <is>
          <t>Operating context</t>
        </is>
      </c>
      <c r="E8" t="inlineStr">
        <is>
          <t>Sampling</t>
        </is>
      </c>
    </row>
    <row r="9">
      <c r="A9" t="inlineStr">
        <is>
          <t>Resource Envelope</t>
        </is>
      </c>
      <c r="B9" t="inlineStr">
        <is>
          <t>Band</t>
        </is>
      </c>
      <c r="C9" t="inlineStr">
        <is>
          <t>Yes</t>
        </is>
      </c>
      <c r="D9" t="inlineStr">
        <is>
          <t>Evidence burden calibration</t>
        </is>
      </c>
      <c r="E9" t="inlineStr">
        <is>
          <t>Sampling only</t>
        </is>
      </c>
    </row>
    <row r="10">
      <c r="A10" t="inlineStr">
        <is>
          <t>Research Intensity</t>
        </is>
      </c>
      <c r="B10" t="inlineStr">
        <is>
          <t>1-5</t>
        </is>
      </c>
      <c r="C10" t="inlineStr">
        <is>
          <t>Yes</t>
        </is>
      </c>
      <c r="D10" t="inlineStr">
        <is>
          <t>Research context</t>
        </is>
      </c>
      <c r="E10" t="inlineStr">
        <is>
          <t>D10 branching</t>
        </is>
      </c>
    </row>
    <row r="11">
      <c r="A11" t="inlineStr">
        <is>
          <t>Student Profile Complexity</t>
        </is>
      </c>
      <c r="B11" t="inlineStr">
        <is>
          <t>1-5</t>
        </is>
      </c>
      <c r="C11" t="inlineStr">
        <is>
          <t>Yes</t>
        </is>
      </c>
      <c r="D11" t="inlineStr">
        <is>
          <t>Learner diversity/access context</t>
        </is>
      </c>
      <c r="E11" t="inlineStr">
        <is>
          <t>D06 branching</t>
        </is>
      </c>
    </row>
  </sheetData>
  <autoFilter ref="A1:E11"/>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sheetData>
    <row r="1">
      <c r="A1" s="14" t="inlineStr">
        <is>
          <t>Domain</t>
        </is>
      </c>
      <c r="B1" s="14" t="inlineStr">
        <is>
          <t>Applicability Question</t>
        </is>
      </c>
      <c r="C1" s="14" t="inlineStr">
        <is>
          <t>If Yes</t>
        </is>
      </c>
      <c r="D1" s="14" t="inlineStr">
        <is>
          <t>If No</t>
        </is>
      </c>
      <c r="E1" s="14" t="inlineStr">
        <is>
          <t>Evidence Rule</t>
        </is>
      </c>
    </row>
    <row r="2">
      <c r="A2" t="inlineStr">
        <is>
          <t>D01</t>
        </is>
      </c>
      <c r="B2" t="inlineStr">
        <is>
          <t>Does D01 materially apply to this institution?</t>
        </is>
      </c>
      <c r="C2" t="inlineStr">
        <is>
          <t>Activate domain metrics</t>
        </is>
      </c>
      <c r="D2" t="inlineStr">
        <is>
          <t>Record N/A with reason</t>
        </is>
      </c>
      <c r="E2" t="inlineStr">
        <is>
          <t>N/A requires explicit rationale and assessor acceptance</t>
        </is>
      </c>
    </row>
    <row r="3">
      <c r="A3" t="inlineStr">
        <is>
          <t>D02</t>
        </is>
      </c>
      <c r="B3" t="inlineStr">
        <is>
          <t>Does D02 materially apply to this institution?</t>
        </is>
      </c>
      <c r="C3" t="inlineStr">
        <is>
          <t>Activate domain metrics</t>
        </is>
      </c>
      <c r="D3" t="inlineStr">
        <is>
          <t>Record N/A with reason</t>
        </is>
      </c>
      <c r="E3" t="inlineStr">
        <is>
          <t>N/A requires explicit rationale and assessor acceptance</t>
        </is>
      </c>
    </row>
    <row r="4">
      <c r="A4" t="inlineStr">
        <is>
          <t>D03</t>
        </is>
      </c>
      <c r="B4" t="inlineStr">
        <is>
          <t>Does D03 materially apply to this institution?</t>
        </is>
      </c>
      <c r="C4" t="inlineStr">
        <is>
          <t>Activate domain metrics</t>
        </is>
      </c>
      <c r="D4" t="inlineStr">
        <is>
          <t>Record N/A with reason</t>
        </is>
      </c>
      <c r="E4" t="inlineStr">
        <is>
          <t>N/A requires explicit rationale and assessor acceptance</t>
        </is>
      </c>
    </row>
    <row r="5">
      <c r="A5" t="inlineStr">
        <is>
          <t>D04</t>
        </is>
      </c>
      <c r="B5" t="inlineStr">
        <is>
          <t>Does D04 materially apply to this institution?</t>
        </is>
      </c>
      <c r="C5" t="inlineStr">
        <is>
          <t>Activate domain metrics</t>
        </is>
      </c>
      <c r="D5" t="inlineStr">
        <is>
          <t>Record N/A with reason</t>
        </is>
      </c>
      <c r="E5" t="inlineStr">
        <is>
          <t>N/A requires explicit rationale and assessor acceptance</t>
        </is>
      </c>
    </row>
    <row r="6">
      <c r="A6" t="inlineStr">
        <is>
          <t>D05</t>
        </is>
      </c>
      <c r="B6" t="inlineStr">
        <is>
          <t>Does D05 materially apply to this institution?</t>
        </is>
      </c>
      <c r="C6" t="inlineStr">
        <is>
          <t>Activate domain metrics</t>
        </is>
      </c>
      <c r="D6" t="inlineStr">
        <is>
          <t>Record N/A with reason</t>
        </is>
      </c>
      <c r="E6" t="inlineStr">
        <is>
          <t>N/A requires explicit rationale and assessor acceptance</t>
        </is>
      </c>
    </row>
    <row r="7">
      <c r="A7" t="inlineStr">
        <is>
          <t>D06</t>
        </is>
      </c>
      <c r="B7" t="inlineStr">
        <is>
          <t>Does D06 materially apply to this institution?</t>
        </is>
      </c>
      <c r="C7" t="inlineStr">
        <is>
          <t>Activate domain metrics</t>
        </is>
      </c>
      <c r="D7" t="inlineStr">
        <is>
          <t>Record N/A with reason</t>
        </is>
      </c>
      <c r="E7" t="inlineStr">
        <is>
          <t>N/A requires explicit rationale and assessor acceptance</t>
        </is>
      </c>
    </row>
    <row r="8">
      <c r="A8" t="inlineStr">
        <is>
          <t>D07</t>
        </is>
      </c>
      <c r="B8" t="inlineStr">
        <is>
          <t>Does D07 materially apply to this institution?</t>
        </is>
      </c>
      <c r="C8" t="inlineStr">
        <is>
          <t>Activate domain metrics</t>
        </is>
      </c>
      <c r="D8" t="inlineStr">
        <is>
          <t>Record N/A with reason</t>
        </is>
      </c>
      <c r="E8" t="inlineStr">
        <is>
          <t>N/A requires explicit rationale and assessor acceptance</t>
        </is>
      </c>
    </row>
    <row r="9">
      <c r="A9" t="inlineStr">
        <is>
          <t>D08</t>
        </is>
      </c>
      <c r="B9" t="inlineStr">
        <is>
          <t>Does D08 materially apply to this institution?</t>
        </is>
      </c>
      <c r="C9" t="inlineStr">
        <is>
          <t>Activate domain metrics</t>
        </is>
      </c>
      <c r="D9" t="inlineStr">
        <is>
          <t>Record N/A with reason</t>
        </is>
      </c>
      <c r="E9" t="inlineStr">
        <is>
          <t>N/A requires explicit rationale and assessor acceptance</t>
        </is>
      </c>
    </row>
    <row r="10">
      <c r="A10" t="inlineStr">
        <is>
          <t>D09</t>
        </is>
      </c>
      <c r="B10" t="inlineStr">
        <is>
          <t>Does D09 materially apply to this institution?</t>
        </is>
      </c>
      <c r="C10" t="inlineStr">
        <is>
          <t>Activate domain metrics</t>
        </is>
      </c>
      <c r="D10" t="inlineStr">
        <is>
          <t>Record N/A with reason</t>
        </is>
      </c>
      <c r="E10" t="inlineStr">
        <is>
          <t>N/A requires explicit rationale and assessor acceptance</t>
        </is>
      </c>
    </row>
    <row r="11">
      <c r="A11" t="inlineStr">
        <is>
          <t>D10</t>
        </is>
      </c>
      <c r="B11" t="inlineStr">
        <is>
          <t>Does D10 materially apply to this institution?</t>
        </is>
      </c>
      <c r="C11" t="inlineStr">
        <is>
          <t>Activate domain metrics</t>
        </is>
      </c>
      <c r="D11" t="inlineStr">
        <is>
          <t>Record N/A with reason</t>
        </is>
      </c>
      <c r="E11" t="inlineStr">
        <is>
          <t>N/A requires explicit rationale and assessor acceptance</t>
        </is>
      </c>
    </row>
    <row r="12">
      <c r="A12" t="inlineStr">
        <is>
          <t>D11</t>
        </is>
      </c>
      <c r="B12" t="inlineStr">
        <is>
          <t>Does D11 materially apply to this institution?</t>
        </is>
      </c>
      <c r="C12" t="inlineStr">
        <is>
          <t>Activate domain metrics</t>
        </is>
      </c>
      <c r="D12" t="inlineStr">
        <is>
          <t>Record N/A with reason</t>
        </is>
      </c>
      <c r="E12" t="inlineStr">
        <is>
          <t>N/A requires explicit rationale and assessor acceptance</t>
        </is>
      </c>
    </row>
  </sheetData>
  <autoFilter ref="A1:E12"/>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sheetData>
    <row r="1">
      <c r="A1" s="14" t="inlineStr">
        <is>
          <t>Stage</t>
        </is>
      </c>
      <c r="B1" s="14" t="inlineStr">
        <is>
          <t>Rule</t>
        </is>
      </c>
      <c r="C1" s="14" t="inlineStr">
        <is>
          <t>Action</t>
        </is>
      </c>
      <c r="D1" s="14" t="inlineStr">
        <is>
          <t>Rationale</t>
        </is>
      </c>
    </row>
    <row r="2">
      <c r="A2" t="inlineStr">
        <is>
          <t>1 Profile</t>
        </is>
      </c>
      <c r="B2" t="inlineStr">
        <is>
          <t>Always</t>
        </is>
      </c>
      <c r="C2" t="inlineStr">
        <is>
          <t>Collect institutional profile</t>
        </is>
      </c>
      <c r="D2" t="inlineStr">
        <is>
          <t>Sets context before diagnostics</t>
        </is>
      </c>
    </row>
    <row r="3">
      <c r="A3" t="inlineStr">
        <is>
          <t>2 Screening</t>
        </is>
      </c>
      <c r="B3" t="inlineStr">
        <is>
          <t>Always</t>
        </is>
      </c>
      <c r="C3" t="inlineStr">
        <is>
          <t>Run high-information screening probes across 11 domains</t>
        </is>
      </c>
      <c r="D3" t="inlineStr">
        <is>
          <t>Avoids 143-question burden</t>
        </is>
      </c>
    </row>
    <row r="4">
      <c r="A4" t="inlineStr">
        <is>
          <t>3 Branch</t>
        </is>
      </c>
      <c r="B4" t="inlineStr">
        <is>
          <t>Weak/contradictory signal</t>
        </is>
      </c>
      <c r="C4" t="inlineStr">
        <is>
          <t>Activate targeted metric questions</t>
        </is>
      </c>
      <c r="D4" t="inlineStr">
        <is>
          <t>Adaptive deepening</t>
        </is>
      </c>
    </row>
    <row r="5">
      <c r="A5" t="inlineStr">
        <is>
          <t>4 Evidence</t>
        </is>
      </c>
      <c r="B5" t="inlineStr">
        <is>
          <t>Claim or score above threshold</t>
        </is>
      </c>
      <c r="C5" t="inlineStr">
        <is>
          <t>Request sampled evidence</t>
        </is>
      </c>
      <c r="D5" t="inlineStr">
        <is>
          <t>Evidence burden controlled</t>
        </is>
      </c>
    </row>
    <row r="6">
      <c r="A6" t="inlineStr">
        <is>
          <t>5 Verification</t>
        </is>
      </c>
      <c r="B6" t="inlineStr">
        <is>
          <t>High-risk/high-impact/contradiction</t>
        </is>
      </c>
      <c r="C6" t="inlineStr">
        <is>
          <t>Independent assessor review</t>
        </is>
      </c>
      <c r="D6" t="inlineStr">
        <is>
          <t>Protects score integrity</t>
        </is>
      </c>
    </row>
    <row r="7">
      <c r="A7" t="inlineStr">
        <is>
          <t>6 Closure</t>
        </is>
      </c>
      <c r="B7" t="inlineStr">
        <is>
          <t>Sufficient coverage</t>
        </is>
      </c>
      <c r="C7" t="inlineStr">
        <is>
          <t>Stop questioning</t>
        </is>
      </c>
      <c r="D7" t="inlineStr">
        <is>
          <t>Prevents unnecessary respondent burden</t>
        </is>
      </c>
    </row>
  </sheetData>
  <autoFilter ref="A1:D7"/>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sheetData>
    <row r="1">
      <c r="A1" s="14" t="inlineStr">
        <is>
          <t>Evidence Tier</t>
        </is>
      </c>
      <c r="B1" s="14" t="inlineStr">
        <is>
          <t>Selection Rule</t>
        </is>
      </c>
      <c r="C1" s="14" t="inlineStr">
        <is>
          <t>Typical Count</t>
        </is>
      </c>
      <c r="D1" s="14" t="inlineStr">
        <is>
          <t>Reuse Rule</t>
        </is>
      </c>
      <c r="E1" s="14" t="inlineStr">
        <is>
          <t>Independence</t>
        </is>
      </c>
    </row>
    <row r="2">
      <c r="A2" t="inlineStr">
        <is>
          <t>E0</t>
        </is>
      </c>
      <c r="B2" t="inlineStr">
        <is>
          <t>Claim only</t>
        </is>
      </c>
      <c r="C2" t="inlineStr">
        <is>
          <t>0</t>
        </is>
      </c>
      <c r="D2" t="inlineStr">
        <is>
          <t>Not applicable</t>
        </is>
      </c>
      <c r="E2" t="inlineStr">
        <is>
          <t>None</t>
        </is>
      </c>
    </row>
    <row r="3">
      <c r="A3" t="inlineStr">
        <is>
          <t>E1</t>
        </is>
      </c>
      <c r="B3" t="inlineStr">
        <is>
          <t>Institutional artifact</t>
        </is>
      </c>
      <c r="C3" t="inlineStr">
        <is>
          <t>1 sampled artifact</t>
        </is>
      </c>
      <c r="D3" t="inlineStr">
        <is>
          <t>May support multiple metrics if genuinely relevant</t>
        </is>
      </c>
      <c r="E3" t="inlineStr">
        <is>
          <t>Institutional source</t>
        </is>
      </c>
    </row>
    <row r="4">
      <c r="A4" t="inlineStr">
        <is>
          <t>E2</t>
        </is>
      </c>
      <c r="B4" t="inlineStr">
        <is>
          <t>Operational evidence</t>
        </is>
      </c>
      <c r="C4" t="inlineStr">
        <is>
          <t>1-2 samples</t>
        </is>
      </c>
      <c r="D4" t="inlineStr">
        <is>
          <t>Reuse permitted with relevance check</t>
        </is>
      </c>
      <c r="E4" t="inlineStr">
        <is>
          <t>Operational source</t>
        </is>
      </c>
    </row>
    <row r="5">
      <c r="A5" t="inlineStr">
        <is>
          <t>E3</t>
        </is>
      </c>
      <c r="B5" t="inlineStr">
        <is>
          <t>Outcome evidence</t>
        </is>
      </c>
      <c r="C5" t="inlineStr">
        <is>
          <t>1 outcome set</t>
        </is>
      </c>
      <c r="D5" t="inlineStr">
        <is>
          <t>Reuse only when construct is shared</t>
        </is>
      </c>
      <c r="E5" t="inlineStr">
        <is>
          <t>Outcome source</t>
        </is>
      </c>
    </row>
    <row r="6">
      <c r="A6" t="inlineStr">
        <is>
          <t>E4</t>
        </is>
      </c>
      <c r="B6" t="inlineStr">
        <is>
          <t>Independent/triangulated</t>
        </is>
      </c>
      <c r="C6" t="inlineStr">
        <is>
          <t>1 independent corroboration</t>
        </is>
      </c>
      <c r="D6" t="inlineStr">
        <is>
          <t>Cannot be self-created solely for assessment</t>
        </is>
      </c>
      <c r="E6" t="inlineStr">
        <is>
          <t>Independent/triangulated</t>
        </is>
      </c>
    </row>
  </sheetData>
  <autoFilter ref="A1:E6"/>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sheetData>
    <row r="1">
      <c r="A1" s="14" t="inlineStr">
        <is>
          <t>Step</t>
        </is>
      </c>
      <c r="B1" s="14" t="inlineStr">
        <is>
          <t>Actor</t>
        </is>
      </c>
      <c r="C1" s="14" t="inlineStr">
        <is>
          <t>Input</t>
        </is>
      </c>
      <c r="D1" s="14" t="inlineStr">
        <is>
          <t>Action</t>
        </is>
      </c>
      <c r="E1" s="14" t="inlineStr">
        <is>
          <t>Output</t>
        </is>
      </c>
      <c r="F1" s="14" t="inlineStr">
        <is>
          <t>Control</t>
        </is>
      </c>
    </row>
    <row r="2">
      <c r="A2" t="inlineStr">
        <is>
          <t>1</t>
        </is>
      </c>
      <c r="B2" t="inlineStr">
        <is>
          <t>Institution</t>
        </is>
      </c>
      <c r="C2" t="inlineStr">
        <is>
          <t>Profile + initial responses</t>
        </is>
      </c>
      <c r="D2" t="inlineStr">
        <is>
          <t>Submit</t>
        </is>
      </c>
      <c r="E2" t="inlineStr">
        <is>
          <t>Context + screening data</t>
        </is>
      </c>
      <c r="F2" t="inlineStr">
        <is>
          <t>Required fields</t>
        </is>
      </c>
    </row>
    <row r="3">
      <c r="A3" t="inlineStr">
        <is>
          <t>2</t>
        </is>
      </c>
      <c r="B3" t="inlineStr">
        <is>
          <t>Engine</t>
        </is>
      </c>
      <c r="C3" t="inlineStr">
        <is>
          <t>Responses</t>
        </is>
      </c>
      <c r="D3" t="inlineStr">
        <is>
          <t>Route adaptive questions</t>
        </is>
      </c>
      <c r="E3" t="inlineStr">
        <is>
          <t>Targeted question set</t>
        </is>
      </c>
      <c r="F3" t="inlineStr">
        <is>
          <t>Branch logic</t>
        </is>
      </c>
    </row>
    <row r="4">
      <c r="A4" t="inlineStr">
        <is>
          <t>3</t>
        </is>
      </c>
      <c r="B4" t="inlineStr">
        <is>
          <t>Institution</t>
        </is>
      </c>
      <c r="C4" t="inlineStr">
        <is>
          <t>Questions</t>
        </is>
      </c>
      <c r="D4" t="inlineStr">
        <is>
          <t>Provide evidence</t>
        </is>
      </c>
      <c r="E4" t="inlineStr">
        <is>
          <t>Evidence package</t>
        </is>
      </c>
      <c r="F4" t="inlineStr">
        <is>
          <t>Sampling limits</t>
        </is>
      </c>
    </row>
    <row r="5">
      <c r="A5" t="inlineStr">
        <is>
          <t>4</t>
        </is>
      </c>
      <c r="B5" t="inlineStr">
        <is>
          <t>Assessor</t>
        </is>
      </c>
      <c r="C5" t="inlineStr">
        <is>
          <t>Responses + evidence</t>
        </is>
      </c>
      <c r="D5" t="inlineStr">
        <is>
          <t>Score M/I/O</t>
        </is>
      </c>
      <c r="E5" t="inlineStr">
        <is>
          <t>Metric score</t>
        </is>
      </c>
      <c r="F5" t="inlineStr">
        <is>
          <t>Calibration protocol</t>
        </is>
      </c>
    </row>
    <row r="6">
      <c r="A6" t="inlineStr">
        <is>
          <t>5</t>
        </is>
      </c>
      <c r="B6" t="inlineStr">
        <is>
          <t>Engine</t>
        </is>
      </c>
      <c r="C6" t="inlineStr">
        <is>
          <t>Metric scores</t>
        </is>
      </c>
      <c r="D6" t="inlineStr">
        <is>
          <t>Run P0-5/P0-6 checks</t>
        </is>
      </c>
      <c r="E6" t="inlineStr">
        <is>
          <t>Flags</t>
        </is>
      </c>
      <c r="F6" t="inlineStr">
        <is>
          <t>No automatic score manipulation</t>
        </is>
      </c>
    </row>
    <row r="7">
      <c r="A7" t="inlineStr">
        <is>
          <t>6</t>
        </is>
      </c>
      <c r="B7" t="inlineStr">
        <is>
          <t>Assessor</t>
        </is>
      </c>
      <c r="C7" t="inlineStr">
        <is>
          <t>Flags</t>
        </is>
      </c>
      <c r="D7" t="inlineStr">
        <is>
          <t>Resolve/record judgement</t>
        </is>
      </c>
      <c r="E7" t="inlineStr">
        <is>
          <t>Validated metric set</t>
        </is>
      </c>
      <c r="F7" t="inlineStr">
        <is>
          <t>Independent review</t>
        </is>
      </c>
    </row>
    <row r="8">
      <c r="A8" t="inlineStr">
        <is>
          <t>7</t>
        </is>
      </c>
      <c r="B8" t="inlineStr">
        <is>
          <t>Engine</t>
        </is>
      </c>
      <c r="C8" t="inlineStr">
        <is>
          <t>Validated metrics</t>
        </is>
      </c>
      <c r="D8" t="inlineStr">
        <is>
          <t>Aggregate</t>
        </is>
      </c>
      <c r="E8" t="inlineStr">
        <is>
          <t>Domain/overall outputs</t>
        </is>
      </c>
      <c r="F8" t="inlineStr">
        <is>
          <t>N/A/coverage rules</t>
        </is>
      </c>
    </row>
    <row r="9">
      <c r="A9" t="inlineStr">
        <is>
          <t>8</t>
        </is>
      </c>
      <c r="B9" t="inlineStr">
        <is>
          <t>Leadership</t>
        </is>
      </c>
      <c r="C9" t="inlineStr">
        <is>
          <t>Outputs</t>
        </is>
      </c>
      <c r="D9" t="inlineStr">
        <is>
          <t>Interpret diagnosis</t>
        </is>
      </c>
      <c r="E9" t="inlineStr">
        <is>
          <t>Decision priorities</t>
        </is>
      </c>
      <c r="F9" t="inlineStr">
        <is>
          <t>No pay-for-score</t>
        </is>
      </c>
    </row>
  </sheetData>
  <autoFilter ref="A1:F9"/>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sheetData>
    <row r="1">
      <c r="A1" s="14" t="inlineStr">
        <is>
          <t>Measure</t>
        </is>
      </c>
      <c r="B1" s="14" t="inlineStr">
        <is>
          <t>Target</t>
        </is>
      </c>
      <c r="C1" s="14" t="inlineStr">
        <is>
          <t>Control</t>
        </is>
      </c>
      <c r="D1" s="14" t="inlineStr">
        <is>
          <t>Escalation</t>
        </is>
      </c>
    </row>
    <row r="2">
      <c r="A2" t="inlineStr">
        <is>
          <t>Initial screening questions</t>
        </is>
      </c>
      <c r="B2" t="inlineStr">
        <is>
          <t>&lt;=30</t>
        </is>
      </c>
      <c r="C2" t="inlineStr">
        <is>
          <t>High-information routing</t>
        </is>
      </c>
      <c r="D2" t="inlineStr">
        <is>
          <t>Deep-dive only where needed</t>
        </is>
      </c>
    </row>
    <row r="3">
      <c r="A3" t="inlineStr">
        <is>
          <t>Evidence requests</t>
        </is>
      </c>
      <c r="B3" t="inlineStr">
        <is>
          <t>~8-12 core items</t>
        </is>
      </c>
      <c r="C3" t="inlineStr">
        <is>
          <t>Evidence reuse with relevance check</t>
        </is>
      </c>
      <c r="D3" t="inlineStr">
        <is>
          <t>Expand only for contradictions/high-risk claims</t>
        </is>
      </c>
    </row>
    <row r="4">
      <c r="A4" t="inlineStr">
        <is>
          <t>Metric-level questions</t>
        </is>
      </c>
      <c r="B4" t="inlineStr">
        <is>
          <t>Adaptive</t>
        </is>
      </c>
      <c r="C4" t="inlineStr">
        <is>
          <t>Do not expose all 143 by default</t>
        </is>
      </c>
      <c r="D4" t="inlineStr">
        <is>
          <t>Activate when signal/evidence insufficient</t>
        </is>
      </c>
    </row>
    <row r="5">
      <c r="A5" t="inlineStr">
        <is>
          <t>Assessor review</t>
        </is>
      </c>
      <c r="B5" t="inlineStr">
        <is>
          <t>Targeted</t>
        </is>
      </c>
      <c r="C5" t="inlineStr">
        <is>
          <t>Use calibration samples</t>
        </is>
      </c>
      <c r="D5" t="inlineStr">
        <is>
          <t>Double-score high-impact/uncertain metrics</t>
        </is>
      </c>
    </row>
  </sheetData>
  <autoFilter ref="A1:D5"/>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sheetData>
    <row r="1">
      <c r="A1" s="14" t="inlineStr">
        <is>
          <t>Assessment ID</t>
        </is>
      </c>
      <c r="B1" s="14" t="inlineStr">
        <is>
          <t>Stage</t>
        </is>
      </c>
      <c r="C1" s="14" t="inlineStr">
        <is>
          <t>Domain</t>
        </is>
      </c>
      <c r="D1" s="14" t="inlineStr">
        <is>
          <t>Metric/Rule</t>
        </is>
      </c>
      <c r="E1" s="14" t="inlineStr">
        <is>
          <t>Status</t>
        </is>
      </c>
      <c r="F1" s="14" t="inlineStr">
        <is>
          <t>Evidence Ref</t>
        </is>
      </c>
      <c r="G1" s="14" t="inlineStr">
        <is>
          <t>Assessor</t>
        </is>
      </c>
      <c r="H1" s="14" t="inlineStr">
        <is>
          <t>Timestamp</t>
        </is>
      </c>
      <c r="I1" s="14" t="inlineStr">
        <is>
          <t>Decision</t>
        </is>
      </c>
    </row>
  </sheetData>
  <autoFilter ref="A1:I1"/>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sheetData>
    <row r="1">
      <c r="A1" s="14" t="inlineStr">
        <is>
          <t>Gate</t>
        </is>
      </c>
      <c r="B1" s="14" t="inlineStr">
        <is>
          <t>Requirement</t>
        </is>
      </c>
      <c r="C1" s="14" t="inlineStr">
        <is>
          <t>Status</t>
        </is>
      </c>
      <c r="D1" s="14" t="inlineStr">
        <is>
          <t>Evidence</t>
        </is>
      </c>
    </row>
    <row r="2">
      <c r="A2" t="inlineStr">
        <is>
          <t>P0-8-G1</t>
        </is>
      </c>
      <c r="B2" t="inlineStr">
        <is>
          <t>Profile precedes scoring</t>
        </is>
      </c>
      <c r="C2" t="inlineStr">
        <is>
          <t>READY</t>
        </is>
      </c>
      <c r="D2" t="inlineStr">
        <is>
          <t>Methodology specification</t>
        </is>
      </c>
    </row>
    <row r="3">
      <c r="A3" t="inlineStr">
        <is>
          <t>P0-8-G2</t>
        </is>
      </c>
      <c r="B3" t="inlineStr">
        <is>
          <t>Applicability precedes metric scoring</t>
        </is>
      </c>
      <c r="C3" t="inlineStr">
        <is>
          <t>READY</t>
        </is>
      </c>
      <c r="D3" t="inlineStr">
        <is>
          <t>Methodology specification</t>
        </is>
      </c>
    </row>
    <row r="4">
      <c r="A4" t="inlineStr">
        <is>
          <t>P0-8-G3</t>
        </is>
      </c>
      <c r="B4" t="inlineStr">
        <is>
          <t>Adaptive routing defined</t>
        </is>
      </c>
      <c r="C4" t="inlineStr">
        <is>
          <t>READY</t>
        </is>
      </c>
      <c r="D4" t="inlineStr">
        <is>
          <t>Methodology specification</t>
        </is>
      </c>
    </row>
    <row r="5">
      <c r="A5" t="inlineStr">
        <is>
          <t>P0-8-G4</t>
        </is>
      </c>
      <c r="B5" t="inlineStr">
        <is>
          <t>Evidence sampling defined</t>
        </is>
      </c>
      <c r="C5" t="inlineStr">
        <is>
          <t>READY</t>
        </is>
      </c>
      <c r="D5" t="inlineStr">
        <is>
          <t>Methodology specification</t>
        </is>
      </c>
    </row>
    <row r="6">
      <c r="A6" t="inlineStr">
        <is>
          <t>P0-8-G5</t>
        </is>
      </c>
      <c r="B6" t="inlineStr">
        <is>
          <t>Assessor workflow defined</t>
        </is>
      </c>
      <c r="C6" t="inlineStr">
        <is>
          <t>READY</t>
        </is>
      </c>
      <c r="D6" t="inlineStr">
        <is>
          <t>Methodology specification</t>
        </is>
      </c>
    </row>
    <row r="7">
      <c r="A7" t="inlineStr">
        <is>
          <t>P0-8-G6</t>
        </is>
      </c>
      <c r="B7" t="inlineStr">
        <is>
          <t>Respondent burden controls defined</t>
        </is>
      </c>
      <c r="C7" t="inlineStr">
        <is>
          <t>READY</t>
        </is>
      </c>
      <c r="D7" t="inlineStr">
        <is>
          <t>Methodology specification</t>
        </is>
      </c>
    </row>
    <row r="8">
      <c r="A8" t="inlineStr">
        <is>
          <t>P0-8-G7</t>
        </is>
      </c>
      <c r="B8" t="inlineStr">
        <is>
          <t>Execution log defined</t>
        </is>
      </c>
      <c r="C8" t="inlineStr">
        <is>
          <t>READY</t>
        </is>
      </c>
      <c r="D8" t="inlineStr">
        <is>
          <t>Methodology specification</t>
        </is>
      </c>
    </row>
    <row r="9">
      <c r="A9" t="inlineStr">
        <is>
          <t>P0-8-G8</t>
        </is>
      </c>
      <c r="B9" t="inlineStr">
        <is>
          <t>No automatic score manipulation from routing</t>
        </is>
      </c>
      <c r="C9" t="inlineStr">
        <is>
          <t>READY</t>
        </is>
      </c>
      <c r="D9" t="inlineStr">
        <is>
          <t>Methodology specification</t>
        </is>
      </c>
    </row>
    <row r="10">
      <c r="A10" t="inlineStr">
        <is>
          <t>P0-8-G9</t>
        </is>
      </c>
      <c r="B10" t="inlineStr">
        <is>
          <t>N/A requires reason</t>
        </is>
      </c>
      <c r="C10" t="inlineStr">
        <is>
          <t>READY</t>
        </is>
      </c>
      <c r="D10" t="inlineStr">
        <is>
          <t>Methodology specification</t>
        </is>
      </c>
    </row>
    <row r="11">
      <c r="A11" t="inlineStr">
        <is>
          <t>P0-8-G10</t>
        </is>
      </c>
      <c r="B11" t="inlineStr">
        <is>
          <t>High-risk/contradictory cases escalate</t>
        </is>
      </c>
      <c r="C11" t="inlineStr">
        <is>
          <t>READY</t>
        </is>
      </c>
      <c r="D11" t="inlineStr">
        <is>
          <t>Methodology specification</t>
        </is>
      </c>
    </row>
  </sheetData>
  <autoFilter ref="A1:D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Rafts &amp; Rivers</dc:creator>
  <dc:title xmlns:dc="http://purl.org/dc/elements/1.1/">AI Resilient University Index D01-D11 P0-3 Scoring Engine</dc:title>
  <dc:subject xmlns:dc="http://purl.org/dc/elements/1.1/">Executable provisional scoring architecture</dc:subject>
  <dcterms:created xmlns:dcterms="http://purl.org/dc/terms/" xmlns:xsi="http://www.w3.org/2001/XMLSchema-instance" xsi:type="dcterms:W3CDTF">2026-09-10T12:27:35Z</dcterms:created>
  <dcterms:modified xmlns:dcterms="http://purl.org/dc/terms/" xmlns:xsi="http://www.w3.org/2001/XMLSchema-instance" xsi:type="dcterms:W3CDTF">2026-09-10T13:10:09Z</dcterms:modified>
  <cp:lastModifiedBy>Rafts &amp; Rivers</cp:lastModifiedBy>
</cp:coreProperties>
</file>